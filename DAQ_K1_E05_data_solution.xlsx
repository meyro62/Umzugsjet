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slicers/slicer3.xml" ContentType="application/vnd.ms-excel.slicer+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Norbert\Downloads\"/>
    </mc:Choice>
  </mc:AlternateContent>
  <xr:revisionPtr revIDLastSave="0" documentId="13_ncr:1_{53570CFC-2D0B-4323-87A3-02C728765E1A}" xr6:coauthVersionLast="47" xr6:coauthVersionMax="47" xr10:uidLastSave="{00000000-0000-0000-0000-000000000000}"/>
  <bookViews>
    <workbookView xWindow="-28920" yWindow="-120" windowWidth="29040" windowHeight="15840" firstSheet="1" activeTab="5" xr2:uid="{00000000-000D-0000-FFFF-FFFF00000000}"/>
  </bookViews>
  <sheets>
    <sheet name="Teilnehmende_Daten" sheetId="1" r:id="rId1"/>
    <sheet name="Trainingsabschluss_Daten" sheetId="2" r:id="rId2"/>
    <sheet name="Lektionen_Daten" sheetId="3" r:id="rId3"/>
    <sheet name="Quizergebnisse_Analyse" sheetId="9" r:id="rId4"/>
    <sheet name="Teilnehmende_Analyse" sheetId="5" r:id="rId5"/>
    <sheet name="Bewertung_Analyse" sheetId="11" r:id="rId6"/>
    <sheet name="Lektionen_Analyse" sheetId="13" r:id="rId7"/>
  </sheets>
  <definedNames>
    <definedName name="_xlchart.v1.0" hidden="1">Trainingsabschluss_Daten!$K$2:$K$488</definedName>
    <definedName name="_xlchart.v1.1" hidden="1">Trainingsabschluss_Daten!$L$2:$L$488</definedName>
    <definedName name="_xlchart.v1.2" hidden="1">Trainingsabschluss_Daten!$M$2:$M$488</definedName>
    <definedName name="_xlchart.v1.3" hidden="1">Trainingsabschluss_Daten!$N$2:$N$488</definedName>
    <definedName name="_xlchart.v1.4" hidden="1">Trainingsabschluss_Daten!$O$2:$O$488</definedName>
    <definedName name="_xlchart.v1.5" hidden="1">Trainingsabschluss_Daten!$Q$1</definedName>
    <definedName name="_xlchart.v1.6" hidden="1">Trainingsabschluss_Daten!$Q$2:$Q$488</definedName>
    <definedName name="_xlchart.v1.7" hidden="1">Lektionen_Daten!$F$2:$F$3897</definedName>
    <definedName name="Anzahl_Trainingsabschluss">Trainingsabschluss_Daten!$W$5</definedName>
    <definedName name="Datenschnitt_Bewertung_Schwierigkeit">#N/A</definedName>
    <definedName name="Datenschnitt_Lektionstitel">#N/A</definedName>
    <definedName name="Datenschnitt_Lektionstitel11">#N/A</definedName>
    <definedName name="Datenschnitt_Lektionstitel2">#N/A</definedName>
    <definedName name="Datenschnitt_Lektionstitel3">#N/A</definedName>
    <definedName name="Datenschnitt_Lektionstitel4">#N/A</definedName>
    <definedName name="Max_Frage1">Trainingsabschluss_Daten!$V$2</definedName>
    <definedName name="Max_Frage2">Trainingsabschluss_Daten!$W$2</definedName>
    <definedName name="Max_Frage3">Trainingsabschluss_Daten!$X$2</definedName>
    <definedName name="Max_Frage4">Trainingsabschluss_Daten!$Y$2</definedName>
    <definedName name="Max_Frage5">Trainingsabschluss_Daten!$Z$2</definedName>
    <definedName name="Max_Quizergebnis">Trainingsabschluss_Daten!$V$5</definedName>
  </definedNames>
  <calcPr calcId="191028"/>
  <pivotCaches>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9" l="1"/>
  <c r="G20" i="13"/>
  <c r="G19" i="13"/>
  <c r="G18" i="13"/>
  <c r="F20" i="13"/>
  <c r="F19" i="13"/>
  <c r="F18" i="13"/>
  <c r="E20" i="13"/>
  <c r="E19" i="13"/>
  <c r="E18" i="13"/>
  <c r="D20" i="13"/>
  <c r="D19" i="13"/>
  <c r="D18" i="13"/>
  <c r="C20" i="13"/>
  <c r="C19" i="13"/>
  <c r="C18" i="13"/>
  <c r="G17" i="13"/>
  <c r="F17" i="13"/>
  <c r="E17" i="13"/>
  <c r="D17" i="13"/>
  <c r="C17" i="13"/>
  <c r="B20" i="13"/>
  <c r="B19" i="13"/>
  <c r="B18" i="13"/>
  <c r="B17" i="13"/>
  <c r="B5" i="13"/>
  <c r="B4" i="13"/>
  <c r="B3" i="13"/>
  <c r="B2" i="13"/>
  <c r="G3897" i="3" l="1"/>
  <c r="H3897" i="3" s="1" a="1"/>
  <c r="H3897" i="3" s="1"/>
  <c r="G3896" i="3"/>
  <c r="H3896" i="3" s="1" a="1"/>
  <c r="H3896" i="3" s="1"/>
  <c r="G3895" i="3"/>
  <c r="H3895" i="3" s="1" a="1"/>
  <c r="H3895" i="3" s="1"/>
  <c r="G3894" i="3"/>
  <c r="H3894" i="3" s="1" a="1"/>
  <c r="H3894" i="3" s="1"/>
  <c r="G3893" i="3"/>
  <c r="H3893" i="3" s="1" a="1"/>
  <c r="H3893" i="3" s="1"/>
  <c r="G3892" i="3"/>
  <c r="H3892" i="3" s="1" a="1"/>
  <c r="H3892" i="3" s="1"/>
  <c r="G3891" i="3"/>
  <c r="H3891" i="3" s="1" a="1"/>
  <c r="H3891" i="3" s="1"/>
  <c r="G3890" i="3"/>
  <c r="H3890" i="3" s="1" a="1"/>
  <c r="H3890" i="3" s="1"/>
  <c r="G3889" i="3"/>
  <c r="H3889" i="3" s="1" a="1"/>
  <c r="H3889" i="3" s="1"/>
  <c r="G3888" i="3"/>
  <c r="H3888" i="3" s="1" a="1"/>
  <c r="H3888" i="3" s="1"/>
  <c r="G3887" i="3"/>
  <c r="H3887" i="3" s="1" a="1"/>
  <c r="H3887" i="3" s="1"/>
  <c r="G3886" i="3"/>
  <c r="H3886" i="3" s="1" a="1"/>
  <c r="H3886" i="3" s="1"/>
  <c r="G3885" i="3"/>
  <c r="H3885" i="3" s="1" a="1"/>
  <c r="H3885" i="3" s="1"/>
  <c r="G3884" i="3"/>
  <c r="H3884" i="3" s="1" a="1"/>
  <c r="H3884" i="3" s="1"/>
  <c r="G3883" i="3"/>
  <c r="H3883" i="3" s="1" a="1"/>
  <c r="H3883" i="3" s="1"/>
  <c r="G3882" i="3"/>
  <c r="H3882" i="3" s="1" a="1"/>
  <c r="H3882" i="3" s="1"/>
  <c r="G3881" i="3"/>
  <c r="H3881" i="3" s="1" a="1"/>
  <c r="H3881" i="3" s="1"/>
  <c r="G3880" i="3"/>
  <c r="H3880" i="3" s="1" a="1"/>
  <c r="H3880" i="3" s="1"/>
  <c r="G3879" i="3"/>
  <c r="H3879" i="3" s="1" a="1"/>
  <c r="H3879" i="3" s="1"/>
  <c r="G3878" i="3"/>
  <c r="H3878" i="3" s="1" a="1"/>
  <c r="H3878" i="3" s="1"/>
  <c r="G3877" i="3"/>
  <c r="H3877" i="3" s="1" a="1"/>
  <c r="H3877" i="3" s="1"/>
  <c r="G3876" i="3"/>
  <c r="H3876" i="3" s="1" a="1"/>
  <c r="H3876" i="3" s="1"/>
  <c r="G3875" i="3"/>
  <c r="H3875" i="3" s="1" a="1"/>
  <c r="H3875" i="3" s="1"/>
  <c r="G3874" i="3"/>
  <c r="H3874" i="3" s="1" a="1"/>
  <c r="H3874" i="3" s="1"/>
  <c r="G3873" i="3"/>
  <c r="H3873" i="3" s="1" a="1"/>
  <c r="H3873" i="3" s="1"/>
  <c r="G3872" i="3"/>
  <c r="H3872" i="3" s="1" a="1"/>
  <c r="H3872" i="3" s="1"/>
  <c r="G3871" i="3"/>
  <c r="H3871" i="3" s="1" a="1"/>
  <c r="H3871" i="3" s="1"/>
  <c r="G3870" i="3"/>
  <c r="H3870" i="3" s="1" a="1"/>
  <c r="H3870" i="3" s="1"/>
  <c r="G3869" i="3"/>
  <c r="H3869" i="3" s="1" a="1"/>
  <c r="H3869" i="3" s="1"/>
  <c r="G3868" i="3"/>
  <c r="H3868" i="3" s="1" a="1"/>
  <c r="H3868" i="3" s="1"/>
  <c r="G3867" i="3"/>
  <c r="H3867" i="3" s="1" a="1"/>
  <c r="H3867" i="3" s="1"/>
  <c r="G3866" i="3"/>
  <c r="H3866" i="3" s="1" a="1"/>
  <c r="H3866" i="3" s="1"/>
  <c r="G3865" i="3"/>
  <c r="H3865" i="3" s="1" a="1"/>
  <c r="H3865" i="3" s="1"/>
  <c r="G3864" i="3"/>
  <c r="H3864" i="3" s="1" a="1"/>
  <c r="H3864" i="3" s="1"/>
  <c r="G3863" i="3"/>
  <c r="H3863" i="3" s="1" a="1"/>
  <c r="H3863" i="3" s="1"/>
  <c r="G3862" i="3"/>
  <c r="H3862" i="3" s="1" a="1"/>
  <c r="H3862" i="3" s="1"/>
  <c r="G3861" i="3"/>
  <c r="H3861" i="3" s="1" a="1"/>
  <c r="H3861" i="3" s="1"/>
  <c r="G3860" i="3"/>
  <c r="H3860" i="3" s="1" a="1"/>
  <c r="H3860" i="3" s="1"/>
  <c r="G3859" i="3"/>
  <c r="H3859" i="3" s="1" a="1"/>
  <c r="H3859" i="3" s="1"/>
  <c r="G3858" i="3"/>
  <c r="H3858" i="3" s="1" a="1"/>
  <c r="H3858" i="3" s="1"/>
  <c r="G3857" i="3"/>
  <c r="H3857" i="3" s="1" a="1"/>
  <c r="H3857" i="3" s="1"/>
  <c r="G3856" i="3"/>
  <c r="H3856" i="3" s="1" a="1"/>
  <c r="H3856" i="3" s="1"/>
  <c r="G3855" i="3"/>
  <c r="H3855" i="3" s="1" a="1"/>
  <c r="H3855" i="3" s="1"/>
  <c r="G3854" i="3"/>
  <c r="H3854" i="3" s="1" a="1"/>
  <c r="H3854" i="3" s="1"/>
  <c r="G3853" i="3"/>
  <c r="H3853" i="3" s="1" a="1"/>
  <c r="H3853" i="3" s="1"/>
  <c r="G3852" i="3"/>
  <c r="H3852" i="3" s="1" a="1"/>
  <c r="H3852" i="3" s="1"/>
  <c r="G3851" i="3"/>
  <c r="H3851" i="3" s="1" a="1"/>
  <c r="H3851" i="3" s="1"/>
  <c r="G3850" i="3"/>
  <c r="H3850" i="3" s="1" a="1"/>
  <c r="H3850" i="3" s="1"/>
  <c r="G3849" i="3"/>
  <c r="H3849" i="3" s="1" a="1"/>
  <c r="H3849" i="3" s="1"/>
  <c r="G3848" i="3"/>
  <c r="H3848" i="3" s="1" a="1"/>
  <c r="H3848" i="3" s="1"/>
  <c r="G3847" i="3"/>
  <c r="H3847" i="3" s="1" a="1"/>
  <c r="H3847" i="3" s="1"/>
  <c r="G3846" i="3"/>
  <c r="H3846" i="3" s="1" a="1"/>
  <c r="H3846" i="3" s="1"/>
  <c r="G3845" i="3"/>
  <c r="H3845" i="3" s="1" a="1"/>
  <c r="H3845" i="3" s="1"/>
  <c r="G3844" i="3"/>
  <c r="H3844" i="3" s="1" a="1"/>
  <c r="H3844" i="3" s="1"/>
  <c r="G3843" i="3"/>
  <c r="H3843" i="3" s="1" a="1"/>
  <c r="H3843" i="3" s="1"/>
  <c r="G3842" i="3"/>
  <c r="H3842" i="3" s="1" a="1"/>
  <c r="H3842" i="3" s="1"/>
  <c r="G3841" i="3"/>
  <c r="H3841" i="3" s="1" a="1"/>
  <c r="H3841" i="3" s="1"/>
  <c r="G3840" i="3"/>
  <c r="H3840" i="3" s="1" a="1"/>
  <c r="H3840" i="3" s="1"/>
  <c r="G3839" i="3"/>
  <c r="H3839" i="3" s="1" a="1"/>
  <c r="H3839" i="3" s="1"/>
  <c r="G3838" i="3"/>
  <c r="H3838" i="3" s="1" a="1"/>
  <c r="H3838" i="3" s="1"/>
  <c r="G3837" i="3"/>
  <c r="H3837" i="3" s="1" a="1"/>
  <c r="H3837" i="3" s="1"/>
  <c r="G3836" i="3"/>
  <c r="H3836" i="3" s="1" a="1"/>
  <c r="H3836" i="3" s="1"/>
  <c r="G3835" i="3"/>
  <c r="H3835" i="3" s="1" a="1"/>
  <c r="H3835" i="3" s="1"/>
  <c r="G3834" i="3"/>
  <c r="H3834" i="3" s="1" a="1"/>
  <c r="H3834" i="3" s="1"/>
  <c r="G3833" i="3"/>
  <c r="H3833" i="3" s="1" a="1"/>
  <c r="H3833" i="3" s="1"/>
  <c r="G3832" i="3"/>
  <c r="H3832" i="3" s="1" a="1"/>
  <c r="H3832" i="3" s="1"/>
  <c r="G3831" i="3"/>
  <c r="H3831" i="3" s="1" a="1"/>
  <c r="H3831" i="3" s="1"/>
  <c r="G3830" i="3"/>
  <c r="H3830" i="3" s="1" a="1"/>
  <c r="H3830" i="3" s="1"/>
  <c r="G3829" i="3"/>
  <c r="H3829" i="3" s="1" a="1"/>
  <c r="H3829" i="3" s="1"/>
  <c r="G3828" i="3"/>
  <c r="H3828" i="3" s="1" a="1"/>
  <c r="H3828" i="3" s="1"/>
  <c r="G3827" i="3"/>
  <c r="H3827" i="3" s="1" a="1"/>
  <c r="H3827" i="3" s="1"/>
  <c r="G3826" i="3"/>
  <c r="H3826" i="3" s="1" a="1"/>
  <c r="H3826" i="3" s="1"/>
  <c r="G3825" i="3"/>
  <c r="H3825" i="3" s="1" a="1"/>
  <c r="H3825" i="3" s="1"/>
  <c r="G3824" i="3"/>
  <c r="H3824" i="3" s="1" a="1"/>
  <c r="H3824" i="3" s="1"/>
  <c r="G3823" i="3"/>
  <c r="H3823" i="3" s="1" a="1"/>
  <c r="H3823" i="3" s="1"/>
  <c r="G3822" i="3"/>
  <c r="H3822" i="3" s="1" a="1"/>
  <c r="H3822" i="3" s="1"/>
  <c r="G3821" i="3"/>
  <c r="H3821" i="3" s="1" a="1"/>
  <c r="H3821" i="3" s="1"/>
  <c r="G3820" i="3"/>
  <c r="H3820" i="3" s="1" a="1"/>
  <c r="H3820" i="3" s="1"/>
  <c r="G3819" i="3"/>
  <c r="H3819" i="3" s="1" a="1"/>
  <c r="H3819" i="3" s="1"/>
  <c r="G3818" i="3"/>
  <c r="H3818" i="3" s="1" a="1"/>
  <c r="H3818" i="3" s="1"/>
  <c r="G3817" i="3"/>
  <c r="H3817" i="3" s="1" a="1"/>
  <c r="H3817" i="3" s="1"/>
  <c r="G3816" i="3"/>
  <c r="H3816" i="3" s="1" a="1"/>
  <c r="H3816" i="3" s="1"/>
  <c r="G3815" i="3"/>
  <c r="H3815" i="3" s="1" a="1"/>
  <c r="H3815" i="3" s="1"/>
  <c r="G3814" i="3"/>
  <c r="H3814" i="3" s="1" a="1"/>
  <c r="H3814" i="3" s="1"/>
  <c r="G3813" i="3"/>
  <c r="H3813" i="3" s="1" a="1"/>
  <c r="H3813" i="3" s="1"/>
  <c r="G3812" i="3"/>
  <c r="H3812" i="3" s="1" a="1"/>
  <c r="H3812" i="3" s="1"/>
  <c r="G3811" i="3"/>
  <c r="H3811" i="3" s="1" a="1"/>
  <c r="H3811" i="3" s="1"/>
  <c r="G3810" i="3"/>
  <c r="H3810" i="3" s="1" a="1"/>
  <c r="H3810" i="3" s="1"/>
  <c r="G3809" i="3"/>
  <c r="H3809" i="3" s="1" a="1"/>
  <c r="H3809" i="3" s="1"/>
  <c r="G3808" i="3"/>
  <c r="H3808" i="3" s="1" a="1"/>
  <c r="H3808" i="3" s="1"/>
  <c r="G3807" i="3"/>
  <c r="H3807" i="3" s="1" a="1"/>
  <c r="H3807" i="3" s="1"/>
  <c r="G3806" i="3"/>
  <c r="H3806" i="3" s="1" a="1"/>
  <c r="H3806" i="3" s="1"/>
  <c r="G3805" i="3"/>
  <c r="H3805" i="3" s="1" a="1"/>
  <c r="H3805" i="3" s="1"/>
  <c r="G3804" i="3"/>
  <c r="H3804" i="3" s="1" a="1"/>
  <c r="H3804" i="3" s="1"/>
  <c r="G3803" i="3"/>
  <c r="H3803" i="3" s="1" a="1"/>
  <c r="H3803" i="3" s="1"/>
  <c r="G3802" i="3"/>
  <c r="H3802" i="3" s="1" a="1"/>
  <c r="H3802" i="3" s="1"/>
  <c r="G3801" i="3"/>
  <c r="H3801" i="3" s="1" a="1"/>
  <c r="H3801" i="3" s="1"/>
  <c r="G3800" i="3"/>
  <c r="H3800" i="3" s="1" a="1"/>
  <c r="H3800" i="3" s="1"/>
  <c r="G3799" i="3"/>
  <c r="H3799" i="3" s="1" a="1"/>
  <c r="H3799" i="3" s="1"/>
  <c r="G3798" i="3"/>
  <c r="H3798" i="3" s="1" a="1"/>
  <c r="H3798" i="3" s="1"/>
  <c r="G3797" i="3"/>
  <c r="H3797" i="3" s="1" a="1"/>
  <c r="H3797" i="3" s="1"/>
  <c r="G3796" i="3"/>
  <c r="H3796" i="3" s="1" a="1"/>
  <c r="H3796" i="3" s="1"/>
  <c r="G3795" i="3"/>
  <c r="H3795" i="3" s="1" a="1"/>
  <c r="H3795" i="3" s="1"/>
  <c r="G3794" i="3"/>
  <c r="H3794" i="3" s="1" a="1"/>
  <c r="H3794" i="3" s="1"/>
  <c r="G3793" i="3"/>
  <c r="H3793" i="3" s="1" a="1"/>
  <c r="H3793" i="3" s="1"/>
  <c r="G3792" i="3"/>
  <c r="H3792" i="3" s="1" a="1"/>
  <c r="H3792" i="3" s="1"/>
  <c r="G3791" i="3"/>
  <c r="H3791" i="3" s="1" a="1"/>
  <c r="H3791" i="3" s="1"/>
  <c r="G3790" i="3"/>
  <c r="H3790" i="3" s="1" a="1"/>
  <c r="H3790" i="3" s="1"/>
  <c r="G3789" i="3"/>
  <c r="H3789" i="3" s="1" a="1"/>
  <c r="H3789" i="3" s="1"/>
  <c r="G3788" i="3"/>
  <c r="H3788" i="3" s="1" a="1"/>
  <c r="H3788" i="3" s="1"/>
  <c r="G3787" i="3"/>
  <c r="H3787" i="3" s="1" a="1"/>
  <c r="H3787" i="3" s="1"/>
  <c r="G3786" i="3"/>
  <c r="H3786" i="3" s="1" a="1"/>
  <c r="H3786" i="3" s="1"/>
  <c r="G3785" i="3"/>
  <c r="H3785" i="3" s="1" a="1"/>
  <c r="H3785" i="3" s="1"/>
  <c r="G3784" i="3"/>
  <c r="H3784" i="3" s="1" a="1"/>
  <c r="H3784" i="3" s="1"/>
  <c r="G3783" i="3"/>
  <c r="H3783" i="3" s="1" a="1"/>
  <c r="H3783" i="3" s="1"/>
  <c r="G3782" i="3"/>
  <c r="H3782" i="3" s="1" a="1"/>
  <c r="H3782" i="3" s="1"/>
  <c r="G3781" i="3"/>
  <c r="H3781" i="3" s="1" a="1"/>
  <c r="H3781" i="3" s="1"/>
  <c r="G3780" i="3"/>
  <c r="H3780" i="3" s="1" a="1"/>
  <c r="H3780" i="3" s="1"/>
  <c r="G3779" i="3"/>
  <c r="H3779" i="3" s="1" a="1"/>
  <c r="H3779" i="3" s="1"/>
  <c r="G3778" i="3"/>
  <c r="H3778" i="3" s="1" a="1"/>
  <c r="H3778" i="3" s="1"/>
  <c r="G3777" i="3"/>
  <c r="H3777" i="3" s="1" a="1"/>
  <c r="H3777" i="3" s="1"/>
  <c r="G3776" i="3"/>
  <c r="H3776" i="3" s="1" a="1"/>
  <c r="H3776" i="3" s="1"/>
  <c r="G3775" i="3"/>
  <c r="H3775" i="3" s="1" a="1"/>
  <c r="H3775" i="3" s="1"/>
  <c r="G3774" i="3"/>
  <c r="H3774" i="3" s="1" a="1"/>
  <c r="H3774" i="3" s="1"/>
  <c r="G3773" i="3"/>
  <c r="H3773" i="3" s="1" a="1"/>
  <c r="H3773" i="3" s="1"/>
  <c r="G3772" i="3"/>
  <c r="H3772" i="3" s="1" a="1"/>
  <c r="H3772" i="3" s="1"/>
  <c r="G3771" i="3"/>
  <c r="H3771" i="3" s="1" a="1"/>
  <c r="H3771" i="3" s="1"/>
  <c r="G3770" i="3"/>
  <c r="H3770" i="3" s="1" a="1"/>
  <c r="H3770" i="3" s="1"/>
  <c r="G3769" i="3"/>
  <c r="H3769" i="3" s="1" a="1"/>
  <c r="H3769" i="3" s="1"/>
  <c r="G3768" i="3"/>
  <c r="H3768" i="3" s="1" a="1"/>
  <c r="H3768" i="3" s="1"/>
  <c r="G3767" i="3"/>
  <c r="H3767" i="3" s="1" a="1"/>
  <c r="H3767" i="3" s="1"/>
  <c r="G3766" i="3"/>
  <c r="H3766" i="3" s="1" a="1"/>
  <c r="H3766" i="3" s="1"/>
  <c r="G3765" i="3"/>
  <c r="H3765" i="3" s="1" a="1"/>
  <c r="H3765" i="3" s="1"/>
  <c r="G3764" i="3"/>
  <c r="H3764" i="3" s="1" a="1"/>
  <c r="H3764" i="3" s="1"/>
  <c r="G3763" i="3"/>
  <c r="H3763" i="3" s="1" a="1"/>
  <c r="H3763" i="3" s="1"/>
  <c r="G3762" i="3"/>
  <c r="H3762" i="3" s="1" a="1"/>
  <c r="H3762" i="3" s="1"/>
  <c r="G3761" i="3"/>
  <c r="H3761" i="3" s="1" a="1"/>
  <c r="H3761" i="3" s="1"/>
  <c r="G3760" i="3"/>
  <c r="H3760" i="3" s="1" a="1"/>
  <c r="H3760" i="3" s="1"/>
  <c r="G3759" i="3"/>
  <c r="H3759" i="3" s="1" a="1"/>
  <c r="H3759" i="3" s="1"/>
  <c r="G3758" i="3"/>
  <c r="H3758" i="3" s="1" a="1"/>
  <c r="H3758" i="3" s="1"/>
  <c r="G3757" i="3"/>
  <c r="H3757" i="3" s="1" a="1"/>
  <c r="H3757" i="3" s="1"/>
  <c r="G3756" i="3"/>
  <c r="H3756" i="3" s="1" a="1"/>
  <c r="H3756" i="3" s="1"/>
  <c r="G3755" i="3"/>
  <c r="H3755" i="3" s="1" a="1"/>
  <c r="H3755" i="3" s="1"/>
  <c r="G3754" i="3"/>
  <c r="H3754" i="3" s="1" a="1"/>
  <c r="H3754" i="3" s="1"/>
  <c r="G3753" i="3"/>
  <c r="H3753" i="3" s="1" a="1"/>
  <c r="H3753" i="3" s="1"/>
  <c r="G3752" i="3"/>
  <c r="H3752" i="3" s="1" a="1"/>
  <c r="H3752" i="3" s="1"/>
  <c r="G3751" i="3"/>
  <c r="H3751" i="3" s="1" a="1"/>
  <c r="H3751" i="3" s="1"/>
  <c r="G3750" i="3"/>
  <c r="H3750" i="3" s="1" a="1"/>
  <c r="H3750" i="3" s="1"/>
  <c r="G3749" i="3"/>
  <c r="H3749" i="3" s="1" a="1"/>
  <c r="H3749" i="3" s="1"/>
  <c r="G3748" i="3"/>
  <c r="H3748" i="3" s="1" a="1"/>
  <c r="H3748" i="3" s="1"/>
  <c r="G3747" i="3"/>
  <c r="H3747" i="3" s="1" a="1"/>
  <c r="H3747" i="3" s="1"/>
  <c r="G3746" i="3"/>
  <c r="H3746" i="3" s="1" a="1"/>
  <c r="H3746" i="3" s="1"/>
  <c r="G3745" i="3"/>
  <c r="H3745" i="3" s="1" a="1"/>
  <c r="H3745" i="3" s="1"/>
  <c r="G3744" i="3"/>
  <c r="H3744" i="3" s="1" a="1"/>
  <c r="H3744" i="3" s="1"/>
  <c r="G3743" i="3"/>
  <c r="H3743" i="3" s="1" a="1"/>
  <c r="H3743" i="3" s="1"/>
  <c r="G3742" i="3"/>
  <c r="H3742" i="3" s="1" a="1"/>
  <c r="H3742" i="3" s="1"/>
  <c r="G3741" i="3"/>
  <c r="H3741" i="3" s="1" a="1"/>
  <c r="H3741" i="3" s="1"/>
  <c r="G3740" i="3"/>
  <c r="H3740" i="3" s="1" a="1"/>
  <c r="H3740" i="3" s="1"/>
  <c r="G3739" i="3"/>
  <c r="H3739" i="3" s="1" a="1"/>
  <c r="H3739" i="3" s="1"/>
  <c r="G3738" i="3"/>
  <c r="H3738" i="3" s="1" a="1"/>
  <c r="H3738" i="3" s="1"/>
  <c r="G3737" i="3"/>
  <c r="H3737" i="3" s="1" a="1"/>
  <c r="H3737" i="3" s="1"/>
  <c r="G3736" i="3"/>
  <c r="H3736" i="3" s="1" a="1"/>
  <c r="H3736" i="3" s="1"/>
  <c r="G3735" i="3"/>
  <c r="H3735" i="3" s="1" a="1"/>
  <c r="H3735" i="3" s="1"/>
  <c r="G3734" i="3"/>
  <c r="H3734" i="3" s="1" a="1"/>
  <c r="H3734" i="3" s="1"/>
  <c r="G3733" i="3"/>
  <c r="H3733" i="3" s="1" a="1"/>
  <c r="H3733" i="3" s="1"/>
  <c r="G3732" i="3"/>
  <c r="H3732" i="3" s="1" a="1"/>
  <c r="H3732" i="3" s="1"/>
  <c r="G3731" i="3"/>
  <c r="H3731" i="3" s="1" a="1"/>
  <c r="H3731" i="3" s="1"/>
  <c r="G3730" i="3"/>
  <c r="H3730" i="3" s="1" a="1"/>
  <c r="H3730" i="3" s="1"/>
  <c r="G3729" i="3"/>
  <c r="H3729" i="3" s="1" a="1"/>
  <c r="H3729" i="3" s="1"/>
  <c r="G3728" i="3"/>
  <c r="H3728" i="3" s="1" a="1"/>
  <c r="H3728" i="3" s="1"/>
  <c r="G3727" i="3"/>
  <c r="H3727" i="3" s="1" a="1"/>
  <c r="H3727" i="3" s="1"/>
  <c r="G3726" i="3"/>
  <c r="H3726" i="3" s="1" a="1"/>
  <c r="H3726" i="3" s="1"/>
  <c r="G3725" i="3"/>
  <c r="H3725" i="3" s="1" a="1"/>
  <c r="H3725" i="3" s="1"/>
  <c r="G3724" i="3"/>
  <c r="H3724" i="3" s="1" a="1"/>
  <c r="H3724" i="3" s="1"/>
  <c r="G3723" i="3"/>
  <c r="H3723" i="3" s="1" a="1"/>
  <c r="H3723" i="3" s="1"/>
  <c r="G3722" i="3"/>
  <c r="H3722" i="3" s="1" a="1"/>
  <c r="H3722" i="3" s="1"/>
  <c r="G3721" i="3"/>
  <c r="H3721" i="3" s="1" a="1"/>
  <c r="H3721" i="3" s="1"/>
  <c r="G3720" i="3"/>
  <c r="H3720" i="3" s="1" a="1"/>
  <c r="H3720" i="3" s="1"/>
  <c r="G3719" i="3"/>
  <c r="H3719" i="3" s="1" a="1"/>
  <c r="H3719" i="3" s="1"/>
  <c r="G3718" i="3"/>
  <c r="H3718" i="3" s="1" a="1"/>
  <c r="H3718" i="3" s="1"/>
  <c r="G3717" i="3"/>
  <c r="H3717" i="3" s="1" a="1"/>
  <c r="H3717" i="3" s="1"/>
  <c r="G3716" i="3"/>
  <c r="H3716" i="3" s="1" a="1"/>
  <c r="H3716" i="3" s="1"/>
  <c r="G3715" i="3"/>
  <c r="H3715" i="3" s="1" a="1"/>
  <c r="H3715" i="3" s="1"/>
  <c r="G3714" i="3"/>
  <c r="H3714" i="3" s="1" a="1"/>
  <c r="H3714" i="3" s="1"/>
  <c r="G3713" i="3"/>
  <c r="H3713" i="3" s="1" a="1"/>
  <c r="H3713" i="3" s="1"/>
  <c r="G3712" i="3"/>
  <c r="H3712" i="3" s="1" a="1"/>
  <c r="H3712" i="3" s="1"/>
  <c r="G3711" i="3"/>
  <c r="H3711" i="3" s="1" a="1"/>
  <c r="H3711" i="3" s="1"/>
  <c r="G3710" i="3"/>
  <c r="H3710" i="3" s="1" a="1"/>
  <c r="H3710" i="3" s="1"/>
  <c r="G3709" i="3"/>
  <c r="H3709" i="3" s="1" a="1"/>
  <c r="H3709" i="3" s="1"/>
  <c r="G3708" i="3"/>
  <c r="H3708" i="3" s="1" a="1"/>
  <c r="H3708" i="3" s="1"/>
  <c r="G3707" i="3"/>
  <c r="H3707" i="3" s="1" a="1"/>
  <c r="H3707" i="3" s="1"/>
  <c r="G3706" i="3"/>
  <c r="H3706" i="3" s="1" a="1"/>
  <c r="H3706" i="3" s="1"/>
  <c r="G3705" i="3"/>
  <c r="H3705" i="3" s="1" a="1"/>
  <c r="H3705" i="3" s="1"/>
  <c r="G3704" i="3"/>
  <c r="H3704" i="3" s="1" a="1"/>
  <c r="H3704" i="3" s="1"/>
  <c r="G3703" i="3"/>
  <c r="H3703" i="3" s="1" a="1"/>
  <c r="H3703" i="3" s="1"/>
  <c r="G3702" i="3"/>
  <c r="H3702" i="3" s="1" a="1"/>
  <c r="H3702" i="3" s="1"/>
  <c r="G3701" i="3"/>
  <c r="H3701" i="3" s="1" a="1"/>
  <c r="H3701" i="3" s="1"/>
  <c r="G3700" i="3"/>
  <c r="H3700" i="3" s="1" a="1"/>
  <c r="H3700" i="3" s="1"/>
  <c r="G3699" i="3"/>
  <c r="H3699" i="3" s="1" a="1"/>
  <c r="H3699" i="3" s="1"/>
  <c r="G3698" i="3"/>
  <c r="H3698" i="3" s="1" a="1"/>
  <c r="H3698" i="3" s="1"/>
  <c r="G3697" i="3"/>
  <c r="H3697" i="3" s="1" a="1"/>
  <c r="H3697" i="3" s="1"/>
  <c r="G3696" i="3"/>
  <c r="H3696" i="3" s="1" a="1"/>
  <c r="H3696" i="3" s="1"/>
  <c r="G3695" i="3"/>
  <c r="H3695" i="3" s="1" a="1"/>
  <c r="H3695" i="3" s="1"/>
  <c r="G3694" i="3"/>
  <c r="H3694" i="3" s="1" a="1"/>
  <c r="H3694" i="3" s="1"/>
  <c r="G3693" i="3"/>
  <c r="H3693" i="3" s="1" a="1"/>
  <c r="H3693" i="3" s="1"/>
  <c r="G3692" i="3"/>
  <c r="H3692" i="3" s="1" a="1"/>
  <c r="H3692" i="3" s="1"/>
  <c r="G3691" i="3"/>
  <c r="H3691" i="3" s="1" a="1"/>
  <c r="H3691" i="3" s="1"/>
  <c r="G3690" i="3"/>
  <c r="H3690" i="3" s="1" a="1"/>
  <c r="H3690" i="3" s="1"/>
  <c r="G3689" i="3"/>
  <c r="H3689" i="3" s="1" a="1"/>
  <c r="H3689" i="3" s="1"/>
  <c r="G3688" i="3"/>
  <c r="H3688" i="3" s="1" a="1"/>
  <c r="H3688" i="3" s="1"/>
  <c r="G3687" i="3"/>
  <c r="H3687" i="3" s="1" a="1"/>
  <c r="H3687" i="3" s="1"/>
  <c r="G3686" i="3"/>
  <c r="H3686" i="3" s="1" a="1"/>
  <c r="H3686" i="3" s="1"/>
  <c r="G3685" i="3"/>
  <c r="H3685" i="3" s="1" a="1"/>
  <c r="H3685" i="3" s="1"/>
  <c r="G3684" i="3"/>
  <c r="H3684" i="3" s="1" a="1"/>
  <c r="H3684" i="3" s="1"/>
  <c r="G3683" i="3"/>
  <c r="H3683" i="3" s="1" a="1"/>
  <c r="H3683" i="3" s="1"/>
  <c r="G3682" i="3"/>
  <c r="H3682" i="3" s="1" a="1"/>
  <c r="H3682" i="3" s="1"/>
  <c r="G3681" i="3"/>
  <c r="H3681" i="3" s="1" a="1"/>
  <c r="H3681" i="3" s="1"/>
  <c r="G3680" i="3"/>
  <c r="H3680" i="3" s="1" a="1"/>
  <c r="H3680" i="3" s="1"/>
  <c r="G3679" i="3"/>
  <c r="H3679" i="3" s="1" a="1"/>
  <c r="H3679" i="3" s="1"/>
  <c r="G3678" i="3"/>
  <c r="H3678" i="3" s="1" a="1"/>
  <c r="H3678" i="3" s="1"/>
  <c r="G3677" i="3"/>
  <c r="H3677" i="3" s="1" a="1"/>
  <c r="H3677" i="3" s="1"/>
  <c r="G3676" i="3"/>
  <c r="H3676" i="3" s="1" a="1"/>
  <c r="H3676" i="3" s="1"/>
  <c r="G3675" i="3"/>
  <c r="H3675" i="3" s="1" a="1"/>
  <c r="H3675" i="3" s="1"/>
  <c r="G3674" i="3"/>
  <c r="H3674" i="3" s="1" a="1"/>
  <c r="H3674" i="3" s="1"/>
  <c r="G3673" i="3"/>
  <c r="H3673" i="3" s="1" a="1"/>
  <c r="H3673" i="3" s="1"/>
  <c r="G3672" i="3"/>
  <c r="H3672" i="3" s="1" a="1"/>
  <c r="H3672" i="3" s="1"/>
  <c r="G3671" i="3"/>
  <c r="H3671" i="3" s="1" a="1"/>
  <c r="H3671" i="3" s="1"/>
  <c r="G3670" i="3"/>
  <c r="H3670" i="3" s="1" a="1"/>
  <c r="H3670" i="3" s="1"/>
  <c r="G3669" i="3"/>
  <c r="H3669" i="3" s="1" a="1"/>
  <c r="H3669" i="3" s="1"/>
  <c r="G3668" i="3"/>
  <c r="H3668" i="3" s="1" a="1"/>
  <c r="H3668" i="3" s="1"/>
  <c r="G3667" i="3"/>
  <c r="H3667" i="3" s="1" a="1"/>
  <c r="H3667" i="3" s="1"/>
  <c r="G3666" i="3"/>
  <c r="H3666" i="3" s="1" a="1"/>
  <c r="H3666" i="3" s="1"/>
  <c r="G3665" i="3"/>
  <c r="H3665" i="3" s="1" a="1"/>
  <c r="H3665" i="3" s="1"/>
  <c r="G3664" i="3"/>
  <c r="H3664" i="3" s="1" a="1"/>
  <c r="H3664" i="3" s="1"/>
  <c r="G3663" i="3"/>
  <c r="H3663" i="3" s="1" a="1"/>
  <c r="H3663" i="3" s="1"/>
  <c r="G3662" i="3"/>
  <c r="H3662" i="3" s="1" a="1"/>
  <c r="H3662" i="3" s="1"/>
  <c r="G3661" i="3"/>
  <c r="H3661" i="3" s="1" a="1"/>
  <c r="H3661" i="3" s="1"/>
  <c r="G3660" i="3"/>
  <c r="H3660" i="3" s="1" a="1"/>
  <c r="H3660" i="3" s="1"/>
  <c r="G3659" i="3"/>
  <c r="H3659" i="3" s="1" a="1"/>
  <c r="H3659" i="3" s="1"/>
  <c r="G3658" i="3"/>
  <c r="H3658" i="3" s="1" a="1"/>
  <c r="H3658" i="3" s="1"/>
  <c r="G3657" i="3"/>
  <c r="H3657" i="3" s="1" a="1"/>
  <c r="H3657" i="3" s="1"/>
  <c r="G3656" i="3"/>
  <c r="H3656" i="3" s="1" a="1"/>
  <c r="H3656" i="3" s="1"/>
  <c r="G3655" i="3"/>
  <c r="H3655" i="3" s="1" a="1"/>
  <c r="H3655" i="3" s="1"/>
  <c r="G3654" i="3"/>
  <c r="H3654" i="3" s="1" a="1"/>
  <c r="H3654" i="3" s="1"/>
  <c r="G3653" i="3"/>
  <c r="H3653" i="3" s="1" a="1"/>
  <c r="H3653" i="3" s="1"/>
  <c r="G3652" i="3"/>
  <c r="H3652" i="3" s="1" a="1"/>
  <c r="H3652" i="3" s="1"/>
  <c r="G3651" i="3"/>
  <c r="H3651" i="3" s="1" a="1"/>
  <c r="H3651" i="3" s="1"/>
  <c r="G3650" i="3"/>
  <c r="H3650" i="3" s="1" a="1"/>
  <c r="H3650" i="3" s="1"/>
  <c r="G3649" i="3"/>
  <c r="H3649" i="3" s="1" a="1"/>
  <c r="H3649" i="3" s="1"/>
  <c r="G3648" i="3"/>
  <c r="H3648" i="3" s="1" a="1"/>
  <c r="H3648" i="3" s="1"/>
  <c r="G3647" i="3"/>
  <c r="H3647" i="3" s="1" a="1"/>
  <c r="H3647" i="3" s="1"/>
  <c r="G3646" i="3"/>
  <c r="H3646" i="3" s="1" a="1"/>
  <c r="H3646" i="3" s="1"/>
  <c r="G3645" i="3"/>
  <c r="H3645" i="3" s="1" a="1"/>
  <c r="H3645" i="3" s="1"/>
  <c r="G3644" i="3"/>
  <c r="H3644" i="3" s="1" a="1"/>
  <c r="H3644" i="3" s="1"/>
  <c r="G3643" i="3"/>
  <c r="H3643" i="3" s="1" a="1"/>
  <c r="H3643" i="3" s="1"/>
  <c r="G3642" i="3"/>
  <c r="H3642" i="3" s="1" a="1"/>
  <c r="H3642" i="3" s="1"/>
  <c r="G3641" i="3"/>
  <c r="H3641" i="3" s="1" a="1"/>
  <c r="H3641" i="3" s="1"/>
  <c r="G3640" i="3"/>
  <c r="H3640" i="3" s="1" a="1"/>
  <c r="H3640" i="3" s="1"/>
  <c r="G3639" i="3"/>
  <c r="H3639" i="3" s="1" a="1"/>
  <c r="H3639" i="3" s="1"/>
  <c r="G3638" i="3"/>
  <c r="H3638" i="3" s="1" a="1"/>
  <c r="H3638" i="3" s="1"/>
  <c r="G3637" i="3"/>
  <c r="H3637" i="3" s="1" a="1"/>
  <c r="H3637" i="3" s="1"/>
  <c r="G3636" i="3"/>
  <c r="H3636" i="3" s="1" a="1"/>
  <c r="H3636" i="3" s="1"/>
  <c r="G3635" i="3"/>
  <c r="H3635" i="3" s="1" a="1"/>
  <c r="H3635" i="3" s="1"/>
  <c r="G3634" i="3"/>
  <c r="H3634" i="3" s="1" a="1"/>
  <c r="H3634" i="3" s="1"/>
  <c r="G3633" i="3"/>
  <c r="H3633" i="3" s="1" a="1"/>
  <c r="H3633" i="3" s="1"/>
  <c r="G3632" i="3"/>
  <c r="H3632" i="3" s="1" a="1"/>
  <c r="H3632" i="3" s="1"/>
  <c r="G3631" i="3"/>
  <c r="H3631" i="3" s="1" a="1"/>
  <c r="H3631" i="3" s="1"/>
  <c r="G3630" i="3"/>
  <c r="H3630" i="3" s="1" a="1"/>
  <c r="H3630" i="3" s="1"/>
  <c r="G3629" i="3"/>
  <c r="H3629" i="3" s="1" a="1"/>
  <c r="H3629" i="3" s="1"/>
  <c r="G3628" i="3"/>
  <c r="H3628" i="3" s="1" a="1"/>
  <c r="H3628" i="3" s="1"/>
  <c r="G3627" i="3"/>
  <c r="H3627" i="3" s="1" a="1"/>
  <c r="H3627" i="3" s="1"/>
  <c r="G3626" i="3"/>
  <c r="H3626" i="3" s="1" a="1"/>
  <c r="H3626" i="3" s="1"/>
  <c r="G3625" i="3"/>
  <c r="H3625" i="3" s="1" a="1"/>
  <c r="H3625" i="3" s="1"/>
  <c r="G3624" i="3"/>
  <c r="H3624" i="3" s="1" a="1"/>
  <c r="H3624" i="3" s="1"/>
  <c r="G3623" i="3"/>
  <c r="H3623" i="3" s="1" a="1"/>
  <c r="H3623" i="3" s="1"/>
  <c r="G3622" i="3"/>
  <c r="H3622" i="3" s="1" a="1"/>
  <c r="H3622" i="3" s="1"/>
  <c r="G3621" i="3"/>
  <c r="H3621" i="3" s="1" a="1"/>
  <c r="H3621" i="3" s="1"/>
  <c r="G3620" i="3"/>
  <c r="H3620" i="3" s="1" a="1"/>
  <c r="H3620" i="3" s="1"/>
  <c r="G3619" i="3"/>
  <c r="H3619" i="3" s="1" a="1"/>
  <c r="H3619" i="3" s="1"/>
  <c r="G3618" i="3"/>
  <c r="H3618" i="3" s="1" a="1"/>
  <c r="H3618" i="3" s="1"/>
  <c r="G3617" i="3"/>
  <c r="H3617" i="3" s="1" a="1"/>
  <c r="H3617" i="3" s="1"/>
  <c r="G3616" i="3"/>
  <c r="H3616" i="3" s="1" a="1"/>
  <c r="H3616" i="3" s="1"/>
  <c r="G3615" i="3"/>
  <c r="H3615" i="3" s="1" a="1"/>
  <c r="H3615" i="3" s="1"/>
  <c r="G3614" i="3"/>
  <c r="H3614" i="3" s="1" a="1"/>
  <c r="H3614" i="3" s="1"/>
  <c r="G3613" i="3"/>
  <c r="H3613" i="3" s="1" a="1"/>
  <c r="H3613" i="3" s="1"/>
  <c r="G3612" i="3"/>
  <c r="H3612" i="3" s="1" a="1"/>
  <c r="H3612" i="3" s="1"/>
  <c r="G3611" i="3"/>
  <c r="H3611" i="3" s="1" a="1"/>
  <c r="H3611" i="3" s="1"/>
  <c r="G3610" i="3"/>
  <c r="H3610" i="3" s="1" a="1"/>
  <c r="H3610" i="3" s="1"/>
  <c r="G3609" i="3"/>
  <c r="H3609" i="3" s="1" a="1"/>
  <c r="H3609" i="3" s="1"/>
  <c r="G3608" i="3"/>
  <c r="H3608" i="3" s="1" a="1"/>
  <c r="H3608" i="3" s="1"/>
  <c r="G3607" i="3"/>
  <c r="H3607" i="3" s="1" a="1"/>
  <c r="H3607" i="3" s="1"/>
  <c r="G3606" i="3"/>
  <c r="H3606" i="3" s="1" a="1"/>
  <c r="H3606" i="3" s="1"/>
  <c r="G3605" i="3"/>
  <c r="H3605" i="3" s="1" a="1"/>
  <c r="H3605" i="3" s="1"/>
  <c r="G3604" i="3"/>
  <c r="H3604" i="3" s="1" a="1"/>
  <c r="H3604" i="3" s="1"/>
  <c r="G3603" i="3"/>
  <c r="H3603" i="3" s="1" a="1"/>
  <c r="H3603" i="3" s="1"/>
  <c r="G3602" i="3"/>
  <c r="H3602" i="3" s="1" a="1"/>
  <c r="H3602" i="3" s="1"/>
  <c r="G3601" i="3"/>
  <c r="H3601" i="3" s="1" a="1"/>
  <c r="H3601" i="3" s="1"/>
  <c r="G3600" i="3"/>
  <c r="H3600" i="3" s="1" a="1"/>
  <c r="H3600" i="3" s="1"/>
  <c r="G3599" i="3"/>
  <c r="H3599" i="3" s="1" a="1"/>
  <c r="H3599" i="3" s="1"/>
  <c r="G3598" i="3"/>
  <c r="H3598" i="3" s="1" a="1"/>
  <c r="H3598" i="3" s="1"/>
  <c r="G3597" i="3"/>
  <c r="H3597" i="3" s="1" a="1"/>
  <c r="H3597" i="3" s="1"/>
  <c r="G3596" i="3"/>
  <c r="H3596" i="3" s="1" a="1"/>
  <c r="H3596" i="3" s="1"/>
  <c r="G3595" i="3"/>
  <c r="H3595" i="3" s="1" a="1"/>
  <c r="H3595" i="3" s="1"/>
  <c r="G3594" i="3"/>
  <c r="H3594" i="3" s="1" a="1"/>
  <c r="H3594" i="3" s="1"/>
  <c r="G3593" i="3"/>
  <c r="H3593" i="3" s="1" a="1"/>
  <c r="H3593" i="3" s="1"/>
  <c r="G3592" i="3"/>
  <c r="H3592" i="3" s="1" a="1"/>
  <c r="H3592" i="3" s="1"/>
  <c r="G3591" i="3"/>
  <c r="H3591" i="3" s="1" a="1"/>
  <c r="H3591" i="3" s="1"/>
  <c r="G3590" i="3"/>
  <c r="H3590" i="3" s="1" a="1"/>
  <c r="H3590" i="3" s="1"/>
  <c r="G3589" i="3"/>
  <c r="H3589" i="3" s="1" a="1"/>
  <c r="H3589" i="3" s="1"/>
  <c r="G3588" i="3"/>
  <c r="H3588" i="3" s="1" a="1"/>
  <c r="H3588" i="3" s="1"/>
  <c r="G3587" i="3"/>
  <c r="H3587" i="3" s="1" a="1"/>
  <c r="H3587" i="3" s="1"/>
  <c r="G3586" i="3"/>
  <c r="H3586" i="3" s="1" a="1"/>
  <c r="H3586" i="3" s="1"/>
  <c r="G3585" i="3"/>
  <c r="H3585" i="3" s="1" a="1"/>
  <c r="H3585" i="3" s="1"/>
  <c r="G3584" i="3"/>
  <c r="H3584" i="3" s="1" a="1"/>
  <c r="H3584" i="3" s="1"/>
  <c r="G3583" i="3"/>
  <c r="H3583" i="3" s="1" a="1"/>
  <c r="H3583" i="3" s="1"/>
  <c r="G3582" i="3"/>
  <c r="H3582" i="3" s="1" a="1"/>
  <c r="H3582" i="3" s="1"/>
  <c r="G3581" i="3"/>
  <c r="H3581" i="3" s="1" a="1"/>
  <c r="H3581" i="3" s="1"/>
  <c r="G3580" i="3"/>
  <c r="H3580" i="3" s="1" a="1"/>
  <c r="H3580" i="3" s="1"/>
  <c r="G3579" i="3"/>
  <c r="H3579" i="3" s="1" a="1"/>
  <c r="H3579" i="3" s="1"/>
  <c r="G3578" i="3"/>
  <c r="H3578" i="3" s="1" a="1"/>
  <c r="H3578" i="3" s="1"/>
  <c r="G3577" i="3"/>
  <c r="H3577" i="3" s="1" a="1"/>
  <c r="H3577" i="3" s="1"/>
  <c r="G3576" i="3"/>
  <c r="H3576" i="3" s="1" a="1"/>
  <c r="H3576" i="3" s="1"/>
  <c r="G3575" i="3"/>
  <c r="H3575" i="3" s="1" a="1"/>
  <c r="H3575" i="3" s="1"/>
  <c r="G3574" i="3"/>
  <c r="H3574" i="3" s="1" a="1"/>
  <c r="H3574" i="3" s="1"/>
  <c r="G3573" i="3"/>
  <c r="H3573" i="3" s="1" a="1"/>
  <c r="H3573" i="3" s="1"/>
  <c r="G3572" i="3"/>
  <c r="H3572" i="3" s="1" a="1"/>
  <c r="H3572" i="3" s="1"/>
  <c r="G3571" i="3"/>
  <c r="H3571" i="3" s="1" a="1"/>
  <c r="H3571" i="3" s="1"/>
  <c r="G3570" i="3"/>
  <c r="H3570" i="3" s="1" a="1"/>
  <c r="H3570" i="3" s="1"/>
  <c r="G3569" i="3"/>
  <c r="H3569" i="3" s="1" a="1"/>
  <c r="H3569" i="3" s="1"/>
  <c r="G3568" i="3"/>
  <c r="H3568" i="3" s="1" a="1"/>
  <c r="H3568" i="3" s="1"/>
  <c r="G3567" i="3"/>
  <c r="H3567" i="3" s="1" a="1"/>
  <c r="H3567" i="3" s="1"/>
  <c r="G3566" i="3"/>
  <c r="H3566" i="3" s="1" a="1"/>
  <c r="H3566" i="3" s="1"/>
  <c r="G3565" i="3"/>
  <c r="H3565" i="3" s="1" a="1"/>
  <c r="H3565" i="3" s="1"/>
  <c r="G3564" i="3"/>
  <c r="H3564" i="3" s="1" a="1"/>
  <c r="H3564" i="3" s="1"/>
  <c r="G3563" i="3"/>
  <c r="H3563" i="3" s="1" a="1"/>
  <c r="H3563" i="3" s="1"/>
  <c r="G3562" i="3"/>
  <c r="H3562" i="3" s="1" a="1"/>
  <c r="H3562" i="3" s="1"/>
  <c r="G3561" i="3"/>
  <c r="H3561" i="3" s="1" a="1"/>
  <c r="H3561" i="3" s="1"/>
  <c r="G3560" i="3"/>
  <c r="H3560" i="3" s="1" a="1"/>
  <c r="H3560" i="3" s="1"/>
  <c r="G3559" i="3"/>
  <c r="H3559" i="3" s="1" a="1"/>
  <c r="H3559" i="3" s="1"/>
  <c r="G3558" i="3"/>
  <c r="H3558" i="3" s="1" a="1"/>
  <c r="H3558" i="3" s="1"/>
  <c r="G3557" i="3"/>
  <c r="H3557" i="3" s="1" a="1"/>
  <c r="H3557" i="3" s="1"/>
  <c r="G3556" i="3"/>
  <c r="H3556" i="3" s="1" a="1"/>
  <c r="H3556" i="3" s="1"/>
  <c r="G3555" i="3"/>
  <c r="H3555" i="3" s="1" a="1"/>
  <c r="H3555" i="3" s="1"/>
  <c r="G3554" i="3"/>
  <c r="H3554" i="3" s="1" a="1"/>
  <c r="H3554" i="3" s="1"/>
  <c r="G3553" i="3"/>
  <c r="H3553" i="3" s="1" a="1"/>
  <c r="H3553" i="3" s="1"/>
  <c r="G3552" i="3"/>
  <c r="H3552" i="3" s="1" a="1"/>
  <c r="H3552" i="3" s="1"/>
  <c r="G3551" i="3"/>
  <c r="H3551" i="3" s="1" a="1"/>
  <c r="H3551" i="3" s="1"/>
  <c r="G3550" i="3"/>
  <c r="H3550" i="3" s="1" a="1"/>
  <c r="H3550" i="3" s="1"/>
  <c r="G3549" i="3"/>
  <c r="H3549" i="3" s="1" a="1"/>
  <c r="H3549" i="3" s="1"/>
  <c r="G3548" i="3"/>
  <c r="H3548" i="3" s="1" a="1"/>
  <c r="H3548" i="3" s="1"/>
  <c r="G3547" i="3"/>
  <c r="H3547" i="3" s="1" a="1"/>
  <c r="H3547" i="3" s="1"/>
  <c r="G3546" i="3"/>
  <c r="H3546" i="3" s="1" a="1"/>
  <c r="H3546" i="3" s="1"/>
  <c r="G3545" i="3"/>
  <c r="H3545" i="3" s="1" a="1"/>
  <c r="H3545" i="3" s="1"/>
  <c r="G3544" i="3"/>
  <c r="H3544" i="3" s="1" a="1"/>
  <c r="H3544" i="3" s="1"/>
  <c r="G3543" i="3"/>
  <c r="H3543" i="3" s="1" a="1"/>
  <c r="H3543" i="3" s="1"/>
  <c r="G3542" i="3"/>
  <c r="H3542" i="3" s="1" a="1"/>
  <c r="H3542" i="3" s="1"/>
  <c r="G3541" i="3"/>
  <c r="H3541" i="3" s="1" a="1"/>
  <c r="H3541" i="3" s="1"/>
  <c r="G3540" i="3"/>
  <c r="H3540" i="3" s="1" a="1"/>
  <c r="H3540" i="3" s="1"/>
  <c r="G3539" i="3"/>
  <c r="H3539" i="3" s="1" a="1"/>
  <c r="H3539" i="3" s="1"/>
  <c r="G3538" i="3"/>
  <c r="H3538" i="3" s="1" a="1"/>
  <c r="H3538" i="3" s="1"/>
  <c r="G3537" i="3"/>
  <c r="H3537" i="3" s="1" a="1"/>
  <c r="H3537" i="3" s="1"/>
  <c r="G3536" i="3"/>
  <c r="H3536" i="3" s="1" a="1"/>
  <c r="H3536" i="3" s="1"/>
  <c r="G3535" i="3"/>
  <c r="H3535" i="3" s="1" a="1"/>
  <c r="H3535" i="3" s="1"/>
  <c r="G3534" i="3"/>
  <c r="H3534" i="3" s="1" a="1"/>
  <c r="H3534" i="3" s="1"/>
  <c r="G3533" i="3"/>
  <c r="H3533" i="3" s="1" a="1"/>
  <c r="H3533" i="3" s="1"/>
  <c r="G3532" i="3"/>
  <c r="H3532" i="3" s="1" a="1"/>
  <c r="H3532" i="3" s="1"/>
  <c r="G3531" i="3"/>
  <c r="H3531" i="3" s="1" a="1"/>
  <c r="H3531" i="3" s="1"/>
  <c r="G3530" i="3"/>
  <c r="H3530" i="3" s="1" a="1"/>
  <c r="H3530" i="3" s="1"/>
  <c r="G3529" i="3"/>
  <c r="H3529" i="3" s="1" a="1"/>
  <c r="H3529" i="3" s="1"/>
  <c r="G3528" i="3"/>
  <c r="H3528" i="3" s="1" a="1"/>
  <c r="H3528" i="3" s="1"/>
  <c r="G3527" i="3"/>
  <c r="H3527" i="3" s="1" a="1"/>
  <c r="H3527" i="3" s="1"/>
  <c r="G3526" i="3"/>
  <c r="H3526" i="3" s="1" a="1"/>
  <c r="H3526" i="3" s="1"/>
  <c r="G3525" i="3"/>
  <c r="H3525" i="3" s="1" a="1"/>
  <c r="H3525" i="3" s="1"/>
  <c r="G3524" i="3"/>
  <c r="H3524" i="3" s="1" a="1"/>
  <c r="H3524" i="3" s="1"/>
  <c r="G3523" i="3"/>
  <c r="H3523" i="3" s="1" a="1"/>
  <c r="H3523" i="3" s="1"/>
  <c r="G3522" i="3"/>
  <c r="H3522" i="3" s="1" a="1"/>
  <c r="H3522" i="3" s="1"/>
  <c r="G3521" i="3"/>
  <c r="H3521" i="3" s="1" a="1"/>
  <c r="H3521" i="3" s="1"/>
  <c r="G3520" i="3"/>
  <c r="H3520" i="3" s="1" a="1"/>
  <c r="H3520" i="3" s="1"/>
  <c r="G3519" i="3"/>
  <c r="H3519" i="3" s="1" a="1"/>
  <c r="H3519" i="3" s="1"/>
  <c r="G3518" i="3"/>
  <c r="H3518" i="3" s="1" a="1"/>
  <c r="H3518" i="3" s="1"/>
  <c r="G3517" i="3"/>
  <c r="H3517" i="3" s="1" a="1"/>
  <c r="H3517" i="3" s="1"/>
  <c r="G3516" i="3"/>
  <c r="H3516" i="3" s="1" a="1"/>
  <c r="H3516" i="3" s="1"/>
  <c r="G3515" i="3"/>
  <c r="H3515" i="3" s="1" a="1"/>
  <c r="H3515" i="3" s="1"/>
  <c r="G3514" i="3"/>
  <c r="H3514" i="3" s="1" a="1"/>
  <c r="H3514" i="3" s="1"/>
  <c r="G3513" i="3"/>
  <c r="H3513" i="3" s="1" a="1"/>
  <c r="H3513" i="3" s="1"/>
  <c r="G3512" i="3"/>
  <c r="H3512" i="3" s="1" a="1"/>
  <c r="H3512" i="3" s="1"/>
  <c r="G3511" i="3"/>
  <c r="H3511" i="3" s="1" a="1"/>
  <c r="H3511" i="3" s="1"/>
  <c r="G3510" i="3"/>
  <c r="H3510" i="3" s="1" a="1"/>
  <c r="H3510" i="3" s="1"/>
  <c r="G3509" i="3"/>
  <c r="H3509" i="3" s="1" a="1"/>
  <c r="H3509" i="3" s="1"/>
  <c r="G3508" i="3"/>
  <c r="H3508" i="3" s="1" a="1"/>
  <c r="H3508" i="3" s="1"/>
  <c r="G3507" i="3"/>
  <c r="H3507" i="3" s="1" a="1"/>
  <c r="H3507" i="3" s="1"/>
  <c r="G3506" i="3"/>
  <c r="H3506" i="3" s="1" a="1"/>
  <c r="H3506" i="3" s="1"/>
  <c r="G3505" i="3"/>
  <c r="H3505" i="3" s="1" a="1"/>
  <c r="H3505" i="3" s="1"/>
  <c r="G3504" i="3"/>
  <c r="H3504" i="3" s="1" a="1"/>
  <c r="H3504" i="3" s="1"/>
  <c r="G3503" i="3"/>
  <c r="H3503" i="3" s="1" a="1"/>
  <c r="H3503" i="3" s="1"/>
  <c r="G3502" i="3"/>
  <c r="H3502" i="3" s="1" a="1"/>
  <c r="H3502" i="3" s="1"/>
  <c r="G3501" i="3"/>
  <c r="H3501" i="3" s="1" a="1"/>
  <c r="H3501" i="3" s="1"/>
  <c r="G3500" i="3"/>
  <c r="H3500" i="3" s="1" a="1"/>
  <c r="H3500" i="3" s="1"/>
  <c r="G3499" i="3"/>
  <c r="H3499" i="3" s="1" a="1"/>
  <c r="H3499" i="3" s="1"/>
  <c r="G3498" i="3"/>
  <c r="H3498" i="3" s="1" a="1"/>
  <c r="H3498" i="3" s="1"/>
  <c r="G3497" i="3"/>
  <c r="H3497" i="3" s="1" a="1"/>
  <c r="H3497" i="3" s="1"/>
  <c r="G3496" i="3"/>
  <c r="H3496" i="3" s="1" a="1"/>
  <c r="H3496" i="3" s="1"/>
  <c r="G3495" i="3"/>
  <c r="H3495" i="3" s="1" a="1"/>
  <c r="H3495" i="3" s="1"/>
  <c r="G3494" i="3"/>
  <c r="H3494" i="3" s="1" a="1"/>
  <c r="H3494" i="3" s="1"/>
  <c r="G3493" i="3"/>
  <c r="H3493" i="3" s="1" a="1"/>
  <c r="H3493" i="3" s="1"/>
  <c r="G3492" i="3"/>
  <c r="H3492" i="3" s="1" a="1"/>
  <c r="H3492" i="3" s="1"/>
  <c r="G3491" i="3"/>
  <c r="H3491" i="3" s="1" a="1"/>
  <c r="H3491" i="3" s="1"/>
  <c r="G3490" i="3"/>
  <c r="H3490" i="3" s="1" a="1"/>
  <c r="H3490" i="3" s="1"/>
  <c r="G3489" i="3"/>
  <c r="H3489" i="3" s="1" a="1"/>
  <c r="H3489" i="3" s="1"/>
  <c r="G3488" i="3"/>
  <c r="H3488" i="3" s="1" a="1"/>
  <c r="H3488" i="3" s="1"/>
  <c r="G3487" i="3"/>
  <c r="H3487" i="3" s="1" a="1"/>
  <c r="H3487" i="3" s="1"/>
  <c r="G3486" i="3"/>
  <c r="H3486" i="3" s="1" a="1"/>
  <c r="H3486" i="3" s="1"/>
  <c r="G3485" i="3"/>
  <c r="H3485" i="3" s="1" a="1"/>
  <c r="H3485" i="3" s="1"/>
  <c r="G3484" i="3"/>
  <c r="H3484" i="3" s="1" a="1"/>
  <c r="H3484" i="3" s="1"/>
  <c r="G3483" i="3"/>
  <c r="H3483" i="3" s="1" a="1"/>
  <c r="H3483" i="3" s="1"/>
  <c r="G3482" i="3"/>
  <c r="H3482" i="3" s="1" a="1"/>
  <c r="H3482" i="3" s="1"/>
  <c r="G3481" i="3"/>
  <c r="H3481" i="3" s="1" a="1"/>
  <c r="H3481" i="3" s="1"/>
  <c r="G3480" i="3"/>
  <c r="H3480" i="3" s="1" a="1"/>
  <c r="H3480" i="3" s="1"/>
  <c r="G3479" i="3"/>
  <c r="H3479" i="3" s="1" a="1"/>
  <c r="H3479" i="3" s="1"/>
  <c r="G3478" i="3"/>
  <c r="H3478" i="3" s="1" a="1"/>
  <c r="H3478" i="3" s="1"/>
  <c r="G3477" i="3"/>
  <c r="H3477" i="3" s="1" a="1"/>
  <c r="H3477" i="3" s="1"/>
  <c r="G3476" i="3"/>
  <c r="H3476" i="3" s="1" a="1"/>
  <c r="H3476" i="3" s="1"/>
  <c r="G3475" i="3"/>
  <c r="H3475" i="3" s="1" a="1"/>
  <c r="H3475" i="3" s="1"/>
  <c r="G3474" i="3"/>
  <c r="H3474" i="3" s="1" a="1"/>
  <c r="H3474" i="3" s="1"/>
  <c r="G3473" i="3"/>
  <c r="H3473" i="3" s="1" a="1"/>
  <c r="H3473" i="3" s="1"/>
  <c r="G3472" i="3"/>
  <c r="H3472" i="3" s="1" a="1"/>
  <c r="H3472" i="3" s="1"/>
  <c r="G3471" i="3"/>
  <c r="H3471" i="3" s="1" a="1"/>
  <c r="H3471" i="3" s="1"/>
  <c r="G3470" i="3"/>
  <c r="H3470" i="3" s="1" a="1"/>
  <c r="H3470" i="3" s="1"/>
  <c r="G3469" i="3"/>
  <c r="H3469" i="3" s="1" a="1"/>
  <c r="H3469" i="3" s="1"/>
  <c r="G3468" i="3"/>
  <c r="H3468" i="3" s="1" a="1"/>
  <c r="H3468" i="3" s="1"/>
  <c r="G3467" i="3"/>
  <c r="H3467" i="3" s="1" a="1"/>
  <c r="H3467" i="3" s="1"/>
  <c r="G3466" i="3"/>
  <c r="H3466" i="3" s="1" a="1"/>
  <c r="H3466" i="3" s="1"/>
  <c r="G3465" i="3"/>
  <c r="H3465" i="3" s="1" a="1"/>
  <c r="H3465" i="3" s="1"/>
  <c r="G3464" i="3"/>
  <c r="H3464" i="3" s="1" a="1"/>
  <c r="H3464" i="3" s="1"/>
  <c r="G3463" i="3"/>
  <c r="H3463" i="3" s="1" a="1"/>
  <c r="H3463" i="3" s="1"/>
  <c r="G3462" i="3"/>
  <c r="H3462" i="3" s="1" a="1"/>
  <c r="H3462" i="3" s="1"/>
  <c r="G3461" i="3"/>
  <c r="H3461" i="3" s="1" a="1"/>
  <c r="H3461" i="3" s="1"/>
  <c r="G3460" i="3"/>
  <c r="H3460" i="3" s="1" a="1"/>
  <c r="H3460" i="3" s="1"/>
  <c r="G3459" i="3"/>
  <c r="H3459" i="3" s="1" a="1"/>
  <c r="H3459" i="3" s="1"/>
  <c r="G3458" i="3"/>
  <c r="H3458" i="3" s="1" a="1"/>
  <c r="H3458" i="3" s="1"/>
  <c r="G3457" i="3"/>
  <c r="H3457" i="3" s="1" a="1"/>
  <c r="H3457" i="3" s="1"/>
  <c r="G3456" i="3"/>
  <c r="H3456" i="3" s="1" a="1"/>
  <c r="H3456" i="3" s="1"/>
  <c r="G3455" i="3"/>
  <c r="H3455" i="3" s="1" a="1"/>
  <c r="H3455" i="3" s="1"/>
  <c r="G3454" i="3"/>
  <c r="H3454" i="3" s="1" a="1"/>
  <c r="H3454" i="3" s="1"/>
  <c r="G3453" i="3"/>
  <c r="H3453" i="3" s="1" a="1"/>
  <c r="H3453" i="3" s="1"/>
  <c r="G3452" i="3"/>
  <c r="H3452" i="3" s="1" a="1"/>
  <c r="H3452" i="3" s="1"/>
  <c r="G3451" i="3"/>
  <c r="H3451" i="3" s="1" a="1"/>
  <c r="H3451" i="3" s="1"/>
  <c r="G3450" i="3"/>
  <c r="H3450" i="3" s="1" a="1"/>
  <c r="H3450" i="3" s="1"/>
  <c r="G3449" i="3"/>
  <c r="H3449" i="3" s="1" a="1"/>
  <c r="H3449" i="3" s="1"/>
  <c r="G3448" i="3"/>
  <c r="H3448" i="3" s="1" a="1"/>
  <c r="H3448" i="3" s="1"/>
  <c r="G3447" i="3"/>
  <c r="H3447" i="3" s="1" a="1"/>
  <c r="H3447" i="3" s="1"/>
  <c r="G3446" i="3"/>
  <c r="H3446" i="3" s="1" a="1"/>
  <c r="H3446" i="3" s="1"/>
  <c r="G3445" i="3"/>
  <c r="H3445" i="3" s="1" a="1"/>
  <c r="H3445" i="3" s="1"/>
  <c r="G3444" i="3"/>
  <c r="H3444" i="3" s="1" a="1"/>
  <c r="H3444" i="3" s="1"/>
  <c r="G3443" i="3"/>
  <c r="H3443" i="3" s="1" a="1"/>
  <c r="H3443" i="3" s="1"/>
  <c r="G3442" i="3"/>
  <c r="H3442" i="3" s="1" a="1"/>
  <c r="H3442" i="3" s="1"/>
  <c r="G3441" i="3"/>
  <c r="H3441" i="3" s="1" a="1"/>
  <c r="H3441" i="3" s="1"/>
  <c r="G3440" i="3"/>
  <c r="H3440" i="3" s="1" a="1"/>
  <c r="H3440" i="3" s="1"/>
  <c r="G3439" i="3"/>
  <c r="H3439" i="3" s="1" a="1"/>
  <c r="H3439" i="3" s="1"/>
  <c r="G3438" i="3"/>
  <c r="H3438" i="3" s="1" a="1"/>
  <c r="H3438" i="3" s="1"/>
  <c r="G3437" i="3"/>
  <c r="H3437" i="3" s="1" a="1"/>
  <c r="H3437" i="3" s="1"/>
  <c r="G3436" i="3"/>
  <c r="H3436" i="3" s="1" a="1"/>
  <c r="H3436" i="3" s="1"/>
  <c r="G3435" i="3"/>
  <c r="H3435" i="3" s="1" a="1"/>
  <c r="H3435" i="3" s="1"/>
  <c r="G3434" i="3"/>
  <c r="H3434" i="3" s="1" a="1"/>
  <c r="H3434" i="3" s="1"/>
  <c r="G3433" i="3"/>
  <c r="H3433" i="3" s="1" a="1"/>
  <c r="H3433" i="3" s="1"/>
  <c r="G3432" i="3"/>
  <c r="H3432" i="3" s="1" a="1"/>
  <c r="H3432" i="3" s="1"/>
  <c r="G3431" i="3"/>
  <c r="H3431" i="3" s="1" a="1"/>
  <c r="H3431" i="3" s="1"/>
  <c r="G3430" i="3"/>
  <c r="H3430" i="3" s="1" a="1"/>
  <c r="H3430" i="3" s="1"/>
  <c r="G3429" i="3"/>
  <c r="H3429" i="3" s="1" a="1"/>
  <c r="H3429" i="3" s="1"/>
  <c r="G3428" i="3"/>
  <c r="H3428" i="3" s="1" a="1"/>
  <c r="H3428" i="3" s="1"/>
  <c r="G3427" i="3"/>
  <c r="H3427" i="3" s="1" a="1"/>
  <c r="H3427" i="3" s="1"/>
  <c r="G3426" i="3"/>
  <c r="H3426" i="3" s="1" a="1"/>
  <c r="H3426" i="3" s="1"/>
  <c r="G3425" i="3"/>
  <c r="H3425" i="3" s="1" a="1"/>
  <c r="H3425" i="3" s="1"/>
  <c r="G3424" i="3"/>
  <c r="H3424" i="3" s="1" a="1"/>
  <c r="H3424" i="3" s="1"/>
  <c r="G3423" i="3"/>
  <c r="H3423" i="3" s="1" a="1"/>
  <c r="H3423" i="3" s="1"/>
  <c r="G3422" i="3"/>
  <c r="H3422" i="3" s="1" a="1"/>
  <c r="H3422" i="3" s="1"/>
  <c r="G3421" i="3"/>
  <c r="H3421" i="3" s="1" a="1"/>
  <c r="H3421" i="3" s="1"/>
  <c r="G3420" i="3"/>
  <c r="H3420" i="3" s="1" a="1"/>
  <c r="H3420" i="3" s="1"/>
  <c r="G3419" i="3"/>
  <c r="H3419" i="3" s="1" a="1"/>
  <c r="H3419" i="3" s="1"/>
  <c r="G3418" i="3"/>
  <c r="H3418" i="3" s="1" a="1"/>
  <c r="H3418" i="3" s="1"/>
  <c r="G3417" i="3"/>
  <c r="H3417" i="3" s="1" a="1"/>
  <c r="H3417" i="3" s="1"/>
  <c r="G3416" i="3"/>
  <c r="H3416" i="3" s="1" a="1"/>
  <c r="H3416" i="3" s="1"/>
  <c r="G3415" i="3"/>
  <c r="H3415" i="3" s="1" a="1"/>
  <c r="H3415" i="3" s="1"/>
  <c r="G3414" i="3"/>
  <c r="H3414" i="3" s="1" a="1"/>
  <c r="H3414" i="3" s="1"/>
  <c r="G3413" i="3"/>
  <c r="H3413" i="3" s="1" a="1"/>
  <c r="H3413" i="3" s="1"/>
  <c r="G3412" i="3"/>
  <c r="H3412" i="3" s="1" a="1"/>
  <c r="H3412" i="3" s="1"/>
  <c r="G3411" i="3"/>
  <c r="H3411" i="3" s="1" a="1"/>
  <c r="H3411" i="3" s="1"/>
  <c r="G3410" i="3"/>
  <c r="H3410" i="3" s="1" a="1"/>
  <c r="H3410" i="3" s="1"/>
  <c r="G3409" i="3"/>
  <c r="H3409" i="3" s="1" a="1"/>
  <c r="H3409" i="3" s="1"/>
  <c r="G3408" i="3"/>
  <c r="H3408" i="3" s="1" a="1"/>
  <c r="H3408" i="3" s="1"/>
  <c r="G3407" i="3"/>
  <c r="H3407" i="3" s="1" a="1"/>
  <c r="H3407" i="3" s="1"/>
  <c r="G3406" i="3"/>
  <c r="H3406" i="3" s="1" a="1"/>
  <c r="H3406" i="3" s="1"/>
  <c r="G3405" i="3"/>
  <c r="H3405" i="3" s="1" a="1"/>
  <c r="H3405" i="3" s="1"/>
  <c r="G3404" i="3"/>
  <c r="H3404" i="3" s="1" a="1"/>
  <c r="H3404" i="3" s="1"/>
  <c r="G3403" i="3"/>
  <c r="H3403" i="3" s="1" a="1"/>
  <c r="H3403" i="3" s="1"/>
  <c r="G3402" i="3"/>
  <c r="H3402" i="3" s="1" a="1"/>
  <c r="H3402" i="3" s="1"/>
  <c r="G3401" i="3"/>
  <c r="H3401" i="3" s="1" a="1"/>
  <c r="H3401" i="3" s="1"/>
  <c r="G3400" i="3"/>
  <c r="H3400" i="3" s="1" a="1"/>
  <c r="H3400" i="3" s="1"/>
  <c r="G3399" i="3"/>
  <c r="H3399" i="3" s="1" a="1"/>
  <c r="H3399" i="3" s="1"/>
  <c r="G3398" i="3"/>
  <c r="H3398" i="3" s="1" a="1"/>
  <c r="H3398" i="3" s="1"/>
  <c r="G3397" i="3"/>
  <c r="H3397" i="3" s="1" a="1"/>
  <c r="H3397" i="3" s="1"/>
  <c r="G3396" i="3"/>
  <c r="H3396" i="3" s="1" a="1"/>
  <c r="H3396" i="3" s="1"/>
  <c r="G3395" i="3"/>
  <c r="H3395" i="3" s="1" a="1"/>
  <c r="H3395" i="3" s="1"/>
  <c r="G3394" i="3"/>
  <c r="H3394" i="3" s="1" a="1"/>
  <c r="H3394" i="3" s="1"/>
  <c r="G3393" i="3"/>
  <c r="H3393" i="3" s="1" a="1"/>
  <c r="H3393" i="3" s="1"/>
  <c r="G3392" i="3"/>
  <c r="H3392" i="3" s="1" a="1"/>
  <c r="H3392" i="3" s="1"/>
  <c r="G3391" i="3"/>
  <c r="H3391" i="3" s="1" a="1"/>
  <c r="H3391" i="3" s="1"/>
  <c r="G3390" i="3"/>
  <c r="H3390" i="3" s="1" a="1"/>
  <c r="H3390" i="3" s="1"/>
  <c r="G3389" i="3"/>
  <c r="H3389" i="3" s="1" a="1"/>
  <c r="H3389" i="3" s="1"/>
  <c r="G3388" i="3"/>
  <c r="H3388" i="3" s="1" a="1"/>
  <c r="H3388" i="3" s="1"/>
  <c r="G3387" i="3"/>
  <c r="H3387" i="3" s="1" a="1"/>
  <c r="H3387" i="3" s="1"/>
  <c r="G3386" i="3"/>
  <c r="H3386" i="3" s="1" a="1"/>
  <c r="H3386" i="3" s="1"/>
  <c r="G3385" i="3"/>
  <c r="H3385" i="3" s="1" a="1"/>
  <c r="H3385" i="3" s="1"/>
  <c r="G3384" i="3"/>
  <c r="H3384" i="3" s="1" a="1"/>
  <c r="H3384" i="3" s="1"/>
  <c r="G3383" i="3"/>
  <c r="H3383" i="3" s="1" a="1"/>
  <c r="H3383" i="3" s="1"/>
  <c r="G3382" i="3"/>
  <c r="H3382" i="3" s="1" a="1"/>
  <c r="H3382" i="3" s="1"/>
  <c r="G3381" i="3"/>
  <c r="H3381" i="3" s="1" a="1"/>
  <c r="H3381" i="3" s="1"/>
  <c r="G3380" i="3"/>
  <c r="H3380" i="3" s="1" a="1"/>
  <c r="H3380" i="3" s="1"/>
  <c r="G3379" i="3"/>
  <c r="H3379" i="3" s="1" a="1"/>
  <c r="H3379" i="3" s="1"/>
  <c r="G3378" i="3"/>
  <c r="H3378" i="3" s="1" a="1"/>
  <c r="H3378" i="3" s="1"/>
  <c r="G3377" i="3"/>
  <c r="H3377" i="3" s="1" a="1"/>
  <c r="H3377" i="3" s="1"/>
  <c r="G3376" i="3"/>
  <c r="H3376" i="3" s="1" a="1"/>
  <c r="H3376" i="3" s="1"/>
  <c r="G3375" i="3"/>
  <c r="H3375" i="3" s="1" a="1"/>
  <c r="H3375" i="3" s="1"/>
  <c r="G3374" i="3"/>
  <c r="H3374" i="3" s="1" a="1"/>
  <c r="H3374" i="3" s="1"/>
  <c r="G3373" i="3"/>
  <c r="H3373" i="3" s="1" a="1"/>
  <c r="H3373" i="3" s="1"/>
  <c r="G3372" i="3"/>
  <c r="H3372" i="3" s="1" a="1"/>
  <c r="H3372" i="3" s="1"/>
  <c r="G3371" i="3"/>
  <c r="H3371" i="3" s="1" a="1"/>
  <c r="H3371" i="3" s="1"/>
  <c r="G3370" i="3"/>
  <c r="H3370" i="3" s="1" a="1"/>
  <c r="H3370" i="3" s="1"/>
  <c r="G3369" i="3"/>
  <c r="H3369" i="3" s="1" a="1"/>
  <c r="H3369" i="3" s="1"/>
  <c r="G3368" i="3"/>
  <c r="H3368" i="3" s="1" a="1"/>
  <c r="H3368" i="3" s="1"/>
  <c r="G3367" i="3"/>
  <c r="H3367" i="3" s="1" a="1"/>
  <c r="H3367" i="3" s="1"/>
  <c r="G3366" i="3"/>
  <c r="H3366" i="3" s="1" a="1"/>
  <c r="H3366" i="3" s="1"/>
  <c r="G3365" i="3"/>
  <c r="H3365" i="3" s="1" a="1"/>
  <c r="H3365" i="3" s="1"/>
  <c r="G3364" i="3"/>
  <c r="H3364" i="3" s="1" a="1"/>
  <c r="H3364" i="3" s="1"/>
  <c r="G3363" i="3"/>
  <c r="H3363" i="3" s="1" a="1"/>
  <c r="H3363" i="3" s="1"/>
  <c r="G3362" i="3"/>
  <c r="H3362" i="3" s="1" a="1"/>
  <c r="H3362" i="3" s="1"/>
  <c r="G3361" i="3"/>
  <c r="H3361" i="3" s="1" a="1"/>
  <c r="H3361" i="3" s="1"/>
  <c r="G3360" i="3"/>
  <c r="H3360" i="3" s="1" a="1"/>
  <c r="H3360" i="3" s="1"/>
  <c r="G3359" i="3"/>
  <c r="H3359" i="3" s="1" a="1"/>
  <c r="H3359" i="3" s="1"/>
  <c r="G3358" i="3"/>
  <c r="H3358" i="3" s="1" a="1"/>
  <c r="H3358" i="3" s="1"/>
  <c r="G3357" i="3"/>
  <c r="H3357" i="3" s="1" a="1"/>
  <c r="H3357" i="3" s="1"/>
  <c r="G3356" i="3"/>
  <c r="H3356" i="3" s="1" a="1"/>
  <c r="H3356" i="3" s="1"/>
  <c r="G3355" i="3"/>
  <c r="H3355" i="3" s="1" a="1"/>
  <c r="H3355" i="3" s="1"/>
  <c r="G3354" i="3"/>
  <c r="H3354" i="3" s="1" a="1"/>
  <c r="H3354" i="3" s="1"/>
  <c r="G3353" i="3"/>
  <c r="H3353" i="3" s="1" a="1"/>
  <c r="H3353" i="3" s="1"/>
  <c r="G3352" i="3"/>
  <c r="H3352" i="3" s="1" a="1"/>
  <c r="H3352" i="3" s="1"/>
  <c r="G3351" i="3"/>
  <c r="H3351" i="3" s="1" a="1"/>
  <c r="H3351" i="3" s="1"/>
  <c r="G3350" i="3"/>
  <c r="H3350" i="3" s="1" a="1"/>
  <c r="H3350" i="3" s="1"/>
  <c r="G3349" i="3"/>
  <c r="H3349" i="3" s="1" a="1"/>
  <c r="H3349" i="3" s="1"/>
  <c r="G3348" i="3"/>
  <c r="H3348" i="3" s="1" a="1"/>
  <c r="H3348" i="3" s="1"/>
  <c r="G3347" i="3"/>
  <c r="H3347" i="3" s="1" a="1"/>
  <c r="H3347" i="3" s="1"/>
  <c r="G3346" i="3"/>
  <c r="H3346" i="3" s="1" a="1"/>
  <c r="H3346" i="3" s="1"/>
  <c r="G3345" i="3"/>
  <c r="H3345" i="3" s="1" a="1"/>
  <c r="H3345" i="3" s="1"/>
  <c r="G3344" i="3"/>
  <c r="H3344" i="3" s="1" a="1"/>
  <c r="H3344" i="3" s="1"/>
  <c r="G3343" i="3"/>
  <c r="H3343" i="3" s="1" a="1"/>
  <c r="H3343" i="3" s="1"/>
  <c r="G3342" i="3"/>
  <c r="H3342" i="3" s="1" a="1"/>
  <c r="H3342" i="3" s="1"/>
  <c r="G3341" i="3"/>
  <c r="H3341" i="3" s="1" a="1"/>
  <c r="H3341" i="3" s="1"/>
  <c r="G3340" i="3"/>
  <c r="H3340" i="3" s="1" a="1"/>
  <c r="H3340" i="3" s="1"/>
  <c r="G3339" i="3"/>
  <c r="H3339" i="3" s="1" a="1"/>
  <c r="H3339" i="3" s="1"/>
  <c r="G3338" i="3"/>
  <c r="H3338" i="3" s="1" a="1"/>
  <c r="H3338" i="3" s="1"/>
  <c r="G3337" i="3"/>
  <c r="H3337" i="3" s="1" a="1"/>
  <c r="H3337" i="3" s="1"/>
  <c r="G3336" i="3"/>
  <c r="H3336" i="3" s="1" a="1"/>
  <c r="H3336" i="3" s="1"/>
  <c r="G3335" i="3"/>
  <c r="H3335" i="3" s="1" a="1"/>
  <c r="H3335" i="3" s="1"/>
  <c r="G3334" i="3"/>
  <c r="H3334" i="3" s="1" a="1"/>
  <c r="H3334" i="3" s="1"/>
  <c r="G3333" i="3"/>
  <c r="H3333" i="3" s="1" a="1"/>
  <c r="H3333" i="3" s="1"/>
  <c r="G3332" i="3"/>
  <c r="H3332" i="3" s="1" a="1"/>
  <c r="H3332" i="3" s="1"/>
  <c r="G3331" i="3"/>
  <c r="H3331" i="3" s="1" a="1"/>
  <c r="H3331" i="3" s="1"/>
  <c r="G3330" i="3"/>
  <c r="H3330" i="3" s="1" a="1"/>
  <c r="H3330" i="3" s="1"/>
  <c r="G3329" i="3"/>
  <c r="H3329" i="3" s="1" a="1"/>
  <c r="H3329" i="3" s="1"/>
  <c r="G3328" i="3"/>
  <c r="H3328" i="3" s="1" a="1"/>
  <c r="H3328" i="3" s="1"/>
  <c r="G3327" i="3"/>
  <c r="H3327" i="3" s="1" a="1"/>
  <c r="H3327" i="3" s="1"/>
  <c r="G3326" i="3"/>
  <c r="H3326" i="3" s="1" a="1"/>
  <c r="H3326" i="3" s="1"/>
  <c r="G3325" i="3"/>
  <c r="H3325" i="3" s="1" a="1"/>
  <c r="H3325" i="3" s="1"/>
  <c r="G3324" i="3"/>
  <c r="H3324" i="3" s="1" a="1"/>
  <c r="H3324" i="3" s="1"/>
  <c r="G3323" i="3"/>
  <c r="H3323" i="3" s="1" a="1"/>
  <c r="H3323" i="3" s="1"/>
  <c r="G3322" i="3"/>
  <c r="H3322" i="3" s="1" a="1"/>
  <c r="H3322" i="3" s="1"/>
  <c r="G3321" i="3"/>
  <c r="H3321" i="3" s="1" a="1"/>
  <c r="H3321" i="3" s="1"/>
  <c r="G3320" i="3"/>
  <c r="H3320" i="3" s="1" a="1"/>
  <c r="H3320" i="3" s="1"/>
  <c r="G3319" i="3"/>
  <c r="H3319" i="3" s="1" a="1"/>
  <c r="H3319" i="3" s="1"/>
  <c r="G3318" i="3"/>
  <c r="H3318" i="3" s="1" a="1"/>
  <c r="H3318" i="3" s="1"/>
  <c r="G3317" i="3"/>
  <c r="H3317" i="3" s="1" a="1"/>
  <c r="H3317" i="3" s="1"/>
  <c r="G3316" i="3"/>
  <c r="H3316" i="3" s="1" a="1"/>
  <c r="H3316" i="3" s="1"/>
  <c r="G3315" i="3"/>
  <c r="H3315" i="3" s="1" a="1"/>
  <c r="H3315" i="3" s="1"/>
  <c r="G3314" i="3"/>
  <c r="H3314" i="3" s="1" a="1"/>
  <c r="H3314" i="3" s="1"/>
  <c r="G3313" i="3"/>
  <c r="H3313" i="3" s="1" a="1"/>
  <c r="H3313" i="3" s="1"/>
  <c r="G3312" i="3"/>
  <c r="H3312" i="3" s="1" a="1"/>
  <c r="H3312" i="3" s="1"/>
  <c r="G3311" i="3"/>
  <c r="H3311" i="3" s="1" a="1"/>
  <c r="H3311" i="3" s="1"/>
  <c r="G3310" i="3"/>
  <c r="H3310" i="3" s="1" a="1"/>
  <c r="H3310" i="3" s="1"/>
  <c r="G3309" i="3"/>
  <c r="H3309" i="3" s="1" a="1"/>
  <c r="H3309" i="3" s="1"/>
  <c r="G3308" i="3"/>
  <c r="H3308" i="3" s="1" a="1"/>
  <c r="H3308" i="3" s="1"/>
  <c r="G3307" i="3"/>
  <c r="H3307" i="3" s="1" a="1"/>
  <c r="H3307" i="3" s="1"/>
  <c r="G3306" i="3"/>
  <c r="H3306" i="3" s="1" a="1"/>
  <c r="H3306" i="3" s="1"/>
  <c r="G3305" i="3"/>
  <c r="H3305" i="3" s="1" a="1"/>
  <c r="H3305" i="3" s="1"/>
  <c r="G3304" i="3"/>
  <c r="H3304" i="3" s="1" a="1"/>
  <c r="H3304" i="3" s="1"/>
  <c r="G3303" i="3"/>
  <c r="H3303" i="3" s="1" a="1"/>
  <c r="H3303" i="3" s="1"/>
  <c r="G3302" i="3"/>
  <c r="H3302" i="3" s="1" a="1"/>
  <c r="H3302" i="3" s="1"/>
  <c r="G3301" i="3"/>
  <c r="H3301" i="3" s="1" a="1"/>
  <c r="H3301" i="3" s="1"/>
  <c r="G3300" i="3"/>
  <c r="H3300" i="3" s="1" a="1"/>
  <c r="H3300" i="3" s="1"/>
  <c r="G3299" i="3"/>
  <c r="H3299" i="3" s="1" a="1"/>
  <c r="H3299" i="3" s="1"/>
  <c r="G3298" i="3"/>
  <c r="H3298" i="3" s="1" a="1"/>
  <c r="H3298" i="3" s="1"/>
  <c r="G3297" i="3"/>
  <c r="H3297" i="3" s="1" a="1"/>
  <c r="H3297" i="3" s="1"/>
  <c r="G3296" i="3"/>
  <c r="H3296" i="3" s="1" a="1"/>
  <c r="H3296" i="3" s="1"/>
  <c r="G3295" i="3"/>
  <c r="H3295" i="3" s="1" a="1"/>
  <c r="H3295" i="3" s="1"/>
  <c r="G3294" i="3"/>
  <c r="H3294" i="3" s="1" a="1"/>
  <c r="H3294" i="3" s="1"/>
  <c r="G3293" i="3"/>
  <c r="H3293" i="3" s="1" a="1"/>
  <c r="H3293" i="3" s="1"/>
  <c r="G3292" i="3"/>
  <c r="H3292" i="3" s="1" a="1"/>
  <c r="H3292" i="3" s="1"/>
  <c r="G3291" i="3"/>
  <c r="H3291" i="3" s="1" a="1"/>
  <c r="H3291" i="3" s="1"/>
  <c r="G3290" i="3"/>
  <c r="H3290" i="3" s="1" a="1"/>
  <c r="H3290" i="3" s="1"/>
  <c r="G3289" i="3"/>
  <c r="H3289" i="3" s="1" a="1"/>
  <c r="H3289" i="3" s="1"/>
  <c r="G3288" i="3"/>
  <c r="H3288" i="3" s="1" a="1"/>
  <c r="H3288" i="3" s="1"/>
  <c r="G3287" i="3"/>
  <c r="H3287" i="3" s="1" a="1"/>
  <c r="H3287" i="3" s="1"/>
  <c r="G3286" i="3"/>
  <c r="H3286" i="3" s="1" a="1"/>
  <c r="H3286" i="3" s="1"/>
  <c r="G3285" i="3"/>
  <c r="H3285" i="3" s="1" a="1"/>
  <c r="H3285" i="3" s="1"/>
  <c r="G3284" i="3"/>
  <c r="H3284" i="3" s="1" a="1"/>
  <c r="H3284" i="3" s="1"/>
  <c r="G3283" i="3"/>
  <c r="H3283" i="3" s="1" a="1"/>
  <c r="H3283" i="3" s="1"/>
  <c r="G3282" i="3"/>
  <c r="H3282" i="3" s="1" a="1"/>
  <c r="H3282" i="3" s="1"/>
  <c r="G3281" i="3"/>
  <c r="H3281" i="3" s="1" a="1"/>
  <c r="H3281" i="3" s="1"/>
  <c r="G3280" i="3"/>
  <c r="H3280" i="3" s="1" a="1"/>
  <c r="H3280" i="3" s="1"/>
  <c r="G3279" i="3"/>
  <c r="H3279" i="3" s="1" a="1"/>
  <c r="H3279" i="3" s="1"/>
  <c r="G3278" i="3"/>
  <c r="H3278" i="3" s="1" a="1"/>
  <c r="H3278" i="3" s="1"/>
  <c r="G3277" i="3"/>
  <c r="H3277" i="3" s="1" a="1"/>
  <c r="H3277" i="3" s="1"/>
  <c r="G3276" i="3"/>
  <c r="H3276" i="3" s="1" a="1"/>
  <c r="H3276" i="3" s="1"/>
  <c r="G3275" i="3"/>
  <c r="H3275" i="3" s="1" a="1"/>
  <c r="H3275" i="3" s="1"/>
  <c r="G3274" i="3"/>
  <c r="H3274" i="3" s="1" a="1"/>
  <c r="H3274" i="3" s="1"/>
  <c r="G3273" i="3"/>
  <c r="H3273" i="3" s="1" a="1"/>
  <c r="H3273" i="3" s="1"/>
  <c r="G3272" i="3"/>
  <c r="H3272" i="3" s="1" a="1"/>
  <c r="H3272" i="3" s="1"/>
  <c r="G3271" i="3"/>
  <c r="H3271" i="3" s="1" a="1"/>
  <c r="H3271" i="3" s="1"/>
  <c r="G3270" i="3"/>
  <c r="H3270" i="3" s="1" a="1"/>
  <c r="H3270" i="3" s="1"/>
  <c r="G3269" i="3"/>
  <c r="H3269" i="3" s="1" a="1"/>
  <c r="H3269" i="3" s="1"/>
  <c r="G3268" i="3"/>
  <c r="H3268" i="3" s="1" a="1"/>
  <c r="H3268" i="3" s="1"/>
  <c r="G3267" i="3"/>
  <c r="H3267" i="3" s="1" a="1"/>
  <c r="H3267" i="3" s="1"/>
  <c r="G3266" i="3"/>
  <c r="H3266" i="3" s="1" a="1"/>
  <c r="H3266" i="3" s="1"/>
  <c r="G3265" i="3"/>
  <c r="H3265" i="3" s="1" a="1"/>
  <c r="H3265" i="3" s="1"/>
  <c r="G3264" i="3"/>
  <c r="H3264" i="3" s="1" a="1"/>
  <c r="H3264" i="3" s="1"/>
  <c r="G3263" i="3"/>
  <c r="H3263" i="3" s="1" a="1"/>
  <c r="H3263" i="3" s="1"/>
  <c r="G3262" i="3"/>
  <c r="H3262" i="3" s="1" a="1"/>
  <c r="H3262" i="3" s="1"/>
  <c r="G3261" i="3"/>
  <c r="H3261" i="3" s="1" a="1"/>
  <c r="H3261" i="3" s="1"/>
  <c r="G3260" i="3"/>
  <c r="H3260" i="3" s="1" a="1"/>
  <c r="H3260" i="3" s="1"/>
  <c r="G3259" i="3"/>
  <c r="H3259" i="3" s="1" a="1"/>
  <c r="H3259" i="3" s="1"/>
  <c r="G3258" i="3"/>
  <c r="H3258" i="3" s="1" a="1"/>
  <c r="H3258" i="3" s="1"/>
  <c r="G3257" i="3"/>
  <c r="H3257" i="3" s="1" a="1"/>
  <c r="H3257" i="3" s="1"/>
  <c r="G3256" i="3"/>
  <c r="H3256" i="3" s="1" a="1"/>
  <c r="H3256" i="3" s="1"/>
  <c r="G3255" i="3"/>
  <c r="H3255" i="3" s="1" a="1"/>
  <c r="H3255" i="3" s="1"/>
  <c r="G3254" i="3"/>
  <c r="H3254" i="3" s="1" a="1"/>
  <c r="H3254" i="3" s="1"/>
  <c r="G3253" i="3"/>
  <c r="H3253" i="3" s="1" a="1"/>
  <c r="H3253" i="3" s="1"/>
  <c r="G3252" i="3"/>
  <c r="H3252" i="3" s="1" a="1"/>
  <c r="H3252" i="3" s="1"/>
  <c r="G3251" i="3"/>
  <c r="H3251" i="3" s="1" a="1"/>
  <c r="H3251" i="3" s="1"/>
  <c r="G3250" i="3"/>
  <c r="H3250" i="3" s="1" a="1"/>
  <c r="H3250" i="3" s="1"/>
  <c r="G3249" i="3"/>
  <c r="H3249" i="3" s="1" a="1"/>
  <c r="H3249" i="3" s="1"/>
  <c r="G3248" i="3"/>
  <c r="H3248" i="3" s="1" a="1"/>
  <c r="H3248" i="3" s="1"/>
  <c r="G3247" i="3"/>
  <c r="H3247" i="3" s="1" a="1"/>
  <c r="H3247" i="3" s="1"/>
  <c r="G3246" i="3"/>
  <c r="H3246" i="3" s="1" a="1"/>
  <c r="H3246" i="3" s="1"/>
  <c r="G3245" i="3"/>
  <c r="H3245" i="3" s="1" a="1"/>
  <c r="H3245" i="3" s="1"/>
  <c r="G3244" i="3"/>
  <c r="H3244" i="3" s="1" a="1"/>
  <c r="H3244" i="3" s="1"/>
  <c r="G3243" i="3"/>
  <c r="H3243" i="3" s="1" a="1"/>
  <c r="H3243" i="3" s="1"/>
  <c r="G3242" i="3"/>
  <c r="H3242" i="3" s="1" a="1"/>
  <c r="H3242" i="3" s="1"/>
  <c r="G3241" i="3"/>
  <c r="H3241" i="3" s="1" a="1"/>
  <c r="H3241" i="3" s="1"/>
  <c r="G3240" i="3"/>
  <c r="H3240" i="3" s="1" a="1"/>
  <c r="H3240" i="3" s="1"/>
  <c r="G3239" i="3"/>
  <c r="H3239" i="3" s="1" a="1"/>
  <c r="H3239" i="3" s="1"/>
  <c r="G3238" i="3"/>
  <c r="H3238" i="3" s="1" a="1"/>
  <c r="H3238" i="3" s="1"/>
  <c r="G3237" i="3"/>
  <c r="H3237" i="3" s="1" a="1"/>
  <c r="H3237" i="3" s="1"/>
  <c r="G3236" i="3"/>
  <c r="H3236" i="3" s="1" a="1"/>
  <c r="H3236" i="3" s="1"/>
  <c r="G3235" i="3"/>
  <c r="H3235" i="3" s="1" a="1"/>
  <c r="H3235" i="3" s="1"/>
  <c r="G3234" i="3"/>
  <c r="H3234" i="3" s="1" a="1"/>
  <c r="H3234" i="3" s="1"/>
  <c r="G3233" i="3"/>
  <c r="H3233" i="3" s="1" a="1"/>
  <c r="H3233" i="3" s="1"/>
  <c r="G3232" i="3"/>
  <c r="H3232" i="3" s="1" a="1"/>
  <c r="H3232" i="3" s="1"/>
  <c r="G3231" i="3"/>
  <c r="H3231" i="3" s="1" a="1"/>
  <c r="H3231" i="3" s="1"/>
  <c r="G3230" i="3"/>
  <c r="H3230" i="3" s="1" a="1"/>
  <c r="H3230" i="3" s="1"/>
  <c r="G3229" i="3"/>
  <c r="H3229" i="3" s="1" a="1"/>
  <c r="H3229" i="3" s="1"/>
  <c r="G3228" i="3"/>
  <c r="H3228" i="3" s="1" a="1"/>
  <c r="H3228" i="3" s="1"/>
  <c r="G3227" i="3"/>
  <c r="H3227" i="3" s="1" a="1"/>
  <c r="H3227" i="3" s="1"/>
  <c r="G3226" i="3"/>
  <c r="H3226" i="3" s="1" a="1"/>
  <c r="H3226" i="3" s="1"/>
  <c r="G3225" i="3"/>
  <c r="H3225" i="3" s="1" a="1"/>
  <c r="H3225" i="3" s="1"/>
  <c r="G3224" i="3"/>
  <c r="H3224" i="3" s="1" a="1"/>
  <c r="H3224" i="3" s="1"/>
  <c r="G3223" i="3"/>
  <c r="H3223" i="3" s="1" a="1"/>
  <c r="H3223" i="3" s="1"/>
  <c r="G3222" i="3"/>
  <c r="H3222" i="3" s="1" a="1"/>
  <c r="H3222" i="3" s="1"/>
  <c r="G3221" i="3"/>
  <c r="H3221" i="3" s="1" a="1"/>
  <c r="H3221" i="3" s="1"/>
  <c r="G3220" i="3"/>
  <c r="H3220" i="3" s="1" a="1"/>
  <c r="H3220" i="3" s="1"/>
  <c r="G3219" i="3"/>
  <c r="H3219" i="3" s="1" a="1"/>
  <c r="H3219" i="3" s="1"/>
  <c r="G3218" i="3"/>
  <c r="H3218" i="3" s="1" a="1"/>
  <c r="H3218" i="3" s="1"/>
  <c r="G3217" i="3"/>
  <c r="H3217" i="3" s="1" a="1"/>
  <c r="H3217" i="3" s="1"/>
  <c r="G3216" i="3"/>
  <c r="H3216" i="3" s="1" a="1"/>
  <c r="H3216" i="3" s="1"/>
  <c r="G3215" i="3"/>
  <c r="H3215" i="3" s="1" a="1"/>
  <c r="H3215" i="3" s="1"/>
  <c r="G3214" i="3"/>
  <c r="H3214" i="3" s="1" a="1"/>
  <c r="H3214" i="3" s="1"/>
  <c r="G3213" i="3"/>
  <c r="H3213" i="3" s="1" a="1"/>
  <c r="H3213" i="3" s="1"/>
  <c r="G3212" i="3"/>
  <c r="H3212" i="3" s="1" a="1"/>
  <c r="H3212" i="3" s="1"/>
  <c r="G3211" i="3"/>
  <c r="H3211" i="3" s="1" a="1"/>
  <c r="H3211" i="3" s="1"/>
  <c r="G3210" i="3"/>
  <c r="H3210" i="3" s="1" a="1"/>
  <c r="H3210" i="3" s="1"/>
  <c r="G3209" i="3"/>
  <c r="H3209" i="3" s="1" a="1"/>
  <c r="H3209" i="3" s="1"/>
  <c r="G3208" i="3"/>
  <c r="H3208" i="3" s="1" a="1"/>
  <c r="H3208" i="3" s="1"/>
  <c r="G3207" i="3"/>
  <c r="H3207" i="3" s="1" a="1"/>
  <c r="H3207" i="3" s="1"/>
  <c r="G3206" i="3"/>
  <c r="H3206" i="3" s="1" a="1"/>
  <c r="H3206" i="3" s="1"/>
  <c r="G3205" i="3"/>
  <c r="H3205" i="3" s="1" a="1"/>
  <c r="H3205" i="3" s="1"/>
  <c r="G3204" i="3"/>
  <c r="H3204" i="3" s="1" a="1"/>
  <c r="H3204" i="3" s="1"/>
  <c r="G3203" i="3"/>
  <c r="H3203" i="3" s="1" a="1"/>
  <c r="H3203" i="3" s="1"/>
  <c r="G3202" i="3"/>
  <c r="H3202" i="3" s="1" a="1"/>
  <c r="H3202" i="3" s="1"/>
  <c r="G3201" i="3"/>
  <c r="H3201" i="3" s="1" a="1"/>
  <c r="H3201" i="3" s="1"/>
  <c r="G3200" i="3"/>
  <c r="H3200" i="3" s="1" a="1"/>
  <c r="H3200" i="3" s="1"/>
  <c r="G3199" i="3"/>
  <c r="H3199" i="3" s="1" a="1"/>
  <c r="H3199" i="3" s="1"/>
  <c r="G3198" i="3"/>
  <c r="H3198" i="3" s="1" a="1"/>
  <c r="H3198" i="3" s="1"/>
  <c r="G3197" i="3"/>
  <c r="H3197" i="3" s="1" a="1"/>
  <c r="H3197" i="3" s="1"/>
  <c r="G3196" i="3"/>
  <c r="H3196" i="3" s="1" a="1"/>
  <c r="H3196" i="3" s="1"/>
  <c r="G3195" i="3"/>
  <c r="H3195" i="3" s="1" a="1"/>
  <c r="H3195" i="3" s="1"/>
  <c r="G3194" i="3"/>
  <c r="H3194" i="3" s="1" a="1"/>
  <c r="H3194" i="3" s="1"/>
  <c r="G3193" i="3"/>
  <c r="H3193" i="3" s="1" a="1"/>
  <c r="H3193" i="3" s="1"/>
  <c r="G3192" i="3"/>
  <c r="H3192" i="3" s="1" a="1"/>
  <c r="H3192" i="3" s="1"/>
  <c r="G3191" i="3"/>
  <c r="H3191" i="3" s="1" a="1"/>
  <c r="H3191" i="3" s="1"/>
  <c r="G3190" i="3"/>
  <c r="H3190" i="3" s="1" a="1"/>
  <c r="H3190" i="3" s="1"/>
  <c r="G3189" i="3"/>
  <c r="H3189" i="3" s="1" a="1"/>
  <c r="H3189" i="3" s="1"/>
  <c r="G3188" i="3"/>
  <c r="H3188" i="3" s="1" a="1"/>
  <c r="H3188" i="3" s="1"/>
  <c r="G3187" i="3"/>
  <c r="H3187" i="3" s="1" a="1"/>
  <c r="H3187" i="3" s="1"/>
  <c r="G3186" i="3"/>
  <c r="H3186" i="3" s="1" a="1"/>
  <c r="H3186" i="3" s="1"/>
  <c r="G3185" i="3"/>
  <c r="H3185" i="3" s="1" a="1"/>
  <c r="H3185" i="3" s="1"/>
  <c r="G3184" i="3"/>
  <c r="H3184" i="3" s="1" a="1"/>
  <c r="H3184" i="3" s="1"/>
  <c r="G3183" i="3"/>
  <c r="H3183" i="3" s="1" a="1"/>
  <c r="H3183" i="3" s="1"/>
  <c r="G3182" i="3"/>
  <c r="H3182" i="3" s="1" a="1"/>
  <c r="H3182" i="3" s="1"/>
  <c r="G3181" i="3"/>
  <c r="H3181" i="3" s="1" a="1"/>
  <c r="H3181" i="3" s="1"/>
  <c r="G3180" i="3"/>
  <c r="H3180" i="3" s="1" a="1"/>
  <c r="H3180" i="3" s="1"/>
  <c r="G3179" i="3"/>
  <c r="H3179" i="3" s="1" a="1"/>
  <c r="H3179" i="3" s="1"/>
  <c r="G3178" i="3"/>
  <c r="H3178" i="3" s="1" a="1"/>
  <c r="H3178" i="3" s="1"/>
  <c r="G3177" i="3"/>
  <c r="H3177" i="3" s="1" a="1"/>
  <c r="H3177" i="3" s="1"/>
  <c r="G3176" i="3"/>
  <c r="H3176" i="3" s="1" a="1"/>
  <c r="H3176" i="3" s="1"/>
  <c r="G3175" i="3"/>
  <c r="H3175" i="3" s="1" a="1"/>
  <c r="H3175" i="3" s="1"/>
  <c r="G3174" i="3"/>
  <c r="H3174" i="3" s="1" a="1"/>
  <c r="H3174" i="3" s="1"/>
  <c r="G3173" i="3"/>
  <c r="H3173" i="3" s="1" a="1"/>
  <c r="H3173" i="3" s="1"/>
  <c r="G3172" i="3"/>
  <c r="H3172" i="3" s="1" a="1"/>
  <c r="H3172" i="3" s="1"/>
  <c r="G3171" i="3"/>
  <c r="H3171" i="3" s="1" a="1"/>
  <c r="H3171" i="3" s="1"/>
  <c r="G3170" i="3"/>
  <c r="H3170" i="3" s="1" a="1"/>
  <c r="H3170" i="3" s="1"/>
  <c r="G3169" i="3"/>
  <c r="H3169" i="3" s="1" a="1"/>
  <c r="H3169" i="3" s="1"/>
  <c r="G3168" i="3"/>
  <c r="H3168" i="3" s="1" a="1"/>
  <c r="H3168" i="3" s="1"/>
  <c r="G3167" i="3"/>
  <c r="H3167" i="3" s="1" a="1"/>
  <c r="H3167" i="3" s="1"/>
  <c r="G3166" i="3"/>
  <c r="H3166" i="3" s="1" a="1"/>
  <c r="H3166" i="3" s="1"/>
  <c r="G3165" i="3"/>
  <c r="H3165" i="3" s="1" a="1"/>
  <c r="H3165" i="3" s="1"/>
  <c r="G3164" i="3"/>
  <c r="H3164" i="3" s="1" a="1"/>
  <c r="H3164" i="3" s="1"/>
  <c r="G3163" i="3"/>
  <c r="H3163" i="3" s="1" a="1"/>
  <c r="H3163" i="3" s="1"/>
  <c r="G3162" i="3"/>
  <c r="H3162" i="3" s="1" a="1"/>
  <c r="H3162" i="3" s="1"/>
  <c r="G3161" i="3"/>
  <c r="H3161" i="3" s="1" a="1"/>
  <c r="H3161" i="3" s="1"/>
  <c r="G3160" i="3"/>
  <c r="H3160" i="3" s="1" a="1"/>
  <c r="H3160" i="3" s="1"/>
  <c r="G3159" i="3"/>
  <c r="H3159" i="3" s="1" a="1"/>
  <c r="H3159" i="3" s="1"/>
  <c r="G3158" i="3"/>
  <c r="H3158" i="3" s="1" a="1"/>
  <c r="H3158" i="3" s="1"/>
  <c r="G3157" i="3"/>
  <c r="H3157" i="3" s="1" a="1"/>
  <c r="H3157" i="3" s="1"/>
  <c r="G3156" i="3"/>
  <c r="H3156" i="3" s="1" a="1"/>
  <c r="H3156" i="3" s="1"/>
  <c r="G3155" i="3"/>
  <c r="H3155" i="3" s="1" a="1"/>
  <c r="H3155" i="3" s="1"/>
  <c r="G3154" i="3"/>
  <c r="H3154" i="3" s="1" a="1"/>
  <c r="H3154" i="3" s="1"/>
  <c r="G3153" i="3"/>
  <c r="H3153" i="3" s="1" a="1"/>
  <c r="H3153" i="3" s="1"/>
  <c r="G3152" i="3"/>
  <c r="H3152" i="3" s="1" a="1"/>
  <c r="H3152" i="3" s="1"/>
  <c r="G3151" i="3"/>
  <c r="H3151" i="3" s="1" a="1"/>
  <c r="H3151" i="3" s="1"/>
  <c r="G3150" i="3"/>
  <c r="H3150" i="3" s="1" a="1"/>
  <c r="H3150" i="3" s="1"/>
  <c r="G3149" i="3"/>
  <c r="H3149" i="3" s="1" a="1"/>
  <c r="H3149" i="3" s="1"/>
  <c r="G3148" i="3"/>
  <c r="H3148" i="3" s="1" a="1"/>
  <c r="H3148" i="3" s="1"/>
  <c r="G3147" i="3"/>
  <c r="H3147" i="3" s="1" a="1"/>
  <c r="H3147" i="3" s="1"/>
  <c r="G3146" i="3"/>
  <c r="H3146" i="3" s="1" a="1"/>
  <c r="H3146" i="3" s="1"/>
  <c r="G3145" i="3"/>
  <c r="H3145" i="3" s="1" a="1"/>
  <c r="H3145" i="3" s="1"/>
  <c r="G3144" i="3"/>
  <c r="H3144" i="3" s="1" a="1"/>
  <c r="H3144" i="3" s="1"/>
  <c r="G3143" i="3"/>
  <c r="H3143" i="3" s="1" a="1"/>
  <c r="H3143" i="3" s="1"/>
  <c r="G3142" i="3"/>
  <c r="H3142" i="3" s="1" a="1"/>
  <c r="H3142" i="3" s="1"/>
  <c r="G3141" i="3"/>
  <c r="H3141" i="3" s="1" a="1"/>
  <c r="H3141" i="3" s="1"/>
  <c r="G3140" i="3"/>
  <c r="H3140" i="3" s="1" a="1"/>
  <c r="H3140" i="3" s="1"/>
  <c r="G3139" i="3"/>
  <c r="H3139" i="3" s="1" a="1"/>
  <c r="H3139" i="3" s="1"/>
  <c r="G3138" i="3"/>
  <c r="H3138" i="3" s="1" a="1"/>
  <c r="H3138" i="3" s="1"/>
  <c r="G3137" i="3"/>
  <c r="H3137" i="3" s="1" a="1"/>
  <c r="H3137" i="3" s="1"/>
  <c r="G3136" i="3"/>
  <c r="H3136" i="3" s="1" a="1"/>
  <c r="H3136" i="3" s="1"/>
  <c r="G3135" i="3"/>
  <c r="H3135" i="3" s="1" a="1"/>
  <c r="H3135" i="3" s="1"/>
  <c r="G3134" i="3"/>
  <c r="H3134" i="3" s="1" a="1"/>
  <c r="H3134" i="3" s="1"/>
  <c r="G3133" i="3"/>
  <c r="H3133" i="3" s="1" a="1"/>
  <c r="H3133" i="3" s="1"/>
  <c r="G3132" i="3"/>
  <c r="H3132" i="3" s="1" a="1"/>
  <c r="H3132" i="3" s="1"/>
  <c r="G3131" i="3"/>
  <c r="H3131" i="3" s="1" a="1"/>
  <c r="H3131" i="3" s="1"/>
  <c r="G3130" i="3"/>
  <c r="H3130" i="3" s="1" a="1"/>
  <c r="H3130" i="3" s="1"/>
  <c r="G3129" i="3"/>
  <c r="H3129" i="3" s="1" a="1"/>
  <c r="H3129" i="3" s="1"/>
  <c r="G3128" i="3"/>
  <c r="H3128" i="3" s="1" a="1"/>
  <c r="H3128" i="3" s="1"/>
  <c r="G3127" i="3"/>
  <c r="H3127" i="3" s="1" a="1"/>
  <c r="H3127" i="3" s="1"/>
  <c r="G3126" i="3"/>
  <c r="H3126" i="3" s="1" a="1"/>
  <c r="H3126" i="3" s="1"/>
  <c r="G3125" i="3"/>
  <c r="H3125" i="3" s="1" a="1"/>
  <c r="H3125" i="3" s="1"/>
  <c r="G3124" i="3"/>
  <c r="H3124" i="3" s="1" a="1"/>
  <c r="H3124" i="3" s="1"/>
  <c r="G3123" i="3"/>
  <c r="H3123" i="3" s="1" a="1"/>
  <c r="H3123" i="3" s="1"/>
  <c r="G3122" i="3"/>
  <c r="H3122" i="3" s="1" a="1"/>
  <c r="H3122" i="3" s="1"/>
  <c r="G3121" i="3"/>
  <c r="H3121" i="3" s="1" a="1"/>
  <c r="H3121" i="3" s="1"/>
  <c r="G3120" i="3"/>
  <c r="H3120" i="3" s="1" a="1"/>
  <c r="H3120" i="3" s="1"/>
  <c r="G3119" i="3"/>
  <c r="H3119" i="3" s="1" a="1"/>
  <c r="H3119" i="3" s="1"/>
  <c r="G3118" i="3"/>
  <c r="H3118" i="3" s="1" a="1"/>
  <c r="H3118" i="3" s="1"/>
  <c r="G3117" i="3"/>
  <c r="H3117" i="3" s="1" a="1"/>
  <c r="H3117" i="3" s="1"/>
  <c r="G3116" i="3"/>
  <c r="H3116" i="3" s="1" a="1"/>
  <c r="H3116" i="3" s="1"/>
  <c r="G3115" i="3"/>
  <c r="H3115" i="3" s="1" a="1"/>
  <c r="H3115" i="3" s="1"/>
  <c r="G3114" i="3"/>
  <c r="H3114" i="3" s="1" a="1"/>
  <c r="H3114" i="3" s="1"/>
  <c r="G3113" i="3"/>
  <c r="H3113" i="3" s="1" a="1"/>
  <c r="H3113" i="3" s="1"/>
  <c r="G3112" i="3"/>
  <c r="H3112" i="3" s="1" a="1"/>
  <c r="H3112" i="3" s="1"/>
  <c r="G3111" i="3"/>
  <c r="H3111" i="3" s="1" a="1"/>
  <c r="H3111" i="3" s="1"/>
  <c r="G3110" i="3"/>
  <c r="H3110" i="3" s="1" a="1"/>
  <c r="H3110" i="3" s="1"/>
  <c r="G3109" i="3"/>
  <c r="H3109" i="3" s="1" a="1"/>
  <c r="H3109" i="3" s="1"/>
  <c r="G3108" i="3"/>
  <c r="H3108" i="3" s="1" a="1"/>
  <c r="H3108" i="3" s="1"/>
  <c r="G3107" i="3"/>
  <c r="H3107" i="3" s="1" a="1"/>
  <c r="H3107" i="3" s="1"/>
  <c r="G3106" i="3"/>
  <c r="H3106" i="3" s="1" a="1"/>
  <c r="H3106" i="3" s="1"/>
  <c r="G3105" i="3"/>
  <c r="H3105" i="3" s="1" a="1"/>
  <c r="H3105" i="3" s="1"/>
  <c r="G3104" i="3"/>
  <c r="H3104" i="3" s="1" a="1"/>
  <c r="H3104" i="3" s="1"/>
  <c r="G3103" i="3"/>
  <c r="H3103" i="3" s="1" a="1"/>
  <c r="H3103" i="3" s="1"/>
  <c r="G3102" i="3"/>
  <c r="H3102" i="3" s="1" a="1"/>
  <c r="H3102" i="3" s="1"/>
  <c r="G3101" i="3"/>
  <c r="H3101" i="3" s="1" a="1"/>
  <c r="H3101" i="3" s="1"/>
  <c r="G3100" i="3"/>
  <c r="H3100" i="3" s="1" a="1"/>
  <c r="H3100" i="3" s="1"/>
  <c r="G3099" i="3"/>
  <c r="H3099" i="3" s="1" a="1"/>
  <c r="H3099" i="3" s="1"/>
  <c r="G3098" i="3"/>
  <c r="H3098" i="3" s="1" a="1"/>
  <c r="H3098" i="3" s="1"/>
  <c r="G3097" i="3"/>
  <c r="H3097" i="3" s="1" a="1"/>
  <c r="H3097" i="3" s="1"/>
  <c r="G3096" i="3"/>
  <c r="H3096" i="3" s="1" a="1"/>
  <c r="H3096" i="3" s="1"/>
  <c r="G3095" i="3"/>
  <c r="H3095" i="3" s="1" a="1"/>
  <c r="H3095" i="3" s="1"/>
  <c r="G3094" i="3"/>
  <c r="H3094" i="3" s="1" a="1"/>
  <c r="H3094" i="3" s="1"/>
  <c r="G3093" i="3"/>
  <c r="H3093" i="3" s="1" a="1"/>
  <c r="H3093" i="3" s="1"/>
  <c r="G3092" i="3"/>
  <c r="H3092" i="3" s="1" a="1"/>
  <c r="H3092" i="3" s="1"/>
  <c r="G3091" i="3"/>
  <c r="H3091" i="3" s="1" a="1"/>
  <c r="H3091" i="3" s="1"/>
  <c r="G3090" i="3"/>
  <c r="H3090" i="3" s="1" a="1"/>
  <c r="H3090" i="3" s="1"/>
  <c r="G3089" i="3"/>
  <c r="H3089" i="3" s="1" a="1"/>
  <c r="H3089" i="3" s="1"/>
  <c r="G3088" i="3"/>
  <c r="H3088" i="3" s="1" a="1"/>
  <c r="H3088" i="3" s="1"/>
  <c r="G3087" i="3"/>
  <c r="H3087" i="3" s="1" a="1"/>
  <c r="H3087" i="3" s="1"/>
  <c r="G3086" i="3"/>
  <c r="H3086" i="3" s="1" a="1"/>
  <c r="H3086" i="3" s="1"/>
  <c r="G3085" i="3"/>
  <c r="H3085" i="3" s="1" a="1"/>
  <c r="H3085" i="3" s="1"/>
  <c r="G3084" i="3"/>
  <c r="H3084" i="3" s="1" a="1"/>
  <c r="H3084" i="3" s="1"/>
  <c r="G3083" i="3"/>
  <c r="H3083" i="3" s="1" a="1"/>
  <c r="H3083" i="3" s="1"/>
  <c r="G3082" i="3"/>
  <c r="H3082" i="3" s="1" a="1"/>
  <c r="H3082" i="3" s="1"/>
  <c r="G3081" i="3"/>
  <c r="H3081" i="3" s="1" a="1"/>
  <c r="H3081" i="3" s="1"/>
  <c r="G3080" i="3"/>
  <c r="H3080" i="3" s="1" a="1"/>
  <c r="H3080" i="3" s="1"/>
  <c r="G3079" i="3"/>
  <c r="H3079" i="3" s="1" a="1"/>
  <c r="H3079" i="3" s="1"/>
  <c r="G3078" i="3"/>
  <c r="H3078" i="3" s="1" a="1"/>
  <c r="H3078" i="3" s="1"/>
  <c r="G3077" i="3"/>
  <c r="H3077" i="3" s="1" a="1"/>
  <c r="H3077" i="3" s="1"/>
  <c r="G3076" i="3"/>
  <c r="H3076" i="3" s="1" a="1"/>
  <c r="H3076" i="3" s="1"/>
  <c r="G3075" i="3"/>
  <c r="H3075" i="3" s="1" a="1"/>
  <c r="H3075" i="3" s="1"/>
  <c r="G3074" i="3"/>
  <c r="H3074" i="3" s="1" a="1"/>
  <c r="H3074" i="3" s="1"/>
  <c r="G3073" i="3"/>
  <c r="H3073" i="3" s="1" a="1"/>
  <c r="H3073" i="3" s="1"/>
  <c r="G3072" i="3"/>
  <c r="H3072" i="3" s="1" a="1"/>
  <c r="H3072" i="3" s="1"/>
  <c r="G3071" i="3"/>
  <c r="H3071" i="3" s="1" a="1"/>
  <c r="H3071" i="3" s="1"/>
  <c r="G3070" i="3"/>
  <c r="H3070" i="3" s="1" a="1"/>
  <c r="H3070" i="3" s="1"/>
  <c r="G3069" i="3"/>
  <c r="H3069" i="3" s="1" a="1"/>
  <c r="H3069" i="3" s="1"/>
  <c r="G3068" i="3"/>
  <c r="H3068" i="3" s="1" a="1"/>
  <c r="H3068" i="3" s="1"/>
  <c r="G3067" i="3"/>
  <c r="H3067" i="3" s="1" a="1"/>
  <c r="H3067" i="3" s="1"/>
  <c r="G3066" i="3"/>
  <c r="H3066" i="3" s="1" a="1"/>
  <c r="H3066" i="3" s="1"/>
  <c r="G3065" i="3"/>
  <c r="H3065" i="3" s="1" a="1"/>
  <c r="H3065" i="3" s="1"/>
  <c r="G3064" i="3"/>
  <c r="H3064" i="3" s="1" a="1"/>
  <c r="H3064" i="3" s="1"/>
  <c r="G3063" i="3"/>
  <c r="H3063" i="3" s="1" a="1"/>
  <c r="H3063" i="3" s="1"/>
  <c r="G3062" i="3"/>
  <c r="H3062" i="3" s="1" a="1"/>
  <c r="H3062" i="3" s="1"/>
  <c r="G3061" i="3"/>
  <c r="H3061" i="3" s="1" a="1"/>
  <c r="H3061" i="3" s="1"/>
  <c r="G3060" i="3"/>
  <c r="H3060" i="3" s="1" a="1"/>
  <c r="H3060" i="3" s="1"/>
  <c r="G3059" i="3"/>
  <c r="H3059" i="3" s="1" a="1"/>
  <c r="H3059" i="3" s="1"/>
  <c r="G3058" i="3"/>
  <c r="H3058" i="3" s="1" a="1"/>
  <c r="H3058" i="3" s="1"/>
  <c r="G3057" i="3"/>
  <c r="H3057" i="3" s="1" a="1"/>
  <c r="H3057" i="3" s="1"/>
  <c r="G3056" i="3"/>
  <c r="H3056" i="3" s="1" a="1"/>
  <c r="H3056" i="3" s="1"/>
  <c r="G3055" i="3"/>
  <c r="H3055" i="3" s="1" a="1"/>
  <c r="H3055" i="3" s="1"/>
  <c r="G3054" i="3"/>
  <c r="H3054" i="3" s="1" a="1"/>
  <c r="H3054" i="3" s="1"/>
  <c r="G3053" i="3"/>
  <c r="H3053" i="3" s="1" a="1"/>
  <c r="H3053" i="3" s="1"/>
  <c r="G3052" i="3"/>
  <c r="H3052" i="3" s="1" a="1"/>
  <c r="H3052" i="3" s="1"/>
  <c r="G3051" i="3"/>
  <c r="H3051" i="3" s="1" a="1"/>
  <c r="H3051" i="3" s="1"/>
  <c r="G3050" i="3"/>
  <c r="H3050" i="3" s="1" a="1"/>
  <c r="H3050" i="3" s="1"/>
  <c r="G3049" i="3"/>
  <c r="H3049" i="3" s="1" a="1"/>
  <c r="H3049" i="3" s="1"/>
  <c r="G3048" i="3"/>
  <c r="H3048" i="3" s="1" a="1"/>
  <c r="H3048" i="3" s="1"/>
  <c r="G3047" i="3"/>
  <c r="H3047" i="3" s="1" a="1"/>
  <c r="H3047" i="3" s="1"/>
  <c r="G3046" i="3"/>
  <c r="H3046" i="3" s="1" a="1"/>
  <c r="H3046" i="3" s="1"/>
  <c r="G3045" i="3"/>
  <c r="H3045" i="3" s="1" a="1"/>
  <c r="H3045" i="3" s="1"/>
  <c r="G3044" i="3"/>
  <c r="H3044" i="3" s="1" a="1"/>
  <c r="H3044" i="3" s="1"/>
  <c r="G3043" i="3"/>
  <c r="H3043" i="3" s="1" a="1"/>
  <c r="H3043" i="3" s="1"/>
  <c r="G3042" i="3"/>
  <c r="H3042" i="3" s="1" a="1"/>
  <c r="H3042" i="3" s="1"/>
  <c r="G3041" i="3"/>
  <c r="H3041" i="3" s="1" a="1"/>
  <c r="H3041" i="3" s="1"/>
  <c r="G3040" i="3"/>
  <c r="H3040" i="3" s="1" a="1"/>
  <c r="H3040" i="3" s="1"/>
  <c r="G3039" i="3"/>
  <c r="H3039" i="3" s="1" a="1"/>
  <c r="H3039" i="3" s="1"/>
  <c r="G3038" i="3"/>
  <c r="H3038" i="3" s="1" a="1"/>
  <c r="H3038" i="3" s="1"/>
  <c r="G3037" i="3"/>
  <c r="H3037" i="3" s="1" a="1"/>
  <c r="H3037" i="3" s="1"/>
  <c r="G3036" i="3"/>
  <c r="H3036" i="3" s="1" a="1"/>
  <c r="H3036" i="3" s="1"/>
  <c r="G3035" i="3"/>
  <c r="H3035" i="3" s="1" a="1"/>
  <c r="H3035" i="3" s="1"/>
  <c r="G3034" i="3"/>
  <c r="H3034" i="3" s="1" a="1"/>
  <c r="H3034" i="3" s="1"/>
  <c r="G3033" i="3"/>
  <c r="H3033" i="3" s="1" a="1"/>
  <c r="H3033" i="3" s="1"/>
  <c r="G3032" i="3"/>
  <c r="H3032" i="3" s="1" a="1"/>
  <c r="H3032" i="3" s="1"/>
  <c r="G3031" i="3"/>
  <c r="H3031" i="3" s="1" a="1"/>
  <c r="H3031" i="3" s="1"/>
  <c r="G3030" i="3"/>
  <c r="H3030" i="3" s="1" a="1"/>
  <c r="H3030" i="3" s="1"/>
  <c r="G3029" i="3"/>
  <c r="H3029" i="3" s="1" a="1"/>
  <c r="H3029" i="3" s="1"/>
  <c r="G3028" i="3"/>
  <c r="H3028" i="3" s="1" a="1"/>
  <c r="H3028" i="3" s="1"/>
  <c r="G3027" i="3"/>
  <c r="H3027" i="3" s="1" a="1"/>
  <c r="H3027" i="3" s="1"/>
  <c r="G3026" i="3"/>
  <c r="H3026" i="3" s="1" a="1"/>
  <c r="H3026" i="3" s="1"/>
  <c r="G3025" i="3"/>
  <c r="H3025" i="3" s="1" a="1"/>
  <c r="H3025" i="3" s="1"/>
  <c r="G3024" i="3"/>
  <c r="H3024" i="3" s="1" a="1"/>
  <c r="H3024" i="3" s="1"/>
  <c r="G3023" i="3"/>
  <c r="H3023" i="3" s="1" a="1"/>
  <c r="H3023" i="3" s="1"/>
  <c r="G3022" i="3"/>
  <c r="H3022" i="3" s="1" a="1"/>
  <c r="H3022" i="3" s="1"/>
  <c r="G3021" i="3"/>
  <c r="H3021" i="3" s="1" a="1"/>
  <c r="H3021" i="3" s="1"/>
  <c r="G3020" i="3"/>
  <c r="H3020" i="3" s="1" a="1"/>
  <c r="H3020" i="3" s="1"/>
  <c r="G3019" i="3"/>
  <c r="H3019" i="3" s="1" a="1"/>
  <c r="H3019" i="3" s="1"/>
  <c r="G3018" i="3"/>
  <c r="H3018" i="3" s="1" a="1"/>
  <c r="H3018" i="3" s="1"/>
  <c r="G3017" i="3"/>
  <c r="H3017" i="3" s="1" a="1"/>
  <c r="H3017" i="3" s="1"/>
  <c r="G3016" i="3"/>
  <c r="H3016" i="3" s="1" a="1"/>
  <c r="H3016" i="3" s="1"/>
  <c r="G3015" i="3"/>
  <c r="H3015" i="3" s="1" a="1"/>
  <c r="H3015" i="3" s="1"/>
  <c r="G3014" i="3"/>
  <c r="H3014" i="3" s="1" a="1"/>
  <c r="H3014" i="3" s="1"/>
  <c r="G3013" i="3"/>
  <c r="H3013" i="3" s="1" a="1"/>
  <c r="H3013" i="3" s="1"/>
  <c r="G3012" i="3"/>
  <c r="H3012" i="3" s="1" a="1"/>
  <c r="H3012" i="3" s="1"/>
  <c r="G3011" i="3"/>
  <c r="H3011" i="3" s="1" a="1"/>
  <c r="H3011" i="3" s="1"/>
  <c r="G3010" i="3"/>
  <c r="H3010" i="3" s="1" a="1"/>
  <c r="H3010" i="3" s="1"/>
  <c r="G3009" i="3"/>
  <c r="H3009" i="3" s="1" a="1"/>
  <c r="H3009" i="3" s="1"/>
  <c r="G3008" i="3"/>
  <c r="H3008" i="3" s="1" a="1"/>
  <c r="H3008" i="3" s="1"/>
  <c r="G3007" i="3"/>
  <c r="H3007" i="3" s="1" a="1"/>
  <c r="H3007" i="3" s="1"/>
  <c r="G3006" i="3"/>
  <c r="H3006" i="3" s="1" a="1"/>
  <c r="H3006" i="3" s="1"/>
  <c r="G3005" i="3"/>
  <c r="H3005" i="3" s="1" a="1"/>
  <c r="H3005" i="3" s="1"/>
  <c r="G3004" i="3"/>
  <c r="H3004" i="3" s="1" a="1"/>
  <c r="H3004" i="3" s="1"/>
  <c r="G3003" i="3"/>
  <c r="H3003" i="3" s="1" a="1"/>
  <c r="H3003" i="3" s="1"/>
  <c r="G3002" i="3"/>
  <c r="H3002" i="3" s="1" a="1"/>
  <c r="H3002" i="3" s="1"/>
  <c r="G3001" i="3"/>
  <c r="H3001" i="3" s="1" a="1"/>
  <c r="H3001" i="3" s="1"/>
  <c r="G3000" i="3"/>
  <c r="H3000" i="3" s="1" a="1"/>
  <c r="H3000" i="3" s="1"/>
  <c r="G2999" i="3"/>
  <c r="H2999" i="3" s="1" a="1"/>
  <c r="H2999" i="3" s="1"/>
  <c r="G2998" i="3"/>
  <c r="H2998" i="3" s="1" a="1"/>
  <c r="H2998" i="3" s="1"/>
  <c r="G2997" i="3"/>
  <c r="H2997" i="3" s="1" a="1"/>
  <c r="H2997" i="3" s="1"/>
  <c r="G2996" i="3"/>
  <c r="H2996" i="3" s="1" a="1"/>
  <c r="H2996" i="3" s="1"/>
  <c r="G2995" i="3"/>
  <c r="H2995" i="3" s="1" a="1"/>
  <c r="H2995" i="3" s="1"/>
  <c r="G2994" i="3"/>
  <c r="H2994" i="3" s="1" a="1"/>
  <c r="H2994" i="3" s="1"/>
  <c r="G2993" i="3"/>
  <c r="H2993" i="3" s="1" a="1"/>
  <c r="H2993" i="3" s="1"/>
  <c r="G2992" i="3"/>
  <c r="H2992" i="3" s="1" a="1"/>
  <c r="H2992" i="3" s="1"/>
  <c r="G2991" i="3"/>
  <c r="H2991" i="3" s="1" a="1"/>
  <c r="H2991" i="3" s="1"/>
  <c r="G2990" i="3"/>
  <c r="H2990" i="3" s="1" a="1"/>
  <c r="H2990" i="3" s="1"/>
  <c r="G2989" i="3"/>
  <c r="H2989" i="3" s="1" a="1"/>
  <c r="H2989" i="3" s="1"/>
  <c r="G2988" i="3"/>
  <c r="H2988" i="3" s="1" a="1"/>
  <c r="H2988" i="3" s="1"/>
  <c r="G2987" i="3"/>
  <c r="H2987" i="3" s="1" a="1"/>
  <c r="H2987" i="3" s="1"/>
  <c r="G2986" i="3"/>
  <c r="H2986" i="3" s="1" a="1"/>
  <c r="H2986" i="3" s="1"/>
  <c r="G2985" i="3"/>
  <c r="H2985" i="3" s="1" a="1"/>
  <c r="H2985" i="3" s="1"/>
  <c r="G2984" i="3"/>
  <c r="H2984" i="3" s="1" a="1"/>
  <c r="H2984" i="3" s="1"/>
  <c r="G2983" i="3"/>
  <c r="H2983" i="3" s="1" a="1"/>
  <c r="H2983" i="3" s="1"/>
  <c r="G2982" i="3"/>
  <c r="H2982" i="3" s="1" a="1"/>
  <c r="H2982" i="3" s="1"/>
  <c r="G2981" i="3"/>
  <c r="H2981" i="3" s="1" a="1"/>
  <c r="H2981" i="3" s="1"/>
  <c r="G2980" i="3"/>
  <c r="H2980" i="3" s="1" a="1"/>
  <c r="H2980" i="3" s="1"/>
  <c r="G2979" i="3"/>
  <c r="H2979" i="3" s="1" a="1"/>
  <c r="H2979" i="3" s="1"/>
  <c r="G2978" i="3"/>
  <c r="H2978" i="3" s="1" a="1"/>
  <c r="H2978" i="3" s="1"/>
  <c r="G2977" i="3"/>
  <c r="H2977" i="3" s="1" a="1"/>
  <c r="H2977" i="3" s="1"/>
  <c r="G2976" i="3"/>
  <c r="H2976" i="3" s="1" a="1"/>
  <c r="H2976" i="3" s="1"/>
  <c r="G2975" i="3"/>
  <c r="H2975" i="3" s="1" a="1"/>
  <c r="H2975" i="3" s="1"/>
  <c r="G2974" i="3"/>
  <c r="H2974" i="3" s="1" a="1"/>
  <c r="H2974" i="3" s="1"/>
  <c r="G2973" i="3"/>
  <c r="H2973" i="3" s="1" a="1"/>
  <c r="H2973" i="3" s="1"/>
  <c r="G2972" i="3"/>
  <c r="H2972" i="3" s="1" a="1"/>
  <c r="H2972" i="3" s="1"/>
  <c r="G2971" i="3"/>
  <c r="H2971" i="3" s="1" a="1"/>
  <c r="H2971" i="3" s="1"/>
  <c r="G2970" i="3"/>
  <c r="H2970" i="3" s="1" a="1"/>
  <c r="H2970" i="3" s="1"/>
  <c r="G2969" i="3"/>
  <c r="H2969" i="3" s="1" a="1"/>
  <c r="H2969" i="3" s="1"/>
  <c r="G2968" i="3"/>
  <c r="H2968" i="3" s="1" a="1"/>
  <c r="H2968" i="3" s="1"/>
  <c r="G2967" i="3"/>
  <c r="H2967" i="3" s="1" a="1"/>
  <c r="H2967" i="3" s="1"/>
  <c r="G2966" i="3"/>
  <c r="H2966" i="3" s="1" a="1"/>
  <c r="H2966" i="3" s="1"/>
  <c r="G2965" i="3"/>
  <c r="H2965" i="3" s="1" a="1"/>
  <c r="H2965" i="3" s="1"/>
  <c r="G2964" i="3"/>
  <c r="H2964" i="3" s="1" a="1"/>
  <c r="H2964" i="3" s="1"/>
  <c r="G2963" i="3"/>
  <c r="H2963" i="3" s="1" a="1"/>
  <c r="H2963" i="3" s="1"/>
  <c r="G2962" i="3"/>
  <c r="H2962" i="3" s="1" a="1"/>
  <c r="H2962" i="3" s="1"/>
  <c r="G2961" i="3"/>
  <c r="H2961" i="3" s="1" a="1"/>
  <c r="H2961" i="3" s="1"/>
  <c r="G2960" i="3"/>
  <c r="H2960" i="3" s="1" a="1"/>
  <c r="H2960" i="3" s="1"/>
  <c r="G2959" i="3"/>
  <c r="H2959" i="3" s="1" a="1"/>
  <c r="H2959" i="3" s="1"/>
  <c r="G2958" i="3"/>
  <c r="H2958" i="3" s="1" a="1"/>
  <c r="H2958" i="3" s="1"/>
  <c r="G2957" i="3"/>
  <c r="H2957" i="3" s="1" a="1"/>
  <c r="H2957" i="3" s="1"/>
  <c r="G2956" i="3"/>
  <c r="H2956" i="3" s="1" a="1"/>
  <c r="H2956" i="3" s="1"/>
  <c r="G2955" i="3"/>
  <c r="H2955" i="3" s="1" a="1"/>
  <c r="H2955" i="3" s="1"/>
  <c r="G2954" i="3"/>
  <c r="H2954" i="3" s="1" a="1"/>
  <c r="H2954" i="3" s="1"/>
  <c r="G2953" i="3"/>
  <c r="H2953" i="3" s="1" a="1"/>
  <c r="H2953" i="3" s="1"/>
  <c r="G2952" i="3"/>
  <c r="H2952" i="3" s="1" a="1"/>
  <c r="H2952" i="3" s="1"/>
  <c r="G2951" i="3"/>
  <c r="H2951" i="3" s="1" a="1"/>
  <c r="H2951" i="3" s="1"/>
  <c r="G2950" i="3"/>
  <c r="H2950" i="3" s="1" a="1"/>
  <c r="H2950" i="3" s="1"/>
  <c r="G2949" i="3"/>
  <c r="H2949" i="3" s="1" a="1"/>
  <c r="H2949" i="3" s="1"/>
  <c r="G2948" i="3"/>
  <c r="H2948" i="3" s="1" a="1"/>
  <c r="H2948" i="3" s="1"/>
  <c r="G2947" i="3"/>
  <c r="H2947" i="3" s="1" a="1"/>
  <c r="H2947" i="3" s="1"/>
  <c r="G2946" i="3"/>
  <c r="H2946" i="3" s="1" a="1"/>
  <c r="H2946" i="3" s="1"/>
  <c r="G2945" i="3"/>
  <c r="H2945" i="3" s="1" a="1"/>
  <c r="H2945" i="3" s="1"/>
  <c r="G2944" i="3"/>
  <c r="H2944" i="3" s="1" a="1"/>
  <c r="H2944" i="3" s="1"/>
  <c r="G2943" i="3"/>
  <c r="H2943" i="3" s="1" a="1"/>
  <c r="H2943" i="3" s="1"/>
  <c r="G2942" i="3"/>
  <c r="H2942" i="3" s="1" a="1"/>
  <c r="H2942" i="3" s="1"/>
  <c r="G2941" i="3"/>
  <c r="H2941" i="3" s="1" a="1"/>
  <c r="H2941" i="3" s="1"/>
  <c r="G2940" i="3"/>
  <c r="H2940" i="3" s="1" a="1"/>
  <c r="H2940" i="3" s="1"/>
  <c r="G2939" i="3"/>
  <c r="H2939" i="3" s="1" a="1"/>
  <c r="H2939" i="3" s="1"/>
  <c r="G2938" i="3"/>
  <c r="H2938" i="3" s="1" a="1"/>
  <c r="H2938" i="3" s="1"/>
  <c r="G2937" i="3"/>
  <c r="H2937" i="3" s="1" a="1"/>
  <c r="H2937" i="3" s="1"/>
  <c r="G2936" i="3"/>
  <c r="H2936" i="3" s="1" a="1"/>
  <c r="H2936" i="3" s="1"/>
  <c r="G2935" i="3"/>
  <c r="H2935" i="3" s="1" a="1"/>
  <c r="H2935" i="3" s="1"/>
  <c r="G2934" i="3"/>
  <c r="H2934" i="3" s="1" a="1"/>
  <c r="H2934" i="3" s="1"/>
  <c r="G2933" i="3"/>
  <c r="H2933" i="3" s="1" a="1"/>
  <c r="H2933" i="3" s="1"/>
  <c r="G2932" i="3"/>
  <c r="H2932" i="3" s="1" a="1"/>
  <c r="H2932" i="3" s="1"/>
  <c r="G2931" i="3"/>
  <c r="H2931" i="3" s="1" a="1"/>
  <c r="H2931" i="3" s="1"/>
  <c r="G2930" i="3"/>
  <c r="H2930" i="3" s="1" a="1"/>
  <c r="H2930" i="3" s="1"/>
  <c r="G2929" i="3"/>
  <c r="H2929" i="3" s="1" a="1"/>
  <c r="H2929" i="3" s="1"/>
  <c r="G2928" i="3"/>
  <c r="H2928" i="3" s="1" a="1"/>
  <c r="H2928" i="3" s="1"/>
  <c r="G2927" i="3"/>
  <c r="H2927" i="3" s="1" a="1"/>
  <c r="H2927" i="3" s="1"/>
  <c r="G2926" i="3"/>
  <c r="H2926" i="3" s="1" a="1"/>
  <c r="H2926" i="3" s="1"/>
  <c r="G2925" i="3"/>
  <c r="H2925" i="3" s="1" a="1"/>
  <c r="H2925" i="3" s="1"/>
  <c r="G2924" i="3"/>
  <c r="H2924" i="3" s="1" a="1"/>
  <c r="H2924" i="3" s="1"/>
  <c r="G2923" i="3"/>
  <c r="H2923" i="3" s="1" a="1"/>
  <c r="H2923" i="3" s="1"/>
  <c r="G2922" i="3"/>
  <c r="H2922" i="3" s="1" a="1"/>
  <c r="H2922" i="3" s="1"/>
  <c r="G2921" i="3"/>
  <c r="H2921" i="3" s="1" a="1"/>
  <c r="H2921" i="3" s="1"/>
  <c r="G2920" i="3"/>
  <c r="H2920" i="3" s="1" a="1"/>
  <c r="H2920" i="3" s="1"/>
  <c r="G2919" i="3"/>
  <c r="H2919" i="3" s="1" a="1"/>
  <c r="H2919" i="3" s="1"/>
  <c r="G2918" i="3"/>
  <c r="H2918" i="3" s="1" a="1"/>
  <c r="H2918" i="3" s="1"/>
  <c r="G2917" i="3"/>
  <c r="H2917" i="3" s="1" a="1"/>
  <c r="H2917" i="3" s="1"/>
  <c r="G2916" i="3"/>
  <c r="H2916" i="3" s="1" a="1"/>
  <c r="H2916" i="3" s="1"/>
  <c r="G2915" i="3"/>
  <c r="H2915" i="3" s="1" a="1"/>
  <c r="H2915" i="3" s="1"/>
  <c r="G2914" i="3"/>
  <c r="H2914" i="3" s="1" a="1"/>
  <c r="H2914" i="3" s="1"/>
  <c r="G2913" i="3"/>
  <c r="H2913" i="3" s="1" a="1"/>
  <c r="H2913" i="3" s="1"/>
  <c r="G2912" i="3"/>
  <c r="H2912" i="3" s="1" a="1"/>
  <c r="H2912" i="3" s="1"/>
  <c r="G2911" i="3"/>
  <c r="H2911" i="3" s="1" a="1"/>
  <c r="H2911" i="3" s="1"/>
  <c r="G2910" i="3"/>
  <c r="H2910" i="3" s="1" a="1"/>
  <c r="H2910" i="3" s="1"/>
  <c r="G2909" i="3"/>
  <c r="H2909" i="3" s="1" a="1"/>
  <c r="H2909" i="3" s="1"/>
  <c r="G2908" i="3"/>
  <c r="H2908" i="3" s="1" a="1"/>
  <c r="H2908" i="3" s="1"/>
  <c r="G2907" i="3"/>
  <c r="H2907" i="3" s="1" a="1"/>
  <c r="H2907" i="3" s="1"/>
  <c r="G2906" i="3"/>
  <c r="H2906" i="3" s="1" a="1"/>
  <c r="H2906" i="3" s="1"/>
  <c r="G2905" i="3"/>
  <c r="H2905" i="3" s="1" a="1"/>
  <c r="H2905" i="3" s="1"/>
  <c r="G2904" i="3"/>
  <c r="H2904" i="3" s="1" a="1"/>
  <c r="H2904" i="3" s="1"/>
  <c r="G2903" i="3"/>
  <c r="H2903" i="3" s="1" a="1"/>
  <c r="H2903" i="3" s="1"/>
  <c r="G2902" i="3"/>
  <c r="H2902" i="3" s="1" a="1"/>
  <c r="H2902" i="3" s="1"/>
  <c r="G2901" i="3"/>
  <c r="H2901" i="3" s="1" a="1"/>
  <c r="H2901" i="3" s="1"/>
  <c r="G2900" i="3"/>
  <c r="H2900" i="3" s="1" a="1"/>
  <c r="H2900" i="3" s="1"/>
  <c r="G2899" i="3"/>
  <c r="H2899" i="3" s="1" a="1"/>
  <c r="H2899" i="3" s="1"/>
  <c r="G2898" i="3"/>
  <c r="H2898" i="3" s="1" a="1"/>
  <c r="H2898" i="3" s="1"/>
  <c r="G2897" i="3"/>
  <c r="H2897" i="3" s="1" a="1"/>
  <c r="H2897" i="3" s="1"/>
  <c r="G2896" i="3"/>
  <c r="H2896" i="3" s="1" a="1"/>
  <c r="H2896" i="3" s="1"/>
  <c r="G2895" i="3"/>
  <c r="H2895" i="3" s="1" a="1"/>
  <c r="H2895" i="3" s="1"/>
  <c r="G2894" i="3"/>
  <c r="H2894" i="3" s="1" a="1"/>
  <c r="H2894" i="3" s="1"/>
  <c r="G2893" i="3"/>
  <c r="H2893" i="3" s="1" a="1"/>
  <c r="H2893" i="3" s="1"/>
  <c r="G2892" i="3"/>
  <c r="H2892" i="3" s="1" a="1"/>
  <c r="H2892" i="3" s="1"/>
  <c r="G2891" i="3"/>
  <c r="H2891" i="3" s="1" a="1"/>
  <c r="H2891" i="3" s="1"/>
  <c r="G2890" i="3"/>
  <c r="H2890" i="3" s="1" a="1"/>
  <c r="H2890" i="3" s="1"/>
  <c r="G2889" i="3"/>
  <c r="H2889" i="3" s="1" a="1"/>
  <c r="H2889" i="3" s="1"/>
  <c r="G2888" i="3"/>
  <c r="H2888" i="3" s="1" a="1"/>
  <c r="H2888" i="3" s="1"/>
  <c r="G2887" i="3"/>
  <c r="H2887" i="3" s="1" a="1"/>
  <c r="H2887" i="3" s="1"/>
  <c r="G2886" i="3"/>
  <c r="H2886" i="3" s="1" a="1"/>
  <c r="H2886" i="3" s="1"/>
  <c r="G2885" i="3"/>
  <c r="H2885" i="3" s="1" a="1"/>
  <c r="H2885" i="3" s="1"/>
  <c r="G2884" i="3"/>
  <c r="H2884" i="3" s="1" a="1"/>
  <c r="H2884" i="3" s="1"/>
  <c r="G2883" i="3"/>
  <c r="H2883" i="3" s="1" a="1"/>
  <c r="H2883" i="3" s="1"/>
  <c r="G2882" i="3"/>
  <c r="H2882" i="3" s="1" a="1"/>
  <c r="H2882" i="3" s="1"/>
  <c r="G2881" i="3"/>
  <c r="H2881" i="3" s="1" a="1"/>
  <c r="H2881" i="3" s="1"/>
  <c r="G2880" i="3"/>
  <c r="H2880" i="3" s="1" a="1"/>
  <c r="H2880" i="3" s="1"/>
  <c r="G2879" i="3"/>
  <c r="H2879" i="3" s="1" a="1"/>
  <c r="H2879" i="3" s="1"/>
  <c r="G2878" i="3"/>
  <c r="H2878" i="3" s="1" a="1"/>
  <c r="H2878" i="3" s="1"/>
  <c r="G2877" i="3"/>
  <c r="H2877" i="3" s="1" a="1"/>
  <c r="H2877" i="3" s="1"/>
  <c r="G2876" i="3"/>
  <c r="H2876" i="3" s="1" a="1"/>
  <c r="H2876" i="3" s="1"/>
  <c r="G2875" i="3"/>
  <c r="H2875" i="3" s="1" a="1"/>
  <c r="H2875" i="3" s="1"/>
  <c r="G2874" i="3"/>
  <c r="H2874" i="3" s="1" a="1"/>
  <c r="H2874" i="3" s="1"/>
  <c r="G2873" i="3"/>
  <c r="H2873" i="3" s="1" a="1"/>
  <c r="H2873" i="3" s="1"/>
  <c r="G2872" i="3"/>
  <c r="H2872" i="3" s="1" a="1"/>
  <c r="H2872" i="3" s="1"/>
  <c r="G2871" i="3"/>
  <c r="H2871" i="3" s="1" a="1"/>
  <c r="H2871" i="3" s="1"/>
  <c r="G2870" i="3"/>
  <c r="H2870" i="3" s="1" a="1"/>
  <c r="H2870" i="3" s="1"/>
  <c r="G2869" i="3"/>
  <c r="H2869" i="3" s="1" a="1"/>
  <c r="H2869" i="3" s="1"/>
  <c r="G2868" i="3"/>
  <c r="H2868" i="3" s="1" a="1"/>
  <c r="H2868" i="3" s="1"/>
  <c r="G2867" i="3"/>
  <c r="H2867" i="3" s="1" a="1"/>
  <c r="H2867" i="3" s="1"/>
  <c r="G2866" i="3"/>
  <c r="H2866" i="3" s="1" a="1"/>
  <c r="H2866" i="3" s="1"/>
  <c r="G2865" i="3"/>
  <c r="H2865" i="3" s="1" a="1"/>
  <c r="H2865" i="3" s="1"/>
  <c r="G2864" i="3"/>
  <c r="H2864" i="3" s="1" a="1"/>
  <c r="H2864" i="3" s="1"/>
  <c r="G2863" i="3"/>
  <c r="H2863" i="3" s="1" a="1"/>
  <c r="H2863" i="3" s="1"/>
  <c r="G2862" i="3"/>
  <c r="H2862" i="3" s="1" a="1"/>
  <c r="H2862" i="3" s="1"/>
  <c r="G2861" i="3"/>
  <c r="H2861" i="3" s="1" a="1"/>
  <c r="H2861" i="3" s="1"/>
  <c r="G2860" i="3"/>
  <c r="H2860" i="3" s="1" a="1"/>
  <c r="H2860" i="3" s="1"/>
  <c r="G2859" i="3"/>
  <c r="H2859" i="3" s="1" a="1"/>
  <c r="H2859" i="3" s="1"/>
  <c r="G2858" i="3"/>
  <c r="H2858" i="3" s="1" a="1"/>
  <c r="H2858" i="3" s="1"/>
  <c r="G2857" i="3"/>
  <c r="H2857" i="3" s="1" a="1"/>
  <c r="H2857" i="3" s="1"/>
  <c r="G2856" i="3"/>
  <c r="H2856" i="3" s="1" a="1"/>
  <c r="H2856" i="3" s="1"/>
  <c r="G2855" i="3"/>
  <c r="H2855" i="3" s="1" a="1"/>
  <c r="H2855" i="3" s="1"/>
  <c r="G2854" i="3"/>
  <c r="H2854" i="3" s="1" a="1"/>
  <c r="H2854" i="3" s="1"/>
  <c r="G2853" i="3"/>
  <c r="H2853" i="3" s="1" a="1"/>
  <c r="H2853" i="3" s="1"/>
  <c r="G2852" i="3"/>
  <c r="H2852" i="3" s="1" a="1"/>
  <c r="H2852" i="3" s="1"/>
  <c r="G2851" i="3"/>
  <c r="H2851" i="3" s="1" a="1"/>
  <c r="H2851" i="3" s="1"/>
  <c r="G2850" i="3"/>
  <c r="H2850" i="3" s="1" a="1"/>
  <c r="H2850" i="3" s="1"/>
  <c r="G2849" i="3"/>
  <c r="H2849" i="3" s="1" a="1"/>
  <c r="H2849" i="3" s="1"/>
  <c r="G2848" i="3"/>
  <c r="H2848" i="3" s="1" a="1"/>
  <c r="H2848" i="3" s="1"/>
  <c r="G2847" i="3"/>
  <c r="H2847" i="3" s="1" a="1"/>
  <c r="H2847" i="3" s="1"/>
  <c r="G2846" i="3"/>
  <c r="H2846" i="3" s="1" a="1"/>
  <c r="H2846" i="3" s="1"/>
  <c r="G2845" i="3"/>
  <c r="H2845" i="3" s="1" a="1"/>
  <c r="H2845" i="3" s="1"/>
  <c r="G2844" i="3"/>
  <c r="H2844" i="3" s="1" a="1"/>
  <c r="H2844" i="3" s="1"/>
  <c r="G2843" i="3"/>
  <c r="H2843" i="3" s="1" a="1"/>
  <c r="H2843" i="3" s="1"/>
  <c r="G2842" i="3"/>
  <c r="H2842" i="3" s="1" a="1"/>
  <c r="H2842" i="3" s="1"/>
  <c r="G2841" i="3"/>
  <c r="H2841" i="3" s="1" a="1"/>
  <c r="H2841" i="3" s="1"/>
  <c r="G2840" i="3"/>
  <c r="H2840" i="3" s="1" a="1"/>
  <c r="H2840" i="3" s="1"/>
  <c r="G2839" i="3"/>
  <c r="H2839" i="3" s="1" a="1"/>
  <c r="H2839" i="3" s="1"/>
  <c r="G2838" i="3"/>
  <c r="H2838" i="3" s="1" a="1"/>
  <c r="H2838" i="3" s="1"/>
  <c r="G2837" i="3"/>
  <c r="H2837" i="3" s="1" a="1"/>
  <c r="H2837" i="3" s="1"/>
  <c r="G2836" i="3"/>
  <c r="H2836" i="3" s="1" a="1"/>
  <c r="H2836" i="3" s="1"/>
  <c r="G2835" i="3"/>
  <c r="H2835" i="3" s="1" a="1"/>
  <c r="H2835" i="3" s="1"/>
  <c r="G2834" i="3"/>
  <c r="H2834" i="3" s="1" a="1"/>
  <c r="H2834" i="3" s="1"/>
  <c r="G2833" i="3"/>
  <c r="H2833" i="3" s="1" a="1"/>
  <c r="H2833" i="3" s="1"/>
  <c r="G2832" i="3"/>
  <c r="H2832" i="3" s="1" a="1"/>
  <c r="H2832" i="3" s="1"/>
  <c r="G2831" i="3"/>
  <c r="H2831" i="3" s="1" a="1"/>
  <c r="H2831" i="3" s="1"/>
  <c r="G2830" i="3"/>
  <c r="H2830" i="3" s="1" a="1"/>
  <c r="H2830" i="3" s="1"/>
  <c r="G2829" i="3"/>
  <c r="H2829" i="3" s="1" a="1"/>
  <c r="H2829" i="3" s="1"/>
  <c r="G2828" i="3"/>
  <c r="H2828" i="3" s="1" a="1"/>
  <c r="H2828" i="3" s="1"/>
  <c r="G2827" i="3"/>
  <c r="H2827" i="3" s="1" a="1"/>
  <c r="H2827" i="3" s="1"/>
  <c r="G2826" i="3"/>
  <c r="H2826" i="3" s="1" a="1"/>
  <c r="H2826" i="3" s="1"/>
  <c r="G2825" i="3"/>
  <c r="H2825" i="3" s="1" a="1"/>
  <c r="H2825" i="3" s="1"/>
  <c r="G2824" i="3"/>
  <c r="H2824" i="3" s="1" a="1"/>
  <c r="H2824" i="3" s="1"/>
  <c r="G2823" i="3"/>
  <c r="H2823" i="3" s="1" a="1"/>
  <c r="H2823" i="3" s="1"/>
  <c r="G2822" i="3"/>
  <c r="H2822" i="3" s="1" a="1"/>
  <c r="H2822" i="3" s="1"/>
  <c r="G2821" i="3"/>
  <c r="H2821" i="3" s="1" a="1"/>
  <c r="H2821" i="3" s="1"/>
  <c r="G2820" i="3"/>
  <c r="H2820" i="3" s="1" a="1"/>
  <c r="H2820" i="3" s="1"/>
  <c r="G2819" i="3"/>
  <c r="H2819" i="3" s="1" a="1"/>
  <c r="H2819" i="3" s="1"/>
  <c r="G2818" i="3"/>
  <c r="H2818" i="3" s="1" a="1"/>
  <c r="H2818" i="3" s="1"/>
  <c r="G2817" i="3"/>
  <c r="H2817" i="3" s="1" a="1"/>
  <c r="H2817" i="3" s="1"/>
  <c r="G2816" i="3"/>
  <c r="H2816" i="3" s="1" a="1"/>
  <c r="H2816" i="3" s="1"/>
  <c r="G2815" i="3"/>
  <c r="H2815" i="3" s="1" a="1"/>
  <c r="H2815" i="3" s="1"/>
  <c r="G2814" i="3"/>
  <c r="H2814" i="3" s="1" a="1"/>
  <c r="H2814" i="3" s="1"/>
  <c r="G2813" i="3"/>
  <c r="H2813" i="3" s="1" a="1"/>
  <c r="H2813" i="3" s="1"/>
  <c r="G2812" i="3"/>
  <c r="H2812" i="3" s="1" a="1"/>
  <c r="H2812" i="3" s="1"/>
  <c r="G2811" i="3"/>
  <c r="H2811" i="3" s="1" a="1"/>
  <c r="H2811" i="3" s="1"/>
  <c r="G2810" i="3"/>
  <c r="H2810" i="3" s="1" a="1"/>
  <c r="H2810" i="3" s="1"/>
  <c r="G2809" i="3"/>
  <c r="H2809" i="3" s="1" a="1"/>
  <c r="H2809" i="3" s="1"/>
  <c r="G2808" i="3"/>
  <c r="H2808" i="3" s="1" a="1"/>
  <c r="H2808" i="3" s="1"/>
  <c r="G2807" i="3"/>
  <c r="H2807" i="3" s="1" a="1"/>
  <c r="H2807" i="3" s="1"/>
  <c r="G2806" i="3"/>
  <c r="H2806" i="3" s="1" a="1"/>
  <c r="H2806" i="3" s="1"/>
  <c r="G2805" i="3"/>
  <c r="H2805" i="3" s="1" a="1"/>
  <c r="H2805" i="3" s="1"/>
  <c r="G2804" i="3"/>
  <c r="H2804" i="3" s="1" a="1"/>
  <c r="H2804" i="3" s="1"/>
  <c r="G2803" i="3"/>
  <c r="H2803" i="3" s="1" a="1"/>
  <c r="H2803" i="3" s="1"/>
  <c r="G2802" i="3"/>
  <c r="H2802" i="3" s="1" a="1"/>
  <c r="H2802" i="3" s="1"/>
  <c r="G2801" i="3"/>
  <c r="H2801" i="3" s="1" a="1"/>
  <c r="H2801" i="3" s="1"/>
  <c r="G2800" i="3"/>
  <c r="H2800" i="3" s="1" a="1"/>
  <c r="H2800" i="3" s="1"/>
  <c r="G2799" i="3"/>
  <c r="H2799" i="3" s="1" a="1"/>
  <c r="H2799" i="3" s="1"/>
  <c r="G2798" i="3"/>
  <c r="H2798" i="3" s="1" a="1"/>
  <c r="H2798" i="3" s="1"/>
  <c r="G2797" i="3"/>
  <c r="H2797" i="3" s="1" a="1"/>
  <c r="H2797" i="3" s="1"/>
  <c r="G2796" i="3"/>
  <c r="H2796" i="3" s="1" a="1"/>
  <c r="H2796" i="3" s="1"/>
  <c r="G2795" i="3"/>
  <c r="H2795" i="3" s="1" a="1"/>
  <c r="H2795" i="3" s="1"/>
  <c r="G2794" i="3"/>
  <c r="H2794" i="3" s="1" a="1"/>
  <c r="H2794" i="3" s="1"/>
  <c r="G2793" i="3"/>
  <c r="H2793" i="3" s="1" a="1"/>
  <c r="H2793" i="3" s="1"/>
  <c r="G2792" i="3"/>
  <c r="H2792" i="3" s="1" a="1"/>
  <c r="H2792" i="3" s="1"/>
  <c r="G2791" i="3"/>
  <c r="H2791" i="3" s="1" a="1"/>
  <c r="H2791" i="3" s="1"/>
  <c r="G2790" i="3"/>
  <c r="H2790" i="3" s="1" a="1"/>
  <c r="H2790" i="3" s="1"/>
  <c r="G2789" i="3"/>
  <c r="H2789" i="3" s="1" a="1"/>
  <c r="H2789" i="3" s="1"/>
  <c r="G2788" i="3"/>
  <c r="H2788" i="3" s="1" a="1"/>
  <c r="H2788" i="3" s="1"/>
  <c r="G2787" i="3"/>
  <c r="H2787" i="3" s="1" a="1"/>
  <c r="H2787" i="3" s="1"/>
  <c r="G2786" i="3"/>
  <c r="H2786" i="3" s="1" a="1"/>
  <c r="H2786" i="3" s="1"/>
  <c r="G2785" i="3"/>
  <c r="H2785" i="3" s="1" a="1"/>
  <c r="H2785" i="3" s="1"/>
  <c r="G2784" i="3"/>
  <c r="H2784" i="3" s="1" a="1"/>
  <c r="H2784" i="3" s="1"/>
  <c r="G2783" i="3"/>
  <c r="H2783" i="3" s="1" a="1"/>
  <c r="H2783" i="3" s="1"/>
  <c r="G2782" i="3"/>
  <c r="H2782" i="3" s="1" a="1"/>
  <c r="H2782" i="3" s="1"/>
  <c r="G2781" i="3"/>
  <c r="H2781" i="3" s="1" a="1"/>
  <c r="H2781" i="3" s="1"/>
  <c r="G2780" i="3"/>
  <c r="H2780" i="3" s="1" a="1"/>
  <c r="H2780" i="3" s="1"/>
  <c r="G2779" i="3"/>
  <c r="H2779" i="3" s="1" a="1"/>
  <c r="H2779" i="3" s="1"/>
  <c r="G2778" i="3"/>
  <c r="H2778" i="3" s="1" a="1"/>
  <c r="H2778" i="3" s="1"/>
  <c r="G2777" i="3"/>
  <c r="H2777" i="3" s="1" a="1"/>
  <c r="H2777" i="3" s="1"/>
  <c r="G2776" i="3"/>
  <c r="H2776" i="3" s="1" a="1"/>
  <c r="H2776" i="3" s="1"/>
  <c r="G2775" i="3"/>
  <c r="H2775" i="3" s="1" a="1"/>
  <c r="H2775" i="3" s="1"/>
  <c r="G2774" i="3"/>
  <c r="H2774" i="3" s="1" a="1"/>
  <c r="H2774" i="3" s="1"/>
  <c r="G2773" i="3"/>
  <c r="H2773" i="3" s="1" a="1"/>
  <c r="H2773" i="3" s="1"/>
  <c r="G2772" i="3"/>
  <c r="H2772" i="3" s="1" a="1"/>
  <c r="H2772" i="3" s="1"/>
  <c r="G2771" i="3"/>
  <c r="H2771" i="3" s="1" a="1"/>
  <c r="H2771" i="3" s="1"/>
  <c r="G2770" i="3"/>
  <c r="H2770" i="3" s="1" a="1"/>
  <c r="H2770" i="3" s="1"/>
  <c r="G2769" i="3"/>
  <c r="H2769" i="3" s="1" a="1"/>
  <c r="H2769" i="3" s="1"/>
  <c r="G2768" i="3"/>
  <c r="H2768" i="3" s="1" a="1"/>
  <c r="H2768" i="3" s="1"/>
  <c r="G2767" i="3"/>
  <c r="H2767" i="3" s="1" a="1"/>
  <c r="H2767" i="3" s="1"/>
  <c r="G2766" i="3"/>
  <c r="H2766" i="3" s="1" a="1"/>
  <c r="H2766" i="3" s="1"/>
  <c r="G2765" i="3"/>
  <c r="H2765" i="3" s="1" a="1"/>
  <c r="H2765" i="3" s="1"/>
  <c r="G2764" i="3"/>
  <c r="H2764" i="3" s="1" a="1"/>
  <c r="H2764" i="3" s="1"/>
  <c r="G2763" i="3"/>
  <c r="H2763" i="3" s="1" a="1"/>
  <c r="H2763" i="3" s="1"/>
  <c r="G2762" i="3"/>
  <c r="H2762" i="3" s="1" a="1"/>
  <c r="H2762" i="3" s="1"/>
  <c r="G2761" i="3"/>
  <c r="H2761" i="3" s="1" a="1"/>
  <c r="H2761" i="3" s="1"/>
  <c r="G2760" i="3"/>
  <c r="H2760" i="3" s="1" a="1"/>
  <c r="H2760" i="3" s="1"/>
  <c r="G2759" i="3"/>
  <c r="H2759" i="3" s="1" a="1"/>
  <c r="H2759" i="3" s="1"/>
  <c r="G2758" i="3"/>
  <c r="H2758" i="3" s="1" a="1"/>
  <c r="H2758" i="3" s="1"/>
  <c r="G2757" i="3"/>
  <c r="H2757" i="3" s="1" a="1"/>
  <c r="H2757" i="3" s="1"/>
  <c r="G2756" i="3"/>
  <c r="H2756" i="3" s="1" a="1"/>
  <c r="H2756" i="3" s="1"/>
  <c r="G2755" i="3"/>
  <c r="H2755" i="3" s="1" a="1"/>
  <c r="H2755" i="3" s="1"/>
  <c r="G2754" i="3"/>
  <c r="H2754" i="3" s="1" a="1"/>
  <c r="H2754" i="3" s="1"/>
  <c r="G2753" i="3"/>
  <c r="H2753" i="3" s="1" a="1"/>
  <c r="H2753" i="3" s="1"/>
  <c r="G2752" i="3"/>
  <c r="H2752" i="3" s="1" a="1"/>
  <c r="H2752" i="3" s="1"/>
  <c r="G2751" i="3"/>
  <c r="H2751" i="3" s="1" a="1"/>
  <c r="H2751" i="3" s="1"/>
  <c r="G2750" i="3"/>
  <c r="H2750" i="3" s="1" a="1"/>
  <c r="H2750" i="3" s="1"/>
  <c r="G2749" i="3"/>
  <c r="H2749" i="3" s="1" a="1"/>
  <c r="H2749" i="3" s="1"/>
  <c r="G2748" i="3"/>
  <c r="H2748" i="3" s="1" a="1"/>
  <c r="H2748" i="3" s="1"/>
  <c r="G2747" i="3"/>
  <c r="H2747" i="3" s="1" a="1"/>
  <c r="H2747" i="3" s="1"/>
  <c r="G2746" i="3"/>
  <c r="H2746" i="3" s="1" a="1"/>
  <c r="H2746" i="3" s="1"/>
  <c r="G2745" i="3"/>
  <c r="H2745" i="3" s="1" a="1"/>
  <c r="H2745" i="3" s="1"/>
  <c r="G2744" i="3"/>
  <c r="H2744" i="3" s="1" a="1"/>
  <c r="H2744" i="3" s="1"/>
  <c r="G2743" i="3"/>
  <c r="H2743" i="3" s="1" a="1"/>
  <c r="H2743" i="3" s="1"/>
  <c r="G2742" i="3"/>
  <c r="H2742" i="3" s="1" a="1"/>
  <c r="H2742" i="3" s="1"/>
  <c r="G2741" i="3"/>
  <c r="H2741" i="3" s="1" a="1"/>
  <c r="H2741" i="3" s="1"/>
  <c r="G2740" i="3"/>
  <c r="H2740" i="3" s="1" a="1"/>
  <c r="H2740" i="3" s="1"/>
  <c r="G2739" i="3"/>
  <c r="H2739" i="3" s="1" a="1"/>
  <c r="H2739" i="3" s="1"/>
  <c r="G2738" i="3"/>
  <c r="H2738" i="3" s="1" a="1"/>
  <c r="H2738" i="3" s="1"/>
  <c r="G2737" i="3"/>
  <c r="H2737" i="3" s="1" a="1"/>
  <c r="H2737" i="3" s="1"/>
  <c r="G2736" i="3"/>
  <c r="H2736" i="3" s="1" a="1"/>
  <c r="H2736" i="3" s="1"/>
  <c r="G2735" i="3"/>
  <c r="H2735" i="3" s="1" a="1"/>
  <c r="H2735" i="3" s="1"/>
  <c r="G2734" i="3"/>
  <c r="H2734" i="3" s="1" a="1"/>
  <c r="H2734" i="3" s="1"/>
  <c r="G2733" i="3"/>
  <c r="H2733" i="3" s="1" a="1"/>
  <c r="H2733" i="3" s="1"/>
  <c r="G2732" i="3"/>
  <c r="H2732" i="3" s="1" a="1"/>
  <c r="H2732" i="3" s="1"/>
  <c r="G2731" i="3"/>
  <c r="H2731" i="3" s="1" a="1"/>
  <c r="H2731" i="3" s="1"/>
  <c r="G2730" i="3"/>
  <c r="H2730" i="3" s="1" a="1"/>
  <c r="H2730" i="3" s="1"/>
  <c r="G2729" i="3"/>
  <c r="H2729" i="3" s="1" a="1"/>
  <c r="H2729" i="3" s="1"/>
  <c r="G2728" i="3"/>
  <c r="H2728" i="3" s="1" a="1"/>
  <c r="H2728" i="3" s="1"/>
  <c r="G2727" i="3"/>
  <c r="H2727" i="3" s="1" a="1"/>
  <c r="H2727" i="3" s="1"/>
  <c r="G2726" i="3"/>
  <c r="H2726" i="3" s="1" a="1"/>
  <c r="H2726" i="3" s="1"/>
  <c r="G2725" i="3"/>
  <c r="H2725" i="3" s="1" a="1"/>
  <c r="H2725" i="3" s="1"/>
  <c r="G2724" i="3"/>
  <c r="H2724" i="3" s="1" a="1"/>
  <c r="H2724" i="3" s="1"/>
  <c r="G2723" i="3"/>
  <c r="H2723" i="3" s="1" a="1"/>
  <c r="H2723" i="3" s="1"/>
  <c r="G2722" i="3"/>
  <c r="H2722" i="3" s="1" a="1"/>
  <c r="H2722" i="3" s="1"/>
  <c r="G2721" i="3"/>
  <c r="H2721" i="3" s="1" a="1"/>
  <c r="H2721" i="3" s="1"/>
  <c r="G2720" i="3"/>
  <c r="H2720" i="3" s="1" a="1"/>
  <c r="H2720" i="3" s="1"/>
  <c r="G2719" i="3"/>
  <c r="H2719" i="3" s="1" a="1"/>
  <c r="H2719" i="3" s="1"/>
  <c r="G2718" i="3"/>
  <c r="H2718" i="3" s="1" a="1"/>
  <c r="H2718" i="3" s="1"/>
  <c r="G2717" i="3"/>
  <c r="H2717" i="3" s="1" a="1"/>
  <c r="H2717" i="3" s="1"/>
  <c r="G2716" i="3"/>
  <c r="H2716" i="3" s="1" a="1"/>
  <c r="H2716" i="3" s="1"/>
  <c r="G2715" i="3"/>
  <c r="H2715" i="3" s="1" a="1"/>
  <c r="H2715" i="3" s="1"/>
  <c r="G2714" i="3"/>
  <c r="H2714" i="3" s="1" a="1"/>
  <c r="H2714" i="3" s="1"/>
  <c r="G2713" i="3"/>
  <c r="H2713" i="3" s="1" a="1"/>
  <c r="H2713" i="3" s="1"/>
  <c r="G2712" i="3"/>
  <c r="H2712" i="3" s="1" a="1"/>
  <c r="H2712" i="3" s="1"/>
  <c r="G2711" i="3"/>
  <c r="H2711" i="3" s="1" a="1"/>
  <c r="H2711" i="3" s="1"/>
  <c r="G2710" i="3"/>
  <c r="H2710" i="3" s="1" a="1"/>
  <c r="H2710" i="3" s="1"/>
  <c r="G2709" i="3"/>
  <c r="H2709" i="3" s="1" a="1"/>
  <c r="H2709" i="3" s="1"/>
  <c r="G2708" i="3"/>
  <c r="H2708" i="3" s="1" a="1"/>
  <c r="H2708" i="3" s="1"/>
  <c r="G2707" i="3"/>
  <c r="H2707" i="3" s="1" a="1"/>
  <c r="H2707" i="3" s="1"/>
  <c r="G2706" i="3"/>
  <c r="H2706" i="3" s="1" a="1"/>
  <c r="H2706" i="3" s="1"/>
  <c r="G2705" i="3"/>
  <c r="H2705" i="3" s="1" a="1"/>
  <c r="H2705" i="3" s="1"/>
  <c r="G2704" i="3"/>
  <c r="H2704" i="3" s="1" a="1"/>
  <c r="H2704" i="3" s="1"/>
  <c r="G2703" i="3"/>
  <c r="H2703" i="3" s="1" a="1"/>
  <c r="H2703" i="3" s="1"/>
  <c r="G2702" i="3"/>
  <c r="H2702" i="3" s="1" a="1"/>
  <c r="H2702" i="3" s="1"/>
  <c r="G2701" i="3"/>
  <c r="H2701" i="3" s="1" a="1"/>
  <c r="H2701" i="3" s="1"/>
  <c r="G2700" i="3"/>
  <c r="H2700" i="3" s="1" a="1"/>
  <c r="H2700" i="3" s="1"/>
  <c r="G2699" i="3"/>
  <c r="H2699" i="3" s="1" a="1"/>
  <c r="H2699" i="3" s="1"/>
  <c r="G2698" i="3"/>
  <c r="H2698" i="3" s="1" a="1"/>
  <c r="H2698" i="3" s="1"/>
  <c r="G2697" i="3"/>
  <c r="H2697" i="3" s="1" a="1"/>
  <c r="H2697" i="3" s="1"/>
  <c r="G2696" i="3"/>
  <c r="H2696" i="3" s="1" a="1"/>
  <c r="H2696" i="3" s="1"/>
  <c r="G2695" i="3"/>
  <c r="H2695" i="3" s="1" a="1"/>
  <c r="H2695" i="3" s="1"/>
  <c r="G2694" i="3"/>
  <c r="H2694" i="3" s="1" a="1"/>
  <c r="H2694" i="3" s="1"/>
  <c r="G2693" i="3"/>
  <c r="H2693" i="3" s="1" a="1"/>
  <c r="H2693" i="3" s="1"/>
  <c r="G2692" i="3"/>
  <c r="H2692" i="3" s="1" a="1"/>
  <c r="H2692" i="3" s="1"/>
  <c r="G2691" i="3"/>
  <c r="H2691" i="3" s="1" a="1"/>
  <c r="H2691" i="3" s="1"/>
  <c r="G2690" i="3"/>
  <c r="H2690" i="3" s="1" a="1"/>
  <c r="H2690" i="3" s="1"/>
  <c r="G2689" i="3"/>
  <c r="H2689" i="3" s="1" a="1"/>
  <c r="H2689" i="3" s="1"/>
  <c r="G2688" i="3"/>
  <c r="H2688" i="3" s="1" a="1"/>
  <c r="H2688" i="3" s="1"/>
  <c r="G2687" i="3"/>
  <c r="H2687" i="3" s="1" a="1"/>
  <c r="H2687" i="3" s="1"/>
  <c r="G2686" i="3"/>
  <c r="H2686" i="3" s="1" a="1"/>
  <c r="H2686" i="3" s="1"/>
  <c r="G2685" i="3"/>
  <c r="H2685" i="3" s="1" a="1"/>
  <c r="H2685" i="3" s="1"/>
  <c r="G2684" i="3"/>
  <c r="H2684" i="3" s="1" a="1"/>
  <c r="H2684" i="3" s="1"/>
  <c r="G2683" i="3"/>
  <c r="H2683" i="3" s="1" a="1"/>
  <c r="H2683" i="3" s="1"/>
  <c r="G2682" i="3"/>
  <c r="H2682" i="3" s="1" a="1"/>
  <c r="H2682" i="3" s="1"/>
  <c r="G2681" i="3"/>
  <c r="H2681" i="3" s="1" a="1"/>
  <c r="H2681" i="3" s="1"/>
  <c r="G2680" i="3"/>
  <c r="H2680" i="3" s="1" a="1"/>
  <c r="H2680" i="3" s="1"/>
  <c r="G2679" i="3"/>
  <c r="H2679" i="3" s="1" a="1"/>
  <c r="H2679" i="3" s="1"/>
  <c r="G2678" i="3"/>
  <c r="H2678" i="3" s="1" a="1"/>
  <c r="H2678" i="3" s="1"/>
  <c r="G2677" i="3"/>
  <c r="H2677" i="3" s="1" a="1"/>
  <c r="H2677" i="3" s="1"/>
  <c r="G2676" i="3"/>
  <c r="H2676" i="3" s="1" a="1"/>
  <c r="H2676" i="3" s="1"/>
  <c r="G2675" i="3"/>
  <c r="H2675" i="3" s="1" a="1"/>
  <c r="H2675" i="3" s="1"/>
  <c r="G2674" i="3"/>
  <c r="H2674" i="3" s="1" a="1"/>
  <c r="H2674" i="3" s="1"/>
  <c r="G2673" i="3"/>
  <c r="H2673" i="3" s="1" a="1"/>
  <c r="H2673" i="3" s="1"/>
  <c r="G2672" i="3"/>
  <c r="H2672" i="3" s="1" a="1"/>
  <c r="H2672" i="3" s="1"/>
  <c r="G2671" i="3"/>
  <c r="H2671" i="3" s="1" a="1"/>
  <c r="H2671" i="3" s="1"/>
  <c r="G2670" i="3"/>
  <c r="H2670" i="3" s="1" a="1"/>
  <c r="H2670" i="3" s="1"/>
  <c r="G2669" i="3"/>
  <c r="H2669" i="3" s="1" a="1"/>
  <c r="H2669" i="3" s="1"/>
  <c r="G2668" i="3"/>
  <c r="H2668" i="3" s="1" a="1"/>
  <c r="H2668" i="3" s="1"/>
  <c r="G2667" i="3"/>
  <c r="H2667" i="3" s="1" a="1"/>
  <c r="H2667" i="3" s="1"/>
  <c r="G2666" i="3"/>
  <c r="H2666" i="3" s="1" a="1"/>
  <c r="H2666" i="3" s="1"/>
  <c r="G2665" i="3"/>
  <c r="H2665" i="3" s="1" a="1"/>
  <c r="H2665" i="3" s="1"/>
  <c r="G2664" i="3"/>
  <c r="H2664" i="3" s="1" a="1"/>
  <c r="H2664" i="3" s="1"/>
  <c r="G2663" i="3"/>
  <c r="H2663" i="3" s="1" a="1"/>
  <c r="H2663" i="3" s="1"/>
  <c r="G2662" i="3"/>
  <c r="H2662" i="3" s="1" a="1"/>
  <c r="H2662" i="3" s="1"/>
  <c r="G2661" i="3"/>
  <c r="H2661" i="3" s="1" a="1"/>
  <c r="H2661" i="3" s="1"/>
  <c r="G2660" i="3"/>
  <c r="H2660" i="3" s="1" a="1"/>
  <c r="H2660" i="3" s="1"/>
  <c r="G2659" i="3"/>
  <c r="H2659" i="3" s="1" a="1"/>
  <c r="H2659" i="3" s="1"/>
  <c r="G2658" i="3"/>
  <c r="H2658" i="3" s="1" a="1"/>
  <c r="H2658" i="3" s="1"/>
  <c r="G2657" i="3"/>
  <c r="H2657" i="3" s="1" a="1"/>
  <c r="H2657" i="3" s="1"/>
  <c r="G2656" i="3"/>
  <c r="H2656" i="3" s="1" a="1"/>
  <c r="H2656" i="3" s="1"/>
  <c r="G2655" i="3"/>
  <c r="H2655" i="3" s="1" a="1"/>
  <c r="H2655" i="3" s="1"/>
  <c r="G2654" i="3"/>
  <c r="H2654" i="3" s="1" a="1"/>
  <c r="H2654" i="3" s="1"/>
  <c r="G2653" i="3"/>
  <c r="H2653" i="3" s="1" a="1"/>
  <c r="H2653" i="3" s="1"/>
  <c r="G2652" i="3"/>
  <c r="H2652" i="3" s="1" a="1"/>
  <c r="H2652" i="3" s="1"/>
  <c r="G2651" i="3"/>
  <c r="H2651" i="3" s="1" a="1"/>
  <c r="H2651" i="3" s="1"/>
  <c r="G2650" i="3"/>
  <c r="H2650" i="3" s="1" a="1"/>
  <c r="H2650" i="3" s="1"/>
  <c r="G2649" i="3"/>
  <c r="H2649" i="3" s="1" a="1"/>
  <c r="H2649" i="3" s="1"/>
  <c r="G2648" i="3"/>
  <c r="H2648" i="3" s="1" a="1"/>
  <c r="H2648" i="3" s="1"/>
  <c r="G2647" i="3"/>
  <c r="H2647" i="3" s="1" a="1"/>
  <c r="H2647" i="3" s="1"/>
  <c r="G2646" i="3"/>
  <c r="H2646" i="3" s="1" a="1"/>
  <c r="H2646" i="3" s="1"/>
  <c r="G2645" i="3"/>
  <c r="H2645" i="3" s="1" a="1"/>
  <c r="H2645" i="3" s="1"/>
  <c r="G2644" i="3"/>
  <c r="H2644" i="3" s="1" a="1"/>
  <c r="H2644" i="3" s="1"/>
  <c r="G2643" i="3"/>
  <c r="H2643" i="3" s="1" a="1"/>
  <c r="H2643" i="3" s="1"/>
  <c r="G2642" i="3"/>
  <c r="H2642" i="3" s="1" a="1"/>
  <c r="H2642" i="3" s="1"/>
  <c r="G2641" i="3"/>
  <c r="H2641" i="3" s="1" a="1"/>
  <c r="H2641" i="3" s="1"/>
  <c r="G2640" i="3"/>
  <c r="H2640" i="3" s="1" a="1"/>
  <c r="H2640" i="3" s="1"/>
  <c r="G2639" i="3"/>
  <c r="H2639" i="3" s="1" a="1"/>
  <c r="H2639" i="3" s="1"/>
  <c r="G2638" i="3"/>
  <c r="H2638" i="3" s="1" a="1"/>
  <c r="H2638" i="3" s="1"/>
  <c r="G2637" i="3"/>
  <c r="H2637" i="3" s="1" a="1"/>
  <c r="H2637" i="3" s="1"/>
  <c r="G2636" i="3"/>
  <c r="H2636" i="3" s="1" a="1"/>
  <c r="H2636" i="3" s="1"/>
  <c r="G2635" i="3"/>
  <c r="H2635" i="3" s="1" a="1"/>
  <c r="H2635" i="3" s="1"/>
  <c r="G2634" i="3"/>
  <c r="H2634" i="3" s="1" a="1"/>
  <c r="H2634" i="3" s="1"/>
  <c r="G2633" i="3"/>
  <c r="H2633" i="3" s="1" a="1"/>
  <c r="H2633" i="3" s="1"/>
  <c r="G2632" i="3"/>
  <c r="H2632" i="3" s="1" a="1"/>
  <c r="H2632" i="3" s="1"/>
  <c r="G2631" i="3"/>
  <c r="H2631" i="3" s="1" a="1"/>
  <c r="H2631" i="3" s="1"/>
  <c r="G2630" i="3"/>
  <c r="H2630" i="3" s="1" a="1"/>
  <c r="H2630" i="3" s="1"/>
  <c r="G2629" i="3"/>
  <c r="H2629" i="3" s="1" a="1"/>
  <c r="H2629" i="3" s="1"/>
  <c r="G2628" i="3"/>
  <c r="H2628" i="3" s="1" a="1"/>
  <c r="H2628" i="3" s="1"/>
  <c r="G2627" i="3"/>
  <c r="H2627" i="3" s="1" a="1"/>
  <c r="H2627" i="3" s="1"/>
  <c r="G2626" i="3"/>
  <c r="H2626" i="3" s="1" a="1"/>
  <c r="H2626" i="3" s="1"/>
  <c r="G2625" i="3"/>
  <c r="H2625" i="3" s="1" a="1"/>
  <c r="H2625" i="3" s="1"/>
  <c r="G2624" i="3"/>
  <c r="H2624" i="3" s="1" a="1"/>
  <c r="H2624" i="3" s="1"/>
  <c r="G2623" i="3"/>
  <c r="H2623" i="3" s="1" a="1"/>
  <c r="H2623" i="3" s="1"/>
  <c r="G2622" i="3"/>
  <c r="H2622" i="3" s="1" a="1"/>
  <c r="H2622" i="3" s="1"/>
  <c r="G2621" i="3"/>
  <c r="H2621" i="3" s="1" a="1"/>
  <c r="H2621" i="3" s="1"/>
  <c r="G2620" i="3"/>
  <c r="H2620" i="3" s="1" a="1"/>
  <c r="H2620" i="3" s="1"/>
  <c r="G2619" i="3"/>
  <c r="H2619" i="3" s="1" a="1"/>
  <c r="H2619" i="3" s="1"/>
  <c r="G2618" i="3"/>
  <c r="H2618" i="3" s="1" a="1"/>
  <c r="H2618" i="3" s="1"/>
  <c r="G2617" i="3"/>
  <c r="H2617" i="3" s="1" a="1"/>
  <c r="H2617" i="3" s="1"/>
  <c r="G2616" i="3"/>
  <c r="H2616" i="3" s="1" a="1"/>
  <c r="H2616" i="3" s="1"/>
  <c r="G2615" i="3"/>
  <c r="H2615" i="3" s="1" a="1"/>
  <c r="H2615" i="3" s="1"/>
  <c r="G2614" i="3"/>
  <c r="H2614" i="3" s="1" a="1"/>
  <c r="H2614" i="3" s="1"/>
  <c r="G2613" i="3"/>
  <c r="H2613" i="3" s="1" a="1"/>
  <c r="H2613" i="3" s="1"/>
  <c r="G2612" i="3"/>
  <c r="H2612" i="3" s="1" a="1"/>
  <c r="H2612" i="3" s="1"/>
  <c r="G2611" i="3"/>
  <c r="H2611" i="3" s="1" a="1"/>
  <c r="H2611" i="3" s="1"/>
  <c r="G2610" i="3"/>
  <c r="H2610" i="3" s="1" a="1"/>
  <c r="H2610" i="3" s="1"/>
  <c r="G2609" i="3"/>
  <c r="H2609" i="3" s="1" a="1"/>
  <c r="H2609" i="3" s="1"/>
  <c r="G2608" i="3"/>
  <c r="H2608" i="3" s="1" a="1"/>
  <c r="H2608" i="3" s="1"/>
  <c r="G2607" i="3"/>
  <c r="H2607" i="3" s="1" a="1"/>
  <c r="H2607" i="3" s="1"/>
  <c r="G2606" i="3"/>
  <c r="H2606" i="3" s="1" a="1"/>
  <c r="H2606" i="3" s="1"/>
  <c r="G2605" i="3"/>
  <c r="H2605" i="3" s="1" a="1"/>
  <c r="H2605" i="3" s="1"/>
  <c r="G2604" i="3"/>
  <c r="H2604" i="3" s="1" a="1"/>
  <c r="H2604" i="3" s="1"/>
  <c r="G2603" i="3"/>
  <c r="H2603" i="3" s="1" a="1"/>
  <c r="H2603" i="3" s="1"/>
  <c r="G2602" i="3"/>
  <c r="H2602" i="3" s="1" a="1"/>
  <c r="H2602" i="3" s="1"/>
  <c r="G2601" i="3"/>
  <c r="H2601" i="3" s="1" a="1"/>
  <c r="H2601" i="3" s="1"/>
  <c r="G2600" i="3"/>
  <c r="H2600" i="3" s="1" a="1"/>
  <c r="H2600" i="3" s="1"/>
  <c r="G2599" i="3"/>
  <c r="H2599" i="3" s="1" a="1"/>
  <c r="H2599" i="3" s="1"/>
  <c r="G2598" i="3"/>
  <c r="H2598" i="3" s="1" a="1"/>
  <c r="H2598" i="3" s="1"/>
  <c r="G2597" i="3"/>
  <c r="H2597" i="3" s="1" a="1"/>
  <c r="H2597" i="3" s="1"/>
  <c r="G2596" i="3"/>
  <c r="H2596" i="3" s="1" a="1"/>
  <c r="H2596" i="3" s="1"/>
  <c r="G2595" i="3"/>
  <c r="H2595" i="3" s="1" a="1"/>
  <c r="H2595" i="3" s="1"/>
  <c r="G2594" i="3"/>
  <c r="H2594" i="3" s="1" a="1"/>
  <c r="H2594" i="3" s="1"/>
  <c r="G2593" i="3"/>
  <c r="H2593" i="3" s="1" a="1"/>
  <c r="H2593" i="3" s="1"/>
  <c r="G2592" i="3"/>
  <c r="H2592" i="3" s="1" a="1"/>
  <c r="H2592" i="3" s="1"/>
  <c r="G2591" i="3"/>
  <c r="H2591" i="3" s="1" a="1"/>
  <c r="H2591" i="3" s="1"/>
  <c r="G2590" i="3"/>
  <c r="H2590" i="3" s="1" a="1"/>
  <c r="H2590" i="3" s="1"/>
  <c r="G2589" i="3"/>
  <c r="H2589" i="3" s="1" a="1"/>
  <c r="H2589" i="3" s="1"/>
  <c r="G2588" i="3"/>
  <c r="H2588" i="3" s="1" a="1"/>
  <c r="H2588" i="3" s="1"/>
  <c r="G2587" i="3"/>
  <c r="H2587" i="3" s="1" a="1"/>
  <c r="H2587" i="3" s="1"/>
  <c r="G2586" i="3"/>
  <c r="H2586" i="3" s="1" a="1"/>
  <c r="H2586" i="3" s="1"/>
  <c r="G2585" i="3"/>
  <c r="H2585" i="3" s="1" a="1"/>
  <c r="H2585" i="3" s="1"/>
  <c r="G2584" i="3"/>
  <c r="H2584" i="3" s="1" a="1"/>
  <c r="H2584" i="3" s="1"/>
  <c r="G2583" i="3"/>
  <c r="H2583" i="3" s="1" a="1"/>
  <c r="H2583" i="3" s="1"/>
  <c r="G2582" i="3"/>
  <c r="H2582" i="3" s="1" a="1"/>
  <c r="H2582" i="3" s="1"/>
  <c r="G2581" i="3"/>
  <c r="H2581" i="3" s="1" a="1"/>
  <c r="H2581" i="3" s="1"/>
  <c r="G2580" i="3"/>
  <c r="H2580" i="3" s="1" a="1"/>
  <c r="H2580" i="3" s="1"/>
  <c r="G2579" i="3"/>
  <c r="H2579" i="3" s="1" a="1"/>
  <c r="H2579" i="3" s="1"/>
  <c r="G2578" i="3"/>
  <c r="H2578" i="3" s="1" a="1"/>
  <c r="H2578" i="3" s="1"/>
  <c r="G2577" i="3"/>
  <c r="H2577" i="3" s="1" a="1"/>
  <c r="H2577" i="3" s="1"/>
  <c r="G2576" i="3"/>
  <c r="H2576" i="3" s="1" a="1"/>
  <c r="H2576" i="3" s="1"/>
  <c r="G2575" i="3"/>
  <c r="H2575" i="3" s="1" a="1"/>
  <c r="H2575" i="3" s="1"/>
  <c r="G2574" i="3"/>
  <c r="H2574" i="3" s="1" a="1"/>
  <c r="H2574" i="3" s="1"/>
  <c r="G2573" i="3"/>
  <c r="H2573" i="3" s="1" a="1"/>
  <c r="H2573" i="3" s="1"/>
  <c r="G2572" i="3"/>
  <c r="H2572" i="3" s="1" a="1"/>
  <c r="H2572" i="3" s="1"/>
  <c r="G2571" i="3"/>
  <c r="H2571" i="3" s="1" a="1"/>
  <c r="H2571" i="3" s="1"/>
  <c r="G2570" i="3"/>
  <c r="H2570" i="3" s="1" a="1"/>
  <c r="H2570" i="3" s="1"/>
  <c r="G2569" i="3"/>
  <c r="H2569" i="3" s="1" a="1"/>
  <c r="H2569" i="3" s="1"/>
  <c r="G2568" i="3"/>
  <c r="H2568" i="3" s="1" a="1"/>
  <c r="H2568" i="3" s="1"/>
  <c r="G2567" i="3"/>
  <c r="H2567" i="3" s="1" a="1"/>
  <c r="H2567" i="3" s="1"/>
  <c r="G2566" i="3"/>
  <c r="H2566" i="3" s="1" a="1"/>
  <c r="H2566" i="3" s="1"/>
  <c r="G2565" i="3"/>
  <c r="H2565" i="3" s="1" a="1"/>
  <c r="H2565" i="3" s="1"/>
  <c r="G2564" i="3"/>
  <c r="H2564" i="3" s="1" a="1"/>
  <c r="H2564" i="3" s="1"/>
  <c r="G2563" i="3"/>
  <c r="H2563" i="3" s="1" a="1"/>
  <c r="H2563" i="3" s="1"/>
  <c r="G2562" i="3"/>
  <c r="H2562" i="3" s="1" a="1"/>
  <c r="H2562" i="3" s="1"/>
  <c r="G2561" i="3"/>
  <c r="H2561" i="3" s="1" a="1"/>
  <c r="H2561" i="3" s="1"/>
  <c r="G2560" i="3"/>
  <c r="H2560" i="3" s="1" a="1"/>
  <c r="H2560" i="3" s="1"/>
  <c r="G2559" i="3"/>
  <c r="H2559" i="3" s="1" a="1"/>
  <c r="H2559" i="3" s="1"/>
  <c r="G2558" i="3"/>
  <c r="H2558" i="3" s="1" a="1"/>
  <c r="H2558" i="3" s="1"/>
  <c r="G2557" i="3"/>
  <c r="H2557" i="3" s="1" a="1"/>
  <c r="H2557" i="3" s="1"/>
  <c r="G2556" i="3"/>
  <c r="H2556" i="3" s="1" a="1"/>
  <c r="H2556" i="3" s="1"/>
  <c r="G2555" i="3"/>
  <c r="H2555" i="3" s="1" a="1"/>
  <c r="H2555" i="3" s="1"/>
  <c r="G2554" i="3"/>
  <c r="H2554" i="3" s="1" a="1"/>
  <c r="H2554" i="3" s="1"/>
  <c r="G2553" i="3"/>
  <c r="H2553" i="3" s="1" a="1"/>
  <c r="H2553" i="3" s="1"/>
  <c r="G2552" i="3"/>
  <c r="H2552" i="3" s="1" a="1"/>
  <c r="H2552" i="3" s="1"/>
  <c r="G2551" i="3"/>
  <c r="H2551" i="3" s="1" a="1"/>
  <c r="H2551" i="3" s="1"/>
  <c r="G2550" i="3"/>
  <c r="H2550" i="3" s="1" a="1"/>
  <c r="H2550" i="3" s="1"/>
  <c r="G2549" i="3"/>
  <c r="H2549" i="3" s="1" a="1"/>
  <c r="H2549" i="3" s="1"/>
  <c r="G2548" i="3"/>
  <c r="H2548" i="3" s="1" a="1"/>
  <c r="H2548" i="3" s="1"/>
  <c r="G2547" i="3"/>
  <c r="H2547" i="3" s="1" a="1"/>
  <c r="H2547" i="3" s="1"/>
  <c r="G2546" i="3"/>
  <c r="H2546" i="3" s="1" a="1"/>
  <c r="H2546" i="3" s="1"/>
  <c r="G2545" i="3"/>
  <c r="H2545" i="3" s="1" a="1"/>
  <c r="H2545" i="3" s="1"/>
  <c r="G2544" i="3"/>
  <c r="H2544" i="3" s="1" a="1"/>
  <c r="H2544" i="3" s="1"/>
  <c r="G2543" i="3"/>
  <c r="H2543" i="3" s="1" a="1"/>
  <c r="H2543" i="3" s="1"/>
  <c r="G2542" i="3"/>
  <c r="H2542" i="3" s="1" a="1"/>
  <c r="H2542" i="3" s="1"/>
  <c r="G2541" i="3"/>
  <c r="H2541" i="3" s="1" a="1"/>
  <c r="H2541" i="3" s="1"/>
  <c r="G2540" i="3"/>
  <c r="H2540" i="3" s="1" a="1"/>
  <c r="H2540" i="3" s="1"/>
  <c r="G2539" i="3"/>
  <c r="H2539" i="3" s="1" a="1"/>
  <c r="H2539" i="3" s="1"/>
  <c r="G2538" i="3"/>
  <c r="H2538" i="3" s="1" a="1"/>
  <c r="H2538" i="3" s="1"/>
  <c r="G2537" i="3"/>
  <c r="H2537" i="3" s="1" a="1"/>
  <c r="H2537" i="3" s="1"/>
  <c r="G2536" i="3"/>
  <c r="H2536" i="3" s="1" a="1"/>
  <c r="H2536" i="3" s="1"/>
  <c r="G2535" i="3"/>
  <c r="H2535" i="3" s="1" a="1"/>
  <c r="H2535" i="3" s="1"/>
  <c r="G2534" i="3"/>
  <c r="H2534" i="3" s="1" a="1"/>
  <c r="H2534" i="3" s="1"/>
  <c r="G2533" i="3"/>
  <c r="H2533" i="3" s="1" a="1"/>
  <c r="H2533" i="3" s="1"/>
  <c r="G2532" i="3"/>
  <c r="H2532" i="3" s="1" a="1"/>
  <c r="H2532" i="3" s="1"/>
  <c r="G2531" i="3"/>
  <c r="H2531" i="3" s="1" a="1"/>
  <c r="H2531" i="3" s="1"/>
  <c r="G2530" i="3"/>
  <c r="H2530" i="3" s="1" a="1"/>
  <c r="H2530" i="3" s="1"/>
  <c r="G2529" i="3"/>
  <c r="H2529" i="3" s="1" a="1"/>
  <c r="H2529" i="3" s="1"/>
  <c r="G2528" i="3"/>
  <c r="H2528" i="3" s="1" a="1"/>
  <c r="H2528" i="3" s="1"/>
  <c r="G2527" i="3"/>
  <c r="H2527" i="3" s="1" a="1"/>
  <c r="H2527" i="3" s="1"/>
  <c r="G2526" i="3"/>
  <c r="H2526" i="3" s="1" a="1"/>
  <c r="H2526" i="3" s="1"/>
  <c r="G2525" i="3"/>
  <c r="H2525" i="3" s="1" a="1"/>
  <c r="H2525" i="3" s="1"/>
  <c r="G2524" i="3"/>
  <c r="H2524" i="3" s="1" a="1"/>
  <c r="H2524" i="3" s="1"/>
  <c r="G2523" i="3"/>
  <c r="H2523" i="3" s="1" a="1"/>
  <c r="H2523" i="3" s="1"/>
  <c r="G2522" i="3"/>
  <c r="H2522" i="3" s="1" a="1"/>
  <c r="H2522" i="3" s="1"/>
  <c r="G2521" i="3"/>
  <c r="H2521" i="3" s="1" a="1"/>
  <c r="H2521" i="3" s="1"/>
  <c r="G2520" i="3"/>
  <c r="H2520" i="3" s="1" a="1"/>
  <c r="H2520" i="3" s="1"/>
  <c r="G2519" i="3"/>
  <c r="H2519" i="3" s="1" a="1"/>
  <c r="H2519" i="3" s="1"/>
  <c r="G2518" i="3"/>
  <c r="H2518" i="3" s="1" a="1"/>
  <c r="H2518" i="3" s="1"/>
  <c r="G2517" i="3"/>
  <c r="H2517" i="3" s="1" a="1"/>
  <c r="H2517" i="3" s="1"/>
  <c r="G2516" i="3"/>
  <c r="H2516" i="3" s="1" a="1"/>
  <c r="H2516" i="3" s="1"/>
  <c r="G2515" i="3"/>
  <c r="H2515" i="3" s="1" a="1"/>
  <c r="H2515" i="3" s="1"/>
  <c r="G2514" i="3"/>
  <c r="H2514" i="3" s="1" a="1"/>
  <c r="H2514" i="3" s="1"/>
  <c r="G2513" i="3"/>
  <c r="H2513" i="3" s="1" a="1"/>
  <c r="H2513" i="3" s="1"/>
  <c r="G2512" i="3"/>
  <c r="H2512" i="3" s="1" a="1"/>
  <c r="H2512" i="3" s="1"/>
  <c r="G2511" i="3"/>
  <c r="H2511" i="3" s="1" a="1"/>
  <c r="H2511" i="3" s="1"/>
  <c r="G2510" i="3"/>
  <c r="H2510" i="3" s="1" a="1"/>
  <c r="H2510" i="3" s="1"/>
  <c r="G2509" i="3"/>
  <c r="H2509" i="3" s="1" a="1"/>
  <c r="H2509" i="3" s="1"/>
  <c r="G2508" i="3"/>
  <c r="H2508" i="3" s="1" a="1"/>
  <c r="H2508" i="3" s="1"/>
  <c r="G2507" i="3"/>
  <c r="H2507" i="3" s="1" a="1"/>
  <c r="H2507" i="3" s="1"/>
  <c r="G2506" i="3"/>
  <c r="H2506" i="3" s="1" a="1"/>
  <c r="H2506" i="3" s="1"/>
  <c r="G2505" i="3"/>
  <c r="H2505" i="3" s="1" a="1"/>
  <c r="H2505" i="3" s="1"/>
  <c r="G2504" i="3"/>
  <c r="H2504" i="3" s="1" a="1"/>
  <c r="H2504" i="3" s="1"/>
  <c r="G2503" i="3"/>
  <c r="H2503" i="3" s="1" a="1"/>
  <c r="H2503" i="3" s="1"/>
  <c r="G2502" i="3"/>
  <c r="H2502" i="3" s="1" a="1"/>
  <c r="H2502" i="3" s="1"/>
  <c r="G2501" i="3"/>
  <c r="H2501" i="3" s="1" a="1"/>
  <c r="H2501" i="3" s="1"/>
  <c r="G2500" i="3"/>
  <c r="H2500" i="3" s="1" a="1"/>
  <c r="H2500" i="3" s="1"/>
  <c r="G2499" i="3"/>
  <c r="H2499" i="3" s="1" a="1"/>
  <c r="H2499" i="3" s="1"/>
  <c r="G2498" i="3"/>
  <c r="H2498" i="3" s="1" a="1"/>
  <c r="H2498" i="3" s="1"/>
  <c r="G2497" i="3"/>
  <c r="H2497" i="3" s="1" a="1"/>
  <c r="H2497" i="3" s="1"/>
  <c r="G2496" i="3"/>
  <c r="H2496" i="3" s="1" a="1"/>
  <c r="H2496" i="3" s="1"/>
  <c r="G2495" i="3"/>
  <c r="H2495" i="3" s="1" a="1"/>
  <c r="H2495" i="3" s="1"/>
  <c r="G2494" i="3"/>
  <c r="H2494" i="3" s="1" a="1"/>
  <c r="H2494" i="3" s="1"/>
  <c r="G2493" i="3"/>
  <c r="H2493" i="3" s="1" a="1"/>
  <c r="H2493" i="3" s="1"/>
  <c r="G2492" i="3"/>
  <c r="H2492" i="3" s="1" a="1"/>
  <c r="H2492" i="3" s="1"/>
  <c r="G2491" i="3"/>
  <c r="H2491" i="3" s="1" a="1"/>
  <c r="H2491" i="3" s="1"/>
  <c r="G2490" i="3"/>
  <c r="H2490" i="3" s="1" a="1"/>
  <c r="H2490" i="3" s="1"/>
  <c r="G2489" i="3"/>
  <c r="H2489" i="3" s="1" a="1"/>
  <c r="H2489" i="3" s="1"/>
  <c r="G2488" i="3"/>
  <c r="H2488" i="3" s="1" a="1"/>
  <c r="H2488" i="3" s="1"/>
  <c r="G2487" i="3"/>
  <c r="H2487" i="3" s="1" a="1"/>
  <c r="H2487" i="3" s="1"/>
  <c r="G2486" i="3"/>
  <c r="H2486" i="3" s="1" a="1"/>
  <c r="H2486" i="3" s="1"/>
  <c r="G2485" i="3"/>
  <c r="H2485" i="3" s="1" a="1"/>
  <c r="H2485" i="3" s="1"/>
  <c r="G2484" i="3"/>
  <c r="H2484" i="3" s="1" a="1"/>
  <c r="H2484" i="3" s="1"/>
  <c r="G2483" i="3"/>
  <c r="H2483" i="3" s="1" a="1"/>
  <c r="H2483" i="3" s="1"/>
  <c r="G2482" i="3"/>
  <c r="H2482" i="3" s="1" a="1"/>
  <c r="H2482" i="3" s="1"/>
  <c r="G2481" i="3"/>
  <c r="H2481" i="3" s="1" a="1"/>
  <c r="H2481" i="3" s="1"/>
  <c r="G2480" i="3"/>
  <c r="H2480" i="3" s="1" a="1"/>
  <c r="H2480" i="3" s="1"/>
  <c r="G2479" i="3"/>
  <c r="H2479" i="3" s="1" a="1"/>
  <c r="H2479" i="3" s="1"/>
  <c r="G2478" i="3"/>
  <c r="H2478" i="3" s="1" a="1"/>
  <c r="H2478" i="3" s="1"/>
  <c r="G2477" i="3"/>
  <c r="H2477" i="3" s="1" a="1"/>
  <c r="H2477" i="3" s="1"/>
  <c r="G2476" i="3"/>
  <c r="H2476" i="3" s="1" a="1"/>
  <c r="H2476" i="3" s="1"/>
  <c r="G2475" i="3"/>
  <c r="H2475" i="3" s="1" a="1"/>
  <c r="H2475" i="3" s="1"/>
  <c r="G2474" i="3"/>
  <c r="H2474" i="3" s="1" a="1"/>
  <c r="H2474" i="3" s="1"/>
  <c r="G2473" i="3"/>
  <c r="H2473" i="3" s="1" a="1"/>
  <c r="H2473" i="3" s="1"/>
  <c r="G2472" i="3"/>
  <c r="H2472" i="3" s="1" a="1"/>
  <c r="H2472" i="3" s="1"/>
  <c r="G2471" i="3"/>
  <c r="H2471" i="3" s="1" a="1"/>
  <c r="H2471" i="3" s="1"/>
  <c r="G2470" i="3"/>
  <c r="H2470" i="3" s="1" a="1"/>
  <c r="H2470" i="3" s="1"/>
  <c r="G2469" i="3"/>
  <c r="H2469" i="3" s="1" a="1"/>
  <c r="H2469" i="3" s="1"/>
  <c r="G2468" i="3"/>
  <c r="H2468" i="3" s="1" a="1"/>
  <c r="H2468" i="3" s="1"/>
  <c r="G2467" i="3"/>
  <c r="H2467" i="3" s="1" a="1"/>
  <c r="H2467" i="3" s="1"/>
  <c r="G2466" i="3"/>
  <c r="H2466" i="3" s="1" a="1"/>
  <c r="H2466" i="3" s="1"/>
  <c r="G2465" i="3"/>
  <c r="H2465" i="3" s="1" a="1"/>
  <c r="H2465" i="3" s="1"/>
  <c r="G2464" i="3"/>
  <c r="H2464" i="3" s="1" a="1"/>
  <c r="H2464" i="3" s="1"/>
  <c r="G2463" i="3"/>
  <c r="H2463" i="3" s="1" a="1"/>
  <c r="H2463" i="3" s="1"/>
  <c r="G2462" i="3"/>
  <c r="H2462" i="3" s="1" a="1"/>
  <c r="H2462" i="3" s="1"/>
  <c r="G2461" i="3"/>
  <c r="H2461" i="3" s="1" a="1"/>
  <c r="H2461" i="3" s="1"/>
  <c r="G2460" i="3"/>
  <c r="H2460" i="3" s="1" a="1"/>
  <c r="H2460" i="3" s="1"/>
  <c r="G2459" i="3"/>
  <c r="H2459" i="3" s="1" a="1"/>
  <c r="H2459" i="3" s="1"/>
  <c r="G2458" i="3"/>
  <c r="H2458" i="3" s="1" a="1"/>
  <c r="H2458" i="3" s="1"/>
  <c r="G2457" i="3"/>
  <c r="H2457" i="3" s="1" a="1"/>
  <c r="H2457" i="3" s="1"/>
  <c r="G2456" i="3"/>
  <c r="H2456" i="3" s="1" a="1"/>
  <c r="H2456" i="3" s="1"/>
  <c r="G2455" i="3"/>
  <c r="H2455" i="3" s="1" a="1"/>
  <c r="H2455" i="3" s="1"/>
  <c r="G2454" i="3"/>
  <c r="H2454" i="3" s="1" a="1"/>
  <c r="H2454" i="3" s="1"/>
  <c r="G2453" i="3"/>
  <c r="H2453" i="3" s="1" a="1"/>
  <c r="H2453" i="3" s="1"/>
  <c r="G2452" i="3"/>
  <c r="H2452" i="3" s="1" a="1"/>
  <c r="H2452" i="3" s="1"/>
  <c r="G2451" i="3"/>
  <c r="H2451" i="3" s="1" a="1"/>
  <c r="H2451" i="3" s="1"/>
  <c r="G2450" i="3"/>
  <c r="H2450" i="3" s="1" a="1"/>
  <c r="H2450" i="3" s="1"/>
  <c r="G2449" i="3"/>
  <c r="H2449" i="3" s="1" a="1"/>
  <c r="H2449" i="3" s="1"/>
  <c r="G2448" i="3"/>
  <c r="H2448" i="3" s="1" a="1"/>
  <c r="H2448" i="3" s="1"/>
  <c r="G2447" i="3"/>
  <c r="H2447" i="3" s="1" a="1"/>
  <c r="H2447" i="3" s="1"/>
  <c r="G2446" i="3"/>
  <c r="H2446" i="3" s="1" a="1"/>
  <c r="H2446" i="3" s="1"/>
  <c r="G2445" i="3"/>
  <c r="H2445" i="3" s="1" a="1"/>
  <c r="H2445" i="3" s="1"/>
  <c r="G2444" i="3"/>
  <c r="H2444" i="3" s="1" a="1"/>
  <c r="H2444" i="3" s="1"/>
  <c r="G2443" i="3"/>
  <c r="H2443" i="3" s="1" a="1"/>
  <c r="H2443" i="3" s="1"/>
  <c r="G2442" i="3"/>
  <c r="H2442" i="3" s="1" a="1"/>
  <c r="H2442" i="3" s="1"/>
  <c r="G2441" i="3"/>
  <c r="H2441" i="3" s="1" a="1"/>
  <c r="H2441" i="3" s="1"/>
  <c r="G2440" i="3"/>
  <c r="H2440" i="3" s="1" a="1"/>
  <c r="H2440" i="3" s="1"/>
  <c r="G2439" i="3"/>
  <c r="H2439" i="3" s="1" a="1"/>
  <c r="H2439" i="3" s="1"/>
  <c r="G2438" i="3"/>
  <c r="H2438" i="3" s="1" a="1"/>
  <c r="H2438" i="3" s="1"/>
  <c r="G2437" i="3"/>
  <c r="H2437" i="3" s="1" a="1"/>
  <c r="H2437" i="3" s="1"/>
  <c r="G2436" i="3"/>
  <c r="H2436" i="3" s="1" a="1"/>
  <c r="H2436" i="3" s="1"/>
  <c r="G2435" i="3"/>
  <c r="H2435" i="3" s="1" a="1"/>
  <c r="H2435" i="3" s="1"/>
  <c r="G2434" i="3"/>
  <c r="H2434" i="3" s="1" a="1"/>
  <c r="H2434" i="3" s="1"/>
  <c r="G2433" i="3"/>
  <c r="H2433" i="3" s="1" a="1"/>
  <c r="H2433" i="3" s="1"/>
  <c r="G2432" i="3"/>
  <c r="H2432" i="3" s="1" a="1"/>
  <c r="H2432" i="3" s="1"/>
  <c r="G2431" i="3"/>
  <c r="H2431" i="3" s="1" a="1"/>
  <c r="H2431" i="3" s="1"/>
  <c r="G2430" i="3"/>
  <c r="H2430" i="3" s="1" a="1"/>
  <c r="H2430" i="3" s="1"/>
  <c r="G2429" i="3"/>
  <c r="H2429" i="3" s="1" a="1"/>
  <c r="H2429" i="3" s="1"/>
  <c r="G2428" i="3"/>
  <c r="H2428" i="3" s="1" a="1"/>
  <c r="H2428" i="3" s="1"/>
  <c r="G2427" i="3"/>
  <c r="H2427" i="3" s="1" a="1"/>
  <c r="H2427" i="3" s="1"/>
  <c r="G2426" i="3"/>
  <c r="H2426" i="3" s="1" a="1"/>
  <c r="H2426" i="3" s="1"/>
  <c r="G2425" i="3"/>
  <c r="H2425" i="3" s="1" a="1"/>
  <c r="H2425" i="3" s="1"/>
  <c r="G2424" i="3"/>
  <c r="H2424" i="3" s="1" a="1"/>
  <c r="H2424" i="3" s="1"/>
  <c r="G2423" i="3"/>
  <c r="H2423" i="3" s="1" a="1"/>
  <c r="H2423" i="3" s="1"/>
  <c r="G2422" i="3"/>
  <c r="H2422" i="3" s="1" a="1"/>
  <c r="H2422" i="3" s="1"/>
  <c r="G2421" i="3"/>
  <c r="H2421" i="3" s="1" a="1"/>
  <c r="H2421" i="3" s="1"/>
  <c r="G2420" i="3"/>
  <c r="H2420" i="3" s="1" a="1"/>
  <c r="H2420" i="3" s="1"/>
  <c r="G2419" i="3"/>
  <c r="H2419" i="3" s="1" a="1"/>
  <c r="H2419" i="3" s="1"/>
  <c r="G2418" i="3"/>
  <c r="H2418" i="3" s="1" a="1"/>
  <c r="H2418" i="3" s="1"/>
  <c r="G2417" i="3"/>
  <c r="H2417" i="3" s="1" a="1"/>
  <c r="H2417" i="3" s="1"/>
  <c r="G2416" i="3"/>
  <c r="H2416" i="3" s="1" a="1"/>
  <c r="H2416" i="3" s="1"/>
  <c r="G2415" i="3"/>
  <c r="H2415" i="3" s="1" a="1"/>
  <c r="H2415" i="3" s="1"/>
  <c r="G2414" i="3"/>
  <c r="H2414" i="3" s="1" a="1"/>
  <c r="H2414" i="3" s="1"/>
  <c r="G2413" i="3"/>
  <c r="H2413" i="3" s="1" a="1"/>
  <c r="H2413" i="3" s="1"/>
  <c r="G2412" i="3"/>
  <c r="H2412" i="3" s="1" a="1"/>
  <c r="H2412" i="3" s="1"/>
  <c r="G2411" i="3"/>
  <c r="H2411" i="3" s="1" a="1"/>
  <c r="H2411" i="3" s="1"/>
  <c r="G2410" i="3"/>
  <c r="H2410" i="3" s="1" a="1"/>
  <c r="H2410" i="3" s="1"/>
  <c r="G2409" i="3"/>
  <c r="H2409" i="3" s="1" a="1"/>
  <c r="H2409" i="3" s="1"/>
  <c r="G2408" i="3"/>
  <c r="H2408" i="3" s="1" a="1"/>
  <c r="H2408" i="3" s="1"/>
  <c r="G2407" i="3"/>
  <c r="H2407" i="3" s="1" a="1"/>
  <c r="H2407" i="3" s="1"/>
  <c r="G2406" i="3"/>
  <c r="H2406" i="3" s="1" a="1"/>
  <c r="H2406" i="3" s="1"/>
  <c r="G2405" i="3"/>
  <c r="H2405" i="3" s="1" a="1"/>
  <c r="H2405" i="3" s="1"/>
  <c r="G2404" i="3"/>
  <c r="H2404" i="3" s="1" a="1"/>
  <c r="H2404" i="3" s="1"/>
  <c r="G2403" i="3"/>
  <c r="H2403" i="3" s="1" a="1"/>
  <c r="H2403" i="3" s="1"/>
  <c r="G2402" i="3"/>
  <c r="H2402" i="3" s="1" a="1"/>
  <c r="H2402" i="3" s="1"/>
  <c r="G2401" i="3"/>
  <c r="H2401" i="3" s="1" a="1"/>
  <c r="H2401" i="3" s="1"/>
  <c r="G2400" i="3"/>
  <c r="H2400" i="3" s="1" a="1"/>
  <c r="H2400" i="3" s="1"/>
  <c r="G2399" i="3"/>
  <c r="H2399" i="3" s="1" a="1"/>
  <c r="H2399" i="3" s="1"/>
  <c r="G2398" i="3"/>
  <c r="H2398" i="3" s="1" a="1"/>
  <c r="H2398" i="3" s="1"/>
  <c r="G2397" i="3"/>
  <c r="H2397" i="3" s="1" a="1"/>
  <c r="H2397" i="3" s="1"/>
  <c r="G2396" i="3"/>
  <c r="H2396" i="3" s="1" a="1"/>
  <c r="H2396" i="3" s="1"/>
  <c r="G2395" i="3"/>
  <c r="H2395" i="3" s="1" a="1"/>
  <c r="H2395" i="3" s="1"/>
  <c r="G2394" i="3"/>
  <c r="H2394" i="3" s="1" a="1"/>
  <c r="H2394" i="3" s="1"/>
  <c r="G2393" i="3"/>
  <c r="H2393" i="3" s="1" a="1"/>
  <c r="H2393" i="3" s="1"/>
  <c r="G2392" i="3"/>
  <c r="H2392" i="3" s="1" a="1"/>
  <c r="H2392" i="3" s="1"/>
  <c r="G2391" i="3"/>
  <c r="H2391" i="3" s="1" a="1"/>
  <c r="H2391" i="3" s="1"/>
  <c r="G2390" i="3"/>
  <c r="H2390" i="3" s="1" a="1"/>
  <c r="H2390" i="3" s="1"/>
  <c r="G2389" i="3"/>
  <c r="H2389" i="3" s="1" a="1"/>
  <c r="H2389" i="3" s="1"/>
  <c r="G2388" i="3"/>
  <c r="H2388" i="3" s="1" a="1"/>
  <c r="H2388" i="3" s="1"/>
  <c r="G2387" i="3"/>
  <c r="H2387" i="3" s="1" a="1"/>
  <c r="H2387" i="3" s="1"/>
  <c r="G2386" i="3"/>
  <c r="H2386" i="3" s="1" a="1"/>
  <c r="H2386" i="3" s="1"/>
  <c r="G2385" i="3"/>
  <c r="H2385" i="3" s="1" a="1"/>
  <c r="H2385" i="3" s="1"/>
  <c r="G2384" i="3"/>
  <c r="H2384" i="3" s="1" a="1"/>
  <c r="H2384" i="3" s="1"/>
  <c r="G2383" i="3"/>
  <c r="H2383" i="3" s="1" a="1"/>
  <c r="H2383" i="3" s="1"/>
  <c r="G2382" i="3"/>
  <c r="H2382" i="3" s="1" a="1"/>
  <c r="H2382" i="3" s="1"/>
  <c r="G2381" i="3"/>
  <c r="H2381" i="3" s="1" a="1"/>
  <c r="H2381" i="3" s="1"/>
  <c r="G2380" i="3"/>
  <c r="H2380" i="3" s="1" a="1"/>
  <c r="H2380" i="3" s="1"/>
  <c r="G2379" i="3"/>
  <c r="H2379" i="3" s="1" a="1"/>
  <c r="H2379" i="3" s="1"/>
  <c r="G2378" i="3"/>
  <c r="H2378" i="3" s="1" a="1"/>
  <c r="H2378" i="3" s="1"/>
  <c r="G2377" i="3"/>
  <c r="H2377" i="3" s="1" a="1"/>
  <c r="H2377" i="3" s="1"/>
  <c r="G2376" i="3"/>
  <c r="H2376" i="3" s="1" a="1"/>
  <c r="H2376" i="3" s="1"/>
  <c r="G2375" i="3"/>
  <c r="H2375" i="3" s="1" a="1"/>
  <c r="H2375" i="3" s="1"/>
  <c r="G2374" i="3"/>
  <c r="H2374" i="3" s="1" a="1"/>
  <c r="H2374" i="3" s="1"/>
  <c r="G2373" i="3"/>
  <c r="H2373" i="3" s="1" a="1"/>
  <c r="H2373" i="3" s="1"/>
  <c r="G2372" i="3"/>
  <c r="H2372" i="3" s="1" a="1"/>
  <c r="H2372" i="3" s="1"/>
  <c r="G2371" i="3"/>
  <c r="H2371" i="3" s="1" a="1"/>
  <c r="H2371" i="3" s="1"/>
  <c r="G2370" i="3"/>
  <c r="H2370" i="3" s="1" a="1"/>
  <c r="H2370" i="3" s="1"/>
  <c r="G2369" i="3"/>
  <c r="H2369" i="3" s="1" a="1"/>
  <c r="H2369" i="3" s="1"/>
  <c r="G2368" i="3"/>
  <c r="H2368" i="3" s="1" a="1"/>
  <c r="H2368" i="3" s="1"/>
  <c r="G2367" i="3"/>
  <c r="H2367" i="3" s="1" a="1"/>
  <c r="H2367" i="3" s="1"/>
  <c r="G2366" i="3"/>
  <c r="H2366" i="3" s="1" a="1"/>
  <c r="H2366" i="3" s="1"/>
  <c r="G2365" i="3"/>
  <c r="H2365" i="3" s="1" a="1"/>
  <c r="H2365" i="3" s="1"/>
  <c r="G2364" i="3"/>
  <c r="H2364" i="3" s="1" a="1"/>
  <c r="H2364" i="3" s="1"/>
  <c r="G2363" i="3"/>
  <c r="H2363" i="3" s="1" a="1"/>
  <c r="H2363" i="3" s="1"/>
  <c r="G2362" i="3"/>
  <c r="H2362" i="3" s="1" a="1"/>
  <c r="H2362" i="3" s="1"/>
  <c r="G2361" i="3"/>
  <c r="H2361" i="3" s="1" a="1"/>
  <c r="H2361" i="3" s="1"/>
  <c r="G2360" i="3"/>
  <c r="H2360" i="3" s="1" a="1"/>
  <c r="H2360" i="3" s="1"/>
  <c r="G2359" i="3"/>
  <c r="H2359" i="3" s="1" a="1"/>
  <c r="H2359" i="3" s="1"/>
  <c r="G2358" i="3"/>
  <c r="H2358" i="3" s="1" a="1"/>
  <c r="H2358" i="3" s="1"/>
  <c r="G2357" i="3"/>
  <c r="H2357" i="3" s="1" a="1"/>
  <c r="H2357" i="3" s="1"/>
  <c r="G2356" i="3"/>
  <c r="H2356" i="3" s="1" a="1"/>
  <c r="H2356" i="3" s="1"/>
  <c r="G2355" i="3"/>
  <c r="H2355" i="3" s="1" a="1"/>
  <c r="H2355" i="3" s="1"/>
  <c r="G2354" i="3"/>
  <c r="H2354" i="3" s="1" a="1"/>
  <c r="H2354" i="3" s="1"/>
  <c r="G2353" i="3"/>
  <c r="H2353" i="3" s="1" a="1"/>
  <c r="H2353" i="3" s="1"/>
  <c r="G2352" i="3"/>
  <c r="H2352" i="3" s="1" a="1"/>
  <c r="H2352" i="3" s="1"/>
  <c r="G2351" i="3"/>
  <c r="H2351" i="3" s="1" a="1"/>
  <c r="H2351" i="3" s="1"/>
  <c r="G2350" i="3"/>
  <c r="H2350" i="3" s="1" a="1"/>
  <c r="H2350" i="3" s="1"/>
  <c r="G2349" i="3"/>
  <c r="H2349" i="3" s="1" a="1"/>
  <c r="H2349" i="3" s="1"/>
  <c r="G2348" i="3"/>
  <c r="H2348" i="3" s="1" a="1"/>
  <c r="H2348" i="3" s="1"/>
  <c r="G2347" i="3"/>
  <c r="H2347" i="3" s="1" a="1"/>
  <c r="H2347" i="3" s="1"/>
  <c r="G2346" i="3"/>
  <c r="H2346" i="3" s="1" a="1"/>
  <c r="H2346" i="3" s="1"/>
  <c r="G2345" i="3"/>
  <c r="H2345" i="3" s="1" a="1"/>
  <c r="H2345" i="3" s="1"/>
  <c r="G2344" i="3"/>
  <c r="H2344" i="3" s="1" a="1"/>
  <c r="H2344" i="3" s="1"/>
  <c r="G2343" i="3"/>
  <c r="H2343" i="3" s="1" a="1"/>
  <c r="H2343" i="3" s="1"/>
  <c r="G2342" i="3"/>
  <c r="H2342" i="3" s="1" a="1"/>
  <c r="H2342" i="3" s="1"/>
  <c r="G2341" i="3"/>
  <c r="H2341" i="3" s="1" a="1"/>
  <c r="H2341" i="3" s="1"/>
  <c r="G2340" i="3"/>
  <c r="H2340" i="3" s="1" a="1"/>
  <c r="H2340" i="3" s="1"/>
  <c r="G2339" i="3"/>
  <c r="H2339" i="3" s="1" a="1"/>
  <c r="H2339" i="3" s="1"/>
  <c r="G2338" i="3"/>
  <c r="H2338" i="3" s="1" a="1"/>
  <c r="H2338" i="3" s="1"/>
  <c r="G2337" i="3"/>
  <c r="H2337" i="3" s="1" a="1"/>
  <c r="H2337" i="3" s="1"/>
  <c r="G2336" i="3"/>
  <c r="H2336" i="3" s="1" a="1"/>
  <c r="H2336" i="3" s="1"/>
  <c r="G2335" i="3"/>
  <c r="H2335" i="3" s="1" a="1"/>
  <c r="H2335" i="3" s="1"/>
  <c r="G2334" i="3"/>
  <c r="H2334" i="3" s="1" a="1"/>
  <c r="H2334" i="3" s="1"/>
  <c r="G2333" i="3"/>
  <c r="H2333" i="3" s="1" a="1"/>
  <c r="H2333" i="3" s="1"/>
  <c r="G2332" i="3"/>
  <c r="H2332" i="3" s="1" a="1"/>
  <c r="H2332" i="3" s="1"/>
  <c r="G2331" i="3"/>
  <c r="H2331" i="3" s="1" a="1"/>
  <c r="H2331" i="3" s="1"/>
  <c r="G2330" i="3"/>
  <c r="H2330" i="3" s="1" a="1"/>
  <c r="H2330" i="3" s="1"/>
  <c r="G2329" i="3"/>
  <c r="H2329" i="3" s="1" a="1"/>
  <c r="H2329" i="3" s="1"/>
  <c r="G2328" i="3"/>
  <c r="H2328" i="3" s="1" a="1"/>
  <c r="H2328" i="3" s="1"/>
  <c r="G2327" i="3"/>
  <c r="H2327" i="3" s="1" a="1"/>
  <c r="H2327" i="3" s="1"/>
  <c r="G2326" i="3"/>
  <c r="H2326" i="3" s="1" a="1"/>
  <c r="H2326" i="3" s="1"/>
  <c r="G2325" i="3"/>
  <c r="H2325" i="3" s="1" a="1"/>
  <c r="H2325" i="3" s="1"/>
  <c r="G2324" i="3"/>
  <c r="H2324" i="3" s="1" a="1"/>
  <c r="H2324" i="3" s="1"/>
  <c r="G2323" i="3"/>
  <c r="H2323" i="3" s="1" a="1"/>
  <c r="H2323" i="3" s="1"/>
  <c r="G2322" i="3"/>
  <c r="H2322" i="3" s="1" a="1"/>
  <c r="H2322" i="3" s="1"/>
  <c r="G2321" i="3"/>
  <c r="H2321" i="3" s="1" a="1"/>
  <c r="H2321" i="3" s="1"/>
  <c r="G2320" i="3"/>
  <c r="H2320" i="3" s="1" a="1"/>
  <c r="H2320" i="3" s="1"/>
  <c r="G2319" i="3"/>
  <c r="H2319" i="3" s="1" a="1"/>
  <c r="H2319" i="3" s="1"/>
  <c r="G2318" i="3"/>
  <c r="H2318" i="3" s="1" a="1"/>
  <c r="H2318" i="3" s="1"/>
  <c r="G2317" i="3"/>
  <c r="H2317" i="3" s="1" a="1"/>
  <c r="H2317" i="3" s="1"/>
  <c r="G2316" i="3"/>
  <c r="H2316" i="3" s="1" a="1"/>
  <c r="H2316" i="3" s="1"/>
  <c r="G2315" i="3"/>
  <c r="H2315" i="3" s="1" a="1"/>
  <c r="H2315" i="3" s="1"/>
  <c r="G2314" i="3"/>
  <c r="H2314" i="3" s="1" a="1"/>
  <c r="H2314" i="3" s="1"/>
  <c r="G2313" i="3"/>
  <c r="H2313" i="3" s="1" a="1"/>
  <c r="H2313" i="3" s="1"/>
  <c r="G2312" i="3"/>
  <c r="H2312" i="3" s="1" a="1"/>
  <c r="H2312" i="3" s="1"/>
  <c r="G2311" i="3"/>
  <c r="H2311" i="3" s="1" a="1"/>
  <c r="H2311" i="3" s="1"/>
  <c r="G2310" i="3"/>
  <c r="H2310" i="3" s="1" a="1"/>
  <c r="H2310" i="3" s="1"/>
  <c r="G2309" i="3"/>
  <c r="H2309" i="3" s="1" a="1"/>
  <c r="H2309" i="3" s="1"/>
  <c r="G2308" i="3"/>
  <c r="H2308" i="3" s="1" a="1"/>
  <c r="H2308" i="3" s="1"/>
  <c r="G2307" i="3"/>
  <c r="H2307" i="3" s="1" a="1"/>
  <c r="H2307" i="3" s="1"/>
  <c r="G2306" i="3"/>
  <c r="H2306" i="3" s="1" a="1"/>
  <c r="H2306" i="3" s="1"/>
  <c r="G2305" i="3"/>
  <c r="H2305" i="3" s="1" a="1"/>
  <c r="H2305" i="3" s="1"/>
  <c r="G2304" i="3"/>
  <c r="H2304" i="3" s="1" a="1"/>
  <c r="H2304" i="3" s="1"/>
  <c r="G2303" i="3"/>
  <c r="H2303" i="3" s="1" a="1"/>
  <c r="H2303" i="3" s="1"/>
  <c r="G2302" i="3"/>
  <c r="H2302" i="3" s="1" a="1"/>
  <c r="H2302" i="3" s="1"/>
  <c r="G2301" i="3"/>
  <c r="H2301" i="3" s="1" a="1"/>
  <c r="H2301" i="3" s="1"/>
  <c r="G2300" i="3"/>
  <c r="H2300" i="3" s="1" a="1"/>
  <c r="H2300" i="3" s="1"/>
  <c r="G2299" i="3"/>
  <c r="H2299" i="3" s="1" a="1"/>
  <c r="H2299" i="3" s="1"/>
  <c r="G2298" i="3"/>
  <c r="H2298" i="3" s="1" a="1"/>
  <c r="H2298" i="3" s="1"/>
  <c r="G2297" i="3"/>
  <c r="H2297" i="3" s="1" a="1"/>
  <c r="H2297" i="3" s="1"/>
  <c r="G2296" i="3"/>
  <c r="H2296" i="3" s="1" a="1"/>
  <c r="H2296" i="3" s="1"/>
  <c r="G2295" i="3"/>
  <c r="H2295" i="3" s="1" a="1"/>
  <c r="H2295" i="3" s="1"/>
  <c r="G2294" i="3"/>
  <c r="H2294" i="3" s="1" a="1"/>
  <c r="H2294" i="3" s="1"/>
  <c r="G2293" i="3"/>
  <c r="H2293" i="3" s="1" a="1"/>
  <c r="H2293" i="3" s="1"/>
  <c r="G2292" i="3"/>
  <c r="H2292" i="3" s="1" a="1"/>
  <c r="H2292" i="3" s="1"/>
  <c r="G2291" i="3"/>
  <c r="H2291" i="3" s="1" a="1"/>
  <c r="H2291" i="3" s="1"/>
  <c r="G2290" i="3"/>
  <c r="H2290" i="3" s="1" a="1"/>
  <c r="H2290" i="3" s="1"/>
  <c r="G2289" i="3"/>
  <c r="H2289" i="3" s="1" a="1"/>
  <c r="H2289" i="3" s="1"/>
  <c r="G2288" i="3"/>
  <c r="H2288" i="3" s="1" a="1"/>
  <c r="H2288" i="3" s="1"/>
  <c r="G2287" i="3"/>
  <c r="H2287" i="3" s="1" a="1"/>
  <c r="H2287" i="3" s="1"/>
  <c r="G2286" i="3"/>
  <c r="H2286" i="3" s="1" a="1"/>
  <c r="H2286" i="3" s="1"/>
  <c r="G2285" i="3"/>
  <c r="H2285" i="3" s="1" a="1"/>
  <c r="H2285" i="3" s="1"/>
  <c r="G2284" i="3"/>
  <c r="H2284" i="3" s="1" a="1"/>
  <c r="H2284" i="3" s="1"/>
  <c r="G2283" i="3"/>
  <c r="H2283" i="3" s="1" a="1"/>
  <c r="H2283" i="3" s="1"/>
  <c r="G2282" i="3"/>
  <c r="H2282" i="3" s="1" a="1"/>
  <c r="H2282" i="3" s="1"/>
  <c r="G2281" i="3"/>
  <c r="H2281" i="3" s="1" a="1"/>
  <c r="H2281" i="3" s="1"/>
  <c r="G2280" i="3"/>
  <c r="H2280" i="3" s="1" a="1"/>
  <c r="H2280" i="3" s="1"/>
  <c r="G2279" i="3"/>
  <c r="H2279" i="3" s="1" a="1"/>
  <c r="H2279" i="3" s="1"/>
  <c r="G2278" i="3"/>
  <c r="H2278" i="3" s="1" a="1"/>
  <c r="H2278" i="3" s="1"/>
  <c r="G2277" i="3"/>
  <c r="H2277" i="3" s="1" a="1"/>
  <c r="H2277" i="3" s="1"/>
  <c r="G2276" i="3"/>
  <c r="H2276" i="3" s="1" a="1"/>
  <c r="H2276" i="3" s="1"/>
  <c r="G2275" i="3"/>
  <c r="H2275" i="3" s="1" a="1"/>
  <c r="H2275" i="3" s="1"/>
  <c r="G2274" i="3"/>
  <c r="H2274" i="3" s="1" a="1"/>
  <c r="H2274" i="3" s="1"/>
  <c r="G2273" i="3"/>
  <c r="H2273" i="3" s="1" a="1"/>
  <c r="H2273" i="3" s="1"/>
  <c r="G2272" i="3"/>
  <c r="H2272" i="3" s="1" a="1"/>
  <c r="H2272" i="3" s="1"/>
  <c r="G2271" i="3"/>
  <c r="H2271" i="3" s="1" a="1"/>
  <c r="H2271" i="3" s="1"/>
  <c r="G2270" i="3"/>
  <c r="H2270" i="3" s="1" a="1"/>
  <c r="H2270" i="3" s="1"/>
  <c r="G2269" i="3"/>
  <c r="H2269" i="3" s="1" a="1"/>
  <c r="H2269" i="3" s="1"/>
  <c r="G2268" i="3"/>
  <c r="H2268" i="3" s="1" a="1"/>
  <c r="H2268" i="3" s="1"/>
  <c r="G2267" i="3"/>
  <c r="H2267" i="3" s="1" a="1"/>
  <c r="H2267" i="3" s="1"/>
  <c r="G2266" i="3"/>
  <c r="H2266" i="3" s="1" a="1"/>
  <c r="H2266" i="3" s="1"/>
  <c r="G2265" i="3"/>
  <c r="H2265" i="3" s="1" a="1"/>
  <c r="H2265" i="3" s="1"/>
  <c r="G2264" i="3"/>
  <c r="H2264" i="3" s="1" a="1"/>
  <c r="H2264" i="3" s="1"/>
  <c r="G2263" i="3"/>
  <c r="H2263" i="3" s="1" a="1"/>
  <c r="H2263" i="3" s="1"/>
  <c r="G2262" i="3"/>
  <c r="H2262" i="3" s="1" a="1"/>
  <c r="H2262" i="3" s="1"/>
  <c r="G2261" i="3"/>
  <c r="H2261" i="3" s="1" a="1"/>
  <c r="H2261" i="3" s="1"/>
  <c r="G2260" i="3"/>
  <c r="H2260" i="3" s="1" a="1"/>
  <c r="H2260" i="3" s="1"/>
  <c r="G2259" i="3"/>
  <c r="H2259" i="3" s="1" a="1"/>
  <c r="H2259" i="3" s="1"/>
  <c r="G2258" i="3"/>
  <c r="H2258" i="3" s="1" a="1"/>
  <c r="H2258" i="3" s="1"/>
  <c r="G2257" i="3"/>
  <c r="H2257" i="3" s="1" a="1"/>
  <c r="H2257" i="3" s="1"/>
  <c r="G2256" i="3"/>
  <c r="H2256" i="3" s="1" a="1"/>
  <c r="H2256" i="3" s="1"/>
  <c r="G2255" i="3"/>
  <c r="H2255" i="3" s="1" a="1"/>
  <c r="H2255" i="3" s="1"/>
  <c r="G2254" i="3"/>
  <c r="H2254" i="3" s="1" a="1"/>
  <c r="H2254" i="3" s="1"/>
  <c r="G2253" i="3"/>
  <c r="H2253" i="3" s="1" a="1"/>
  <c r="H2253" i="3" s="1"/>
  <c r="G2252" i="3"/>
  <c r="H2252" i="3" s="1" a="1"/>
  <c r="H2252" i="3" s="1"/>
  <c r="G2251" i="3"/>
  <c r="H2251" i="3" s="1" a="1"/>
  <c r="H2251" i="3" s="1"/>
  <c r="G2250" i="3"/>
  <c r="H2250" i="3" s="1" a="1"/>
  <c r="H2250" i="3" s="1"/>
  <c r="G2249" i="3"/>
  <c r="H2249" i="3" s="1" a="1"/>
  <c r="H2249" i="3" s="1"/>
  <c r="G2248" i="3"/>
  <c r="H2248" i="3" s="1" a="1"/>
  <c r="H2248" i="3" s="1"/>
  <c r="G2247" i="3"/>
  <c r="H2247" i="3" s="1" a="1"/>
  <c r="H2247" i="3" s="1"/>
  <c r="G2246" i="3"/>
  <c r="H2246" i="3" s="1" a="1"/>
  <c r="H2246" i="3" s="1"/>
  <c r="G2245" i="3"/>
  <c r="H2245" i="3" s="1" a="1"/>
  <c r="H2245" i="3" s="1"/>
  <c r="G2244" i="3"/>
  <c r="H2244" i="3" s="1" a="1"/>
  <c r="H2244" i="3" s="1"/>
  <c r="G2243" i="3"/>
  <c r="H2243" i="3" s="1" a="1"/>
  <c r="H2243" i="3" s="1"/>
  <c r="G2242" i="3"/>
  <c r="H2242" i="3" s="1" a="1"/>
  <c r="H2242" i="3" s="1"/>
  <c r="G2241" i="3"/>
  <c r="H2241" i="3" s="1" a="1"/>
  <c r="H2241" i="3" s="1"/>
  <c r="G2240" i="3"/>
  <c r="H2240" i="3" s="1" a="1"/>
  <c r="H2240" i="3" s="1"/>
  <c r="G2239" i="3"/>
  <c r="H2239" i="3" s="1" a="1"/>
  <c r="H2239" i="3" s="1"/>
  <c r="G2238" i="3"/>
  <c r="H2238" i="3" s="1" a="1"/>
  <c r="H2238" i="3" s="1"/>
  <c r="G2237" i="3"/>
  <c r="H2237" i="3" s="1" a="1"/>
  <c r="H2237" i="3" s="1"/>
  <c r="G2236" i="3"/>
  <c r="H2236" i="3" s="1" a="1"/>
  <c r="H2236" i="3" s="1"/>
  <c r="G2235" i="3"/>
  <c r="H2235" i="3" s="1" a="1"/>
  <c r="H2235" i="3" s="1"/>
  <c r="G2234" i="3"/>
  <c r="H2234" i="3" s="1" a="1"/>
  <c r="H2234" i="3" s="1"/>
  <c r="G2233" i="3"/>
  <c r="H2233" i="3" s="1" a="1"/>
  <c r="H2233" i="3" s="1"/>
  <c r="G2232" i="3"/>
  <c r="H2232" i="3" s="1" a="1"/>
  <c r="H2232" i="3" s="1"/>
  <c r="G2231" i="3"/>
  <c r="H2231" i="3" s="1" a="1"/>
  <c r="H2231" i="3" s="1"/>
  <c r="G2230" i="3"/>
  <c r="H2230" i="3" s="1" a="1"/>
  <c r="H2230" i="3" s="1"/>
  <c r="G2229" i="3"/>
  <c r="H2229" i="3" s="1" a="1"/>
  <c r="H2229" i="3" s="1"/>
  <c r="G2228" i="3"/>
  <c r="H2228" i="3" s="1" a="1"/>
  <c r="H2228" i="3" s="1"/>
  <c r="G2227" i="3"/>
  <c r="H2227" i="3" s="1" a="1"/>
  <c r="H2227" i="3" s="1"/>
  <c r="G2226" i="3"/>
  <c r="H2226" i="3" s="1" a="1"/>
  <c r="H2226" i="3" s="1"/>
  <c r="G2225" i="3"/>
  <c r="H2225" i="3" s="1" a="1"/>
  <c r="H2225" i="3" s="1"/>
  <c r="G2224" i="3"/>
  <c r="H2224" i="3" s="1" a="1"/>
  <c r="H2224" i="3" s="1"/>
  <c r="G2223" i="3"/>
  <c r="H2223" i="3" s="1" a="1"/>
  <c r="H2223" i="3" s="1"/>
  <c r="G2222" i="3"/>
  <c r="H2222" i="3" s="1" a="1"/>
  <c r="H2222" i="3" s="1"/>
  <c r="G2221" i="3"/>
  <c r="H2221" i="3" s="1" a="1"/>
  <c r="H2221" i="3" s="1"/>
  <c r="G2220" i="3"/>
  <c r="H2220" i="3" s="1" a="1"/>
  <c r="H2220" i="3" s="1"/>
  <c r="G2219" i="3"/>
  <c r="H2219" i="3" s="1" a="1"/>
  <c r="H2219" i="3" s="1"/>
  <c r="G2218" i="3"/>
  <c r="H2218" i="3" s="1" a="1"/>
  <c r="H2218" i="3" s="1"/>
  <c r="G2217" i="3"/>
  <c r="H2217" i="3" s="1" a="1"/>
  <c r="H2217" i="3" s="1"/>
  <c r="G2216" i="3"/>
  <c r="H2216" i="3" s="1" a="1"/>
  <c r="H2216" i="3" s="1"/>
  <c r="G2215" i="3"/>
  <c r="H2215" i="3" s="1" a="1"/>
  <c r="H2215" i="3" s="1"/>
  <c r="G2214" i="3"/>
  <c r="H2214" i="3" s="1" a="1"/>
  <c r="H2214" i="3" s="1"/>
  <c r="G2213" i="3"/>
  <c r="H2213" i="3" s="1" a="1"/>
  <c r="H2213" i="3" s="1"/>
  <c r="G2212" i="3"/>
  <c r="H2212" i="3" s="1" a="1"/>
  <c r="H2212" i="3" s="1"/>
  <c r="G2211" i="3"/>
  <c r="H2211" i="3" s="1" a="1"/>
  <c r="H2211" i="3" s="1"/>
  <c r="G2210" i="3"/>
  <c r="H2210" i="3" s="1" a="1"/>
  <c r="H2210" i="3" s="1"/>
  <c r="G2209" i="3"/>
  <c r="H2209" i="3" s="1" a="1"/>
  <c r="H2209" i="3" s="1"/>
  <c r="G2208" i="3"/>
  <c r="H2208" i="3" s="1" a="1"/>
  <c r="H2208" i="3" s="1"/>
  <c r="G2207" i="3"/>
  <c r="H2207" i="3" s="1" a="1"/>
  <c r="H2207" i="3" s="1"/>
  <c r="G2206" i="3"/>
  <c r="H2206" i="3" s="1" a="1"/>
  <c r="H2206" i="3" s="1"/>
  <c r="G2205" i="3"/>
  <c r="H2205" i="3" s="1" a="1"/>
  <c r="H2205" i="3" s="1"/>
  <c r="G2204" i="3"/>
  <c r="H2204" i="3" s="1" a="1"/>
  <c r="H2204" i="3" s="1"/>
  <c r="G2203" i="3"/>
  <c r="H2203" i="3" s="1" a="1"/>
  <c r="H2203" i="3" s="1"/>
  <c r="G2202" i="3"/>
  <c r="H2202" i="3" s="1" a="1"/>
  <c r="H2202" i="3" s="1"/>
  <c r="G2201" i="3"/>
  <c r="H2201" i="3" s="1" a="1"/>
  <c r="H2201" i="3" s="1"/>
  <c r="G2200" i="3"/>
  <c r="H2200" i="3" s="1" a="1"/>
  <c r="H2200" i="3" s="1"/>
  <c r="G2199" i="3"/>
  <c r="H2199" i="3" s="1" a="1"/>
  <c r="H2199" i="3" s="1"/>
  <c r="G2198" i="3"/>
  <c r="H2198" i="3" s="1" a="1"/>
  <c r="H2198" i="3" s="1"/>
  <c r="G2197" i="3"/>
  <c r="H2197" i="3" s="1" a="1"/>
  <c r="H2197" i="3" s="1"/>
  <c r="G2196" i="3"/>
  <c r="H2196" i="3" s="1" a="1"/>
  <c r="H2196" i="3" s="1"/>
  <c r="G2195" i="3"/>
  <c r="H2195" i="3" s="1" a="1"/>
  <c r="H2195" i="3" s="1"/>
  <c r="G2194" i="3"/>
  <c r="H2194" i="3" s="1" a="1"/>
  <c r="H2194" i="3" s="1"/>
  <c r="G2193" i="3"/>
  <c r="H2193" i="3" s="1" a="1"/>
  <c r="H2193" i="3" s="1"/>
  <c r="G2192" i="3"/>
  <c r="H2192" i="3" s="1" a="1"/>
  <c r="H2192" i="3" s="1"/>
  <c r="G2191" i="3"/>
  <c r="H2191" i="3" s="1" a="1"/>
  <c r="H2191" i="3" s="1"/>
  <c r="G2190" i="3"/>
  <c r="H2190" i="3" s="1" a="1"/>
  <c r="H2190" i="3" s="1"/>
  <c r="G2189" i="3"/>
  <c r="H2189" i="3" s="1" a="1"/>
  <c r="H2189" i="3" s="1"/>
  <c r="G2188" i="3"/>
  <c r="H2188" i="3" s="1" a="1"/>
  <c r="H2188" i="3" s="1"/>
  <c r="G2187" i="3"/>
  <c r="H2187" i="3" s="1" a="1"/>
  <c r="H2187" i="3" s="1"/>
  <c r="G2186" i="3"/>
  <c r="H2186" i="3" s="1" a="1"/>
  <c r="H2186" i="3" s="1"/>
  <c r="G2185" i="3"/>
  <c r="H2185" i="3" s="1" a="1"/>
  <c r="H2185" i="3" s="1"/>
  <c r="G2184" i="3"/>
  <c r="H2184" i="3" s="1" a="1"/>
  <c r="H2184" i="3" s="1"/>
  <c r="G2183" i="3"/>
  <c r="H2183" i="3" s="1" a="1"/>
  <c r="H2183" i="3" s="1"/>
  <c r="G2182" i="3"/>
  <c r="H2182" i="3" s="1" a="1"/>
  <c r="H2182" i="3" s="1"/>
  <c r="G2181" i="3"/>
  <c r="H2181" i="3" s="1" a="1"/>
  <c r="H2181" i="3" s="1"/>
  <c r="G2180" i="3"/>
  <c r="H2180" i="3" s="1" a="1"/>
  <c r="H2180" i="3" s="1"/>
  <c r="G2179" i="3"/>
  <c r="H2179" i="3" s="1" a="1"/>
  <c r="H2179" i="3" s="1"/>
  <c r="G2178" i="3"/>
  <c r="H2178" i="3" s="1" a="1"/>
  <c r="H2178" i="3" s="1"/>
  <c r="G2177" i="3"/>
  <c r="H2177" i="3" s="1" a="1"/>
  <c r="H2177" i="3" s="1"/>
  <c r="G2176" i="3"/>
  <c r="H2176" i="3" s="1" a="1"/>
  <c r="H2176" i="3" s="1"/>
  <c r="G2175" i="3"/>
  <c r="H2175" i="3" s="1" a="1"/>
  <c r="H2175" i="3" s="1"/>
  <c r="G2174" i="3"/>
  <c r="H2174" i="3" s="1" a="1"/>
  <c r="H2174" i="3" s="1"/>
  <c r="G2173" i="3"/>
  <c r="H2173" i="3" s="1" a="1"/>
  <c r="H2173" i="3" s="1"/>
  <c r="G2172" i="3"/>
  <c r="H2172" i="3" s="1" a="1"/>
  <c r="H2172" i="3" s="1"/>
  <c r="G2171" i="3"/>
  <c r="H2171" i="3" s="1" a="1"/>
  <c r="H2171" i="3" s="1"/>
  <c r="G2170" i="3"/>
  <c r="H2170" i="3" s="1" a="1"/>
  <c r="H2170" i="3" s="1"/>
  <c r="G2169" i="3"/>
  <c r="H2169" i="3" s="1" a="1"/>
  <c r="H2169" i="3" s="1"/>
  <c r="G2168" i="3"/>
  <c r="H2168" i="3" s="1" a="1"/>
  <c r="H2168" i="3" s="1"/>
  <c r="G2167" i="3"/>
  <c r="H2167" i="3" s="1" a="1"/>
  <c r="H2167" i="3" s="1"/>
  <c r="G2166" i="3"/>
  <c r="H2166" i="3" s="1" a="1"/>
  <c r="H2166" i="3" s="1"/>
  <c r="G2165" i="3"/>
  <c r="H2165" i="3" s="1" a="1"/>
  <c r="H2165" i="3" s="1"/>
  <c r="G2164" i="3"/>
  <c r="H2164" i="3" s="1" a="1"/>
  <c r="H2164" i="3" s="1"/>
  <c r="G2163" i="3"/>
  <c r="H2163" i="3" s="1" a="1"/>
  <c r="H2163" i="3" s="1"/>
  <c r="G2162" i="3"/>
  <c r="H2162" i="3" s="1" a="1"/>
  <c r="H2162" i="3" s="1"/>
  <c r="G2161" i="3"/>
  <c r="H2161" i="3" s="1" a="1"/>
  <c r="H2161" i="3" s="1"/>
  <c r="G2160" i="3"/>
  <c r="H2160" i="3" s="1" a="1"/>
  <c r="H2160" i="3" s="1"/>
  <c r="G2159" i="3"/>
  <c r="H2159" i="3" s="1" a="1"/>
  <c r="H2159" i="3" s="1"/>
  <c r="G2158" i="3"/>
  <c r="H2158" i="3" s="1" a="1"/>
  <c r="H2158" i="3" s="1"/>
  <c r="G2157" i="3"/>
  <c r="H2157" i="3" s="1" a="1"/>
  <c r="H2157" i="3" s="1"/>
  <c r="G2156" i="3"/>
  <c r="H2156" i="3" s="1" a="1"/>
  <c r="H2156" i="3" s="1"/>
  <c r="G2155" i="3"/>
  <c r="H2155" i="3" s="1" a="1"/>
  <c r="H2155" i="3" s="1"/>
  <c r="G2154" i="3"/>
  <c r="H2154" i="3" s="1" a="1"/>
  <c r="H2154" i="3" s="1"/>
  <c r="G2153" i="3"/>
  <c r="H2153" i="3" s="1" a="1"/>
  <c r="H2153" i="3" s="1"/>
  <c r="G2152" i="3"/>
  <c r="H2152" i="3" s="1" a="1"/>
  <c r="H2152" i="3" s="1"/>
  <c r="G2151" i="3"/>
  <c r="H2151" i="3" s="1" a="1"/>
  <c r="H2151" i="3" s="1"/>
  <c r="G2150" i="3"/>
  <c r="H2150" i="3" s="1" a="1"/>
  <c r="H2150" i="3" s="1"/>
  <c r="G2149" i="3"/>
  <c r="H2149" i="3" s="1" a="1"/>
  <c r="H2149" i="3" s="1"/>
  <c r="G2148" i="3"/>
  <c r="H2148" i="3" s="1" a="1"/>
  <c r="H2148" i="3" s="1"/>
  <c r="G2147" i="3"/>
  <c r="H2147" i="3" s="1" a="1"/>
  <c r="H2147" i="3" s="1"/>
  <c r="G2146" i="3"/>
  <c r="H2146" i="3" s="1" a="1"/>
  <c r="H2146" i="3" s="1"/>
  <c r="G2145" i="3"/>
  <c r="H2145" i="3" s="1" a="1"/>
  <c r="H2145" i="3" s="1"/>
  <c r="G2144" i="3"/>
  <c r="H2144" i="3" s="1" a="1"/>
  <c r="H2144" i="3" s="1"/>
  <c r="G2143" i="3"/>
  <c r="H2143" i="3" s="1" a="1"/>
  <c r="H2143" i="3" s="1"/>
  <c r="G2142" i="3"/>
  <c r="H2142" i="3" s="1" a="1"/>
  <c r="H2142" i="3" s="1"/>
  <c r="G2141" i="3"/>
  <c r="H2141" i="3" s="1" a="1"/>
  <c r="H2141" i="3" s="1"/>
  <c r="G2140" i="3"/>
  <c r="H2140" i="3" s="1" a="1"/>
  <c r="H2140" i="3" s="1"/>
  <c r="G2139" i="3"/>
  <c r="H2139" i="3" s="1" a="1"/>
  <c r="H2139" i="3" s="1"/>
  <c r="G2138" i="3"/>
  <c r="H2138" i="3" s="1" a="1"/>
  <c r="H2138" i="3" s="1"/>
  <c r="G2137" i="3"/>
  <c r="H2137" i="3" s="1" a="1"/>
  <c r="H2137" i="3" s="1"/>
  <c r="G2136" i="3"/>
  <c r="H2136" i="3" s="1" a="1"/>
  <c r="H2136" i="3" s="1"/>
  <c r="G2135" i="3"/>
  <c r="H2135" i="3" s="1" a="1"/>
  <c r="H2135" i="3" s="1"/>
  <c r="G2134" i="3"/>
  <c r="H2134" i="3" s="1" a="1"/>
  <c r="H2134" i="3" s="1"/>
  <c r="G2133" i="3"/>
  <c r="H2133" i="3" s="1" a="1"/>
  <c r="H2133" i="3" s="1"/>
  <c r="G2132" i="3"/>
  <c r="H2132" i="3" s="1" a="1"/>
  <c r="H2132" i="3" s="1"/>
  <c r="G2131" i="3"/>
  <c r="H2131" i="3" s="1" a="1"/>
  <c r="H2131" i="3" s="1"/>
  <c r="G2130" i="3"/>
  <c r="H2130" i="3" s="1" a="1"/>
  <c r="H2130" i="3" s="1"/>
  <c r="G2129" i="3"/>
  <c r="H2129" i="3" s="1" a="1"/>
  <c r="H2129" i="3" s="1"/>
  <c r="G2128" i="3"/>
  <c r="H2128" i="3" s="1" a="1"/>
  <c r="H2128" i="3" s="1"/>
  <c r="G2127" i="3"/>
  <c r="H2127" i="3" s="1" a="1"/>
  <c r="H2127" i="3" s="1"/>
  <c r="G2126" i="3"/>
  <c r="H2126" i="3" s="1" a="1"/>
  <c r="H2126" i="3" s="1"/>
  <c r="G2125" i="3"/>
  <c r="H2125" i="3" s="1" a="1"/>
  <c r="H2125" i="3" s="1"/>
  <c r="G2124" i="3"/>
  <c r="H2124" i="3" s="1" a="1"/>
  <c r="H2124" i="3" s="1"/>
  <c r="G2123" i="3"/>
  <c r="H2123" i="3" s="1" a="1"/>
  <c r="H2123" i="3" s="1"/>
  <c r="G2122" i="3"/>
  <c r="H2122" i="3" s="1" a="1"/>
  <c r="H2122" i="3" s="1"/>
  <c r="G2121" i="3"/>
  <c r="H2121" i="3" s="1" a="1"/>
  <c r="H2121" i="3" s="1"/>
  <c r="G2120" i="3"/>
  <c r="H2120" i="3" s="1" a="1"/>
  <c r="H2120" i="3" s="1"/>
  <c r="G2119" i="3"/>
  <c r="H2119" i="3" s="1" a="1"/>
  <c r="H2119" i="3" s="1"/>
  <c r="G2118" i="3"/>
  <c r="H2118" i="3" s="1" a="1"/>
  <c r="H2118" i="3" s="1"/>
  <c r="G2117" i="3"/>
  <c r="H2117" i="3" s="1" a="1"/>
  <c r="H2117" i="3" s="1"/>
  <c r="G2116" i="3"/>
  <c r="H2116" i="3" s="1" a="1"/>
  <c r="H2116" i="3" s="1"/>
  <c r="G2115" i="3"/>
  <c r="H2115" i="3" s="1" a="1"/>
  <c r="H2115" i="3" s="1"/>
  <c r="G2114" i="3"/>
  <c r="H2114" i="3" s="1" a="1"/>
  <c r="H2114" i="3" s="1"/>
  <c r="G2113" i="3"/>
  <c r="H2113" i="3" s="1" a="1"/>
  <c r="H2113" i="3" s="1"/>
  <c r="G2112" i="3"/>
  <c r="H2112" i="3" s="1" a="1"/>
  <c r="H2112" i="3" s="1"/>
  <c r="G2111" i="3"/>
  <c r="H2111" i="3" s="1" a="1"/>
  <c r="H2111" i="3" s="1"/>
  <c r="G2110" i="3"/>
  <c r="H2110" i="3" s="1" a="1"/>
  <c r="H2110" i="3" s="1"/>
  <c r="G2109" i="3"/>
  <c r="H2109" i="3" s="1" a="1"/>
  <c r="H2109" i="3" s="1"/>
  <c r="G2108" i="3"/>
  <c r="H2108" i="3" s="1" a="1"/>
  <c r="H2108" i="3" s="1"/>
  <c r="G2107" i="3"/>
  <c r="H2107" i="3" s="1" a="1"/>
  <c r="H2107" i="3" s="1"/>
  <c r="G2106" i="3"/>
  <c r="H2106" i="3" s="1" a="1"/>
  <c r="H2106" i="3" s="1"/>
  <c r="G2105" i="3"/>
  <c r="H2105" i="3" s="1" a="1"/>
  <c r="H2105" i="3" s="1"/>
  <c r="G2104" i="3"/>
  <c r="H2104" i="3" s="1" a="1"/>
  <c r="H2104" i="3" s="1"/>
  <c r="G2103" i="3"/>
  <c r="H2103" i="3" s="1" a="1"/>
  <c r="H2103" i="3" s="1"/>
  <c r="G2102" i="3"/>
  <c r="H2102" i="3" s="1" a="1"/>
  <c r="H2102" i="3" s="1"/>
  <c r="G2101" i="3"/>
  <c r="H2101" i="3" s="1" a="1"/>
  <c r="H2101" i="3" s="1"/>
  <c r="G2100" i="3"/>
  <c r="H2100" i="3" s="1" a="1"/>
  <c r="H2100" i="3" s="1"/>
  <c r="G2099" i="3"/>
  <c r="H2099" i="3" s="1" a="1"/>
  <c r="H2099" i="3" s="1"/>
  <c r="G2098" i="3"/>
  <c r="H2098" i="3" s="1" a="1"/>
  <c r="H2098" i="3" s="1"/>
  <c r="G2097" i="3"/>
  <c r="H2097" i="3" s="1" a="1"/>
  <c r="H2097" i="3" s="1"/>
  <c r="G2096" i="3"/>
  <c r="H2096" i="3" s="1" a="1"/>
  <c r="H2096" i="3" s="1"/>
  <c r="G2095" i="3"/>
  <c r="H2095" i="3" s="1" a="1"/>
  <c r="H2095" i="3" s="1"/>
  <c r="G2094" i="3"/>
  <c r="H2094" i="3" s="1" a="1"/>
  <c r="H2094" i="3" s="1"/>
  <c r="G2093" i="3"/>
  <c r="H2093" i="3" s="1" a="1"/>
  <c r="H2093" i="3" s="1"/>
  <c r="G2092" i="3"/>
  <c r="H2092" i="3" s="1" a="1"/>
  <c r="H2092" i="3" s="1"/>
  <c r="G2091" i="3"/>
  <c r="H2091" i="3" s="1" a="1"/>
  <c r="H2091" i="3" s="1"/>
  <c r="G2090" i="3"/>
  <c r="H2090" i="3" s="1" a="1"/>
  <c r="H2090" i="3" s="1"/>
  <c r="G2089" i="3"/>
  <c r="H2089" i="3" s="1" a="1"/>
  <c r="H2089" i="3" s="1"/>
  <c r="G2088" i="3"/>
  <c r="H2088" i="3" s="1" a="1"/>
  <c r="H2088" i="3" s="1"/>
  <c r="G2087" i="3"/>
  <c r="H2087" i="3" s="1" a="1"/>
  <c r="H2087" i="3" s="1"/>
  <c r="G2086" i="3"/>
  <c r="H2086" i="3" s="1" a="1"/>
  <c r="H2086" i="3" s="1"/>
  <c r="G2085" i="3"/>
  <c r="H2085" i="3" s="1" a="1"/>
  <c r="H2085" i="3" s="1"/>
  <c r="G2084" i="3"/>
  <c r="H2084" i="3" s="1" a="1"/>
  <c r="H2084" i="3" s="1"/>
  <c r="G2083" i="3"/>
  <c r="H2083" i="3" s="1" a="1"/>
  <c r="H2083" i="3" s="1"/>
  <c r="G2082" i="3"/>
  <c r="H2082" i="3" s="1" a="1"/>
  <c r="H2082" i="3" s="1"/>
  <c r="G2081" i="3"/>
  <c r="H2081" i="3" s="1" a="1"/>
  <c r="H2081" i="3" s="1"/>
  <c r="G2080" i="3"/>
  <c r="H2080" i="3" s="1" a="1"/>
  <c r="H2080" i="3" s="1"/>
  <c r="G2079" i="3"/>
  <c r="H2079" i="3" s="1" a="1"/>
  <c r="H2079" i="3" s="1"/>
  <c r="G2078" i="3"/>
  <c r="H2078" i="3" s="1" a="1"/>
  <c r="H2078" i="3" s="1"/>
  <c r="G2077" i="3"/>
  <c r="H2077" i="3" s="1" a="1"/>
  <c r="H2077" i="3" s="1"/>
  <c r="G2076" i="3"/>
  <c r="H2076" i="3" s="1" a="1"/>
  <c r="H2076" i="3" s="1"/>
  <c r="G2075" i="3"/>
  <c r="H2075" i="3" s="1" a="1"/>
  <c r="H2075" i="3" s="1"/>
  <c r="G2074" i="3"/>
  <c r="H2074" i="3" s="1" a="1"/>
  <c r="H2074" i="3" s="1"/>
  <c r="G2073" i="3"/>
  <c r="H2073" i="3" s="1" a="1"/>
  <c r="H2073" i="3" s="1"/>
  <c r="G2072" i="3"/>
  <c r="H2072" i="3" s="1" a="1"/>
  <c r="H2072" i="3" s="1"/>
  <c r="G2071" i="3"/>
  <c r="H2071" i="3" s="1" a="1"/>
  <c r="H2071" i="3" s="1"/>
  <c r="G2070" i="3"/>
  <c r="H2070" i="3" s="1" a="1"/>
  <c r="H2070" i="3" s="1"/>
  <c r="G2069" i="3"/>
  <c r="H2069" i="3" s="1" a="1"/>
  <c r="H2069" i="3" s="1"/>
  <c r="G2068" i="3"/>
  <c r="H2068" i="3" s="1" a="1"/>
  <c r="H2068" i="3" s="1"/>
  <c r="G2067" i="3"/>
  <c r="H2067" i="3" s="1" a="1"/>
  <c r="H2067" i="3" s="1"/>
  <c r="G2066" i="3"/>
  <c r="H2066" i="3" s="1" a="1"/>
  <c r="H2066" i="3" s="1"/>
  <c r="G2065" i="3"/>
  <c r="H2065" i="3" s="1" a="1"/>
  <c r="H2065" i="3" s="1"/>
  <c r="G2064" i="3"/>
  <c r="H2064" i="3" s="1" a="1"/>
  <c r="H2064" i="3" s="1"/>
  <c r="G2063" i="3"/>
  <c r="H2063" i="3" s="1" a="1"/>
  <c r="H2063" i="3" s="1"/>
  <c r="G2062" i="3"/>
  <c r="H2062" i="3" s="1" a="1"/>
  <c r="H2062" i="3" s="1"/>
  <c r="G2061" i="3"/>
  <c r="H2061" i="3" s="1" a="1"/>
  <c r="H2061" i="3" s="1"/>
  <c r="G2060" i="3"/>
  <c r="H2060" i="3" s="1" a="1"/>
  <c r="H2060" i="3" s="1"/>
  <c r="G2059" i="3"/>
  <c r="H2059" i="3" s="1" a="1"/>
  <c r="H2059" i="3" s="1"/>
  <c r="G2058" i="3"/>
  <c r="H2058" i="3" s="1" a="1"/>
  <c r="H2058" i="3" s="1"/>
  <c r="G2057" i="3"/>
  <c r="H2057" i="3" s="1" a="1"/>
  <c r="H2057" i="3" s="1"/>
  <c r="G2056" i="3"/>
  <c r="H2056" i="3" s="1" a="1"/>
  <c r="H2056" i="3" s="1"/>
  <c r="G2055" i="3"/>
  <c r="H2055" i="3" s="1" a="1"/>
  <c r="H2055" i="3" s="1"/>
  <c r="G2054" i="3"/>
  <c r="H2054" i="3" s="1" a="1"/>
  <c r="H2054" i="3" s="1"/>
  <c r="G2053" i="3"/>
  <c r="H2053" i="3" s="1" a="1"/>
  <c r="H2053" i="3" s="1"/>
  <c r="G2052" i="3"/>
  <c r="H2052" i="3" s="1" a="1"/>
  <c r="H2052" i="3" s="1"/>
  <c r="G2051" i="3"/>
  <c r="H2051" i="3" s="1" a="1"/>
  <c r="H2051" i="3" s="1"/>
  <c r="G2050" i="3"/>
  <c r="H2050" i="3" s="1" a="1"/>
  <c r="H2050" i="3" s="1"/>
  <c r="G2049" i="3"/>
  <c r="H2049" i="3" s="1" a="1"/>
  <c r="H2049" i="3" s="1"/>
  <c r="G2048" i="3"/>
  <c r="H2048" i="3" s="1" a="1"/>
  <c r="H2048" i="3" s="1"/>
  <c r="G2047" i="3"/>
  <c r="H2047" i="3" s="1" a="1"/>
  <c r="H2047" i="3" s="1"/>
  <c r="G2046" i="3"/>
  <c r="H2046" i="3" s="1" a="1"/>
  <c r="H2046" i="3" s="1"/>
  <c r="G2045" i="3"/>
  <c r="H2045" i="3" s="1" a="1"/>
  <c r="H2045" i="3" s="1"/>
  <c r="G2044" i="3"/>
  <c r="H2044" i="3" s="1" a="1"/>
  <c r="H2044" i="3" s="1"/>
  <c r="G2043" i="3"/>
  <c r="H2043" i="3" s="1" a="1"/>
  <c r="H2043" i="3" s="1"/>
  <c r="G2042" i="3"/>
  <c r="H2042" i="3" s="1" a="1"/>
  <c r="H2042" i="3" s="1"/>
  <c r="G2041" i="3"/>
  <c r="H2041" i="3" s="1" a="1"/>
  <c r="H2041" i="3" s="1"/>
  <c r="G2040" i="3"/>
  <c r="H2040" i="3" s="1" a="1"/>
  <c r="H2040" i="3" s="1"/>
  <c r="G2039" i="3"/>
  <c r="H2039" i="3" s="1" a="1"/>
  <c r="H2039" i="3" s="1"/>
  <c r="G2038" i="3"/>
  <c r="H2038" i="3" s="1" a="1"/>
  <c r="H2038" i="3" s="1"/>
  <c r="G2037" i="3"/>
  <c r="H2037" i="3" s="1" a="1"/>
  <c r="H2037" i="3" s="1"/>
  <c r="G2036" i="3"/>
  <c r="H2036" i="3" s="1" a="1"/>
  <c r="H2036" i="3" s="1"/>
  <c r="G2035" i="3"/>
  <c r="H2035" i="3" s="1" a="1"/>
  <c r="H2035" i="3" s="1"/>
  <c r="G2034" i="3"/>
  <c r="H2034" i="3" s="1" a="1"/>
  <c r="H2034" i="3" s="1"/>
  <c r="G2033" i="3"/>
  <c r="H2033" i="3" s="1" a="1"/>
  <c r="H2033" i="3" s="1"/>
  <c r="G2032" i="3"/>
  <c r="H2032" i="3" s="1" a="1"/>
  <c r="H2032" i="3" s="1"/>
  <c r="G2031" i="3"/>
  <c r="H2031" i="3" s="1" a="1"/>
  <c r="H2031" i="3" s="1"/>
  <c r="G2030" i="3"/>
  <c r="H2030" i="3" s="1" a="1"/>
  <c r="H2030" i="3" s="1"/>
  <c r="G2029" i="3"/>
  <c r="H2029" i="3" s="1" a="1"/>
  <c r="H2029" i="3" s="1"/>
  <c r="G2028" i="3"/>
  <c r="H2028" i="3" s="1" a="1"/>
  <c r="H2028" i="3" s="1"/>
  <c r="G2027" i="3"/>
  <c r="H2027" i="3" s="1" a="1"/>
  <c r="H2027" i="3" s="1"/>
  <c r="G2026" i="3"/>
  <c r="H2026" i="3" s="1" a="1"/>
  <c r="H2026" i="3" s="1"/>
  <c r="G2025" i="3"/>
  <c r="H2025" i="3" s="1" a="1"/>
  <c r="H2025" i="3" s="1"/>
  <c r="G2024" i="3"/>
  <c r="H2024" i="3" s="1" a="1"/>
  <c r="H2024" i="3" s="1"/>
  <c r="G2023" i="3"/>
  <c r="H2023" i="3" s="1" a="1"/>
  <c r="H2023" i="3" s="1"/>
  <c r="G2022" i="3"/>
  <c r="H2022" i="3" s="1" a="1"/>
  <c r="H2022" i="3" s="1"/>
  <c r="G2021" i="3"/>
  <c r="H2021" i="3" s="1" a="1"/>
  <c r="H2021" i="3" s="1"/>
  <c r="G2020" i="3"/>
  <c r="H2020" i="3" s="1" a="1"/>
  <c r="H2020" i="3" s="1"/>
  <c r="G2019" i="3"/>
  <c r="H2019" i="3" s="1" a="1"/>
  <c r="H2019" i="3" s="1"/>
  <c r="G2018" i="3"/>
  <c r="H2018" i="3" s="1" a="1"/>
  <c r="H2018" i="3" s="1"/>
  <c r="G2017" i="3"/>
  <c r="H2017" i="3" s="1" a="1"/>
  <c r="H2017" i="3" s="1"/>
  <c r="G2016" i="3"/>
  <c r="H2016" i="3" s="1" a="1"/>
  <c r="H2016" i="3" s="1"/>
  <c r="G2015" i="3"/>
  <c r="H2015" i="3" s="1" a="1"/>
  <c r="H2015" i="3" s="1"/>
  <c r="G2014" i="3"/>
  <c r="H2014" i="3" s="1" a="1"/>
  <c r="H2014" i="3" s="1"/>
  <c r="G2013" i="3"/>
  <c r="H2013" i="3" s="1" a="1"/>
  <c r="H2013" i="3" s="1"/>
  <c r="G2012" i="3"/>
  <c r="H2012" i="3" s="1" a="1"/>
  <c r="H2012" i="3" s="1"/>
  <c r="G2011" i="3"/>
  <c r="H2011" i="3" s="1" a="1"/>
  <c r="H2011" i="3" s="1"/>
  <c r="G2010" i="3"/>
  <c r="H2010" i="3" s="1" a="1"/>
  <c r="H2010" i="3" s="1"/>
  <c r="G2009" i="3"/>
  <c r="H2009" i="3" s="1" a="1"/>
  <c r="H2009" i="3" s="1"/>
  <c r="G2008" i="3"/>
  <c r="H2008" i="3" s="1" a="1"/>
  <c r="H2008" i="3" s="1"/>
  <c r="G2007" i="3"/>
  <c r="H2007" i="3" s="1" a="1"/>
  <c r="H2007" i="3" s="1"/>
  <c r="G2006" i="3"/>
  <c r="H2006" i="3" s="1" a="1"/>
  <c r="H2006" i="3" s="1"/>
  <c r="G2005" i="3"/>
  <c r="H2005" i="3" s="1" a="1"/>
  <c r="H2005" i="3" s="1"/>
  <c r="G2004" i="3"/>
  <c r="H2004" i="3" s="1" a="1"/>
  <c r="H2004" i="3" s="1"/>
  <c r="G2003" i="3"/>
  <c r="H2003" i="3" s="1" a="1"/>
  <c r="H2003" i="3" s="1"/>
  <c r="G2002" i="3"/>
  <c r="H2002" i="3" s="1" a="1"/>
  <c r="H2002" i="3" s="1"/>
  <c r="G2001" i="3"/>
  <c r="H2001" i="3" s="1" a="1"/>
  <c r="H2001" i="3" s="1"/>
  <c r="G2000" i="3"/>
  <c r="H2000" i="3" s="1" a="1"/>
  <c r="H2000" i="3" s="1"/>
  <c r="G1999" i="3"/>
  <c r="H1999" i="3" s="1" a="1"/>
  <c r="H1999" i="3" s="1"/>
  <c r="G1998" i="3"/>
  <c r="H1998" i="3" s="1" a="1"/>
  <c r="H1998" i="3" s="1"/>
  <c r="G1997" i="3"/>
  <c r="H1997" i="3" s="1" a="1"/>
  <c r="H1997" i="3" s="1"/>
  <c r="G1996" i="3"/>
  <c r="H1996" i="3" s="1" a="1"/>
  <c r="H1996" i="3" s="1"/>
  <c r="G1995" i="3"/>
  <c r="H1995" i="3" s="1" a="1"/>
  <c r="H1995" i="3" s="1"/>
  <c r="G1994" i="3"/>
  <c r="H1994" i="3" s="1" a="1"/>
  <c r="H1994" i="3" s="1"/>
  <c r="G1993" i="3"/>
  <c r="H1993" i="3" s="1" a="1"/>
  <c r="H1993" i="3" s="1"/>
  <c r="G1992" i="3"/>
  <c r="H1992" i="3" s="1" a="1"/>
  <c r="H1992" i="3" s="1"/>
  <c r="G1991" i="3"/>
  <c r="H1991" i="3" s="1" a="1"/>
  <c r="H1991" i="3" s="1"/>
  <c r="G1990" i="3"/>
  <c r="H1990" i="3" s="1" a="1"/>
  <c r="H1990" i="3" s="1"/>
  <c r="G1989" i="3"/>
  <c r="H1989" i="3" s="1" a="1"/>
  <c r="H1989" i="3" s="1"/>
  <c r="G1988" i="3"/>
  <c r="H1988" i="3" s="1" a="1"/>
  <c r="H1988" i="3" s="1"/>
  <c r="G1987" i="3"/>
  <c r="H1987" i="3" s="1" a="1"/>
  <c r="H1987" i="3" s="1"/>
  <c r="G1986" i="3"/>
  <c r="H1986" i="3" s="1" a="1"/>
  <c r="H1986" i="3" s="1"/>
  <c r="G1985" i="3"/>
  <c r="H1985" i="3" s="1" a="1"/>
  <c r="H1985" i="3" s="1"/>
  <c r="G1984" i="3"/>
  <c r="H1984" i="3" s="1" a="1"/>
  <c r="H1984" i="3" s="1"/>
  <c r="G1983" i="3"/>
  <c r="H1983" i="3" s="1" a="1"/>
  <c r="H1983" i="3" s="1"/>
  <c r="G1982" i="3"/>
  <c r="H1982" i="3" s="1" a="1"/>
  <c r="H1982" i="3" s="1"/>
  <c r="G1981" i="3"/>
  <c r="H1981" i="3" s="1" a="1"/>
  <c r="H1981" i="3" s="1"/>
  <c r="G1980" i="3"/>
  <c r="H1980" i="3" s="1" a="1"/>
  <c r="H1980" i="3" s="1"/>
  <c r="G1979" i="3"/>
  <c r="H1979" i="3" s="1" a="1"/>
  <c r="H1979" i="3" s="1"/>
  <c r="G1978" i="3"/>
  <c r="H1978" i="3" s="1" a="1"/>
  <c r="H1978" i="3" s="1"/>
  <c r="G1977" i="3"/>
  <c r="H1977" i="3" s="1" a="1"/>
  <c r="H1977" i="3" s="1"/>
  <c r="G1976" i="3"/>
  <c r="H1976" i="3" s="1" a="1"/>
  <c r="H1976" i="3" s="1"/>
  <c r="G1975" i="3"/>
  <c r="H1975" i="3" s="1" a="1"/>
  <c r="H1975" i="3" s="1"/>
  <c r="G1974" i="3"/>
  <c r="H1974" i="3" s="1" a="1"/>
  <c r="H1974" i="3" s="1"/>
  <c r="G1973" i="3"/>
  <c r="H1973" i="3" s="1" a="1"/>
  <c r="H1973" i="3" s="1"/>
  <c r="G1972" i="3"/>
  <c r="H1972" i="3" s="1" a="1"/>
  <c r="H1972" i="3" s="1"/>
  <c r="G1971" i="3"/>
  <c r="H1971" i="3" s="1" a="1"/>
  <c r="H1971" i="3" s="1"/>
  <c r="G1970" i="3"/>
  <c r="H1970" i="3" s="1" a="1"/>
  <c r="H1970" i="3" s="1"/>
  <c r="G1969" i="3"/>
  <c r="H1969" i="3" s="1" a="1"/>
  <c r="H1969" i="3" s="1"/>
  <c r="G1968" i="3"/>
  <c r="H1968" i="3" s="1" a="1"/>
  <c r="H1968" i="3" s="1"/>
  <c r="G1967" i="3"/>
  <c r="H1967" i="3" s="1" a="1"/>
  <c r="H1967" i="3" s="1"/>
  <c r="G1966" i="3"/>
  <c r="H1966" i="3" s="1" a="1"/>
  <c r="H1966" i="3" s="1"/>
  <c r="G1965" i="3"/>
  <c r="H1965" i="3" s="1" a="1"/>
  <c r="H1965" i="3" s="1"/>
  <c r="G1964" i="3"/>
  <c r="H1964" i="3" s="1" a="1"/>
  <c r="H1964" i="3" s="1"/>
  <c r="G1963" i="3"/>
  <c r="H1963" i="3" s="1" a="1"/>
  <c r="H1963" i="3" s="1"/>
  <c r="G1962" i="3"/>
  <c r="H1962" i="3" s="1" a="1"/>
  <c r="H1962" i="3" s="1"/>
  <c r="G1961" i="3"/>
  <c r="H1961" i="3" s="1" a="1"/>
  <c r="H1961" i="3" s="1"/>
  <c r="G1960" i="3"/>
  <c r="H1960" i="3" s="1" a="1"/>
  <c r="H1960" i="3" s="1"/>
  <c r="G1959" i="3"/>
  <c r="H1959" i="3" s="1" a="1"/>
  <c r="H1959" i="3" s="1"/>
  <c r="G1958" i="3"/>
  <c r="H1958" i="3" s="1" a="1"/>
  <c r="H1958" i="3" s="1"/>
  <c r="G1957" i="3"/>
  <c r="H1957" i="3" s="1" a="1"/>
  <c r="H1957" i="3" s="1"/>
  <c r="G1956" i="3"/>
  <c r="H1956" i="3" s="1" a="1"/>
  <c r="H1956" i="3" s="1"/>
  <c r="G1955" i="3"/>
  <c r="H1955" i="3" s="1" a="1"/>
  <c r="H1955" i="3" s="1"/>
  <c r="G1954" i="3"/>
  <c r="H1954" i="3" s="1" a="1"/>
  <c r="H1954" i="3" s="1"/>
  <c r="G1953" i="3"/>
  <c r="H1953" i="3" s="1" a="1"/>
  <c r="H1953" i="3" s="1"/>
  <c r="G1952" i="3"/>
  <c r="H1952" i="3" s="1" a="1"/>
  <c r="H1952" i="3" s="1"/>
  <c r="G1951" i="3"/>
  <c r="H1951" i="3" s="1" a="1"/>
  <c r="H1951" i="3" s="1"/>
  <c r="G1950" i="3"/>
  <c r="H1950" i="3" s="1" a="1"/>
  <c r="H1950" i="3" s="1"/>
  <c r="G1949" i="3"/>
  <c r="H1949" i="3" s="1" a="1"/>
  <c r="H1949" i="3" s="1"/>
  <c r="G1948" i="3"/>
  <c r="H1948" i="3" s="1" a="1"/>
  <c r="H1948" i="3" s="1"/>
  <c r="G1947" i="3"/>
  <c r="H1947" i="3" s="1" a="1"/>
  <c r="H1947" i="3" s="1"/>
  <c r="G1946" i="3"/>
  <c r="H1946" i="3" s="1" a="1"/>
  <c r="H1946" i="3" s="1"/>
  <c r="G1945" i="3"/>
  <c r="H1945" i="3" s="1" a="1"/>
  <c r="H1945" i="3" s="1"/>
  <c r="G1944" i="3"/>
  <c r="H1944" i="3" s="1" a="1"/>
  <c r="H1944" i="3" s="1"/>
  <c r="G1943" i="3"/>
  <c r="H1943" i="3" s="1" a="1"/>
  <c r="H1943" i="3" s="1"/>
  <c r="G1942" i="3"/>
  <c r="H1942" i="3" s="1" a="1"/>
  <c r="H1942" i="3" s="1"/>
  <c r="G1941" i="3"/>
  <c r="H1941" i="3" s="1" a="1"/>
  <c r="H1941" i="3" s="1"/>
  <c r="G1940" i="3"/>
  <c r="H1940" i="3" s="1" a="1"/>
  <c r="H1940" i="3" s="1"/>
  <c r="G1939" i="3"/>
  <c r="H1939" i="3" s="1" a="1"/>
  <c r="H1939" i="3" s="1"/>
  <c r="G1938" i="3"/>
  <c r="H1938" i="3" s="1" a="1"/>
  <c r="H1938" i="3" s="1"/>
  <c r="G1937" i="3"/>
  <c r="H1937" i="3" s="1" a="1"/>
  <c r="H1937" i="3" s="1"/>
  <c r="G1936" i="3"/>
  <c r="H1936" i="3" s="1" a="1"/>
  <c r="H1936" i="3" s="1"/>
  <c r="G1935" i="3"/>
  <c r="H1935" i="3" s="1" a="1"/>
  <c r="H1935" i="3" s="1"/>
  <c r="G1934" i="3"/>
  <c r="H1934" i="3" s="1" a="1"/>
  <c r="H1934" i="3" s="1"/>
  <c r="G1933" i="3"/>
  <c r="H1933" i="3" s="1" a="1"/>
  <c r="H1933" i="3" s="1"/>
  <c r="G1932" i="3"/>
  <c r="H1932" i="3" s="1" a="1"/>
  <c r="H1932" i="3" s="1"/>
  <c r="G1931" i="3"/>
  <c r="H1931" i="3" s="1" a="1"/>
  <c r="H1931" i="3" s="1"/>
  <c r="G1930" i="3"/>
  <c r="H1930" i="3" s="1" a="1"/>
  <c r="H1930" i="3" s="1"/>
  <c r="G1929" i="3"/>
  <c r="H1929" i="3" s="1" a="1"/>
  <c r="H1929" i="3" s="1"/>
  <c r="G1928" i="3"/>
  <c r="H1928" i="3" s="1" a="1"/>
  <c r="H1928" i="3" s="1"/>
  <c r="G1927" i="3"/>
  <c r="H1927" i="3" s="1" a="1"/>
  <c r="H1927" i="3" s="1"/>
  <c r="G1926" i="3"/>
  <c r="H1926" i="3" s="1" a="1"/>
  <c r="H1926" i="3" s="1"/>
  <c r="G1925" i="3"/>
  <c r="H1925" i="3" s="1" a="1"/>
  <c r="H1925" i="3" s="1"/>
  <c r="G1924" i="3"/>
  <c r="H1924" i="3" s="1" a="1"/>
  <c r="H1924" i="3" s="1"/>
  <c r="G1923" i="3"/>
  <c r="H1923" i="3" s="1" a="1"/>
  <c r="H1923" i="3" s="1"/>
  <c r="G1922" i="3"/>
  <c r="H1922" i="3" s="1" a="1"/>
  <c r="H1922" i="3" s="1"/>
  <c r="G1921" i="3"/>
  <c r="H1921" i="3" s="1" a="1"/>
  <c r="H1921" i="3" s="1"/>
  <c r="G1920" i="3"/>
  <c r="H1920" i="3" s="1" a="1"/>
  <c r="H1920" i="3" s="1"/>
  <c r="G1919" i="3"/>
  <c r="H1919" i="3" s="1" a="1"/>
  <c r="H1919" i="3" s="1"/>
  <c r="G1918" i="3"/>
  <c r="H1918" i="3" s="1" a="1"/>
  <c r="H1918" i="3" s="1"/>
  <c r="G1917" i="3"/>
  <c r="H1917" i="3" s="1" a="1"/>
  <c r="H1917" i="3" s="1"/>
  <c r="G1916" i="3"/>
  <c r="H1916" i="3" s="1" a="1"/>
  <c r="H1916" i="3" s="1"/>
  <c r="G1915" i="3"/>
  <c r="H1915" i="3" s="1" a="1"/>
  <c r="H1915" i="3" s="1"/>
  <c r="G1914" i="3"/>
  <c r="H1914" i="3" s="1" a="1"/>
  <c r="H1914" i="3" s="1"/>
  <c r="G1913" i="3"/>
  <c r="H1913" i="3" s="1" a="1"/>
  <c r="H1913" i="3" s="1"/>
  <c r="G1912" i="3"/>
  <c r="H1912" i="3" s="1" a="1"/>
  <c r="H1912" i="3" s="1"/>
  <c r="G1911" i="3"/>
  <c r="H1911" i="3" s="1" a="1"/>
  <c r="H1911" i="3" s="1"/>
  <c r="G1910" i="3"/>
  <c r="H1910" i="3" s="1" a="1"/>
  <c r="H1910" i="3" s="1"/>
  <c r="G1909" i="3"/>
  <c r="H1909" i="3" s="1" a="1"/>
  <c r="H1909" i="3" s="1"/>
  <c r="G1908" i="3"/>
  <c r="H1908" i="3" s="1" a="1"/>
  <c r="H1908" i="3" s="1"/>
  <c r="G1907" i="3"/>
  <c r="H1907" i="3" s="1" a="1"/>
  <c r="H1907" i="3" s="1"/>
  <c r="G1906" i="3"/>
  <c r="H1906" i="3" s="1" a="1"/>
  <c r="H1906" i="3" s="1"/>
  <c r="G1905" i="3"/>
  <c r="H1905" i="3" s="1" a="1"/>
  <c r="H1905" i="3" s="1"/>
  <c r="G1904" i="3"/>
  <c r="H1904" i="3" s="1" a="1"/>
  <c r="H1904" i="3" s="1"/>
  <c r="G1903" i="3"/>
  <c r="H1903" i="3" s="1" a="1"/>
  <c r="H1903" i="3" s="1"/>
  <c r="G1902" i="3"/>
  <c r="H1902" i="3" s="1" a="1"/>
  <c r="H1902" i="3" s="1"/>
  <c r="G1901" i="3"/>
  <c r="H1901" i="3" s="1" a="1"/>
  <c r="H1901" i="3" s="1"/>
  <c r="G1900" i="3"/>
  <c r="H1900" i="3" s="1" a="1"/>
  <c r="H1900" i="3" s="1"/>
  <c r="G1899" i="3"/>
  <c r="H1899" i="3" s="1" a="1"/>
  <c r="H1899" i="3" s="1"/>
  <c r="G1898" i="3"/>
  <c r="H1898" i="3" s="1" a="1"/>
  <c r="H1898" i="3" s="1"/>
  <c r="G1897" i="3"/>
  <c r="H1897" i="3" s="1" a="1"/>
  <c r="H1897" i="3" s="1"/>
  <c r="G1896" i="3"/>
  <c r="H1896" i="3" s="1" a="1"/>
  <c r="H1896" i="3" s="1"/>
  <c r="G1895" i="3"/>
  <c r="H1895" i="3" s="1" a="1"/>
  <c r="H1895" i="3" s="1"/>
  <c r="G1894" i="3"/>
  <c r="H1894" i="3" s="1" a="1"/>
  <c r="H1894" i="3" s="1"/>
  <c r="G1893" i="3"/>
  <c r="H1893" i="3" s="1" a="1"/>
  <c r="H1893" i="3" s="1"/>
  <c r="G1892" i="3"/>
  <c r="H1892" i="3" s="1" a="1"/>
  <c r="H1892" i="3" s="1"/>
  <c r="G1891" i="3"/>
  <c r="H1891" i="3" s="1" a="1"/>
  <c r="H1891" i="3" s="1"/>
  <c r="G1890" i="3"/>
  <c r="H1890" i="3" s="1" a="1"/>
  <c r="H1890" i="3" s="1"/>
  <c r="G1889" i="3"/>
  <c r="H1889" i="3" s="1" a="1"/>
  <c r="H1889" i="3" s="1"/>
  <c r="G1888" i="3"/>
  <c r="H1888" i="3" s="1" a="1"/>
  <c r="H1888" i="3" s="1"/>
  <c r="G1887" i="3"/>
  <c r="H1887" i="3" s="1" a="1"/>
  <c r="H1887" i="3" s="1"/>
  <c r="G1886" i="3"/>
  <c r="H1886" i="3" s="1" a="1"/>
  <c r="H1886" i="3" s="1"/>
  <c r="G1885" i="3"/>
  <c r="H1885" i="3" s="1" a="1"/>
  <c r="H1885" i="3" s="1"/>
  <c r="G1884" i="3"/>
  <c r="H1884" i="3" s="1" a="1"/>
  <c r="H1884" i="3" s="1"/>
  <c r="G1883" i="3"/>
  <c r="H1883" i="3" s="1" a="1"/>
  <c r="H1883" i="3" s="1"/>
  <c r="G1882" i="3"/>
  <c r="H1882" i="3" s="1" a="1"/>
  <c r="H1882" i="3" s="1"/>
  <c r="G1881" i="3"/>
  <c r="H1881" i="3" s="1" a="1"/>
  <c r="H1881" i="3" s="1"/>
  <c r="G1880" i="3"/>
  <c r="H1880" i="3" s="1" a="1"/>
  <c r="H1880" i="3" s="1"/>
  <c r="G1879" i="3"/>
  <c r="H1879" i="3" s="1" a="1"/>
  <c r="H1879" i="3" s="1"/>
  <c r="G1878" i="3"/>
  <c r="H1878" i="3" s="1" a="1"/>
  <c r="H1878" i="3" s="1"/>
  <c r="G1877" i="3"/>
  <c r="H1877" i="3" s="1" a="1"/>
  <c r="H1877" i="3" s="1"/>
  <c r="G1876" i="3"/>
  <c r="H1876" i="3" s="1" a="1"/>
  <c r="H1876" i="3" s="1"/>
  <c r="G1875" i="3"/>
  <c r="H1875" i="3" s="1" a="1"/>
  <c r="H1875" i="3" s="1"/>
  <c r="G1874" i="3"/>
  <c r="H1874" i="3" s="1" a="1"/>
  <c r="H1874" i="3" s="1"/>
  <c r="G1873" i="3"/>
  <c r="H1873" i="3" s="1" a="1"/>
  <c r="H1873" i="3" s="1"/>
  <c r="G1872" i="3"/>
  <c r="H1872" i="3" s="1" a="1"/>
  <c r="H1872" i="3" s="1"/>
  <c r="G1871" i="3"/>
  <c r="H1871" i="3" s="1" a="1"/>
  <c r="H1871" i="3" s="1"/>
  <c r="G1870" i="3"/>
  <c r="H1870" i="3" s="1" a="1"/>
  <c r="H1870" i="3" s="1"/>
  <c r="G1869" i="3"/>
  <c r="H1869" i="3" s="1" a="1"/>
  <c r="H1869" i="3" s="1"/>
  <c r="G1868" i="3"/>
  <c r="H1868" i="3" s="1" a="1"/>
  <c r="H1868" i="3" s="1"/>
  <c r="G1867" i="3"/>
  <c r="H1867" i="3" s="1" a="1"/>
  <c r="H1867" i="3" s="1"/>
  <c r="G1866" i="3"/>
  <c r="H1866" i="3" s="1" a="1"/>
  <c r="H1866" i="3" s="1"/>
  <c r="G1865" i="3"/>
  <c r="H1865" i="3" s="1" a="1"/>
  <c r="H1865" i="3" s="1"/>
  <c r="G1864" i="3"/>
  <c r="H1864" i="3" s="1" a="1"/>
  <c r="H1864" i="3" s="1"/>
  <c r="G1863" i="3"/>
  <c r="H1863" i="3" s="1" a="1"/>
  <c r="H1863" i="3" s="1"/>
  <c r="G1862" i="3"/>
  <c r="H1862" i="3" s="1" a="1"/>
  <c r="H1862" i="3" s="1"/>
  <c r="G1861" i="3"/>
  <c r="H1861" i="3" s="1" a="1"/>
  <c r="H1861" i="3" s="1"/>
  <c r="G1860" i="3"/>
  <c r="H1860" i="3" s="1" a="1"/>
  <c r="H1860" i="3" s="1"/>
  <c r="G1859" i="3"/>
  <c r="H1859" i="3" s="1" a="1"/>
  <c r="H1859" i="3" s="1"/>
  <c r="G1858" i="3"/>
  <c r="H1858" i="3" s="1" a="1"/>
  <c r="H1858" i="3" s="1"/>
  <c r="G1857" i="3"/>
  <c r="H1857" i="3" s="1" a="1"/>
  <c r="H1857" i="3" s="1"/>
  <c r="G1856" i="3"/>
  <c r="H1856" i="3" s="1" a="1"/>
  <c r="H1856" i="3" s="1"/>
  <c r="G1855" i="3"/>
  <c r="H1855" i="3" s="1" a="1"/>
  <c r="H1855" i="3" s="1"/>
  <c r="G1854" i="3"/>
  <c r="H1854" i="3" s="1" a="1"/>
  <c r="H1854" i="3" s="1"/>
  <c r="G1853" i="3"/>
  <c r="H1853" i="3" s="1" a="1"/>
  <c r="H1853" i="3" s="1"/>
  <c r="G1852" i="3"/>
  <c r="H1852" i="3" s="1" a="1"/>
  <c r="H1852" i="3" s="1"/>
  <c r="G1851" i="3"/>
  <c r="H1851" i="3" s="1" a="1"/>
  <c r="H1851" i="3" s="1"/>
  <c r="G1850" i="3"/>
  <c r="H1850" i="3" s="1" a="1"/>
  <c r="H1850" i="3" s="1"/>
  <c r="G1849" i="3"/>
  <c r="H1849" i="3" s="1" a="1"/>
  <c r="H1849" i="3" s="1"/>
  <c r="G1848" i="3"/>
  <c r="H1848" i="3" s="1" a="1"/>
  <c r="H1848" i="3" s="1"/>
  <c r="G1847" i="3"/>
  <c r="H1847" i="3" s="1" a="1"/>
  <c r="H1847" i="3" s="1"/>
  <c r="G1846" i="3"/>
  <c r="H1846" i="3" s="1" a="1"/>
  <c r="H1846" i="3" s="1"/>
  <c r="G1845" i="3"/>
  <c r="H1845" i="3" s="1" a="1"/>
  <c r="H1845" i="3" s="1"/>
  <c r="G1844" i="3"/>
  <c r="H1844" i="3" s="1" a="1"/>
  <c r="H1844" i="3" s="1"/>
  <c r="G1843" i="3"/>
  <c r="H1843" i="3" s="1" a="1"/>
  <c r="H1843" i="3" s="1"/>
  <c r="G1842" i="3"/>
  <c r="H1842" i="3" s="1" a="1"/>
  <c r="H1842" i="3" s="1"/>
  <c r="G1841" i="3"/>
  <c r="H1841" i="3" s="1" a="1"/>
  <c r="H1841" i="3" s="1"/>
  <c r="G1840" i="3"/>
  <c r="H1840" i="3" s="1" a="1"/>
  <c r="H1840" i="3" s="1"/>
  <c r="G1839" i="3"/>
  <c r="H1839" i="3" s="1" a="1"/>
  <c r="H1839" i="3" s="1"/>
  <c r="G1838" i="3"/>
  <c r="H1838" i="3" s="1" a="1"/>
  <c r="H1838" i="3" s="1"/>
  <c r="G1837" i="3"/>
  <c r="H1837" i="3" s="1" a="1"/>
  <c r="H1837" i="3" s="1"/>
  <c r="G1836" i="3"/>
  <c r="H1836" i="3" s="1" a="1"/>
  <c r="H1836" i="3" s="1"/>
  <c r="G1835" i="3"/>
  <c r="H1835" i="3" s="1" a="1"/>
  <c r="H1835" i="3" s="1"/>
  <c r="G1834" i="3"/>
  <c r="H1834" i="3" s="1" a="1"/>
  <c r="H1834" i="3" s="1"/>
  <c r="G1833" i="3"/>
  <c r="H1833" i="3" s="1" a="1"/>
  <c r="H1833" i="3" s="1"/>
  <c r="G1832" i="3"/>
  <c r="H1832" i="3" s="1" a="1"/>
  <c r="H1832" i="3" s="1"/>
  <c r="G1831" i="3"/>
  <c r="H1831" i="3" s="1" a="1"/>
  <c r="H1831" i="3" s="1"/>
  <c r="G1830" i="3"/>
  <c r="H1830" i="3" s="1" a="1"/>
  <c r="H1830" i="3" s="1"/>
  <c r="G1829" i="3"/>
  <c r="H1829" i="3" s="1" a="1"/>
  <c r="H1829" i="3" s="1"/>
  <c r="G1828" i="3"/>
  <c r="H1828" i="3" s="1" a="1"/>
  <c r="H1828" i="3" s="1"/>
  <c r="G1827" i="3"/>
  <c r="H1827" i="3" s="1" a="1"/>
  <c r="H1827" i="3" s="1"/>
  <c r="G1826" i="3"/>
  <c r="H1826" i="3" s="1" a="1"/>
  <c r="H1826" i="3" s="1"/>
  <c r="G1825" i="3"/>
  <c r="H1825" i="3" s="1" a="1"/>
  <c r="H1825" i="3" s="1"/>
  <c r="G1824" i="3"/>
  <c r="H1824" i="3" s="1" a="1"/>
  <c r="H1824" i="3" s="1"/>
  <c r="G1823" i="3"/>
  <c r="H1823" i="3" s="1" a="1"/>
  <c r="H1823" i="3" s="1"/>
  <c r="G1822" i="3"/>
  <c r="H1822" i="3" s="1" a="1"/>
  <c r="H1822" i="3" s="1"/>
  <c r="G1821" i="3"/>
  <c r="H1821" i="3" s="1" a="1"/>
  <c r="H1821" i="3" s="1"/>
  <c r="G1820" i="3"/>
  <c r="H1820" i="3" s="1" a="1"/>
  <c r="H1820" i="3" s="1"/>
  <c r="G1819" i="3"/>
  <c r="H1819" i="3" s="1" a="1"/>
  <c r="H1819" i="3" s="1"/>
  <c r="G1818" i="3"/>
  <c r="H1818" i="3" s="1" a="1"/>
  <c r="H1818" i="3" s="1"/>
  <c r="G1817" i="3"/>
  <c r="H1817" i="3" s="1" a="1"/>
  <c r="H1817" i="3" s="1"/>
  <c r="G1816" i="3"/>
  <c r="H1816" i="3" s="1" a="1"/>
  <c r="H1816" i="3" s="1"/>
  <c r="G1815" i="3"/>
  <c r="H1815" i="3" s="1" a="1"/>
  <c r="H1815" i="3" s="1"/>
  <c r="G1814" i="3"/>
  <c r="H1814" i="3" s="1" a="1"/>
  <c r="H1814" i="3" s="1"/>
  <c r="G1813" i="3"/>
  <c r="H1813" i="3" s="1" a="1"/>
  <c r="H1813" i="3" s="1"/>
  <c r="G1812" i="3"/>
  <c r="H1812" i="3" s="1" a="1"/>
  <c r="H1812" i="3" s="1"/>
  <c r="G1811" i="3"/>
  <c r="H1811" i="3" s="1" a="1"/>
  <c r="H1811" i="3" s="1"/>
  <c r="G1810" i="3"/>
  <c r="H1810" i="3" s="1" a="1"/>
  <c r="H1810" i="3" s="1"/>
  <c r="G1809" i="3"/>
  <c r="H1809" i="3" s="1" a="1"/>
  <c r="H1809" i="3" s="1"/>
  <c r="G1808" i="3"/>
  <c r="H1808" i="3" s="1" a="1"/>
  <c r="H1808" i="3" s="1"/>
  <c r="G1807" i="3"/>
  <c r="H1807" i="3" s="1" a="1"/>
  <c r="H1807" i="3" s="1"/>
  <c r="G1806" i="3"/>
  <c r="H1806" i="3" s="1" a="1"/>
  <c r="H1806" i="3" s="1"/>
  <c r="G1805" i="3"/>
  <c r="H1805" i="3" s="1" a="1"/>
  <c r="H1805" i="3" s="1"/>
  <c r="G1804" i="3"/>
  <c r="H1804" i="3" s="1" a="1"/>
  <c r="H1804" i="3" s="1"/>
  <c r="G1803" i="3"/>
  <c r="H1803" i="3" s="1" a="1"/>
  <c r="H1803" i="3" s="1"/>
  <c r="G1802" i="3"/>
  <c r="H1802" i="3" s="1" a="1"/>
  <c r="H1802" i="3" s="1"/>
  <c r="G1801" i="3"/>
  <c r="H1801" i="3" s="1" a="1"/>
  <c r="H1801" i="3" s="1"/>
  <c r="G1800" i="3"/>
  <c r="H1800" i="3" s="1" a="1"/>
  <c r="H1800" i="3" s="1"/>
  <c r="G1799" i="3"/>
  <c r="H1799" i="3" s="1" a="1"/>
  <c r="H1799" i="3" s="1"/>
  <c r="G1798" i="3"/>
  <c r="H1798" i="3" s="1" a="1"/>
  <c r="H1798" i="3" s="1"/>
  <c r="G1797" i="3"/>
  <c r="H1797" i="3" s="1" a="1"/>
  <c r="H1797" i="3" s="1"/>
  <c r="G1796" i="3"/>
  <c r="H1796" i="3" s="1" a="1"/>
  <c r="H1796" i="3" s="1"/>
  <c r="G1795" i="3"/>
  <c r="H1795" i="3" s="1" a="1"/>
  <c r="H1795" i="3" s="1"/>
  <c r="G1794" i="3"/>
  <c r="H1794" i="3" s="1" a="1"/>
  <c r="H1794" i="3" s="1"/>
  <c r="G1793" i="3"/>
  <c r="H1793" i="3" s="1" a="1"/>
  <c r="H1793" i="3" s="1"/>
  <c r="G1792" i="3"/>
  <c r="H1792" i="3" s="1" a="1"/>
  <c r="H1792" i="3" s="1"/>
  <c r="G1791" i="3"/>
  <c r="H1791" i="3" s="1" a="1"/>
  <c r="H1791" i="3" s="1"/>
  <c r="G1790" i="3"/>
  <c r="H1790" i="3" s="1" a="1"/>
  <c r="H1790" i="3" s="1"/>
  <c r="G1789" i="3"/>
  <c r="H1789" i="3" s="1" a="1"/>
  <c r="H1789" i="3" s="1"/>
  <c r="G1788" i="3"/>
  <c r="H1788" i="3" s="1" a="1"/>
  <c r="H1788" i="3" s="1"/>
  <c r="G1787" i="3"/>
  <c r="H1787" i="3" s="1" a="1"/>
  <c r="H1787" i="3" s="1"/>
  <c r="G1786" i="3"/>
  <c r="H1786" i="3" s="1" a="1"/>
  <c r="H1786" i="3" s="1"/>
  <c r="G1785" i="3"/>
  <c r="H1785" i="3" s="1" a="1"/>
  <c r="H1785" i="3" s="1"/>
  <c r="G1784" i="3"/>
  <c r="H1784" i="3" s="1" a="1"/>
  <c r="H1784" i="3" s="1"/>
  <c r="G1783" i="3"/>
  <c r="H1783" i="3" s="1" a="1"/>
  <c r="H1783" i="3" s="1"/>
  <c r="G1782" i="3"/>
  <c r="H1782" i="3" s="1" a="1"/>
  <c r="H1782" i="3" s="1"/>
  <c r="G1781" i="3"/>
  <c r="H1781" i="3" s="1" a="1"/>
  <c r="H1781" i="3" s="1"/>
  <c r="G1780" i="3"/>
  <c r="H1780" i="3" s="1" a="1"/>
  <c r="H1780" i="3" s="1"/>
  <c r="G1779" i="3"/>
  <c r="H1779" i="3" s="1" a="1"/>
  <c r="H1779" i="3" s="1"/>
  <c r="G1778" i="3"/>
  <c r="H1778" i="3" s="1" a="1"/>
  <c r="H1778" i="3" s="1"/>
  <c r="G1777" i="3"/>
  <c r="H1777" i="3" s="1" a="1"/>
  <c r="H1777" i="3" s="1"/>
  <c r="G1776" i="3"/>
  <c r="H1776" i="3" s="1" a="1"/>
  <c r="H1776" i="3" s="1"/>
  <c r="G1775" i="3"/>
  <c r="H1775" i="3" s="1" a="1"/>
  <c r="H1775" i="3" s="1"/>
  <c r="G1774" i="3"/>
  <c r="H1774" i="3" s="1" a="1"/>
  <c r="H1774" i="3" s="1"/>
  <c r="G1773" i="3"/>
  <c r="H1773" i="3" s="1" a="1"/>
  <c r="H1773" i="3" s="1"/>
  <c r="G1772" i="3"/>
  <c r="H1772" i="3" s="1" a="1"/>
  <c r="H1772" i="3" s="1"/>
  <c r="G1771" i="3"/>
  <c r="H1771" i="3" s="1" a="1"/>
  <c r="H1771" i="3" s="1"/>
  <c r="G1770" i="3"/>
  <c r="H1770" i="3" s="1" a="1"/>
  <c r="H1770" i="3" s="1"/>
  <c r="G1769" i="3"/>
  <c r="H1769" i="3" s="1" a="1"/>
  <c r="H1769" i="3" s="1"/>
  <c r="G1768" i="3"/>
  <c r="H1768" i="3" s="1" a="1"/>
  <c r="H1768" i="3" s="1"/>
  <c r="G1767" i="3"/>
  <c r="H1767" i="3" s="1" a="1"/>
  <c r="H1767" i="3" s="1"/>
  <c r="G1766" i="3"/>
  <c r="H1766" i="3" s="1" a="1"/>
  <c r="H1766" i="3" s="1"/>
  <c r="G1765" i="3"/>
  <c r="H1765" i="3" s="1" a="1"/>
  <c r="H1765" i="3" s="1"/>
  <c r="G1764" i="3"/>
  <c r="H1764" i="3" s="1" a="1"/>
  <c r="H1764" i="3" s="1"/>
  <c r="G1763" i="3"/>
  <c r="H1763" i="3" s="1" a="1"/>
  <c r="H1763" i="3" s="1"/>
  <c r="G1762" i="3"/>
  <c r="H1762" i="3" s="1" a="1"/>
  <c r="H1762" i="3" s="1"/>
  <c r="G1761" i="3"/>
  <c r="H1761" i="3" s="1" a="1"/>
  <c r="H1761" i="3" s="1"/>
  <c r="G1760" i="3"/>
  <c r="H1760" i="3" s="1" a="1"/>
  <c r="H1760" i="3" s="1"/>
  <c r="G1759" i="3"/>
  <c r="H1759" i="3" s="1" a="1"/>
  <c r="H1759" i="3" s="1"/>
  <c r="G1758" i="3"/>
  <c r="H1758" i="3" s="1" a="1"/>
  <c r="H1758" i="3" s="1"/>
  <c r="G1757" i="3"/>
  <c r="H1757" i="3" s="1" a="1"/>
  <c r="H1757" i="3" s="1"/>
  <c r="G1756" i="3"/>
  <c r="H1756" i="3" s="1" a="1"/>
  <c r="H1756" i="3" s="1"/>
  <c r="G1755" i="3"/>
  <c r="H1755" i="3" s="1" a="1"/>
  <c r="H1755" i="3" s="1"/>
  <c r="G1754" i="3"/>
  <c r="H1754" i="3" s="1" a="1"/>
  <c r="H1754" i="3" s="1"/>
  <c r="G1753" i="3"/>
  <c r="H1753" i="3" s="1" a="1"/>
  <c r="H1753" i="3" s="1"/>
  <c r="G1752" i="3"/>
  <c r="H1752" i="3" s="1" a="1"/>
  <c r="H1752" i="3" s="1"/>
  <c r="G1751" i="3"/>
  <c r="H1751" i="3" s="1" a="1"/>
  <c r="H1751" i="3" s="1"/>
  <c r="G1750" i="3"/>
  <c r="H1750" i="3" s="1" a="1"/>
  <c r="H1750" i="3" s="1"/>
  <c r="G1749" i="3"/>
  <c r="H1749" i="3" s="1" a="1"/>
  <c r="H1749" i="3" s="1"/>
  <c r="G1748" i="3"/>
  <c r="H1748" i="3" s="1" a="1"/>
  <c r="H1748" i="3" s="1"/>
  <c r="G1747" i="3"/>
  <c r="H1747" i="3" s="1" a="1"/>
  <c r="H1747" i="3" s="1"/>
  <c r="G1746" i="3"/>
  <c r="H1746" i="3" s="1" a="1"/>
  <c r="H1746" i="3" s="1"/>
  <c r="G1745" i="3"/>
  <c r="H1745" i="3" s="1" a="1"/>
  <c r="H1745" i="3" s="1"/>
  <c r="G1744" i="3"/>
  <c r="H1744" i="3" s="1" a="1"/>
  <c r="H1744" i="3" s="1"/>
  <c r="G1743" i="3"/>
  <c r="H1743" i="3" s="1" a="1"/>
  <c r="H1743" i="3" s="1"/>
  <c r="G1742" i="3"/>
  <c r="H1742" i="3" s="1" a="1"/>
  <c r="H1742" i="3" s="1"/>
  <c r="G1741" i="3"/>
  <c r="H1741" i="3" s="1" a="1"/>
  <c r="H1741" i="3" s="1"/>
  <c r="G1740" i="3"/>
  <c r="H1740" i="3" s="1" a="1"/>
  <c r="H1740" i="3" s="1"/>
  <c r="G1739" i="3"/>
  <c r="H1739" i="3" s="1" a="1"/>
  <c r="H1739" i="3" s="1"/>
  <c r="G1738" i="3"/>
  <c r="H1738" i="3" s="1" a="1"/>
  <c r="H1738" i="3" s="1"/>
  <c r="G1737" i="3"/>
  <c r="H1737" i="3" s="1" a="1"/>
  <c r="H1737" i="3" s="1"/>
  <c r="G1736" i="3"/>
  <c r="H1736" i="3" s="1" a="1"/>
  <c r="H1736" i="3" s="1"/>
  <c r="G1735" i="3"/>
  <c r="H1735" i="3" s="1" a="1"/>
  <c r="H1735" i="3" s="1"/>
  <c r="G1734" i="3"/>
  <c r="H1734" i="3" s="1" a="1"/>
  <c r="H1734" i="3" s="1"/>
  <c r="G1733" i="3"/>
  <c r="H1733" i="3" s="1" a="1"/>
  <c r="H1733" i="3" s="1"/>
  <c r="G1732" i="3"/>
  <c r="H1732" i="3" s="1" a="1"/>
  <c r="H1732" i="3" s="1"/>
  <c r="G1731" i="3"/>
  <c r="H1731" i="3" s="1" a="1"/>
  <c r="H1731" i="3" s="1"/>
  <c r="G1730" i="3"/>
  <c r="H1730" i="3" s="1" a="1"/>
  <c r="H1730" i="3" s="1"/>
  <c r="G1729" i="3"/>
  <c r="H1729" i="3" s="1" a="1"/>
  <c r="H1729" i="3" s="1"/>
  <c r="G1728" i="3"/>
  <c r="H1728" i="3" s="1" a="1"/>
  <c r="H1728" i="3" s="1"/>
  <c r="G1727" i="3"/>
  <c r="H1727" i="3" s="1" a="1"/>
  <c r="H1727" i="3" s="1"/>
  <c r="G1726" i="3"/>
  <c r="H1726" i="3" s="1" a="1"/>
  <c r="H1726" i="3" s="1"/>
  <c r="G1725" i="3"/>
  <c r="H1725" i="3" s="1" a="1"/>
  <c r="H1725" i="3" s="1"/>
  <c r="G1724" i="3"/>
  <c r="H1724" i="3" s="1" a="1"/>
  <c r="H1724" i="3" s="1"/>
  <c r="G1723" i="3"/>
  <c r="H1723" i="3" s="1" a="1"/>
  <c r="H1723" i="3" s="1"/>
  <c r="G1722" i="3"/>
  <c r="H1722" i="3" s="1" a="1"/>
  <c r="H1722" i="3" s="1"/>
  <c r="G1721" i="3"/>
  <c r="H1721" i="3" s="1" a="1"/>
  <c r="H1721" i="3" s="1"/>
  <c r="G1720" i="3"/>
  <c r="H1720" i="3" s="1" a="1"/>
  <c r="H1720" i="3" s="1"/>
  <c r="G1719" i="3"/>
  <c r="H1719" i="3" s="1" a="1"/>
  <c r="H1719" i="3" s="1"/>
  <c r="G1718" i="3"/>
  <c r="H1718" i="3" s="1" a="1"/>
  <c r="H1718" i="3" s="1"/>
  <c r="G1717" i="3"/>
  <c r="H1717" i="3" s="1" a="1"/>
  <c r="H1717" i="3" s="1"/>
  <c r="G1716" i="3"/>
  <c r="H1716" i="3" s="1" a="1"/>
  <c r="H1716" i="3" s="1"/>
  <c r="G1715" i="3"/>
  <c r="H1715" i="3" s="1" a="1"/>
  <c r="H1715" i="3" s="1"/>
  <c r="G1714" i="3"/>
  <c r="H1714" i="3" s="1" a="1"/>
  <c r="H1714" i="3" s="1"/>
  <c r="G1713" i="3"/>
  <c r="H1713" i="3" s="1" a="1"/>
  <c r="H1713" i="3" s="1"/>
  <c r="G1712" i="3"/>
  <c r="H1712" i="3" s="1" a="1"/>
  <c r="H1712" i="3" s="1"/>
  <c r="G1711" i="3"/>
  <c r="H1711" i="3" s="1" a="1"/>
  <c r="H1711" i="3" s="1"/>
  <c r="G1710" i="3"/>
  <c r="H1710" i="3" s="1" a="1"/>
  <c r="H1710" i="3" s="1"/>
  <c r="G1709" i="3"/>
  <c r="H1709" i="3" s="1" a="1"/>
  <c r="H1709" i="3" s="1"/>
  <c r="G1708" i="3"/>
  <c r="H1708" i="3" s="1" a="1"/>
  <c r="H1708" i="3" s="1"/>
  <c r="G1707" i="3"/>
  <c r="H1707" i="3" s="1" a="1"/>
  <c r="H1707" i="3" s="1"/>
  <c r="G1706" i="3"/>
  <c r="H1706" i="3" s="1" a="1"/>
  <c r="H1706" i="3" s="1"/>
  <c r="G1705" i="3"/>
  <c r="H1705" i="3" s="1" a="1"/>
  <c r="H1705" i="3" s="1"/>
  <c r="G1704" i="3"/>
  <c r="H1704" i="3" s="1" a="1"/>
  <c r="H1704" i="3" s="1"/>
  <c r="G1703" i="3"/>
  <c r="H1703" i="3" s="1" a="1"/>
  <c r="H1703" i="3" s="1"/>
  <c r="G1702" i="3"/>
  <c r="H1702" i="3" s="1" a="1"/>
  <c r="H1702" i="3" s="1"/>
  <c r="G1701" i="3"/>
  <c r="H1701" i="3" s="1" a="1"/>
  <c r="H1701" i="3" s="1"/>
  <c r="G1700" i="3"/>
  <c r="H1700" i="3" s="1" a="1"/>
  <c r="H1700" i="3" s="1"/>
  <c r="G1699" i="3"/>
  <c r="H1699" i="3" s="1" a="1"/>
  <c r="H1699" i="3" s="1"/>
  <c r="G1698" i="3"/>
  <c r="H1698" i="3" s="1" a="1"/>
  <c r="H1698" i="3" s="1"/>
  <c r="G1697" i="3"/>
  <c r="H1697" i="3" s="1" a="1"/>
  <c r="H1697" i="3" s="1"/>
  <c r="G1696" i="3"/>
  <c r="H1696" i="3" s="1" a="1"/>
  <c r="H1696" i="3" s="1"/>
  <c r="G1695" i="3"/>
  <c r="H1695" i="3" s="1" a="1"/>
  <c r="H1695" i="3" s="1"/>
  <c r="G1694" i="3"/>
  <c r="H1694" i="3" s="1" a="1"/>
  <c r="H1694" i="3" s="1"/>
  <c r="G1693" i="3"/>
  <c r="H1693" i="3" s="1" a="1"/>
  <c r="H1693" i="3" s="1"/>
  <c r="G1692" i="3"/>
  <c r="H1692" i="3" s="1" a="1"/>
  <c r="H1692" i="3" s="1"/>
  <c r="G1691" i="3"/>
  <c r="H1691" i="3" s="1" a="1"/>
  <c r="H1691" i="3" s="1"/>
  <c r="G1690" i="3"/>
  <c r="H1690" i="3" s="1" a="1"/>
  <c r="H1690" i="3" s="1"/>
  <c r="G1689" i="3"/>
  <c r="H1689" i="3" s="1" a="1"/>
  <c r="H1689" i="3" s="1"/>
  <c r="G1688" i="3"/>
  <c r="H1688" i="3" s="1" a="1"/>
  <c r="H1688" i="3" s="1"/>
  <c r="G1687" i="3"/>
  <c r="H1687" i="3" s="1" a="1"/>
  <c r="H1687" i="3" s="1"/>
  <c r="G1686" i="3"/>
  <c r="H1686" i="3" s="1" a="1"/>
  <c r="H1686" i="3" s="1"/>
  <c r="G1685" i="3"/>
  <c r="H1685" i="3" s="1" a="1"/>
  <c r="H1685" i="3" s="1"/>
  <c r="G1684" i="3"/>
  <c r="H1684" i="3" s="1" a="1"/>
  <c r="H1684" i="3" s="1"/>
  <c r="G1683" i="3"/>
  <c r="H1683" i="3" s="1" a="1"/>
  <c r="H1683" i="3" s="1"/>
  <c r="G1682" i="3"/>
  <c r="H1682" i="3" s="1" a="1"/>
  <c r="H1682" i="3" s="1"/>
  <c r="G1681" i="3"/>
  <c r="H1681" i="3" s="1" a="1"/>
  <c r="H1681" i="3" s="1"/>
  <c r="G1680" i="3"/>
  <c r="H1680" i="3" s="1" a="1"/>
  <c r="H1680" i="3" s="1"/>
  <c r="G1679" i="3"/>
  <c r="H1679" i="3" s="1" a="1"/>
  <c r="H1679" i="3" s="1"/>
  <c r="G1678" i="3"/>
  <c r="H1678" i="3" s="1" a="1"/>
  <c r="H1678" i="3" s="1"/>
  <c r="G1677" i="3"/>
  <c r="H1677" i="3" s="1" a="1"/>
  <c r="H1677" i="3" s="1"/>
  <c r="G1676" i="3"/>
  <c r="H1676" i="3" s="1" a="1"/>
  <c r="H1676" i="3" s="1"/>
  <c r="G1675" i="3"/>
  <c r="H1675" i="3" s="1" a="1"/>
  <c r="H1675" i="3" s="1"/>
  <c r="G1674" i="3"/>
  <c r="H1674" i="3" s="1" a="1"/>
  <c r="H1674" i="3" s="1"/>
  <c r="G1673" i="3"/>
  <c r="H1673" i="3" s="1" a="1"/>
  <c r="H1673" i="3" s="1"/>
  <c r="G1672" i="3"/>
  <c r="H1672" i="3" s="1" a="1"/>
  <c r="H1672" i="3" s="1"/>
  <c r="G1671" i="3"/>
  <c r="H1671" i="3" s="1" a="1"/>
  <c r="H1671" i="3" s="1"/>
  <c r="G1670" i="3"/>
  <c r="H1670" i="3" s="1" a="1"/>
  <c r="H1670" i="3" s="1"/>
  <c r="G1669" i="3"/>
  <c r="H1669" i="3" s="1" a="1"/>
  <c r="H1669" i="3" s="1"/>
  <c r="G1668" i="3"/>
  <c r="H1668" i="3" s="1" a="1"/>
  <c r="H1668" i="3" s="1"/>
  <c r="G1667" i="3"/>
  <c r="H1667" i="3" s="1" a="1"/>
  <c r="H1667" i="3" s="1"/>
  <c r="G1666" i="3"/>
  <c r="H1666" i="3" s="1" a="1"/>
  <c r="H1666" i="3" s="1"/>
  <c r="G1665" i="3"/>
  <c r="H1665" i="3" s="1" a="1"/>
  <c r="H1665" i="3" s="1"/>
  <c r="G1664" i="3"/>
  <c r="H1664" i="3" s="1" a="1"/>
  <c r="H1664" i="3" s="1"/>
  <c r="G1663" i="3"/>
  <c r="H1663" i="3" s="1" a="1"/>
  <c r="H1663" i="3" s="1"/>
  <c r="G1662" i="3"/>
  <c r="H1662" i="3" s="1" a="1"/>
  <c r="H1662" i="3" s="1"/>
  <c r="G1661" i="3"/>
  <c r="H1661" i="3" s="1" a="1"/>
  <c r="H1661" i="3" s="1"/>
  <c r="G1660" i="3"/>
  <c r="H1660" i="3" s="1" a="1"/>
  <c r="H1660" i="3" s="1"/>
  <c r="G1659" i="3"/>
  <c r="H1659" i="3" s="1" a="1"/>
  <c r="H1659" i="3" s="1"/>
  <c r="G1658" i="3"/>
  <c r="H1658" i="3" s="1" a="1"/>
  <c r="H1658" i="3" s="1"/>
  <c r="G1657" i="3"/>
  <c r="H1657" i="3" s="1" a="1"/>
  <c r="H1657" i="3" s="1"/>
  <c r="G1656" i="3"/>
  <c r="H1656" i="3" s="1" a="1"/>
  <c r="H1656" i="3" s="1"/>
  <c r="G1655" i="3"/>
  <c r="H1655" i="3" s="1" a="1"/>
  <c r="H1655" i="3" s="1"/>
  <c r="G1654" i="3"/>
  <c r="H1654" i="3" s="1" a="1"/>
  <c r="H1654" i="3" s="1"/>
  <c r="G1653" i="3"/>
  <c r="H1653" i="3" s="1" a="1"/>
  <c r="H1653" i="3" s="1"/>
  <c r="G1652" i="3"/>
  <c r="H1652" i="3" s="1" a="1"/>
  <c r="H1652" i="3" s="1"/>
  <c r="G1651" i="3"/>
  <c r="H1651" i="3" s="1" a="1"/>
  <c r="H1651" i="3" s="1"/>
  <c r="G1650" i="3"/>
  <c r="H1650" i="3" s="1" a="1"/>
  <c r="H1650" i="3" s="1"/>
  <c r="G1649" i="3"/>
  <c r="H1649" i="3" s="1" a="1"/>
  <c r="H1649" i="3" s="1"/>
  <c r="G1648" i="3"/>
  <c r="H1648" i="3" s="1" a="1"/>
  <c r="H1648" i="3" s="1"/>
  <c r="G1647" i="3"/>
  <c r="H1647" i="3" s="1" a="1"/>
  <c r="H1647" i="3" s="1"/>
  <c r="G1646" i="3"/>
  <c r="H1646" i="3" s="1" a="1"/>
  <c r="H1646" i="3" s="1"/>
  <c r="G1645" i="3"/>
  <c r="H1645" i="3" s="1" a="1"/>
  <c r="H1645" i="3" s="1"/>
  <c r="G1644" i="3"/>
  <c r="H1644" i="3" s="1" a="1"/>
  <c r="H1644" i="3" s="1"/>
  <c r="G1643" i="3"/>
  <c r="H1643" i="3" s="1" a="1"/>
  <c r="H1643" i="3" s="1"/>
  <c r="G1642" i="3"/>
  <c r="H1642" i="3" s="1" a="1"/>
  <c r="H1642" i="3" s="1"/>
  <c r="G1641" i="3"/>
  <c r="H1641" i="3" s="1" a="1"/>
  <c r="H1641" i="3" s="1"/>
  <c r="G1640" i="3"/>
  <c r="H1640" i="3" s="1" a="1"/>
  <c r="H1640" i="3" s="1"/>
  <c r="G1639" i="3"/>
  <c r="H1639" i="3" s="1" a="1"/>
  <c r="H1639" i="3" s="1"/>
  <c r="G1638" i="3"/>
  <c r="H1638" i="3" s="1" a="1"/>
  <c r="H1638" i="3" s="1"/>
  <c r="G1637" i="3"/>
  <c r="H1637" i="3" s="1" a="1"/>
  <c r="H1637" i="3" s="1"/>
  <c r="G1636" i="3"/>
  <c r="H1636" i="3" s="1" a="1"/>
  <c r="H1636" i="3" s="1"/>
  <c r="G1635" i="3"/>
  <c r="H1635" i="3" s="1" a="1"/>
  <c r="H1635" i="3" s="1"/>
  <c r="G1634" i="3"/>
  <c r="H1634" i="3" s="1" a="1"/>
  <c r="H1634" i="3" s="1"/>
  <c r="G1633" i="3"/>
  <c r="H1633" i="3" s="1" a="1"/>
  <c r="H1633" i="3" s="1"/>
  <c r="G1632" i="3"/>
  <c r="H1632" i="3" s="1" a="1"/>
  <c r="H1632" i="3" s="1"/>
  <c r="G1631" i="3"/>
  <c r="H1631" i="3" s="1" a="1"/>
  <c r="H1631" i="3" s="1"/>
  <c r="G1630" i="3"/>
  <c r="H1630" i="3" s="1" a="1"/>
  <c r="H1630" i="3" s="1"/>
  <c r="G1629" i="3"/>
  <c r="H1629" i="3" s="1" a="1"/>
  <c r="H1629" i="3" s="1"/>
  <c r="G1628" i="3"/>
  <c r="H1628" i="3" s="1" a="1"/>
  <c r="H1628" i="3" s="1"/>
  <c r="G1627" i="3"/>
  <c r="H1627" i="3" s="1" a="1"/>
  <c r="H1627" i="3" s="1"/>
  <c r="G1626" i="3"/>
  <c r="H1626" i="3" s="1" a="1"/>
  <c r="H1626" i="3" s="1"/>
  <c r="G1625" i="3"/>
  <c r="H1625" i="3" s="1" a="1"/>
  <c r="H1625" i="3" s="1"/>
  <c r="G1624" i="3"/>
  <c r="H1624" i="3" s="1" a="1"/>
  <c r="H1624" i="3" s="1"/>
  <c r="G1623" i="3"/>
  <c r="H1623" i="3" s="1" a="1"/>
  <c r="H1623" i="3" s="1"/>
  <c r="G1622" i="3"/>
  <c r="H1622" i="3" s="1" a="1"/>
  <c r="H1622" i="3" s="1"/>
  <c r="G1621" i="3"/>
  <c r="H1621" i="3" s="1" a="1"/>
  <c r="H1621" i="3" s="1"/>
  <c r="G1620" i="3"/>
  <c r="H1620" i="3" s="1" a="1"/>
  <c r="H1620" i="3" s="1"/>
  <c r="G1619" i="3"/>
  <c r="H1619" i="3" s="1" a="1"/>
  <c r="H1619" i="3" s="1"/>
  <c r="G1618" i="3"/>
  <c r="H1618" i="3" s="1" a="1"/>
  <c r="H1618" i="3" s="1"/>
  <c r="G1617" i="3"/>
  <c r="H1617" i="3" s="1" a="1"/>
  <c r="H1617" i="3" s="1"/>
  <c r="G1616" i="3"/>
  <c r="H1616" i="3" s="1" a="1"/>
  <c r="H1616" i="3" s="1"/>
  <c r="G1615" i="3"/>
  <c r="H1615" i="3" s="1" a="1"/>
  <c r="H1615" i="3" s="1"/>
  <c r="G1614" i="3"/>
  <c r="H1614" i="3" s="1" a="1"/>
  <c r="H1614" i="3" s="1"/>
  <c r="G1613" i="3"/>
  <c r="H1613" i="3" s="1" a="1"/>
  <c r="H1613" i="3" s="1"/>
  <c r="G1612" i="3"/>
  <c r="H1612" i="3" s="1" a="1"/>
  <c r="H1612" i="3" s="1"/>
  <c r="G1611" i="3"/>
  <c r="H1611" i="3" s="1" a="1"/>
  <c r="H1611" i="3" s="1"/>
  <c r="G1610" i="3"/>
  <c r="H1610" i="3" s="1" a="1"/>
  <c r="H1610" i="3" s="1"/>
  <c r="G1609" i="3"/>
  <c r="H1609" i="3" s="1" a="1"/>
  <c r="H1609" i="3" s="1"/>
  <c r="G1608" i="3"/>
  <c r="H1608" i="3" s="1" a="1"/>
  <c r="H1608" i="3" s="1"/>
  <c r="G1607" i="3"/>
  <c r="H1607" i="3" s="1" a="1"/>
  <c r="H1607" i="3" s="1"/>
  <c r="G1606" i="3"/>
  <c r="H1606" i="3" s="1" a="1"/>
  <c r="H1606" i="3" s="1"/>
  <c r="G1605" i="3"/>
  <c r="H1605" i="3" s="1" a="1"/>
  <c r="H1605" i="3" s="1"/>
  <c r="G1604" i="3"/>
  <c r="H1604" i="3" s="1" a="1"/>
  <c r="H1604" i="3" s="1"/>
  <c r="G1603" i="3"/>
  <c r="H1603" i="3" s="1" a="1"/>
  <c r="H1603" i="3" s="1"/>
  <c r="G1602" i="3"/>
  <c r="H1602" i="3" s="1" a="1"/>
  <c r="H1602" i="3" s="1"/>
  <c r="G1601" i="3"/>
  <c r="H1601" i="3" s="1" a="1"/>
  <c r="H1601" i="3" s="1"/>
  <c r="G1600" i="3"/>
  <c r="H1600" i="3" s="1" a="1"/>
  <c r="H1600" i="3" s="1"/>
  <c r="G1599" i="3"/>
  <c r="H1599" i="3" s="1" a="1"/>
  <c r="H1599" i="3" s="1"/>
  <c r="G1598" i="3"/>
  <c r="H1598" i="3" s="1" a="1"/>
  <c r="H1598" i="3" s="1"/>
  <c r="G1597" i="3"/>
  <c r="H1597" i="3" s="1" a="1"/>
  <c r="H1597" i="3" s="1"/>
  <c r="G1596" i="3"/>
  <c r="H1596" i="3" s="1" a="1"/>
  <c r="H1596" i="3" s="1"/>
  <c r="G1595" i="3"/>
  <c r="H1595" i="3" s="1" a="1"/>
  <c r="H1595" i="3" s="1"/>
  <c r="G1594" i="3"/>
  <c r="H1594" i="3" s="1" a="1"/>
  <c r="H1594" i="3" s="1"/>
  <c r="G1593" i="3"/>
  <c r="H1593" i="3" s="1" a="1"/>
  <c r="H1593" i="3" s="1"/>
  <c r="G1592" i="3"/>
  <c r="H1592" i="3" s="1" a="1"/>
  <c r="H1592" i="3" s="1"/>
  <c r="G1591" i="3"/>
  <c r="H1591" i="3" s="1" a="1"/>
  <c r="H1591" i="3" s="1"/>
  <c r="G1590" i="3"/>
  <c r="H1590" i="3" s="1" a="1"/>
  <c r="H1590" i="3" s="1"/>
  <c r="G1589" i="3"/>
  <c r="H1589" i="3" s="1" a="1"/>
  <c r="H1589" i="3" s="1"/>
  <c r="G1588" i="3"/>
  <c r="H1588" i="3" s="1" a="1"/>
  <c r="H1588" i="3" s="1"/>
  <c r="G1587" i="3"/>
  <c r="H1587" i="3" s="1" a="1"/>
  <c r="H1587" i="3" s="1"/>
  <c r="G1586" i="3"/>
  <c r="H1586" i="3" s="1" a="1"/>
  <c r="H1586" i="3" s="1"/>
  <c r="G1585" i="3"/>
  <c r="H1585" i="3" s="1" a="1"/>
  <c r="H1585" i="3" s="1"/>
  <c r="G1584" i="3"/>
  <c r="H1584" i="3" s="1" a="1"/>
  <c r="H1584" i="3" s="1"/>
  <c r="G1583" i="3"/>
  <c r="H1583" i="3" s="1" a="1"/>
  <c r="H1583" i="3" s="1"/>
  <c r="G1582" i="3"/>
  <c r="H1582" i="3" s="1" a="1"/>
  <c r="H1582" i="3" s="1"/>
  <c r="G1581" i="3"/>
  <c r="H1581" i="3" s="1" a="1"/>
  <c r="H1581" i="3" s="1"/>
  <c r="G1580" i="3"/>
  <c r="H1580" i="3" s="1" a="1"/>
  <c r="H1580" i="3" s="1"/>
  <c r="G1579" i="3"/>
  <c r="H1579" i="3" s="1" a="1"/>
  <c r="H1579" i="3" s="1"/>
  <c r="G1578" i="3"/>
  <c r="H1578" i="3" s="1" a="1"/>
  <c r="H1578" i="3" s="1"/>
  <c r="G1577" i="3"/>
  <c r="H1577" i="3" s="1" a="1"/>
  <c r="H1577" i="3" s="1"/>
  <c r="G1576" i="3"/>
  <c r="H1576" i="3" s="1" a="1"/>
  <c r="H1576" i="3" s="1"/>
  <c r="G1575" i="3"/>
  <c r="H1575" i="3" s="1" a="1"/>
  <c r="H1575" i="3" s="1"/>
  <c r="G1574" i="3"/>
  <c r="H1574" i="3" s="1" a="1"/>
  <c r="H1574" i="3" s="1"/>
  <c r="G1573" i="3"/>
  <c r="H1573" i="3" s="1" a="1"/>
  <c r="H1573" i="3" s="1"/>
  <c r="G1572" i="3"/>
  <c r="H1572" i="3" s="1" a="1"/>
  <c r="H1572" i="3" s="1"/>
  <c r="G1571" i="3"/>
  <c r="H1571" i="3" s="1" a="1"/>
  <c r="H1571" i="3" s="1"/>
  <c r="G1570" i="3"/>
  <c r="H1570" i="3" s="1" a="1"/>
  <c r="H1570" i="3" s="1"/>
  <c r="G1569" i="3"/>
  <c r="H1569" i="3" s="1" a="1"/>
  <c r="H1569" i="3" s="1"/>
  <c r="G1568" i="3"/>
  <c r="H1568" i="3" s="1" a="1"/>
  <c r="H1568" i="3" s="1"/>
  <c r="G1567" i="3"/>
  <c r="H1567" i="3" s="1" a="1"/>
  <c r="H1567" i="3" s="1"/>
  <c r="G1566" i="3"/>
  <c r="H1566" i="3" s="1" a="1"/>
  <c r="H1566" i="3" s="1"/>
  <c r="G1565" i="3"/>
  <c r="H1565" i="3" s="1" a="1"/>
  <c r="H1565" i="3" s="1"/>
  <c r="G1564" i="3"/>
  <c r="H1564" i="3" s="1" a="1"/>
  <c r="H1564" i="3" s="1"/>
  <c r="G1563" i="3"/>
  <c r="H1563" i="3" s="1" a="1"/>
  <c r="H1563" i="3" s="1"/>
  <c r="G1562" i="3"/>
  <c r="H1562" i="3" s="1" a="1"/>
  <c r="H1562" i="3" s="1"/>
  <c r="G1561" i="3"/>
  <c r="H1561" i="3" s="1" a="1"/>
  <c r="H1561" i="3" s="1"/>
  <c r="G1560" i="3"/>
  <c r="H1560" i="3" s="1" a="1"/>
  <c r="H1560" i="3" s="1"/>
  <c r="G1559" i="3"/>
  <c r="H1559" i="3" s="1" a="1"/>
  <c r="H1559" i="3" s="1"/>
  <c r="G1558" i="3"/>
  <c r="H1558" i="3" s="1" a="1"/>
  <c r="H1558" i="3" s="1"/>
  <c r="G1557" i="3"/>
  <c r="H1557" i="3" s="1" a="1"/>
  <c r="H1557" i="3" s="1"/>
  <c r="G1556" i="3"/>
  <c r="H1556" i="3" s="1" a="1"/>
  <c r="H1556" i="3" s="1"/>
  <c r="G1555" i="3"/>
  <c r="H1555" i="3" s="1" a="1"/>
  <c r="H1555" i="3" s="1"/>
  <c r="G1554" i="3"/>
  <c r="H1554" i="3" s="1" a="1"/>
  <c r="H1554" i="3" s="1"/>
  <c r="G1553" i="3"/>
  <c r="H1553" i="3" s="1" a="1"/>
  <c r="H1553" i="3" s="1"/>
  <c r="G1552" i="3"/>
  <c r="H1552" i="3" s="1" a="1"/>
  <c r="H1552" i="3" s="1"/>
  <c r="G1551" i="3"/>
  <c r="H1551" i="3" s="1" a="1"/>
  <c r="H1551" i="3" s="1"/>
  <c r="G1550" i="3"/>
  <c r="H1550" i="3" s="1" a="1"/>
  <c r="H1550" i="3" s="1"/>
  <c r="G1549" i="3"/>
  <c r="H1549" i="3" s="1" a="1"/>
  <c r="H1549" i="3" s="1"/>
  <c r="G1548" i="3"/>
  <c r="H1548" i="3" s="1" a="1"/>
  <c r="H1548" i="3" s="1"/>
  <c r="G1547" i="3"/>
  <c r="H1547" i="3" s="1" a="1"/>
  <c r="H1547" i="3" s="1"/>
  <c r="G1546" i="3"/>
  <c r="H1546" i="3" s="1" a="1"/>
  <c r="H1546" i="3" s="1"/>
  <c r="G1545" i="3"/>
  <c r="H1545" i="3" s="1" a="1"/>
  <c r="H1545" i="3" s="1"/>
  <c r="G1544" i="3"/>
  <c r="H1544" i="3" s="1" a="1"/>
  <c r="H1544" i="3" s="1"/>
  <c r="G1543" i="3"/>
  <c r="H1543" i="3" s="1" a="1"/>
  <c r="H1543" i="3" s="1"/>
  <c r="G1542" i="3"/>
  <c r="H1542" i="3" s="1" a="1"/>
  <c r="H1542" i="3" s="1"/>
  <c r="G1541" i="3"/>
  <c r="H1541" i="3" s="1" a="1"/>
  <c r="H1541" i="3" s="1"/>
  <c r="G1540" i="3"/>
  <c r="H1540" i="3" s="1" a="1"/>
  <c r="H1540" i="3" s="1"/>
  <c r="G1539" i="3"/>
  <c r="H1539" i="3" s="1" a="1"/>
  <c r="H1539" i="3" s="1"/>
  <c r="G1538" i="3"/>
  <c r="H1538" i="3" s="1" a="1"/>
  <c r="H1538" i="3" s="1"/>
  <c r="G1537" i="3"/>
  <c r="H1537" i="3" s="1" a="1"/>
  <c r="H1537" i="3" s="1"/>
  <c r="G1536" i="3"/>
  <c r="H1536" i="3" s="1" a="1"/>
  <c r="H1536" i="3" s="1"/>
  <c r="G1535" i="3"/>
  <c r="H1535" i="3" s="1" a="1"/>
  <c r="H1535" i="3" s="1"/>
  <c r="G1534" i="3"/>
  <c r="H1534" i="3" s="1" a="1"/>
  <c r="H1534" i="3" s="1"/>
  <c r="G1533" i="3"/>
  <c r="H1533" i="3" s="1" a="1"/>
  <c r="H1533" i="3" s="1"/>
  <c r="G1532" i="3"/>
  <c r="H1532" i="3" s="1" a="1"/>
  <c r="H1532" i="3" s="1"/>
  <c r="G1531" i="3"/>
  <c r="H1531" i="3" s="1" a="1"/>
  <c r="H1531" i="3" s="1"/>
  <c r="G1530" i="3"/>
  <c r="H1530" i="3" s="1" a="1"/>
  <c r="H1530" i="3" s="1"/>
  <c r="G1529" i="3"/>
  <c r="H1529" i="3" s="1" a="1"/>
  <c r="H1529" i="3" s="1"/>
  <c r="G1528" i="3"/>
  <c r="H1528" i="3" s="1" a="1"/>
  <c r="H1528" i="3" s="1"/>
  <c r="G1527" i="3"/>
  <c r="H1527" i="3" s="1" a="1"/>
  <c r="H1527" i="3" s="1"/>
  <c r="G1526" i="3"/>
  <c r="H1526" i="3" s="1" a="1"/>
  <c r="H1526" i="3" s="1"/>
  <c r="G1525" i="3"/>
  <c r="H1525" i="3" s="1" a="1"/>
  <c r="H1525" i="3" s="1"/>
  <c r="G1524" i="3"/>
  <c r="H1524" i="3" s="1" a="1"/>
  <c r="H1524" i="3" s="1"/>
  <c r="G1523" i="3"/>
  <c r="H1523" i="3" s="1" a="1"/>
  <c r="H1523" i="3" s="1"/>
  <c r="G1522" i="3"/>
  <c r="H1522" i="3" s="1" a="1"/>
  <c r="H1522" i="3" s="1"/>
  <c r="G1521" i="3"/>
  <c r="H1521" i="3" s="1" a="1"/>
  <c r="H1521" i="3" s="1"/>
  <c r="G1520" i="3"/>
  <c r="H1520" i="3" s="1" a="1"/>
  <c r="H1520" i="3" s="1"/>
  <c r="G1519" i="3"/>
  <c r="H1519" i="3" s="1" a="1"/>
  <c r="H1519" i="3" s="1"/>
  <c r="G1518" i="3"/>
  <c r="H1518" i="3" s="1" a="1"/>
  <c r="H1518" i="3" s="1"/>
  <c r="G1517" i="3"/>
  <c r="H1517" i="3" s="1" a="1"/>
  <c r="H1517" i="3" s="1"/>
  <c r="G1516" i="3"/>
  <c r="H1516" i="3" s="1" a="1"/>
  <c r="H1516" i="3" s="1"/>
  <c r="G1515" i="3"/>
  <c r="H1515" i="3" s="1" a="1"/>
  <c r="H1515" i="3" s="1"/>
  <c r="G1514" i="3"/>
  <c r="H1514" i="3" s="1" a="1"/>
  <c r="H1514" i="3" s="1"/>
  <c r="G1513" i="3"/>
  <c r="H1513" i="3" s="1" a="1"/>
  <c r="H1513" i="3" s="1"/>
  <c r="G1512" i="3"/>
  <c r="H1512" i="3" s="1" a="1"/>
  <c r="H1512" i="3" s="1"/>
  <c r="G1511" i="3"/>
  <c r="H1511" i="3" s="1" a="1"/>
  <c r="H1511" i="3" s="1"/>
  <c r="G1510" i="3"/>
  <c r="H1510" i="3" s="1" a="1"/>
  <c r="H1510" i="3" s="1"/>
  <c r="G1509" i="3"/>
  <c r="H1509" i="3" s="1" a="1"/>
  <c r="H1509" i="3" s="1"/>
  <c r="G1508" i="3"/>
  <c r="H1508" i="3" s="1" a="1"/>
  <c r="H1508" i="3" s="1"/>
  <c r="G1507" i="3"/>
  <c r="H1507" i="3" s="1" a="1"/>
  <c r="H1507" i="3" s="1"/>
  <c r="G1506" i="3"/>
  <c r="H1506" i="3" s="1" a="1"/>
  <c r="H1506" i="3" s="1"/>
  <c r="G1505" i="3"/>
  <c r="H1505" i="3" s="1" a="1"/>
  <c r="H1505" i="3" s="1"/>
  <c r="G1504" i="3"/>
  <c r="H1504" i="3" s="1" a="1"/>
  <c r="H1504" i="3" s="1"/>
  <c r="G1503" i="3"/>
  <c r="H1503" i="3" s="1" a="1"/>
  <c r="H1503" i="3" s="1"/>
  <c r="G1502" i="3"/>
  <c r="H1502" i="3" s="1" a="1"/>
  <c r="H1502" i="3" s="1"/>
  <c r="G1501" i="3"/>
  <c r="H1501" i="3" s="1" a="1"/>
  <c r="H1501" i="3" s="1"/>
  <c r="G1500" i="3"/>
  <c r="H1500" i="3" s="1" a="1"/>
  <c r="H1500" i="3" s="1"/>
  <c r="G1499" i="3"/>
  <c r="H1499" i="3" s="1" a="1"/>
  <c r="H1499" i="3" s="1"/>
  <c r="G1498" i="3"/>
  <c r="H1498" i="3" s="1" a="1"/>
  <c r="H1498" i="3" s="1"/>
  <c r="G1497" i="3"/>
  <c r="H1497" i="3" s="1" a="1"/>
  <c r="H1497" i="3" s="1"/>
  <c r="G1496" i="3"/>
  <c r="H1496" i="3" s="1" a="1"/>
  <c r="H1496" i="3" s="1"/>
  <c r="G1495" i="3"/>
  <c r="H1495" i="3" s="1" a="1"/>
  <c r="H1495" i="3" s="1"/>
  <c r="G1494" i="3"/>
  <c r="H1494" i="3" s="1" a="1"/>
  <c r="H1494" i="3" s="1"/>
  <c r="G1493" i="3"/>
  <c r="H1493" i="3" s="1" a="1"/>
  <c r="H1493" i="3" s="1"/>
  <c r="G1492" i="3"/>
  <c r="H1492" i="3" s="1" a="1"/>
  <c r="H1492" i="3" s="1"/>
  <c r="G1491" i="3"/>
  <c r="H1491" i="3" s="1" a="1"/>
  <c r="H1491" i="3" s="1"/>
  <c r="G1490" i="3"/>
  <c r="H1490" i="3" s="1" a="1"/>
  <c r="H1490" i="3" s="1"/>
  <c r="G1489" i="3"/>
  <c r="H1489" i="3" s="1" a="1"/>
  <c r="H1489" i="3" s="1"/>
  <c r="G1488" i="3"/>
  <c r="H1488" i="3" s="1" a="1"/>
  <c r="H1488" i="3" s="1"/>
  <c r="G1487" i="3"/>
  <c r="H1487" i="3" s="1" a="1"/>
  <c r="H1487" i="3" s="1"/>
  <c r="G1486" i="3"/>
  <c r="H1486" i="3" s="1" a="1"/>
  <c r="H1486" i="3" s="1"/>
  <c r="G1485" i="3"/>
  <c r="H1485" i="3" s="1" a="1"/>
  <c r="H1485" i="3" s="1"/>
  <c r="G1484" i="3"/>
  <c r="H1484" i="3" s="1" a="1"/>
  <c r="H1484" i="3" s="1"/>
  <c r="G1483" i="3"/>
  <c r="H1483" i="3" s="1" a="1"/>
  <c r="H1483" i="3" s="1"/>
  <c r="G1482" i="3"/>
  <c r="H1482" i="3" s="1" a="1"/>
  <c r="H1482" i="3" s="1"/>
  <c r="G1481" i="3"/>
  <c r="H1481" i="3" s="1" a="1"/>
  <c r="H1481" i="3" s="1"/>
  <c r="G1480" i="3"/>
  <c r="H1480" i="3" s="1" a="1"/>
  <c r="H1480" i="3" s="1"/>
  <c r="G1479" i="3"/>
  <c r="H1479" i="3" s="1" a="1"/>
  <c r="H1479" i="3" s="1"/>
  <c r="G1478" i="3"/>
  <c r="H1478" i="3" s="1" a="1"/>
  <c r="H1478" i="3" s="1"/>
  <c r="G1477" i="3"/>
  <c r="H1477" i="3" s="1" a="1"/>
  <c r="H1477" i="3" s="1"/>
  <c r="G1476" i="3"/>
  <c r="H1476" i="3" s="1" a="1"/>
  <c r="H1476" i="3" s="1"/>
  <c r="G1475" i="3"/>
  <c r="H1475" i="3" s="1" a="1"/>
  <c r="H1475" i="3" s="1"/>
  <c r="G1474" i="3"/>
  <c r="H1474" i="3" s="1" a="1"/>
  <c r="H1474" i="3" s="1"/>
  <c r="G1473" i="3"/>
  <c r="H1473" i="3" s="1" a="1"/>
  <c r="H1473" i="3" s="1"/>
  <c r="G1472" i="3"/>
  <c r="H1472" i="3" s="1" a="1"/>
  <c r="H1472" i="3" s="1"/>
  <c r="G1471" i="3"/>
  <c r="H1471" i="3" s="1" a="1"/>
  <c r="H1471" i="3" s="1"/>
  <c r="G1470" i="3"/>
  <c r="H1470" i="3" s="1" a="1"/>
  <c r="H1470" i="3" s="1"/>
  <c r="G1469" i="3"/>
  <c r="H1469" i="3" s="1" a="1"/>
  <c r="H1469" i="3" s="1"/>
  <c r="G1468" i="3"/>
  <c r="H1468" i="3" s="1" a="1"/>
  <c r="H1468" i="3" s="1"/>
  <c r="G1467" i="3"/>
  <c r="H1467" i="3" s="1" a="1"/>
  <c r="H1467" i="3" s="1"/>
  <c r="G1466" i="3"/>
  <c r="H1466" i="3" s="1" a="1"/>
  <c r="H1466" i="3" s="1"/>
  <c r="G1465" i="3"/>
  <c r="H1465" i="3" s="1" a="1"/>
  <c r="H1465" i="3" s="1"/>
  <c r="G1464" i="3"/>
  <c r="H1464" i="3" s="1" a="1"/>
  <c r="H1464" i="3" s="1"/>
  <c r="G1463" i="3"/>
  <c r="H1463" i="3" s="1" a="1"/>
  <c r="H1463" i="3" s="1"/>
  <c r="G1462" i="3"/>
  <c r="H1462" i="3" s="1" a="1"/>
  <c r="H1462" i="3" s="1"/>
  <c r="G1461" i="3"/>
  <c r="H1461" i="3" s="1" a="1"/>
  <c r="H1461" i="3" s="1"/>
  <c r="G1460" i="3"/>
  <c r="H1460" i="3" s="1" a="1"/>
  <c r="H1460" i="3" s="1"/>
  <c r="G1459" i="3"/>
  <c r="H1459" i="3" s="1" a="1"/>
  <c r="H1459" i="3" s="1"/>
  <c r="G1458" i="3"/>
  <c r="H1458" i="3" s="1" a="1"/>
  <c r="H1458" i="3" s="1"/>
  <c r="G1457" i="3"/>
  <c r="H1457" i="3" s="1" a="1"/>
  <c r="H1457" i="3" s="1"/>
  <c r="G1456" i="3"/>
  <c r="H1456" i="3" s="1" a="1"/>
  <c r="H1456" i="3" s="1"/>
  <c r="G1455" i="3"/>
  <c r="H1455" i="3" s="1" a="1"/>
  <c r="H1455" i="3" s="1"/>
  <c r="G1454" i="3"/>
  <c r="H1454" i="3" s="1" a="1"/>
  <c r="H1454" i="3" s="1"/>
  <c r="G1453" i="3"/>
  <c r="H1453" i="3" s="1" a="1"/>
  <c r="H1453" i="3" s="1"/>
  <c r="G1452" i="3"/>
  <c r="H1452" i="3" s="1" a="1"/>
  <c r="H1452" i="3" s="1"/>
  <c r="G1451" i="3"/>
  <c r="H1451" i="3" s="1" a="1"/>
  <c r="H1451" i="3" s="1"/>
  <c r="G1450" i="3"/>
  <c r="H1450" i="3" s="1" a="1"/>
  <c r="H1450" i="3" s="1"/>
  <c r="G1449" i="3"/>
  <c r="H1449" i="3" s="1" a="1"/>
  <c r="H1449" i="3" s="1"/>
  <c r="G1448" i="3"/>
  <c r="H1448" i="3" s="1" a="1"/>
  <c r="H1448" i="3" s="1"/>
  <c r="G1447" i="3"/>
  <c r="H1447" i="3" s="1" a="1"/>
  <c r="H1447" i="3" s="1"/>
  <c r="G1446" i="3"/>
  <c r="H1446" i="3" s="1" a="1"/>
  <c r="H1446" i="3" s="1"/>
  <c r="G1445" i="3"/>
  <c r="H1445" i="3" s="1" a="1"/>
  <c r="H1445" i="3" s="1"/>
  <c r="G1444" i="3"/>
  <c r="H1444" i="3" s="1" a="1"/>
  <c r="H1444" i="3" s="1"/>
  <c r="G1443" i="3"/>
  <c r="H1443" i="3" s="1" a="1"/>
  <c r="H1443" i="3" s="1"/>
  <c r="G1442" i="3"/>
  <c r="H1442" i="3" s="1" a="1"/>
  <c r="H1442" i="3" s="1"/>
  <c r="G1441" i="3"/>
  <c r="H1441" i="3" s="1" a="1"/>
  <c r="H1441" i="3" s="1"/>
  <c r="G1440" i="3"/>
  <c r="H1440" i="3" s="1" a="1"/>
  <c r="H1440" i="3" s="1"/>
  <c r="G1439" i="3"/>
  <c r="H1439" i="3" s="1" a="1"/>
  <c r="H1439" i="3" s="1"/>
  <c r="G1438" i="3"/>
  <c r="H1438" i="3" s="1" a="1"/>
  <c r="H1438" i="3" s="1"/>
  <c r="G1437" i="3"/>
  <c r="H1437" i="3" s="1" a="1"/>
  <c r="H1437" i="3" s="1"/>
  <c r="G1436" i="3"/>
  <c r="H1436" i="3" s="1" a="1"/>
  <c r="H1436" i="3" s="1"/>
  <c r="G1435" i="3"/>
  <c r="H1435" i="3" s="1" a="1"/>
  <c r="H1435" i="3" s="1"/>
  <c r="G1434" i="3"/>
  <c r="H1434" i="3" s="1" a="1"/>
  <c r="H1434" i="3" s="1"/>
  <c r="G1433" i="3"/>
  <c r="H1433" i="3" s="1" a="1"/>
  <c r="H1433" i="3" s="1"/>
  <c r="G1432" i="3"/>
  <c r="H1432" i="3" s="1" a="1"/>
  <c r="H1432" i="3" s="1"/>
  <c r="G1431" i="3"/>
  <c r="H1431" i="3" s="1" a="1"/>
  <c r="H1431" i="3" s="1"/>
  <c r="G1430" i="3"/>
  <c r="H1430" i="3" s="1" a="1"/>
  <c r="H1430" i="3" s="1"/>
  <c r="G1429" i="3"/>
  <c r="H1429" i="3" s="1" a="1"/>
  <c r="H1429" i="3" s="1"/>
  <c r="G1428" i="3"/>
  <c r="H1428" i="3" s="1" a="1"/>
  <c r="H1428" i="3" s="1"/>
  <c r="G1427" i="3"/>
  <c r="H1427" i="3" s="1" a="1"/>
  <c r="H1427" i="3" s="1"/>
  <c r="G1426" i="3"/>
  <c r="H1426" i="3" s="1" a="1"/>
  <c r="H1426" i="3" s="1"/>
  <c r="G1425" i="3"/>
  <c r="H1425" i="3" s="1" a="1"/>
  <c r="H1425" i="3" s="1"/>
  <c r="G1424" i="3"/>
  <c r="H1424" i="3" s="1" a="1"/>
  <c r="H1424" i="3" s="1"/>
  <c r="G1423" i="3"/>
  <c r="H1423" i="3" s="1" a="1"/>
  <c r="H1423" i="3" s="1"/>
  <c r="G1422" i="3"/>
  <c r="H1422" i="3" s="1" a="1"/>
  <c r="H1422" i="3" s="1"/>
  <c r="G1421" i="3"/>
  <c r="H1421" i="3" s="1" a="1"/>
  <c r="H1421" i="3" s="1"/>
  <c r="G1420" i="3"/>
  <c r="H1420" i="3" s="1" a="1"/>
  <c r="H1420" i="3" s="1"/>
  <c r="G1419" i="3"/>
  <c r="H1419" i="3" s="1" a="1"/>
  <c r="H1419" i="3" s="1"/>
  <c r="G1418" i="3"/>
  <c r="H1418" i="3" s="1" a="1"/>
  <c r="H1418" i="3" s="1"/>
  <c r="G1417" i="3"/>
  <c r="H1417" i="3" s="1" a="1"/>
  <c r="H1417" i="3" s="1"/>
  <c r="G1416" i="3"/>
  <c r="H1416" i="3" s="1" a="1"/>
  <c r="H1416" i="3" s="1"/>
  <c r="G1415" i="3"/>
  <c r="H1415" i="3" s="1" a="1"/>
  <c r="H1415" i="3" s="1"/>
  <c r="G1414" i="3"/>
  <c r="H1414" i="3" s="1" a="1"/>
  <c r="H1414" i="3" s="1"/>
  <c r="G1413" i="3"/>
  <c r="H1413" i="3" s="1" a="1"/>
  <c r="H1413" i="3" s="1"/>
  <c r="G1412" i="3"/>
  <c r="H1412" i="3" s="1" a="1"/>
  <c r="H1412" i="3" s="1"/>
  <c r="G1411" i="3"/>
  <c r="H1411" i="3" s="1" a="1"/>
  <c r="H1411" i="3" s="1"/>
  <c r="G1410" i="3"/>
  <c r="H1410" i="3" s="1" a="1"/>
  <c r="H1410" i="3" s="1"/>
  <c r="G1409" i="3"/>
  <c r="H1409" i="3" s="1" a="1"/>
  <c r="H1409" i="3" s="1"/>
  <c r="G1408" i="3"/>
  <c r="H1408" i="3" s="1" a="1"/>
  <c r="H1408" i="3" s="1"/>
  <c r="G1407" i="3"/>
  <c r="H1407" i="3" s="1" a="1"/>
  <c r="H1407" i="3" s="1"/>
  <c r="G1406" i="3"/>
  <c r="H1406" i="3" s="1" a="1"/>
  <c r="H1406" i="3" s="1"/>
  <c r="G1405" i="3"/>
  <c r="H1405" i="3" s="1" a="1"/>
  <c r="H1405" i="3" s="1"/>
  <c r="G1404" i="3"/>
  <c r="H1404" i="3" s="1" a="1"/>
  <c r="H1404" i="3" s="1"/>
  <c r="G1403" i="3"/>
  <c r="H1403" i="3" s="1" a="1"/>
  <c r="H1403" i="3" s="1"/>
  <c r="G1402" i="3"/>
  <c r="H1402" i="3" s="1" a="1"/>
  <c r="H1402" i="3" s="1"/>
  <c r="G1401" i="3"/>
  <c r="H1401" i="3" s="1" a="1"/>
  <c r="H1401" i="3" s="1"/>
  <c r="G1400" i="3"/>
  <c r="H1400" i="3" s="1" a="1"/>
  <c r="H1400" i="3" s="1"/>
  <c r="G1399" i="3"/>
  <c r="H1399" i="3" s="1" a="1"/>
  <c r="H1399" i="3" s="1"/>
  <c r="G1398" i="3"/>
  <c r="H1398" i="3" s="1" a="1"/>
  <c r="H1398" i="3" s="1"/>
  <c r="G1397" i="3"/>
  <c r="H1397" i="3" s="1" a="1"/>
  <c r="H1397" i="3" s="1"/>
  <c r="G1396" i="3"/>
  <c r="H1396" i="3" s="1" a="1"/>
  <c r="H1396" i="3" s="1"/>
  <c r="G1395" i="3"/>
  <c r="H1395" i="3" s="1" a="1"/>
  <c r="H1395" i="3" s="1"/>
  <c r="G1394" i="3"/>
  <c r="H1394" i="3" s="1" a="1"/>
  <c r="H1394" i="3" s="1"/>
  <c r="G1393" i="3"/>
  <c r="H1393" i="3" s="1" a="1"/>
  <c r="H1393" i="3" s="1"/>
  <c r="G1392" i="3"/>
  <c r="H1392" i="3" s="1" a="1"/>
  <c r="H1392" i="3" s="1"/>
  <c r="G1391" i="3"/>
  <c r="H1391" i="3" s="1" a="1"/>
  <c r="H1391" i="3" s="1"/>
  <c r="G1390" i="3"/>
  <c r="H1390" i="3" s="1" a="1"/>
  <c r="H1390" i="3" s="1"/>
  <c r="G1389" i="3"/>
  <c r="H1389" i="3" s="1" a="1"/>
  <c r="H1389" i="3" s="1"/>
  <c r="G1388" i="3"/>
  <c r="H1388" i="3" s="1" a="1"/>
  <c r="H1388" i="3" s="1"/>
  <c r="G1387" i="3"/>
  <c r="H1387" i="3" s="1" a="1"/>
  <c r="H1387" i="3" s="1"/>
  <c r="G1386" i="3"/>
  <c r="H1386" i="3" s="1" a="1"/>
  <c r="H1386" i="3" s="1"/>
  <c r="G1385" i="3"/>
  <c r="H1385" i="3" s="1" a="1"/>
  <c r="H1385" i="3" s="1"/>
  <c r="G1384" i="3"/>
  <c r="H1384" i="3" s="1" a="1"/>
  <c r="H1384" i="3" s="1"/>
  <c r="G1383" i="3"/>
  <c r="H1383" i="3" s="1" a="1"/>
  <c r="H1383" i="3" s="1"/>
  <c r="G1382" i="3"/>
  <c r="H1382" i="3" s="1" a="1"/>
  <c r="H1382" i="3" s="1"/>
  <c r="G1381" i="3"/>
  <c r="H1381" i="3" s="1" a="1"/>
  <c r="H1381" i="3" s="1"/>
  <c r="G1380" i="3"/>
  <c r="H1380" i="3" s="1" a="1"/>
  <c r="H1380" i="3" s="1"/>
  <c r="G1379" i="3"/>
  <c r="H1379" i="3" s="1" a="1"/>
  <c r="H1379" i="3" s="1"/>
  <c r="G1378" i="3"/>
  <c r="H1378" i="3" s="1" a="1"/>
  <c r="H1378" i="3" s="1"/>
  <c r="G1377" i="3"/>
  <c r="H1377" i="3" s="1" a="1"/>
  <c r="H1377" i="3" s="1"/>
  <c r="G1376" i="3"/>
  <c r="H1376" i="3" s="1" a="1"/>
  <c r="H1376" i="3" s="1"/>
  <c r="G1375" i="3"/>
  <c r="H1375" i="3" s="1" a="1"/>
  <c r="H1375" i="3" s="1"/>
  <c r="G1374" i="3"/>
  <c r="H1374" i="3" s="1" a="1"/>
  <c r="H1374" i="3" s="1"/>
  <c r="G1373" i="3"/>
  <c r="H1373" i="3" s="1" a="1"/>
  <c r="H1373" i="3" s="1"/>
  <c r="G1372" i="3"/>
  <c r="H1372" i="3" s="1" a="1"/>
  <c r="H1372" i="3" s="1"/>
  <c r="G1371" i="3"/>
  <c r="H1371" i="3" s="1" a="1"/>
  <c r="H1371" i="3" s="1"/>
  <c r="G1370" i="3"/>
  <c r="H1370" i="3" s="1" a="1"/>
  <c r="H1370" i="3" s="1"/>
  <c r="G1369" i="3"/>
  <c r="H1369" i="3" s="1" a="1"/>
  <c r="H1369" i="3" s="1"/>
  <c r="G1368" i="3"/>
  <c r="H1368" i="3" s="1" a="1"/>
  <c r="H1368" i="3" s="1"/>
  <c r="G1367" i="3"/>
  <c r="H1367" i="3" s="1" a="1"/>
  <c r="H1367" i="3" s="1"/>
  <c r="G1366" i="3"/>
  <c r="H1366" i="3" s="1" a="1"/>
  <c r="H1366" i="3" s="1"/>
  <c r="G1365" i="3"/>
  <c r="H1365" i="3" s="1" a="1"/>
  <c r="H1365" i="3" s="1"/>
  <c r="G1364" i="3"/>
  <c r="H1364" i="3" s="1" a="1"/>
  <c r="H1364" i="3" s="1"/>
  <c r="G1363" i="3"/>
  <c r="H1363" i="3" s="1" a="1"/>
  <c r="H1363" i="3" s="1"/>
  <c r="G1362" i="3"/>
  <c r="H1362" i="3" s="1" a="1"/>
  <c r="H1362" i="3" s="1"/>
  <c r="G1361" i="3"/>
  <c r="H1361" i="3" s="1" a="1"/>
  <c r="H1361" i="3" s="1"/>
  <c r="G1360" i="3"/>
  <c r="H1360" i="3" s="1" a="1"/>
  <c r="H1360" i="3" s="1"/>
  <c r="G1359" i="3"/>
  <c r="H1359" i="3" s="1" a="1"/>
  <c r="H1359" i="3" s="1"/>
  <c r="G1358" i="3"/>
  <c r="H1358" i="3" s="1" a="1"/>
  <c r="H1358" i="3" s="1"/>
  <c r="G1357" i="3"/>
  <c r="H1357" i="3" s="1" a="1"/>
  <c r="H1357" i="3" s="1"/>
  <c r="G1356" i="3"/>
  <c r="H1356" i="3" s="1" a="1"/>
  <c r="H1356" i="3" s="1"/>
  <c r="G1355" i="3"/>
  <c r="H1355" i="3" s="1" a="1"/>
  <c r="H1355" i="3" s="1"/>
  <c r="G1354" i="3"/>
  <c r="H1354" i="3" s="1" a="1"/>
  <c r="H1354" i="3" s="1"/>
  <c r="G1353" i="3"/>
  <c r="H1353" i="3" s="1" a="1"/>
  <c r="H1353" i="3" s="1"/>
  <c r="G1352" i="3"/>
  <c r="H1352" i="3" s="1" a="1"/>
  <c r="H1352" i="3" s="1"/>
  <c r="G1351" i="3"/>
  <c r="H1351" i="3" s="1" a="1"/>
  <c r="H1351" i="3" s="1"/>
  <c r="G1350" i="3"/>
  <c r="H1350" i="3" s="1" a="1"/>
  <c r="H1350" i="3" s="1"/>
  <c r="G1349" i="3"/>
  <c r="H1349" i="3" s="1" a="1"/>
  <c r="H1349" i="3" s="1"/>
  <c r="G1348" i="3"/>
  <c r="H1348" i="3" s="1" a="1"/>
  <c r="H1348" i="3" s="1"/>
  <c r="G1347" i="3"/>
  <c r="H1347" i="3" s="1" a="1"/>
  <c r="H1347" i="3" s="1"/>
  <c r="G1346" i="3"/>
  <c r="H1346" i="3" s="1" a="1"/>
  <c r="H1346" i="3" s="1"/>
  <c r="G1345" i="3"/>
  <c r="H1345" i="3" s="1" a="1"/>
  <c r="H1345" i="3" s="1"/>
  <c r="G1344" i="3"/>
  <c r="H1344" i="3" s="1" a="1"/>
  <c r="H1344" i="3" s="1"/>
  <c r="G1343" i="3"/>
  <c r="H1343" i="3" s="1" a="1"/>
  <c r="H1343" i="3" s="1"/>
  <c r="G1342" i="3"/>
  <c r="H1342" i="3" s="1" a="1"/>
  <c r="H1342" i="3" s="1"/>
  <c r="G1341" i="3"/>
  <c r="H1341" i="3" s="1" a="1"/>
  <c r="H1341" i="3" s="1"/>
  <c r="G1340" i="3"/>
  <c r="H1340" i="3" s="1" a="1"/>
  <c r="H1340" i="3" s="1"/>
  <c r="G1339" i="3"/>
  <c r="H1339" i="3" s="1" a="1"/>
  <c r="H1339" i="3" s="1"/>
  <c r="G1338" i="3"/>
  <c r="H1338" i="3" s="1" a="1"/>
  <c r="H1338" i="3" s="1"/>
  <c r="G1337" i="3"/>
  <c r="H1337" i="3" s="1" a="1"/>
  <c r="H1337" i="3" s="1"/>
  <c r="G1336" i="3"/>
  <c r="H1336" i="3" s="1" a="1"/>
  <c r="H1336" i="3" s="1"/>
  <c r="G1335" i="3"/>
  <c r="H1335" i="3" s="1" a="1"/>
  <c r="H1335" i="3" s="1"/>
  <c r="G1334" i="3"/>
  <c r="H1334" i="3" s="1" a="1"/>
  <c r="H1334" i="3" s="1"/>
  <c r="G1333" i="3"/>
  <c r="H1333" i="3" s="1" a="1"/>
  <c r="H1333" i="3" s="1"/>
  <c r="G1332" i="3"/>
  <c r="H1332" i="3" s="1" a="1"/>
  <c r="H1332" i="3" s="1"/>
  <c r="G1331" i="3"/>
  <c r="H1331" i="3" s="1" a="1"/>
  <c r="H1331" i="3" s="1"/>
  <c r="G1330" i="3"/>
  <c r="H1330" i="3" s="1" a="1"/>
  <c r="H1330" i="3" s="1"/>
  <c r="G1329" i="3"/>
  <c r="H1329" i="3" s="1" a="1"/>
  <c r="H1329" i="3" s="1"/>
  <c r="G1328" i="3"/>
  <c r="H1328" i="3" s="1" a="1"/>
  <c r="H1328" i="3" s="1"/>
  <c r="G1327" i="3"/>
  <c r="H1327" i="3" s="1" a="1"/>
  <c r="H1327" i="3" s="1"/>
  <c r="G1326" i="3"/>
  <c r="H1326" i="3" s="1" a="1"/>
  <c r="H1326" i="3" s="1"/>
  <c r="G1325" i="3"/>
  <c r="H1325" i="3" s="1" a="1"/>
  <c r="H1325" i="3" s="1"/>
  <c r="G1324" i="3"/>
  <c r="H1324" i="3" s="1" a="1"/>
  <c r="H1324" i="3" s="1"/>
  <c r="G1323" i="3"/>
  <c r="H1323" i="3" s="1" a="1"/>
  <c r="H1323" i="3" s="1"/>
  <c r="G1322" i="3"/>
  <c r="H1322" i="3" s="1" a="1"/>
  <c r="H1322" i="3" s="1"/>
  <c r="G1321" i="3"/>
  <c r="H1321" i="3" s="1" a="1"/>
  <c r="H1321" i="3" s="1"/>
  <c r="G1320" i="3"/>
  <c r="H1320" i="3" s="1" a="1"/>
  <c r="H1320" i="3" s="1"/>
  <c r="G1319" i="3"/>
  <c r="H1319" i="3" s="1" a="1"/>
  <c r="H1319" i="3" s="1"/>
  <c r="G1318" i="3"/>
  <c r="H1318" i="3" s="1" a="1"/>
  <c r="H1318" i="3" s="1"/>
  <c r="G1317" i="3"/>
  <c r="H1317" i="3" s="1" a="1"/>
  <c r="H1317" i="3" s="1"/>
  <c r="G1316" i="3"/>
  <c r="H1316" i="3" s="1" a="1"/>
  <c r="H1316" i="3" s="1"/>
  <c r="G1315" i="3"/>
  <c r="H1315" i="3" s="1" a="1"/>
  <c r="H1315" i="3" s="1"/>
  <c r="G1314" i="3"/>
  <c r="H1314" i="3" s="1" a="1"/>
  <c r="H1314" i="3" s="1"/>
  <c r="G1313" i="3"/>
  <c r="H1313" i="3" s="1" a="1"/>
  <c r="H1313" i="3" s="1"/>
  <c r="G1312" i="3"/>
  <c r="H1312" i="3" s="1" a="1"/>
  <c r="H1312" i="3" s="1"/>
  <c r="G1311" i="3"/>
  <c r="H1311" i="3" s="1" a="1"/>
  <c r="H1311" i="3" s="1"/>
  <c r="G1310" i="3"/>
  <c r="H1310" i="3" s="1" a="1"/>
  <c r="H1310" i="3" s="1"/>
  <c r="G1309" i="3"/>
  <c r="H1309" i="3" s="1" a="1"/>
  <c r="H1309" i="3" s="1"/>
  <c r="G1308" i="3"/>
  <c r="H1308" i="3" s="1" a="1"/>
  <c r="H1308" i="3" s="1"/>
  <c r="G1307" i="3"/>
  <c r="H1307" i="3" s="1" a="1"/>
  <c r="H1307" i="3" s="1"/>
  <c r="G1306" i="3"/>
  <c r="H1306" i="3" s="1" a="1"/>
  <c r="H1306" i="3" s="1"/>
  <c r="G1305" i="3"/>
  <c r="H1305" i="3" s="1" a="1"/>
  <c r="H1305" i="3" s="1"/>
  <c r="G1304" i="3"/>
  <c r="H1304" i="3" s="1" a="1"/>
  <c r="H1304" i="3" s="1"/>
  <c r="G1303" i="3"/>
  <c r="H1303" i="3" s="1" a="1"/>
  <c r="H1303" i="3" s="1"/>
  <c r="G1302" i="3"/>
  <c r="H1302" i="3" s="1" a="1"/>
  <c r="H1302" i="3" s="1"/>
  <c r="G1301" i="3"/>
  <c r="H1301" i="3" s="1" a="1"/>
  <c r="H1301" i="3" s="1"/>
  <c r="G1300" i="3"/>
  <c r="H1300" i="3" s="1" a="1"/>
  <c r="H1300" i="3" s="1"/>
  <c r="G1299" i="3"/>
  <c r="H1299" i="3" s="1" a="1"/>
  <c r="H1299" i="3" s="1"/>
  <c r="G1298" i="3"/>
  <c r="H1298" i="3" s="1" a="1"/>
  <c r="H1298" i="3" s="1"/>
  <c r="G1297" i="3"/>
  <c r="H1297" i="3" s="1" a="1"/>
  <c r="H1297" i="3" s="1"/>
  <c r="G1296" i="3"/>
  <c r="H1296" i="3" s="1" a="1"/>
  <c r="H1296" i="3" s="1"/>
  <c r="G1295" i="3"/>
  <c r="H1295" i="3" s="1" a="1"/>
  <c r="H1295" i="3" s="1"/>
  <c r="G1294" i="3"/>
  <c r="H1294" i="3" s="1" a="1"/>
  <c r="H1294" i="3" s="1"/>
  <c r="G1293" i="3"/>
  <c r="H1293" i="3" s="1" a="1"/>
  <c r="H1293" i="3" s="1"/>
  <c r="G1292" i="3"/>
  <c r="H1292" i="3" s="1" a="1"/>
  <c r="H1292" i="3" s="1"/>
  <c r="G1291" i="3"/>
  <c r="H1291" i="3" s="1" a="1"/>
  <c r="H1291" i="3" s="1"/>
  <c r="G1290" i="3"/>
  <c r="H1290" i="3" s="1" a="1"/>
  <c r="H1290" i="3" s="1"/>
  <c r="G1289" i="3"/>
  <c r="H1289" i="3" s="1" a="1"/>
  <c r="H1289" i="3" s="1"/>
  <c r="G1288" i="3"/>
  <c r="H1288" i="3" s="1" a="1"/>
  <c r="H1288" i="3" s="1"/>
  <c r="G1287" i="3"/>
  <c r="H1287" i="3" s="1" a="1"/>
  <c r="H1287" i="3" s="1"/>
  <c r="G1286" i="3"/>
  <c r="H1286" i="3" s="1" a="1"/>
  <c r="H1286" i="3" s="1"/>
  <c r="G1285" i="3"/>
  <c r="H1285" i="3" s="1" a="1"/>
  <c r="H1285" i="3" s="1"/>
  <c r="G1284" i="3"/>
  <c r="H1284" i="3" s="1" a="1"/>
  <c r="H1284" i="3" s="1"/>
  <c r="G1283" i="3"/>
  <c r="H1283" i="3" s="1" a="1"/>
  <c r="H1283" i="3" s="1"/>
  <c r="G1282" i="3"/>
  <c r="H1282" i="3" s="1" a="1"/>
  <c r="H1282" i="3" s="1"/>
  <c r="G1281" i="3"/>
  <c r="H1281" i="3" s="1" a="1"/>
  <c r="H1281" i="3" s="1"/>
  <c r="G1280" i="3"/>
  <c r="H1280" i="3" s="1" a="1"/>
  <c r="H1280" i="3" s="1"/>
  <c r="G1279" i="3"/>
  <c r="H1279" i="3" s="1" a="1"/>
  <c r="H1279" i="3" s="1"/>
  <c r="G1278" i="3"/>
  <c r="H1278" i="3" s="1" a="1"/>
  <c r="H1278" i="3" s="1"/>
  <c r="G1277" i="3"/>
  <c r="H1277" i="3" s="1" a="1"/>
  <c r="H1277" i="3" s="1"/>
  <c r="G1276" i="3"/>
  <c r="H1276" i="3" s="1" a="1"/>
  <c r="H1276" i="3" s="1"/>
  <c r="G1275" i="3"/>
  <c r="H1275" i="3" s="1" a="1"/>
  <c r="H1275" i="3" s="1"/>
  <c r="G1274" i="3"/>
  <c r="H1274" i="3" s="1" a="1"/>
  <c r="H1274" i="3" s="1"/>
  <c r="G1273" i="3"/>
  <c r="H1273" i="3" s="1" a="1"/>
  <c r="H1273" i="3" s="1"/>
  <c r="G1272" i="3"/>
  <c r="H1272" i="3" s="1" a="1"/>
  <c r="H1272" i="3" s="1"/>
  <c r="G1271" i="3"/>
  <c r="H1271" i="3" s="1" a="1"/>
  <c r="H1271" i="3" s="1"/>
  <c r="G1270" i="3"/>
  <c r="H1270" i="3" s="1" a="1"/>
  <c r="H1270" i="3" s="1"/>
  <c r="G1269" i="3"/>
  <c r="H1269" i="3" s="1" a="1"/>
  <c r="H1269" i="3" s="1"/>
  <c r="G1268" i="3"/>
  <c r="H1268" i="3" s="1" a="1"/>
  <c r="H1268" i="3" s="1"/>
  <c r="G1267" i="3"/>
  <c r="H1267" i="3" s="1" a="1"/>
  <c r="H1267" i="3" s="1"/>
  <c r="G1266" i="3"/>
  <c r="H1266" i="3" s="1" a="1"/>
  <c r="H1266" i="3" s="1"/>
  <c r="G1265" i="3"/>
  <c r="H1265" i="3" s="1" a="1"/>
  <c r="H1265" i="3" s="1"/>
  <c r="G1264" i="3"/>
  <c r="H1264" i="3" s="1" a="1"/>
  <c r="H1264" i="3" s="1"/>
  <c r="G1263" i="3"/>
  <c r="H1263" i="3" s="1" a="1"/>
  <c r="H1263" i="3" s="1"/>
  <c r="G1262" i="3"/>
  <c r="H1262" i="3" s="1" a="1"/>
  <c r="H1262" i="3" s="1"/>
  <c r="G1261" i="3"/>
  <c r="H1261" i="3" s="1" a="1"/>
  <c r="H1261" i="3" s="1"/>
  <c r="G1260" i="3"/>
  <c r="H1260" i="3" s="1" a="1"/>
  <c r="H1260" i="3" s="1"/>
  <c r="G1259" i="3"/>
  <c r="H1259" i="3" s="1" a="1"/>
  <c r="H1259" i="3" s="1"/>
  <c r="G1258" i="3"/>
  <c r="H1258" i="3" s="1" a="1"/>
  <c r="H1258" i="3" s="1"/>
  <c r="G1257" i="3"/>
  <c r="H1257" i="3" s="1" a="1"/>
  <c r="H1257" i="3" s="1"/>
  <c r="G1256" i="3"/>
  <c r="H1256" i="3" s="1" a="1"/>
  <c r="H1256" i="3" s="1"/>
  <c r="G1255" i="3"/>
  <c r="H1255" i="3" s="1" a="1"/>
  <c r="H1255" i="3" s="1"/>
  <c r="G1254" i="3"/>
  <c r="H1254" i="3" s="1" a="1"/>
  <c r="H1254" i="3" s="1"/>
  <c r="G1253" i="3"/>
  <c r="H1253" i="3" s="1" a="1"/>
  <c r="H1253" i="3" s="1"/>
  <c r="G1252" i="3"/>
  <c r="H1252" i="3" s="1" a="1"/>
  <c r="H1252" i="3" s="1"/>
  <c r="G1251" i="3"/>
  <c r="H1251" i="3" s="1" a="1"/>
  <c r="H1251" i="3" s="1"/>
  <c r="G1250" i="3"/>
  <c r="H1250" i="3" s="1" a="1"/>
  <c r="H1250" i="3" s="1"/>
  <c r="G1249" i="3"/>
  <c r="H1249" i="3" s="1" a="1"/>
  <c r="H1249" i="3" s="1"/>
  <c r="G1248" i="3"/>
  <c r="H1248" i="3" s="1" a="1"/>
  <c r="H1248" i="3" s="1"/>
  <c r="G1247" i="3"/>
  <c r="H1247" i="3" s="1" a="1"/>
  <c r="H1247" i="3" s="1"/>
  <c r="G1246" i="3"/>
  <c r="H1246" i="3" s="1" a="1"/>
  <c r="H1246" i="3" s="1"/>
  <c r="G1245" i="3"/>
  <c r="H1245" i="3" s="1" a="1"/>
  <c r="H1245" i="3" s="1"/>
  <c r="G1244" i="3"/>
  <c r="H1244" i="3" s="1" a="1"/>
  <c r="H1244" i="3" s="1"/>
  <c r="G1243" i="3"/>
  <c r="H1243" i="3" s="1" a="1"/>
  <c r="H1243" i="3" s="1"/>
  <c r="G1242" i="3"/>
  <c r="H1242" i="3" s="1" a="1"/>
  <c r="H1242" i="3" s="1"/>
  <c r="G1241" i="3"/>
  <c r="H1241" i="3" s="1" a="1"/>
  <c r="H1241" i="3" s="1"/>
  <c r="G1240" i="3"/>
  <c r="H1240" i="3" s="1" a="1"/>
  <c r="H1240" i="3" s="1"/>
  <c r="G1239" i="3"/>
  <c r="H1239" i="3" s="1" a="1"/>
  <c r="H1239" i="3" s="1"/>
  <c r="G1238" i="3"/>
  <c r="H1238" i="3" s="1" a="1"/>
  <c r="H1238" i="3" s="1"/>
  <c r="G1237" i="3"/>
  <c r="H1237" i="3" s="1" a="1"/>
  <c r="H1237" i="3" s="1"/>
  <c r="G1236" i="3"/>
  <c r="H1236" i="3" s="1" a="1"/>
  <c r="H1236" i="3" s="1"/>
  <c r="G1235" i="3"/>
  <c r="H1235" i="3" s="1" a="1"/>
  <c r="H1235" i="3" s="1"/>
  <c r="G1234" i="3"/>
  <c r="H1234" i="3" s="1" a="1"/>
  <c r="H1234" i="3" s="1"/>
  <c r="G1233" i="3"/>
  <c r="H1233" i="3" s="1" a="1"/>
  <c r="H1233" i="3" s="1"/>
  <c r="G1232" i="3"/>
  <c r="H1232" i="3" s="1" a="1"/>
  <c r="H1232" i="3" s="1"/>
  <c r="G1231" i="3"/>
  <c r="H1231" i="3" s="1" a="1"/>
  <c r="H1231" i="3" s="1"/>
  <c r="G1230" i="3"/>
  <c r="H1230" i="3" s="1" a="1"/>
  <c r="H1230" i="3" s="1"/>
  <c r="G1229" i="3"/>
  <c r="H1229" i="3" s="1" a="1"/>
  <c r="H1229" i="3" s="1"/>
  <c r="G1228" i="3"/>
  <c r="H1228" i="3" s="1" a="1"/>
  <c r="H1228" i="3" s="1"/>
  <c r="G1227" i="3"/>
  <c r="H1227" i="3" s="1" a="1"/>
  <c r="H1227" i="3" s="1"/>
  <c r="G1226" i="3"/>
  <c r="H1226" i="3" s="1" a="1"/>
  <c r="H1226" i="3" s="1"/>
  <c r="G1225" i="3"/>
  <c r="H1225" i="3" s="1" a="1"/>
  <c r="H1225" i="3" s="1"/>
  <c r="G1224" i="3"/>
  <c r="H1224" i="3" s="1" a="1"/>
  <c r="H1224" i="3" s="1"/>
  <c r="G1223" i="3"/>
  <c r="H1223" i="3" s="1" a="1"/>
  <c r="H1223" i="3" s="1"/>
  <c r="G1222" i="3"/>
  <c r="H1222" i="3" s="1" a="1"/>
  <c r="H1222" i="3" s="1"/>
  <c r="G1221" i="3"/>
  <c r="H1221" i="3" s="1" a="1"/>
  <c r="H1221" i="3" s="1"/>
  <c r="G1220" i="3"/>
  <c r="H1220" i="3" s="1" a="1"/>
  <c r="H1220" i="3" s="1"/>
  <c r="G1219" i="3"/>
  <c r="H1219" i="3" s="1" a="1"/>
  <c r="H1219" i="3" s="1"/>
  <c r="G1218" i="3"/>
  <c r="H1218" i="3" s="1" a="1"/>
  <c r="H1218" i="3" s="1"/>
  <c r="G1217" i="3"/>
  <c r="H1217" i="3" s="1" a="1"/>
  <c r="H1217" i="3" s="1"/>
  <c r="G1216" i="3"/>
  <c r="H1216" i="3" s="1" a="1"/>
  <c r="H1216" i="3" s="1"/>
  <c r="G1215" i="3"/>
  <c r="H1215" i="3" s="1" a="1"/>
  <c r="H1215" i="3" s="1"/>
  <c r="G1214" i="3"/>
  <c r="H1214" i="3" s="1" a="1"/>
  <c r="H1214" i="3" s="1"/>
  <c r="G1213" i="3"/>
  <c r="H1213" i="3" s="1" a="1"/>
  <c r="H1213" i="3" s="1"/>
  <c r="G1212" i="3"/>
  <c r="H1212" i="3" s="1" a="1"/>
  <c r="H1212" i="3" s="1"/>
  <c r="G1211" i="3"/>
  <c r="H1211" i="3" s="1" a="1"/>
  <c r="H1211" i="3" s="1"/>
  <c r="G1210" i="3"/>
  <c r="H1210" i="3" s="1" a="1"/>
  <c r="H1210" i="3" s="1"/>
  <c r="G1209" i="3"/>
  <c r="H1209" i="3" s="1" a="1"/>
  <c r="H1209" i="3" s="1"/>
  <c r="G1208" i="3"/>
  <c r="H1208" i="3" s="1" a="1"/>
  <c r="H1208" i="3" s="1"/>
  <c r="G1207" i="3"/>
  <c r="H1207" i="3" s="1" a="1"/>
  <c r="H1207" i="3" s="1"/>
  <c r="G1206" i="3"/>
  <c r="H1206" i="3" s="1" a="1"/>
  <c r="H1206" i="3" s="1"/>
  <c r="G1205" i="3"/>
  <c r="H1205" i="3" s="1" a="1"/>
  <c r="H1205" i="3" s="1"/>
  <c r="G1204" i="3"/>
  <c r="H1204" i="3" s="1" a="1"/>
  <c r="H1204" i="3" s="1"/>
  <c r="G1203" i="3"/>
  <c r="H1203" i="3" s="1" a="1"/>
  <c r="H1203" i="3" s="1"/>
  <c r="G1202" i="3"/>
  <c r="H1202" i="3" s="1" a="1"/>
  <c r="H1202" i="3" s="1"/>
  <c r="G1201" i="3"/>
  <c r="H1201" i="3" s="1" a="1"/>
  <c r="H1201" i="3" s="1"/>
  <c r="G1200" i="3"/>
  <c r="H1200" i="3" s="1" a="1"/>
  <c r="H1200" i="3" s="1"/>
  <c r="G1199" i="3"/>
  <c r="H1199" i="3" s="1" a="1"/>
  <c r="H1199" i="3" s="1"/>
  <c r="G1198" i="3"/>
  <c r="H1198" i="3" s="1" a="1"/>
  <c r="H1198" i="3" s="1"/>
  <c r="G1197" i="3"/>
  <c r="H1197" i="3" s="1" a="1"/>
  <c r="H1197" i="3" s="1"/>
  <c r="G1196" i="3"/>
  <c r="H1196" i="3" s="1" a="1"/>
  <c r="H1196" i="3" s="1"/>
  <c r="G1195" i="3"/>
  <c r="H1195" i="3" s="1" a="1"/>
  <c r="H1195" i="3" s="1"/>
  <c r="G1194" i="3"/>
  <c r="H1194" i="3" s="1" a="1"/>
  <c r="H1194" i="3" s="1"/>
  <c r="G1193" i="3"/>
  <c r="H1193" i="3" s="1" a="1"/>
  <c r="H1193" i="3" s="1"/>
  <c r="G1192" i="3"/>
  <c r="H1192" i="3" s="1" a="1"/>
  <c r="H1192" i="3" s="1"/>
  <c r="G1191" i="3"/>
  <c r="H1191" i="3" s="1" a="1"/>
  <c r="H1191" i="3" s="1"/>
  <c r="G1190" i="3"/>
  <c r="H1190" i="3" s="1" a="1"/>
  <c r="H1190" i="3" s="1"/>
  <c r="G1189" i="3"/>
  <c r="H1189" i="3" s="1" a="1"/>
  <c r="H1189" i="3" s="1"/>
  <c r="G1188" i="3"/>
  <c r="H1188" i="3" s="1" a="1"/>
  <c r="H1188" i="3" s="1"/>
  <c r="G1187" i="3"/>
  <c r="H1187" i="3" s="1" a="1"/>
  <c r="H1187" i="3" s="1"/>
  <c r="G1186" i="3"/>
  <c r="H1186" i="3" s="1" a="1"/>
  <c r="H1186" i="3" s="1"/>
  <c r="G1185" i="3"/>
  <c r="H1185" i="3" s="1" a="1"/>
  <c r="H1185" i="3" s="1"/>
  <c r="G1184" i="3"/>
  <c r="H1184" i="3" s="1" a="1"/>
  <c r="H1184" i="3" s="1"/>
  <c r="G1183" i="3"/>
  <c r="H1183" i="3" s="1" a="1"/>
  <c r="H1183" i="3" s="1"/>
  <c r="G1182" i="3"/>
  <c r="H1182" i="3" s="1" a="1"/>
  <c r="H1182" i="3" s="1"/>
  <c r="G1181" i="3"/>
  <c r="H1181" i="3" s="1" a="1"/>
  <c r="H1181" i="3" s="1"/>
  <c r="G1180" i="3"/>
  <c r="H1180" i="3" s="1" a="1"/>
  <c r="H1180" i="3" s="1"/>
  <c r="G1179" i="3"/>
  <c r="H1179" i="3" s="1" a="1"/>
  <c r="H1179" i="3" s="1"/>
  <c r="G1178" i="3"/>
  <c r="H1178" i="3" s="1" a="1"/>
  <c r="H1178" i="3" s="1"/>
  <c r="G1177" i="3"/>
  <c r="H1177" i="3" s="1" a="1"/>
  <c r="H1177" i="3" s="1"/>
  <c r="G1176" i="3"/>
  <c r="H1176" i="3" s="1" a="1"/>
  <c r="H1176" i="3" s="1"/>
  <c r="G1175" i="3"/>
  <c r="H1175" i="3" s="1" a="1"/>
  <c r="H1175" i="3" s="1"/>
  <c r="G1174" i="3"/>
  <c r="H1174" i="3" s="1" a="1"/>
  <c r="H1174" i="3" s="1"/>
  <c r="G1173" i="3"/>
  <c r="H1173" i="3" s="1" a="1"/>
  <c r="H1173" i="3" s="1"/>
  <c r="G1172" i="3"/>
  <c r="H1172" i="3" s="1" a="1"/>
  <c r="H1172" i="3" s="1"/>
  <c r="G1171" i="3"/>
  <c r="H1171" i="3" s="1" a="1"/>
  <c r="H1171" i="3" s="1"/>
  <c r="G1170" i="3"/>
  <c r="H1170" i="3" s="1" a="1"/>
  <c r="H1170" i="3" s="1"/>
  <c r="G1169" i="3"/>
  <c r="H1169" i="3" s="1" a="1"/>
  <c r="H1169" i="3" s="1"/>
  <c r="G1168" i="3"/>
  <c r="H1168" i="3" s="1" a="1"/>
  <c r="H1168" i="3" s="1"/>
  <c r="G1167" i="3"/>
  <c r="H1167" i="3" s="1" a="1"/>
  <c r="H1167" i="3" s="1"/>
  <c r="G1166" i="3"/>
  <c r="H1166" i="3" s="1" a="1"/>
  <c r="H1166" i="3" s="1"/>
  <c r="G1165" i="3"/>
  <c r="H1165" i="3" s="1" a="1"/>
  <c r="H1165" i="3" s="1"/>
  <c r="G1164" i="3"/>
  <c r="H1164" i="3" s="1" a="1"/>
  <c r="H1164" i="3" s="1"/>
  <c r="G1163" i="3"/>
  <c r="H1163" i="3" s="1" a="1"/>
  <c r="H1163" i="3" s="1"/>
  <c r="G1162" i="3"/>
  <c r="H1162" i="3" s="1" a="1"/>
  <c r="H1162" i="3" s="1"/>
  <c r="G1161" i="3"/>
  <c r="H1161" i="3" s="1" a="1"/>
  <c r="H1161" i="3" s="1"/>
  <c r="G1160" i="3"/>
  <c r="H1160" i="3" s="1" a="1"/>
  <c r="H1160" i="3" s="1"/>
  <c r="G1159" i="3"/>
  <c r="H1159" i="3" s="1" a="1"/>
  <c r="H1159" i="3" s="1"/>
  <c r="G1158" i="3"/>
  <c r="H1158" i="3" s="1" a="1"/>
  <c r="H1158" i="3" s="1"/>
  <c r="G1157" i="3"/>
  <c r="H1157" i="3" s="1" a="1"/>
  <c r="H1157" i="3" s="1"/>
  <c r="G1156" i="3"/>
  <c r="H1156" i="3" s="1" a="1"/>
  <c r="H1156" i="3" s="1"/>
  <c r="G1155" i="3"/>
  <c r="H1155" i="3" s="1" a="1"/>
  <c r="H1155" i="3" s="1"/>
  <c r="G1154" i="3"/>
  <c r="H1154" i="3" s="1" a="1"/>
  <c r="H1154" i="3" s="1"/>
  <c r="G1153" i="3"/>
  <c r="H1153" i="3" s="1" a="1"/>
  <c r="H1153" i="3" s="1"/>
  <c r="G1152" i="3"/>
  <c r="H1152" i="3" s="1" a="1"/>
  <c r="H1152" i="3" s="1"/>
  <c r="G1151" i="3"/>
  <c r="H1151" i="3" s="1" a="1"/>
  <c r="H1151" i="3" s="1"/>
  <c r="G1150" i="3"/>
  <c r="H1150" i="3" s="1" a="1"/>
  <c r="H1150" i="3" s="1"/>
  <c r="G1149" i="3"/>
  <c r="H1149" i="3" s="1" a="1"/>
  <c r="H1149" i="3" s="1"/>
  <c r="G1148" i="3"/>
  <c r="H1148" i="3" s="1" a="1"/>
  <c r="H1148" i="3" s="1"/>
  <c r="G1147" i="3"/>
  <c r="H1147" i="3" s="1" a="1"/>
  <c r="H1147" i="3" s="1"/>
  <c r="G1146" i="3"/>
  <c r="H1146" i="3" s="1" a="1"/>
  <c r="H1146" i="3" s="1"/>
  <c r="G1145" i="3"/>
  <c r="H1145" i="3" s="1" a="1"/>
  <c r="H1145" i="3" s="1"/>
  <c r="G1144" i="3"/>
  <c r="H1144" i="3" s="1" a="1"/>
  <c r="H1144" i="3" s="1"/>
  <c r="G1143" i="3"/>
  <c r="H1143" i="3" s="1" a="1"/>
  <c r="H1143" i="3" s="1"/>
  <c r="G1142" i="3"/>
  <c r="H1142" i="3" s="1" a="1"/>
  <c r="H1142" i="3" s="1"/>
  <c r="G1141" i="3"/>
  <c r="H1141" i="3" s="1" a="1"/>
  <c r="H1141" i="3" s="1"/>
  <c r="G1140" i="3"/>
  <c r="H1140" i="3" s="1" a="1"/>
  <c r="H1140" i="3" s="1"/>
  <c r="G1139" i="3"/>
  <c r="H1139" i="3" s="1" a="1"/>
  <c r="H1139" i="3" s="1"/>
  <c r="G1138" i="3"/>
  <c r="H1138" i="3" s="1" a="1"/>
  <c r="H1138" i="3" s="1"/>
  <c r="G1137" i="3"/>
  <c r="H1137" i="3" s="1" a="1"/>
  <c r="H1137" i="3" s="1"/>
  <c r="G1136" i="3"/>
  <c r="H1136" i="3" s="1" a="1"/>
  <c r="H1136" i="3" s="1"/>
  <c r="G1135" i="3"/>
  <c r="H1135" i="3" s="1" a="1"/>
  <c r="H1135" i="3" s="1"/>
  <c r="G1134" i="3"/>
  <c r="H1134" i="3" s="1" a="1"/>
  <c r="H1134" i="3" s="1"/>
  <c r="G1133" i="3"/>
  <c r="H1133" i="3" s="1" a="1"/>
  <c r="H1133" i="3" s="1"/>
  <c r="G1132" i="3"/>
  <c r="H1132" i="3" s="1" a="1"/>
  <c r="H1132" i="3" s="1"/>
  <c r="G1131" i="3"/>
  <c r="H1131" i="3" s="1" a="1"/>
  <c r="H1131" i="3" s="1"/>
  <c r="G1130" i="3"/>
  <c r="H1130" i="3" s="1" a="1"/>
  <c r="H1130" i="3" s="1"/>
  <c r="G1129" i="3"/>
  <c r="H1129" i="3" s="1" a="1"/>
  <c r="H1129" i="3" s="1"/>
  <c r="G1128" i="3"/>
  <c r="H1128" i="3" s="1" a="1"/>
  <c r="H1128" i="3" s="1"/>
  <c r="G1127" i="3"/>
  <c r="H1127" i="3" s="1" a="1"/>
  <c r="H1127" i="3" s="1"/>
  <c r="G1126" i="3"/>
  <c r="H1126" i="3" s="1" a="1"/>
  <c r="H1126" i="3" s="1"/>
  <c r="G1125" i="3"/>
  <c r="H1125" i="3" s="1" a="1"/>
  <c r="H1125" i="3" s="1"/>
  <c r="G1124" i="3"/>
  <c r="H1124" i="3" s="1" a="1"/>
  <c r="H1124" i="3" s="1"/>
  <c r="G1123" i="3"/>
  <c r="H1123" i="3" s="1" a="1"/>
  <c r="H1123" i="3" s="1"/>
  <c r="G1122" i="3"/>
  <c r="H1122" i="3" s="1" a="1"/>
  <c r="H1122" i="3" s="1"/>
  <c r="G1121" i="3"/>
  <c r="H1121" i="3" s="1" a="1"/>
  <c r="H1121" i="3" s="1"/>
  <c r="G1120" i="3"/>
  <c r="H1120" i="3" s="1" a="1"/>
  <c r="H1120" i="3" s="1"/>
  <c r="G1119" i="3"/>
  <c r="H1119" i="3" s="1" a="1"/>
  <c r="H1119" i="3" s="1"/>
  <c r="G1118" i="3"/>
  <c r="H1118" i="3" s="1" a="1"/>
  <c r="H1118" i="3" s="1"/>
  <c r="G1117" i="3"/>
  <c r="H1117" i="3" s="1" a="1"/>
  <c r="H1117" i="3" s="1"/>
  <c r="G1116" i="3"/>
  <c r="H1116" i="3" s="1" a="1"/>
  <c r="H1116" i="3" s="1"/>
  <c r="G1115" i="3"/>
  <c r="H1115" i="3" s="1" a="1"/>
  <c r="H1115" i="3" s="1"/>
  <c r="G1114" i="3"/>
  <c r="H1114" i="3" s="1" a="1"/>
  <c r="H1114" i="3" s="1"/>
  <c r="G1113" i="3"/>
  <c r="H1113" i="3" s="1" a="1"/>
  <c r="H1113" i="3" s="1"/>
  <c r="G1112" i="3"/>
  <c r="H1112" i="3" s="1" a="1"/>
  <c r="H1112" i="3" s="1"/>
  <c r="G1111" i="3"/>
  <c r="H1111" i="3" s="1" a="1"/>
  <c r="H1111" i="3" s="1"/>
  <c r="G1110" i="3"/>
  <c r="H1110" i="3" s="1" a="1"/>
  <c r="H1110" i="3" s="1"/>
  <c r="G1109" i="3"/>
  <c r="H1109" i="3" s="1" a="1"/>
  <c r="H1109" i="3" s="1"/>
  <c r="G1108" i="3"/>
  <c r="H1108" i="3" s="1" a="1"/>
  <c r="H1108" i="3" s="1"/>
  <c r="G1107" i="3"/>
  <c r="H1107" i="3" s="1" a="1"/>
  <c r="H1107" i="3" s="1"/>
  <c r="G1106" i="3"/>
  <c r="H1106" i="3" s="1" a="1"/>
  <c r="H1106" i="3" s="1"/>
  <c r="G1105" i="3"/>
  <c r="H1105" i="3" s="1" a="1"/>
  <c r="H1105" i="3" s="1"/>
  <c r="G1104" i="3"/>
  <c r="H1104" i="3" s="1" a="1"/>
  <c r="H1104" i="3" s="1"/>
  <c r="G1103" i="3"/>
  <c r="H1103" i="3" s="1" a="1"/>
  <c r="H1103" i="3" s="1"/>
  <c r="G1102" i="3"/>
  <c r="H1102" i="3" s="1" a="1"/>
  <c r="H1102" i="3" s="1"/>
  <c r="G1101" i="3"/>
  <c r="H1101" i="3" s="1" a="1"/>
  <c r="H1101" i="3" s="1"/>
  <c r="G1100" i="3"/>
  <c r="H1100" i="3" s="1" a="1"/>
  <c r="H1100" i="3" s="1"/>
  <c r="G1099" i="3"/>
  <c r="H1099" i="3" s="1" a="1"/>
  <c r="H1099" i="3" s="1"/>
  <c r="G1098" i="3"/>
  <c r="H1098" i="3" s="1" a="1"/>
  <c r="H1098" i="3" s="1"/>
  <c r="G1097" i="3"/>
  <c r="H1097" i="3" s="1" a="1"/>
  <c r="H1097" i="3" s="1"/>
  <c r="G1096" i="3"/>
  <c r="H1096" i="3" s="1" a="1"/>
  <c r="H1096" i="3" s="1"/>
  <c r="G1095" i="3"/>
  <c r="H1095" i="3" s="1" a="1"/>
  <c r="H1095" i="3" s="1"/>
  <c r="G1094" i="3"/>
  <c r="H1094" i="3" s="1" a="1"/>
  <c r="H1094" i="3" s="1"/>
  <c r="G1093" i="3"/>
  <c r="H1093" i="3" s="1" a="1"/>
  <c r="H1093" i="3" s="1"/>
  <c r="G1092" i="3"/>
  <c r="H1092" i="3" s="1" a="1"/>
  <c r="H1092" i="3" s="1"/>
  <c r="G1091" i="3"/>
  <c r="H1091" i="3" s="1" a="1"/>
  <c r="H1091" i="3" s="1"/>
  <c r="G1090" i="3"/>
  <c r="H1090" i="3" s="1" a="1"/>
  <c r="H1090" i="3" s="1"/>
  <c r="G1089" i="3"/>
  <c r="H1089" i="3" s="1" a="1"/>
  <c r="H1089" i="3" s="1"/>
  <c r="G1088" i="3"/>
  <c r="H1088" i="3" s="1" a="1"/>
  <c r="H1088" i="3" s="1"/>
  <c r="G1087" i="3"/>
  <c r="H1087" i="3" s="1" a="1"/>
  <c r="H1087" i="3" s="1"/>
  <c r="G1086" i="3"/>
  <c r="H1086" i="3" s="1" a="1"/>
  <c r="H1086" i="3" s="1"/>
  <c r="G1085" i="3"/>
  <c r="H1085" i="3" s="1" a="1"/>
  <c r="H1085" i="3" s="1"/>
  <c r="G1084" i="3"/>
  <c r="H1084" i="3" s="1" a="1"/>
  <c r="H1084" i="3" s="1"/>
  <c r="G1083" i="3"/>
  <c r="H1083" i="3" s="1" a="1"/>
  <c r="H1083" i="3" s="1"/>
  <c r="G1082" i="3"/>
  <c r="H1082" i="3" s="1" a="1"/>
  <c r="H1082" i="3" s="1"/>
  <c r="G1081" i="3"/>
  <c r="H1081" i="3" s="1" a="1"/>
  <c r="H1081" i="3" s="1"/>
  <c r="G1080" i="3"/>
  <c r="H1080" i="3" s="1" a="1"/>
  <c r="H1080" i="3" s="1"/>
  <c r="G1079" i="3"/>
  <c r="H1079" i="3" s="1" a="1"/>
  <c r="H1079" i="3" s="1"/>
  <c r="G1078" i="3"/>
  <c r="H1078" i="3" s="1" a="1"/>
  <c r="H1078" i="3" s="1"/>
  <c r="G1077" i="3"/>
  <c r="H1077" i="3" s="1" a="1"/>
  <c r="H1077" i="3" s="1"/>
  <c r="G1076" i="3"/>
  <c r="H1076" i="3" s="1" a="1"/>
  <c r="H1076" i="3" s="1"/>
  <c r="G1075" i="3"/>
  <c r="H1075" i="3" s="1" a="1"/>
  <c r="H1075" i="3" s="1"/>
  <c r="G1074" i="3"/>
  <c r="H1074" i="3" s="1" a="1"/>
  <c r="H1074" i="3" s="1"/>
  <c r="G1073" i="3"/>
  <c r="H1073" i="3" s="1" a="1"/>
  <c r="H1073" i="3" s="1"/>
  <c r="G1072" i="3"/>
  <c r="H1072" i="3" s="1" a="1"/>
  <c r="H1072" i="3" s="1"/>
  <c r="G1071" i="3"/>
  <c r="H1071" i="3" s="1" a="1"/>
  <c r="H1071" i="3" s="1"/>
  <c r="G1070" i="3"/>
  <c r="H1070" i="3" s="1" a="1"/>
  <c r="H1070" i="3" s="1"/>
  <c r="G1069" i="3"/>
  <c r="H1069" i="3" s="1" a="1"/>
  <c r="H1069" i="3" s="1"/>
  <c r="G1068" i="3"/>
  <c r="H1068" i="3" s="1" a="1"/>
  <c r="H1068" i="3" s="1"/>
  <c r="G1067" i="3"/>
  <c r="H1067" i="3" s="1" a="1"/>
  <c r="H1067" i="3" s="1"/>
  <c r="G1066" i="3"/>
  <c r="H1066" i="3" s="1" a="1"/>
  <c r="H1066" i="3" s="1"/>
  <c r="G1065" i="3"/>
  <c r="H1065" i="3" s="1" a="1"/>
  <c r="H1065" i="3" s="1"/>
  <c r="G1064" i="3"/>
  <c r="H1064" i="3" s="1" a="1"/>
  <c r="H1064" i="3" s="1"/>
  <c r="G1063" i="3"/>
  <c r="H1063" i="3" s="1" a="1"/>
  <c r="H1063" i="3" s="1"/>
  <c r="G1062" i="3"/>
  <c r="H1062" i="3" s="1" a="1"/>
  <c r="H1062" i="3" s="1"/>
  <c r="G1061" i="3"/>
  <c r="H1061" i="3" s="1" a="1"/>
  <c r="H1061" i="3" s="1"/>
  <c r="G1060" i="3"/>
  <c r="H1060" i="3" s="1" a="1"/>
  <c r="H1060" i="3" s="1"/>
  <c r="G1059" i="3"/>
  <c r="H1059" i="3" s="1" a="1"/>
  <c r="H1059" i="3" s="1"/>
  <c r="G1058" i="3"/>
  <c r="H1058" i="3" s="1" a="1"/>
  <c r="H1058" i="3" s="1"/>
  <c r="G1057" i="3"/>
  <c r="H1057" i="3" s="1" a="1"/>
  <c r="H1057" i="3" s="1"/>
  <c r="G1056" i="3"/>
  <c r="H1056" i="3" s="1" a="1"/>
  <c r="H1056" i="3" s="1"/>
  <c r="G1055" i="3"/>
  <c r="H1055" i="3" s="1" a="1"/>
  <c r="H1055" i="3" s="1"/>
  <c r="G1054" i="3"/>
  <c r="H1054" i="3" s="1" a="1"/>
  <c r="H1054" i="3" s="1"/>
  <c r="G1053" i="3"/>
  <c r="H1053" i="3" s="1" a="1"/>
  <c r="H1053" i="3" s="1"/>
  <c r="G1052" i="3"/>
  <c r="H1052" i="3" s="1" a="1"/>
  <c r="H1052" i="3" s="1"/>
  <c r="G1051" i="3"/>
  <c r="H1051" i="3" s="1" a="1"/>
  <c r="H1051" i="3" s="1"/>
  <c r="G1050" i="3"/>
  <c r="H1050" i="3" s="1" a="1"/>
  <c r="H1050" i="3" s="1"/>
  <c r="G1049" i="3"/>
  <c r="H1049" i="3" s="1" a="1"/>
  <c r="H1049" i="3" s="1"/>
  <c r="G1048" i="3"/>
  <c r="H1048" i="3" s="1" a="1"/>
  <c r="H1048" i="3" s="1"/>
  <c r="G1047" i="3"/>
  <c r="H1047" i="3" s="1" a="1"/>
  <c r="H1047" i="3" s="1"/>
  <c r="G1046" i="3"/>
  <c r="H1046" i="3" s="1" a="1"/>
  <c r="H1046" i="3" s="1"/>
  <c r="G1045" i="3"/>
  <c r="H1045" i="3" s="1" a="1"/>
  <c r="H1045" i="3" s="1"/>
  <c r="G1044" i="3"/>
  <c r="H1044" i="3" s="1" a="1"/>
  <c r="H1044" i="3" s="1"/>
  <c r="G1043" i="3"/>
  <c r="H1043" i="3" s="1" a="1"/>
  <c r="H1043" i="3" s="1"/>
  <c r="G1042" i="3"/>
  <c r="H1042" i="3" s="1" a="1"/>
  <c r="H1042" i="3" s="1"/>
  <c r="G1041" i="3"/>
  <c r="H1041" i="3" s="1" a="1"/>
  <c r="H1041" i="3" s="1"/>
  <c r="G1040" i="3"/>
  <c r="H1040" i="3" s="1" a="1"/>
  <c r="H1040" i="3" s="1"/>
  <c r="G1039" i="3"/>
  <c r="H1039" i="3" s="1" a="1"/>
  <c r="H1039" i="3" s="1"/>
  <c r="G1038" i="3"/>
  <c r="H1038" i="3" s="1" a="1"/>
  <c r="H1038" i="3" s="1"/>
  <c r="G1037" i="3"/>
  <c r="H1037" i="3" s="1" a="1"/>
  <c r="H1037" i="3" s="1"/>
  <c r="G1036" i="3"/>
  <c r="H1036" i="3" s="1" a="1"/>
  <c r="H1036" i="3" s="1"/>
  <c r="G1035" i="3"/>
  <c r="H1035" i="3" s="1" a="1"/>
  <c r="H1035" i="3" s="1"/>
  <c r="G1034" i="3"/>
  <c r="H1034" i="3" s="1" a="1"/>
  <c r="H1034" i="3" s="1"/>
  <c r="G1033" i="3"/>
  <c r="H1033" i="3" s="1" a="1"/>
  <c r="H1033" i="3" s="1"/>
  <c r="G1032" i="3"/>
  <c r="H1032" i="3" s="1" a="1"/>
  <c r="H1032" i="3" s="1"/>
  <c r="G1031" i="3"/>
  <c r="H1031" i="3" s="1" a="1"/>
  <c r="H1031" i="3" s="1"/>
  <c r="G1030" i="3"/>
  <c r="H1030" i="3" s="1" a="1"/>
  <c r="H1030" i="3" s="1"/>
  <c r="G1029" i="3"/>
  <c r="H1029" i="3" s="1" a="1"/>
  <c r="H1029" i="3" s="1"/>
  <c r="G1028" i="3"/>
  <c r="H1028" i="3" s="1" a="1"/>
  <c r="H1028" i="3" s="1"/>
  <c r="G1027" i="3"/>
  <c r="H1027" i="3" s="1" a="1"/>
  <c r="H1027" i="3" s="1"/>
  <c r="G1026" i="3"/>
  <c r="H1026" i="3" s="1" a="1"/>
  <c r="H1026" i="3" s="1"/>
  <c r="G1025" i="3"/>
  <c r="H1025" i="3" s="1" a="1"/>
  <c r="H1025" i="3" s="1"/>
  <c r="G1024" i="3"/>
  <c r="H1024" i="3" s="1" a="1"/>
  <c r="H1024" i="3" s="1"/>
  <c r="G1023" i="3"/>
  <c r="H1023" i="3" s="1" a="1"/>
  <c r="H1023" i="3" s="1"/>
  <c r="G1022" i="3"/>
  <c r="H1022" i="3" s="1" a="1"/>
  <c r="H1022" i="3" s="1"/>
  <c r="G1021" i="3"/>
  <c r="H1021" i="3" s="1" a="1"/>
  <c r="H1021" i="3" s="1"/>
  <c r="G1020" i="3"/>
  <c r="H1020" i="3" s="1" a="1"/>
  <c r="H1020" i="3" s="1"/>
  <c r="G1019" i="3"/>
  <c r="H1019" i="3" s="1" a="1"/>
  <c r="H1019" i="3" s="1"/>
  <c r="G1018" i="3"/>
  <c r="H1018" i="3" s="1" a="1"/>
  <c r="H1018" i="3" s="1"/>
  <c r="G1017" i="3"/>
  <c r="H1017" i="3" s="1" a="1"/>
  <c r="H1017" i="3" s="1"/>
  <c r="G1016" i="3"/>
  <c r="H1016" i="3" s="1" a="1"/>
  <c r="H1016" i="3" s="1"/>
  <c r="G1015" i="3"/>
  <c r="H1015" i="3" s="1" a="1"/>
  <c r="H1015" i="3" s="1"/>
  <c r="G1014" i="3"/>
  <c r="H1014" i="3" s="1" a="1"/>
  <c r="H1014" i="3" s="1"/>
  <c r="G1013" i="3"/>
  <c r="H1013" i="3" s="1" a="1"/>
  <c r="H1013" i="3" s="1"/>
  <c r="G1012" i="3"/>
  <c r="H1012" i="3" s="1" a="1"/>
  <c r="H1012" i="3" s="1"/>
  <c r="G1011" i="3"/>
  <c r="H1011" i="3" s="1" a="1"/>
  <c r="H1011" i="3" s="1"/>
  <c r="G1010" i="3"/>
  <c r="H1010" i="3" s="1" a="1"/>
  <c r="H1010" i="3" s="1"/>
  <c r="G1009" i="3"/>
  <c r="H1009" i="3" s="1" a="1"/>
  <c r="H1009" i="3" s="1"/>
  <c r="G1008" i="3"/>
  <c r="H1008" i="3" s="1" a="1"/>
  <c r="H1008" i="3" s="1"/>
  <c r="G1007" i="3"/>
  <c r="H1007" i="3" s="1" a="1"/>
  <c r="H1007" i="3" s="1"/>
  <c r="G1006" i="3"/>
  <c r="H1006" i="3" s="1" a="1"/>
  <c r="H1006" i="3" s="1"/>
  <c r="G1005" i="3"/>
  <c r="H1005" i="3" s="1" a="1"/>
  <c r="H1005" i="3" s="1"/>
  <c r="G1004" i="3"/>
  <c r="H1004" i="3" s="1" a="1"/>
  <c r="H1004" i="3" s="1"/>
  <c r="G1003" i="3"/>
  <c r="H1003" i="3" s="1" a="1"/>
  <c r="H1003" i="3" s="1"/>
  <c r="G1002" i="3"/>
  <c r="H1002" i="3" s="1" a="1"/>
  <c r="H1002" i="3" s="1"/>
  <c r="G1001" i="3"/>
  <c r="H1001" i="3" s="1" a="1"/>
  <c r="H1001" i="3" s="1"/>
  <c r="G1000" i="3"/>
  <c r="H1000" i="3" s="1" a="1"/>
  <c r="H1000" i="3" s="1"/>
  <c r="G999" i="3"/>
  <c r="H999" i="3" s="1" a="1"/>
  <c r="H999" i="3" s="1"/>
  <c r="G998" i="3"/>
  <c r="H998" i="3" s="1" a="1"/>
  <c r="H998" i="3" s="1"/>
  <c r="G997" i="3"/>
  <c r="H997" i="3" s="1" a="1"/>
  <c r="H997" i="3" s="1"/>
  <c r="G996" i="3"/>
  <c r="H996" i="3" s="1" a="1"/>
  <c r="H996" i="3" s="1"/>
  <c r="G995" i="3"/>
  <c r="H995" i="3" s="1" a="1"/>
  <c r="H995" i="3" s="1"/>
  <c r="G994" i="3"/>
  <c r="H994" i="3" s="1" a="1"/>
  <c r="H994" i="3" s="1"/>
  <c r="G993" i="3"/>
  <c r="H993" i="3" s="1" a="1"/>
  <c r="H993" i="3" s="1"/>
  <c r="G992" i="3"/>
  <c r="H992" i="3" s="1" a="1"/>
  <c r="H992" i="3" s="1"/>
  <c r="G991" i="3"/>
  <c r="H991" i="3" s="1" a="1"/>
  <c r="H991" i="3" s="1"/>
  <c r="G990" i="3"/>
  <c r="H990" i="3" s="1" a="1"/>
  <c r="H990" i="3" s="1"/>
  <c r="G989" i="3"/>
  <c r="H989" i="3" s="1" a="1"/>
  <c r="H989" i="3" s="1"/>
  <c r="G988" i="3"/>
  <c r="H988" i="3" s="1" a="1"/>
  <c r="H988" i="3" s="1"/>
  <c r="G987" i="3"/>
  <c r="H987" i="3" s="1" a="1"/>
  <c r="H987" i="3" s="1"/>
  <c r="G986" i="3"/>
  <c r="H986" i="3" s="1" a="1"/>
  <c r="H986" i="3" s="1"/>
  <c r="G985" i="3"/>
  <c r="H985" i="3" s="1" a="1"/>
  <c r="H985" i="3" s="1"/>
  <c r="G984" i="3"/>
  <c r="H984" i="3" s="1" a="1"/>
  <c r="H984" i="3" s="1"/>
  <c r="G983" i="3"/>
  <c r="H983" i="3" s="1" a="1"/>
  <c r="H983" i="3" s="1"/>
  <c r="G982" i="3"/>
  <c r="H982" i="3" s="1" a="1"/>
  <c r="H982" i="3" s="1"/>
  <c r="G981" i="3"/>
  <c r="H981" i="3" s="1" a="1"/>
  <c r="H981" i="3" s="1"/>
  <c r="G980" i="3"/>
  <c r="H980" i="3" s="1" a="1"/>
  <c r="H980" i="3" s="1"/>
  <c r="G979" i="3"/>
  <c r="H979" i="3" s="1" a="1"/>
  <c r="H979" i="3" s="1"/>
  <c r="G978" i="3"/>
  <c r="H978" i="3" s="1" a="1"/>
  <c r="H978" i="3" s="1"/>
  <c r="G977" i="3"/>
  <c r="H977" i="3" s="1" a="1"/>
  <c r="H977" i="3" s="1"/>
  <c r="G976" i="3"/>
  <c r="H976" i="3" s="1" a="1"/>
  <c r="H976" i="3" s="1"/>
  <c r="G975" i="3"/>
  <c r="H975" i="3" s="1" a="1"/>
  <c r="H975" i="3" s="1"/>
  <c r="G974" i="3"/>
  <c r="H974" i="3" s="1" a="1"/>
  <c r="H974" i="3" s="1"/>
  <c r="G973" i="3"/>
  <c r="H973" i="3" s="1" a="1"/>
  <c r="H973" i="3" s="1"/>
  <c r="G972" i="3"/>
  <c r="H972" i="3" s="1" a="1"/>
  <c r="H972" i="3" s="1"/>
  <c r="G971" i="3"/>
  <c r="H971" i="3" s="1" a="1"/>
  <c r="H971" i="3" s="1"/>
  <c r="G970" i="3"/>
  <c r="H970" i="3" s="1" a="1"/>
  <c r="H970" i="3" s="1"/>
  <c r="G969" i="3"/>
  <c r="H969" i="3" s="1" a="1"/>
  <c r="H969" i="3" s="1"/>
  <c r="G968" i="3"/>
  <c r="H968" i="3" s="1" a="1"/>
  <c r="H968" i="3" s="1"/>
  <c r="G967" i="3"/>
  <c r="H967" i="3" s="1" a="1"/>
  <c r="H967" i="3" s="1"/>
  <c r="G966" i="3"/>
  <c r="H966" i="3" s="1" a="1"/>
  <c r="H966" i="3" s="1"/>
  <c r="G965" i="3"/>
  <c r="H965" i="3" s="1" a="1"/>
  <c r="H965" i="3" s="1"/>
  <c r="G964" i="3"/>
  <c r="H964" i="3" s="1" a="1"/>
  <c r="H964" i="3" s="1"/>
  <c r="G963" i="3"/>
  <c r="H963" i="3" s="1" a="1"/>
  <c r="H963" i="3" s="1"/>
  <c r="G962" i="3"/>
  <c r="H962" i="3" s="1" a="1"/>
  <c r="H962" i="3" s="1"/>
  <c r="G961" i="3"/>
  <c r="H961" i="3" s="1" a="1"/>
  <c r="H961" i="3" s="1"/>
  <c r="G960" i="3"/>
  <c r="H960" i="3" s="1" a="1"/>
  <c r="H960" i="3" s="1"/>
  <c r="G959" i="3"/>
  <c r="H959" i="3" s="1" a="1"/>
  <c r="H959" i="3" s="1"/>
  <c r="G958" i="3"/>
  <c r="H958" i="3" s="1" a="1"/>
  <c r="H958" i="3" s="1"/>
  <c r="G957" i="3"/>
  <c r="H957" i="3" s="1" a="1"/>
  <c r="H957" i="3" s="1"/>
  <c r="G956" i="3"/>
  <c r="H956" i="3" s="1" a="1"/>
  <c r="H956" i="3" s="1"/>
  <c r="G955" i="3"/>
  <c r="H955" i="3" s="1" a="1"/>
  <c r="H955" i="3" s="1"/>
  <c r="G954" i="3"/>
  <c r="H954" i="3" s="1" a="1"/>
  <c r="H954" i="3" s="1"/>
  <c r="G953" i="3"/>
  <c r="H953" i="3" s="1" a="1"/>
  <c r="H953" i="3" s="1"/>
  <c r="G952" i="3"/>
  <c r="H952" i="3" s="1" a="1"/>
  <c r="H952" i="3" s="1"/>
  <c r="G951" i="3"/>
  <c r="H951" i="3" s="1" a="1"/>
  <c r="H951" i="3" s="1"/>
  <c r="G950" i="3"/>
  <c r="H950" i="3" s="1" a="1"/>
  <c r="H950" i="3" s="1"/>
  <c r="G949" i="3"/>
  <c r="H949" i="3" s="1" a="1"/>
  <c r="H949" i="3" s="1"/>
  <c r="G948" i="3"/>
  <c r="H948" i="3" s="1" a="1"/>
  <c r="H948" i="3" s="1"/>
  <c r="G947" i="3"/>
  <c r="H947" i="3" s="1" a="1"/>
  <c r="H947" i="3" s="1"/>
  <c r="G946" i="3"/>
  <c r="H946" i="3" s="1" a="1"/>
  <c r="H946" i="3" s="1"/>
  <c r="G945" i="3"/>
  <c r="H945" i="3" s="1" a="1"/>
  <c r="H945" i="3" s="1"/>
  <c r="G944" i="3"/>
  <c r="H944" i="3" s="1" a="1"/>
  <c r="H944" i="3" s="1"/>
  <c r="G943" i="3"/>
  <c r="H943" i="3" s="1" a="1"/>
  <c r="H943" i="3" s="1"/>
  <c r="G942" i="3"/>
  <c r="H942" i="3" s="1" a="1"/>
  <c r="H942" i="3" s="1"/>
  <c r="G941" i="3"/>
  <c r="H941" i="3" s="1" a="1"/>
  <c r="H941" i="3" s="1"/>
  <c r="G940" i="3"/>
  <c r="H940" i="3" s="1" a="1"/>
  <c r="H940" i="3" s="1"/>
  <c r="G939" i="3"/>
  <c r="H939" i="3" s="1" a="1"/>
  <c r="H939" i="3" s="1"/>
  <c r="G938" i="3"/>
  <c r="H938" i="3" s="1" a="1"/>
  <c r="H938" i="3" s="1"/>
  <c r="G937" i="3"/>
  <c r="H937" i="3" s="1" a="1"/>
  <c r="H937" i="3" s="1"/>
  <c r="G936" i="3"/>
  <c r="H936" i="3" s="1" a="1"/>
  <c r="H936" i="3" s="1"/>
  <c r="G935" i="3"/>
  <c r="H935" i="3" s="1" a="1"/>
  <c r="H935" i="3" s="1"/>
  <c r="G934" i="3"/>
  <c r="H934" i="3" s="1" a="1"/>
  <c r="H934" i="3" s="1"/>
  <c r="G933" i="3"/>
  <c r="H933" i="3" s="1" a="1"/>
  <c r="H933" i="3" s="1"/>
  <c r="G932" i="3"/>
  <c r="H932" i="3" s="1" a="1"/>
  <c r="H932" i="3" s="1"/>
  <c r="G931" i="3"/>
  <c r="H931" i="3" s="1" a="1"/>
  <c r="H931" i="3" s="1"/>
  <c r="G930" i="3"/>
  <c r="H930" i="3" s="1" a="1"/>
  <c r="H930" i="3" s="1"/>
  <c r="G929" i="3"/>
  <c r="H929" i="3" s="1" a="1"/>
  <c r="H929" i="3" s="1"/>
  <c r="G928" i="3"/>
  <c r="H928" i="3" s="1" a="1"/>
  <c r="H928" i="3" s="1"/>
  <c r="G927" i="3"/>
  <c r="H927" i="3" s="1" a="1"/>
  <c r="H927" i="3" s="1"/>
  <c r="G926" i="3"/>
  <c r="H926" i="3" s="1" a="1"/>
  <c r="H926" i="3" s="1"/>
  <c r="G925" i="3"/>
  <c r="H925" i="3" s="1" a="1"/>
  <c r="H925" i="3" s="1"/>
  <c r="G924" i="3"/>
  <c r="H924" i="3" s="1" a="1"/>
  <c r="H924" i="3" s="1"/>
  <c r="G923" i="3"/>
  <c r="H923" i="3" s="1" a="1"/>
  <c r="H923" i="3" s="1"/>
  <c r="G922" i="3"/>
  <c r="H922" i="3" s="1" a="1"/>
  <c r="H922" i="3" s="1"/>
  <c r="G921" i="3"/>
  <c r="H921" i="3" s="1" a="1"/>
  <c r="H921" i="3" s="1"/>
  <c r="G920" i="3"/>
  <c r="H920" i="3" s="1" a="1"/>
  <c r="H920" i="3" s="1"/>
  <c r="G919" i="3"/>
  <c r="H919" i="3" s="1" a="1"/>
  <c r="H919" i="3" s="1"/>
  <c r="G918" i="3"/>
  <c r="H918" i="3" s="1" a="1"/>
  <c r="H918" i="3" s="1"/>
  <c r="G917" i="3"/>
  <c r="H917" i="3" s="1" a="1"/>
  <c r="H917" i="3" s="1"/>
  <c r="G916" i="3"/>
  <c r="H916" i="3" s="1" a="1"/>
  <c r="H916" i="3" s="1"/>
  <c r="G915" i="3"/>
  <c r="H915" i="3" s="1" a="1"/>
  <c r="H915" i="3" s="1"/>
  <c r="G914" i="3"/>
  <c r="H914" i="3" s="1" a="1"/>
  <c r="H914" i="3" s="1"/>
  <c r="G913" i="3"/>
  <c r="H913" i="3" s="1" a="1"/>
  <c r="H913" i="3" s="1"/>
  <c r="G912" i="3"/>
  <c r="H912" i="3" s="1" a="1"/>
  <c r="H912" i="3" s="1"/>
  <c r="G911" i="3"/>
  <c r="H911" i="3" s="1" a="1"/>
  <c r="H911" i="3" s="1"/>
  <c r="G910" i="3"/>
  <c r="H910" i="3" s="1" a="1"/>
  <c r="H910" i="3" s="1"/>
  <c r="G909" i="3"/>
  <c r="H909" i="3" s="1" a="1"/>
  <c r="H909" i="3" s="1"/>
  <c r="G908" i="3"/>
  <c r="H908" i="3" s="1" a="1"/>
  <c r="H908" i="3" s="1"/>
  <c r="G907" i="3"/>
  <c r="H907" i="3" s="1" a="1"/>
  <c r="H907" i="3" s="1"/>
  <c r="G906" i="3"/>
  <c r="H906" i="3" s="1" a="1"/>
  <c r="H906" i="3" s="1"/>
  <c r="G905" i="3"/>
  <c r="H905" i="3" s="1" a="1"/>
  <c r="H905" i="3" s="1"/>
  <c r="G904" i="3"/>
  <c r="H904" i="3" s="1" a="1"/>
  <c r="H904" i="3" s="1"/>
  <c r="G903" i="3"/>
  <c r="H903" i="3" s="1" a="1"/>
  <c r="H903" i="3" s="1"/>
  <c r="G902" i="3"/>
  <c r="H902" i="3" s="1" a="1"/>
  <c r="H902" i="3" s="1"/>
  <c r="G901" i="3"/>
  <c r="H901" i="3" s="1" a="1"/>
  <c r="H901" i="3" s="1"/>
  <c r="G900" i="3"/>
  <c r="H900" i="3" s="1" a="1"/>
  <c r="H900" i="3" s="1"/>
  <c r="G899" i="3"/>
  <c r="H899" i="3" s="1" a="1"/>
  <c r="H899" i="3" s="1"/>
  <c r="G898" i="3"/>
  <c r="H898" i="3" s="1" a="1"/>
  <c r="H898" i="3" s="1"/>
  <c r="G897" i="3"/>
  <c r="H897" i="3" s="1" a="1"/>
  <c r="H897" i="3" s="1"/>
  <c r="G896" i="3"/>
  <c r="H896" i="3" s="1" a="1"/>
  <c r="H896" i="3" s="1"/>
  <c r="G895" i="3"/>
  <c r="H895" i="3" s="1" a="1"/>
  <c r="H895" i="3" s="1"/>
  <c r="G894" i="3"/>
  <c r="H894" i="3" s="1" a="1"/>
  <c r="H894" i="3" s="1"/>
  <c r="G893" i="3"/>
  <c r="H893" i="3" s="1" a="1"/>
  <c r="H893" i="3" s="1"/>
  <c r="G892" i="3"/>
  <c r="H892" i="3" s="1" a="1"/>
  <c r="H892" i="3" s="1"/>
  <c r="G891" i="3"/>
  <c r="H891" i="3" s="1" a="1"/>
  <c r="H891" i="3" s="1"/>
  <c r="G890" i="3"/>
  <c r="H890" i="3" s="1" a="1"/>
  <c r="H890" i="3" s="1"/>
  <c r="G889" i="3"/>
  <c r="H889" i="3" s="1" a="1"/>
  <c r="H889" i="3" s="1"/>
  <c r="G888" i="3"/>
  <c r="H888" i="3" s="1" a="1"/>
  <c r="H888" i="3" s="1"/>
  <c r="G887" i="3"/>
  <c r="H887" i="3" s="1" a="1"/>
  <c r="H887" i="3" s="1"/>
  <c r="G886" i="3"/>
  <c r="H886" i="3" s="1" a="1"/>
  <c r="H886" i="3" s="1"/>
  <c r="G885" i="3"/>
  <c r="H885" i="3" s="1" a="1"/>
  <c r="H885" i="3" s="1"/>
  <c r="G884" i="3"/>
  <c r="H884" i="3" s="1" a="1"/>
  <c r="H884" i="3" s="1"/>
  <c r="G883" i="3"/>
  <c r="H883" i="3" s="1" a="1"/>
  <c r="H883" i="3" s="1"/>
  <c r="G882" i="3"/>
  <c r="H882" i="3" s="1" a="1"/>
  <c r="H882" i="3" s="1"/>
  <c r="G881" i="3"/>
  <c r="H881" i="3" s="1" a="1"/>
  <c r="H881" i="3" s="1"/>
  <c r="G880" i="3"/>
  <c r="H880" i="3" s="1" a="1"/>
  <c r="H880" i="3" s="1"/>
  <c r="G879" i="3"/>
  <c r="H879" i="3" s="1" a="1"/>
  <c r="H879" i="3" s="1"/>
  <c r="G878" i="3"/>
  <c r="H878" i="3" s="1" a="1"/>
  <c r="H878" i="3" s="1"/>
  <c r="G877" i="3"/>
  <c r="H877" i="3" s="1" a="1"/>
  <c r="H877" i="3" s="1"/>
  <c r="G876" i="3"/>
  <c r="H876" i="3" s="1" a="1"/>
  <c r="H876" i="3" s="1"/>
  <c r="G875" i="3"/>
  <c r="H875" i="3" s="1" a="1"/>
  <c r="H875" i="3" s="1"/>
  <c r="G874" i="3"/>
  <c r="H874" i="3" s="1" a="1"/>
  <c r="H874" i="3" s="1"/>
  <c r="G873" i="3"/>
  <c r="H873" i="3" s="1" a="1"/>
  <c r="H873" i="3" s="1"/>
  <c r="G872" i="3"/>
  <c r="H872" i="3" s="1" a="1"/>
  <c r="H872" i="3" s="1"/>
  <c r="G871" i="3"/>
  <c r="H871" i="3" s="1" a="1"/>
  <c r="H871" i="3" s="1"/>
  <c r="G870" i="3"/>
  <c r="H870" i="3" s="1" a="1"/>
  <c r="H870" i="3" s="1"/>
  <c r="G869" i="3"/>
  <c r="H869" i="3" s="1" a="1"/>
  <c r="H869" i="3" s="1"/>
  <c r="G868" i="3"/>
  <c r="H868" i="3" s="1" a="1"/>
  <c r="H868" i="3" s="1"/>
  <c r="G867" i="3"/>
  <c r="H867" i="3" s="1" a="1"/>
  <c r="H867" i="3" s="1"/>
  <c r="G866" i="3"/>
  <c r="H866" i="3" s="1" a="1"/>
  <c r="H866" i="3" s="1"/>
  <c r="G865" i="3"/>
  <c r="H865" i="3" s="1" a="1"/>
  <c r="H865" i="3" s="1"/>
  <c r="G864" i="3"/>
  <c r="H864" i="3" s="1" a="1"/>
  <c r="H864" i="3" s="1"/>
  <c r="G863" i="3"/>
  <c r="H863" i="3" s="1" a="1"/>
  <c r="H863" i="3" s="1"/>
  <c r="G862" i="3"/>
  <c r="H862" i="3" s="1" a="1"/>
  <c r="H862" i="3" s="1"/>
  <c r="G861" i="3"/>
  <c r="H861" i="3" s="1" a="1"/>
  <c r="H861" i="3" s="1"/>
  <c r="G860" i="3"/>
  <c r="H860" i="3" s="1" a="1"/>
  <c r="H860" i="3" s="1"/>
  <c r="G859" i="3"/>
  <c r="H859" i="3" s="1" a="1"/>
  <c r="H859" i="3" s="1"/>
  <c r="G858" i="3"/>
  <c r="H858" i="3" s="1" a="1"/>
  <c r="H858" i="3" s="1"/>
  <c r="G857" i="3"/>
  <c r="H857" i="3" s="1" a="1"/>
  <c r="H857" i="3" s="1"/>
  <c r="G856" i="3"/>
  <c r="H856" i="3" s="1" a="1"/>
  <c r="H856" i="3" s="1"/>
  <c r="G855" i="3"/>
  <c r="H855" i="3" s="1" a="1"/>
  <c r="H855" i="3" s="1"/>
  <c r="G854" i="3"/>
  <c r="H854" i="3" s="1" a="1"/>
  <c r="H854" i="3" s="1"/>
  <c r="G853" i="3"/>
  <c r="H853" i="3" s="1" a="1"/>
  <c r="H853" i="3" s="1"/>
  <c r="G852" i="3"/>
  <c r="H852" i="3" s="1" a="1"/>
  <c r="H852" i="3" s="1"/>
  <c r="G851" i="3"/>
  <c r="H851" i="3" s="1" a="1"/>
  <c r="H851" i="3" s="1"/>
  <c r="G850" i="3"/>
  <c r="H850" i="3" s="1" a="1"/>
  <c r="H850" i="3" s="1"/>
  <c r="G849" i="3"/>
  <c r="H849" i="3" s="1" a="1"/>
  <c r="H849" i="3" s="1"/>
  <c r="G848" i="3"/>
  <c r="H848" i="3" s="1" a="1"/>
  <c r="H848" i="3" s="1"/>
  <c r="G847" i="3"/>
  <c r="H847" i="3" s="1" a="1"/>
  <c r="H847" i="3" s="1"/>
  <c r="G846" i="3"/>
  <c r="H846" i="3" s="1" a="1"/>
  <c r="H846" i="3" s="1"/>
  <c r="G845" i="3"/>
  <c r="H845" i="3" s="1" a="1"/>
  <c r="H845" i="3" s="1"/>
  <c r="G844" i="3"/>
  <c r="H844" i="3" s="1" a="1"/>
  <c r="H844" i="3" s="1"/>
  <c r="G843" i="3"/>
  <c r="H843" i="3" s="1" a="1"/>
  <c r="H843" i="3" s="1"/>
  <c r="G842" i="3"/>
  <c r="H842" i="3" s="1" a="1"/>
  <c r="H842" i="3" s="1"/>
  <c r="G841" i="3"/>
  <c r="H841" i="3" s="1" a="1"/>
  <c r="H841" i="3" s="1"/>
  <c r="G840" i="3"/>
  <c r="H840" i="3" s="1" a="1"/>
  <c r="H840" i="3" s="1"/>
  <c r="G839" i="3"/>
  <c r="H839" i="3" s="1" a="1"/>
  <c r="H839" i="3" s="1"/>
  <c r="G838" i="3"/>
  <c r="H838" i="3" s="1" a="1"/>
  <c r="H838" i="3" s="1"/>
  <c r="G837" i="3"/>
  <c r="H837" i="3" s="1" a="1"/>
  <c r="H837" i="3" s="1"/>
  <c r="G836" i="3"/>
  <c r="H836" i="3" s="1" a="1"/>
  <c r="H836" i="3" s="1"/>
  <c r="G835" i="3"/>
  <c r="H835" i="3" s="1" a="1"/>
  <c r="H835" i="3" s="1"/>
  <c r="G834" i="3"/>
  <c r="H834" i="3" s="1" a="1"/>
  <c r="H834" i="3" s="1"/>
  <c r="G833" i="3"/>
  <c r="H833" i="3" s="1" a="1"/>
  <c r="H833" i="3" s="1"/>
  <c r="G832" i="3"/>
  <c r="H832" i="3" s="1" a="1"/>
  <c r="H832" i="3" s="1"/>
  <c r="G831" i="3"/>
  <c r="H831" i="3" s="1" a="1"/>
  <c r="H831" i="3" s="1"/>
  <c r="G830" i="3"/>
  <c r="H830" i="3" s="1" a="1"/>
  <c r="H830" i="3" s="1"/>
  <c r="G829" i="3"/>
  <c r="H829" i="3" s="1" a="1"/>
  <c r="H829" i="3" s="1"/>
  <c r="G828" i="3"/>
  <c r="H828" i="3" s="1" a="1"/>
  <c r="H828" i="3" s="1"/>
  <c r="G827" i="3"/>
  <c r="H827" i="3" s="1" a="1"/>
  <c r="H827" i="3" s="1"/>
  <c r="G826" i="3"/>
  <c r="H826" i="3" s="1" a="1"/>
  <c r="H826" i="3" s="1"/>
  <c r="G825" i="3"/>
  <c r="H825" i="3" s="1" a="1"/>
  <c r="H825" i="3" s="1"/>
  <c r="G824" i="3"/>
  <c r="H824" i="3" s="1" a="1"/>
  <c r="H824" i="3" s="1"/>
  <c r="G823" i="3"/>
  <c r="H823" i="3" s="1" a="1"/>
  <c r="H823" i="3" s="1"/>
  <c r="G822" i="3"/>
  <c r="H822" i="3" s="1" a="1"/>
  <c r="H822" i="3" s="1"/>
  <c r="G821" i="3"/>
  <c r="H821" i="3" s="1" a="1"/>
  <c r="H821" i="3" s="1"/>
  <c r="G820" i="3"/>
  <c r="H820" i="3" s="1" a="1"/>
  <c r="H820" i="3" s="1"/>
  <c r="G819" i="3"/>
  <c r="H819" i="3" s="1" a="1"/>
  <c r="H819" i="3" s="1"/>
  <c r="G818" i="3"/>
  <c r="H818" i="3" s="1" a="1"/>
  <c r="H818" i="3" s="1"/>
  <c r="G817" i="3"/>
  <c r="H817" i="3" s="1" a="1"/>
  <c r="H817" i="3" s="1"/>
  <c r="G816" i="3"/>
  <c r="H816" i="3" s="1" a="1"/>
  <c r="H816" i="3" s="1"/>
  <c r="G815" i="3"/>
  <c r="H815" i="3" s="1" a="1"/>
  <c r="H815" i="3" s="1"/>
  <c r="G814" i="3"/>
  <c r="H814" i="3" s="1" a="1"/>
  <c r="H814" i="3" s="1"/>
  <c r="G813" i="3"/>
  <c r="H813" i="3" s="1" a="1"/>
  <c r="H813" i="3" s="1"/>
  <c r="G812" i="3"/>
  <c r="H812" i="3" s="1" a="1"/>
  <c r="H812" i="3" s="1"/>
  <c r="G811" i="3"/>
  <c r="H811" i="3" s="1" a="1"/>
  <c r="H811" i="3" s="1"/>
  <c r="G810" i="3"/>
  <c r="H810" i="3" s="1" a="1"/>
  <c r="H810" i="3" s="1"/>
  <c r="G809" i="3"/>
  <c r="H809" i="3" s="1" a="1"/>
  <c r="H809" i="3" s="1"/>
  <c r="G808" i="3"/>
  <c r="H808" i="3" s="1" a="1"/>
  <c r="H808" i="3" s="1"/>
  <c r="G807" i="3"/>
  <c r="H807" i="3" s="1" a="1"/>
  <c r="H807" i="3" s="1"/>
  <c r="G806" i="3"/>
  <c r="H806" i="3" s="1" a="1"/>
  <c r="H806" i="3" s="1"/>
  <c r="G805" i="3"/>
  <c r="H805" i="3" s="1" a="1"/>
  <c r="H805" i="3" s="1"/>
  <c r="G804" i="3"/>
  <c r="H804" i="3" s="1" a="1"/>
  <c r="H804" i="3" s="1"/>
  <c r="G803" i="3"/>
  <c r="H803" i="3" s="1" a="1"/>
  <c r="H803" i="3" s="1"/>
  <c r="G802" i="3"/>
  <c r="H802" i="3" s="1" a="1"/>
  <c r="H802" i="3" s="1"/>
  <c r="G801" i="3"/>
  <c r="H801" i="3" s="1" a="1"/>
  <c r="H801" i="3" s="1"/>
  <c r="G800" i="3"/>
  <c r="H800" i="3" s="1" a="1"/>
  <c r="H800" i="3" s="1"/>
  <c r="G799" i="3"/>
  <c r="H799" i="3" s="1" a="1"/>
  <c r="H799" i="3" s="1"/>
  <c r="G798" i="3"/>
  <c r="H798" i="3" s="1" a="1"/>
  <c r="H798" i="3" s="1"/>
  <c r="G797" i="3"/>
  <c r="H797" i="3" s="1" a="1"/>
  <c r="H797" i="3" s="1"/>
  <c r="G796" i="3"/>
  <c r="H796" i="3" s="1" a="1"/>
  <c r="H796" i="3" s="1"/>
  <c r="G795" i="3"/>
  <c r="H795" i="3" s="1" a="1"/>
  <c r="H795" i="3" s="1"/>
  <c r="G794" i="3"/>
  <c r="H794" i="3" s="1" a="1"/>
  <c r="H794" i="3" s="1"/>
  <c r="G793" i="3"/>
  <c r="H793" i="3" s="1" a="1"/>
  <c r="H793" i="3" s="1"/>
  <c r="G792" i="3"/>
  <c r="H792" i="3" s="1" a="1"/>
  <c r="H792" i="3" s="1"/>
  <c r="G791" i="3"/>
  <c r="H791" i="3" s="1" a="1"/>
  <c r="H791" i="3" s="1"/>
  <c r="G790" i="3"/>
  <c r="H790" i="3" s="1" a="1"/>
  <c r="H790" i="3" s="1"/>
  <c r="G789" i="3"/>
  <c r="H789" i="3" s="1" a="1"/>
  <c r="H789" i="3" s="1"/>
  <c r="G788" i="3"/>
  <c r="H788" i="3" s="1" a="1"/>
  <c r="H788" i="3" s="1"/>
  <c r="G787" i="3"/>
  <c r="H787" i="3" s="1" a="1"/>
  <c r="H787" i="3" s="1"/>
  <c r="G786" i="3"/>
  <c r="H786" i="3" s="1" a="1"/>
  <c r="H786" i="3" s="1"/>
  <c r="G785" i="3"/>
  <c r="H785" i="3" s="1" a="1"/>
  <c r="H785" i="3" s="1"/>
  <c r="G784" i="3"/>
  <c r="H784" i="3" s="1" a="1"/>
  <c r="H784" i="3" s="1"/>
  <c r="G783" i="3"/>
  <c r="H783" i="3" s="1" a="1"/>
  <c r="H783" i="3" s="1"/>
  <c r="G782" i="3"/>
  <c r="H782" i="3" s="1" a="1"/>
  <c r="H782" i="3" s="1"/>
  <c r="G781" i="3"/>
  <c r="H781" i="3" s="1" a="1"/>
  <c r="H781" i="3" s="1"/>
  <c r="G780" i="3"/>
  <c r="H780" i="3" s="1" a="1"/>
  <c r="H780" i="3" s="1"/>
  <c r="G779" i="3"/>
  <c r="H779" i="3" s="1" a="1"/>
  <c r="H779" i="3" s="1"/>
  <c r="G778" i="3"/>
  <c r="H778" i="3" s="1" a="1"/>
  <c r="H778" i="3" s="1"/>
  <c r="G777" i="3"/>
  <c r="H777" i="3" s="1" a="1"/>
  <c r="H777" i="3" s="1"/>
  <c r="G776" i="3"/>
  <c r="H776" i="3" s="1" a="1"/>
  <c r="H776" i="3" s="1"/>
  <c r="G775" i="3"/>
  <c r="H775" i="3" s="1" a="1"/>
  <c r="H775" i="3" s="1"/>
  <c r="G774" i="3"/>
  <c r="H774" i="3" s="1" a="1"/>
  <c r="H774" i="3" s="1"/>
  <c r="G773" i="3"/>
  <c r="H773" i="3" s="1" a="1"/>
  <c r="H773" i="3" s="1"/>
  <c r="G772" i="3"/>
  <c r="H772" i="3" s="1" a="1"/>
  <c r="H772" i="3" s="1"/>
  <c r="G771" i="3"/>
  <c r="H771" i="3" s="1" a="1"/>
  <c r="H771" i="3" s="1"/>
  <c r="G770" i="3"/>
  <c r="H770" i="3" s="1" a="1"/>
  <c r="H770" i="3" s="1"/>
  <c r="G769" i="3"/>
  <c r="H769" i="3" s="1" a="1"/>
  <c r="H769" i="3" s="1"/>
  <c r="G768" i="3"/>
  <c r="H768" i="3" s="1" a="1"/>
  <c r="H768" i="3" s="1"/>
  <c r="G767" i="3"/>
  <c r="H767" i="3" s="1" a="1"/>
  <c r="H767" i="3" s="1"/>
  <c r="G766" i="3"/>
  <c r="H766" i="3" s="1" a="1"/>
  <c r="H766" i="3" s="1"/>
  <c r="G765" i="3"/>
  <c r="H765" i="3" s="1" a="1"/>
  <c r="H765" i="3" s="1"/>
  <c r="G764" i="3"/>
  <c r="H764" i="3" s="1" a="1"/>
  <c r="H764" i="3" s="1"/>
  <c r="G763" i="3"/>
  <c r="H763" i="3" s="1" a="1"/>
  <c r="H763" i="3" s="1"/>
  <c r="G762" i="3"/>
  <c r="H762" i="3" s="1" a="1"/>
  <c r="H762" i="3" s="1"/>
  <c r="G761" i="3"/>
  <c r="H761" i="3" s="1" a="1"/>
  <c r="H761" i="3" s="1"/>
  <c r="G760" i="3"/>
  <c r="H760" i="3" s="1" a="1"/>
  <c r="H760" i="3" s="1"/>
  <c r="G759" i="3"/>
  <c r="H759" i="3" s="1" a="1"/>
  <c r="H759" i="3" s="1"/>
  <c r="G758" i="3"/>
  <c r="H758" i="3" s="1" a="1"/>
  <c r="H758" i="3" s="1"/>
  <c r="G757" i="3"/>
  <c r="H757" i="3" s="1" a="1"/>
  <c r="H757" i="3" s="1"/>
  <c r="G756" i="3"/>
  <c r="H756" i="3" s="1" a="1"/>
  <c r="H756" i="3" s="1"/>
  <c r="G755" i="3"/>
  <c r="H755" i="3" s="1" a="1"/>
  <c r="H755" i="3" s="1"/>
  <c r="G754" i="3"/>
  <c r="H754" i="3" s="1" a="1"/>
  <c r="H754" i="3" s="1"/>
  <c r="G753" i="3"/>
  <c r="H753" i="3" s="1" a="1"/>
  <c r="H753" i="3" s="1"/>
  <c r="G752" i="3"/>
  <c r="H752" i="3" s="1" a="1"/>
  <c r="H752" i="3" s="1"/>
  <c r="G751" i="3"/>
  <c r="H751" i="3" s="1" a="1"/>
  <c r="H751" i="3" s="1"/>
  <c r="G750" i="3"/>
  <c r="H750" i="3" s="1" a="1"/>
  <c r="H750" i="3" s="1"/>
  <c r="G749" i="3"/>
  <c r="H749" i="3" s="1" a="1"/>
  <c r="H749" i="3" s="1"/>
  <c r="G748" i="3"/>
  <c r="H748" i="3" s="1" a="1"/>
  <c r="H748" i="3" s="1"/>
  <c r="G747" i="3"/>
  <c r="H747" i="3" s="1" a="1"/>
  <c r="H747" i="3" s="1"/>
  <c r="G746" i="3"/>
  <c r="H746" i="3" s="1" a="1"/>
  <c r="H746" i="3" s="1"/>
  <c r="G745" i="3"/>
  <c r="H745" i="3" s="1" a="1"/>
  <c r="H745" i="3" s="1"/>
  <c r="G744" i="3"/>
  <c r="H744" i="3" s="1" a="1"/>
  <c r="H744" i="3" s="1"/>
  <c r="G743" i="3"/>
  <c r="H743" i="3" s="1" a="1"/>
  <c r="H743" i="3" s="1"/>
  <c r="G742" i="3"/>
  <c r="H742" i="3" s="1" a="1"/>
  <c r="H742" i="3" s="1"/>
  <c r="G741" i="3"/>
  <c r="H741" i="3" s="1" a="1"/>
  <c r="H741" i="3" s="1"/>
  <c r="G740" i="3"/>
  <c r="H740" i="3" s="1" a="1"/>
  <c r="H740" i="3" s="1"/>
  <c r="G739" i="3"/>
  <c r="H739" i="3" s="1" a="1"/>
  <c r="H739" i="3" s="1"/>
  <c r="G738" i="3"/>
  <c r="H738" i="3" s="1" a="1"/>
  <c r="H738" i="3" s="1"/>
  <c r="G737" i="3"/>
  <c r="H737" i="3" s="1" a="1"/>
  <c r="H737" i="3" s="1"/>
  <c r="G736" i="3"/>
  <c r="H736" i="3" s="1" a="1"/>
  <c r="H736" i="3" s="1"/>
  <c r="G735" i="3"/>
  <c r="H735" i="3" s="1" a="1"/>
  <c r="H735" i="3" s="1"/>
  <c r="G734" i="3"/>
  <c r="H734" i="3" s="1" a="1"/>
  <c r="H734" i="3" s="1"/>
  <c r="G733" i="3"/>
  <c r="H733" i="3" s="1" a="1"/>
  <c r="H733" i="3" s="1"/>
  <c r="G732" i="3"/>
  <c r="H732" i="3" s="1" a="1"/>
  <c r="H732" i="3" s="1"/>
  <c r="G731" i="3"/>
  <c r="H731" i="3" s="1" a="1"/>
  <c r="H731" i="3" s="1"/>
  <c r="G730" i="3"/>
  <c r="H730" i="3" s="1" a="1"/>
  <c r="H730" i="3" s="1"/>
  <c r="G729" i="3"/>
  <c r="H729" i="3" s="1" a="1"/>
  <c r="H729" i="3" s="1"/>
  <c r="G728" i="3"/>
  <c r="H728" i="3" s="1" a="1"/>
  <c r="H728" i="3" s="1"/>
  <c r="G727" i="3"/>
  <c r="H727" i="3" s="1" a="1"/>
  <c r="H727" i="3" s="1"/>
  <c r="G726" i="3"/>
  <c r="H726" i="3" s="1" a="1"/>
  <c r="H726" i="3" s="1"/>
  <c r="G725" i="3"/>
  <c r="H725" i="3" s="1" a="1"/>
  <c r="H725" i="3" s="1"/>
  <c r="G724" i="3"/>
  <c r="H724" i="3" s="1" a="1"/>
  <c r="H724" i="3" s="1"/>
  <c r="G723" i="3"/>
  <c r="H723" i="3" s="1" a="1"/>
  <c r="H723" i="3" s="1"/>
  <c r="G722" i="3"/>
  <c r="H722" i="3" s="1" a="1"/>
  <c r="H722" i="3" s="1"/>
  <c r="G721" i="3"/>
  <c r="H721" i="3" s="1" a="1"/>
  <c r="H721" i="3" s="1"/>
  <c r="G720" i="3"/>
  <c r="H720" i="3" s="1" a="1"/>
  <c r="H720" i="3" s="1"/>
  <c r="G719" i="3"/>
  <c r="H719" i="3" s="1" a="1"/>
  <c r="H719" i="3" s="1"/>
  <c r="G718" i="3"/>
  <c r="H718" i="3" s="1" a="1"/>
  <c r="H718" i="3" s="1"/>
  <c r="G717" i="3"/>
  <c r="H717" i="3" s="1" a="1"/>
  <c r="H717" i="3" s="1"/>
  <c r="G716" i="3"/>
  <c r="H716" i="3" s="1" a="1"/>
  <c r="H716" i="3" s="1"/>
  <c r="G715" i="3"/>
  <c r="H715" i="3" s="1" a="1"/>
  <c r="H715" i="3" s="1"/>
  <c r="G714" i="3"/>
  <c r="H714" i="3" s="1" a="1"/>
  <c r="H714" i="3" s="1"/>
  <c r="G713" i="3"/>
  <c r="H713" i="3" s="1" a="1"/>
  <c r="H713" i="3" s="1"/>
  <c r="G712" i="3"/>
  <c r="H712" i="3" s="1" a="1"/>
  <c r="H712" i="3" s="1"/>
  <c r="G711" i="3"/>
  <c r="H711" i="3" s="1" a="1"/>
  <c r="H711" i="3" s="1"/>
  <c r="G710" i="3"/>
  <c r="H710" i="3" s="1" a="1"/>
  <c r="H710" i="3" s="1"/>
  <c r="G709" i="3"/>
  <c r="H709" i="3" s="1" a="1"/>
  <c r="H709" i="3" s="1"/>
  <c r="G708" i="3"/>
  <c r="H708" i="3" s="1" a="1"/>
  <c r="H708" i="3" s="1"/>
  <c r="G707" i="3"/>
  <c r="H707" i="3" s="1" a="1"/>
  <c r="H707" i="3" s="1"/>
  <c r="G706" i="3"/>
  <c r="H706" i="3" s="1" a="1"/>
  <c r="H706" i="3" s="1"/>
  <c r="G705" i="3"/>
  <c r="H705" i="3" s="1" a="1"/>
  <c r="H705" i="3" s="1"/>
  <c r="G704" i="3"/>
  <c r="H704" i="3" s="1" a="1"/>
  <c r="H704" i="3" s="1"/>
  <c r="G703" i="3"/>
  <c r="H703" i="3" s="1" a="1"/>
  <c r="H703" i="3" s="1"/>
  <c r="G702" i="3"/>
  <c r="H702" i="3" s="1" a="1"/>
  <c r="H702" i="3" s="1"/>
  <c r="G701" i="3"/>
  <c r="H701" i="3" s="1" a="1"/>
  <c r="H701" i="3" s="1"/>
  <c r="G700" i="3"/>
  <c r="H700" i="3" s="1" a="1"/>
  <c r="H700" i="3" s="1"/>
  <c r="G699" i="3"/>
  <c r="H699" i="3" s="1" a="1"/>
  <c r="H699" i="3" s="1"/>
  <c r="G698" i="3"/>
  <c r="H698" i="3" s="1" a="1"/>
  <c r="H698" i="3" s="1"/>
  <c r="G697" i="3"/>
  <c r="H697" i="3" s="1" a="1"/>
  <c r="H697" i="3" s="1"/>
  <c r="G696" i="3"/>
  <c r="H696" i="3" s="1" a="1"/>
  <c r="H696" i="3" s="1"/>
  <c r="G695" i="3"/>
  <c r="H695" i="3" s="1" a="1"/>
  <c r="H695" i="3" s="1"/>
  <c r="G694" i="3"/>
  <c r="H694" i="3" s="1" a="1"/>
  <c r="H694" i="3" s="1"/>
  <c r="G693" i="3"/>
  <c r="H693" i="3" s="1" a="1"/>
  <c r="H693" i="3" s="1"/>
  <c r="G692" i="3"/>
  <c r="H692" i="3" s="1" a="1"/>
  <c r="H692" i="3" s="1"/>
  <c r="G691" i="3"/>
  <c r="H691" i="3" s="1" a="1"/>
  <c r="H691" i="3" s="1"/>
  <c r="G690" i="3"/>
  <c r="H690" i="3" s="1" a="1"/>
  <c r="H690" i="3" s="1"/>
  <c r="G689" i="3"/>
  <c r="H689" i="3" s="1" a="1"/>
  <c r="H689" i="3" s="1"/>
  <c r="G688" i="3"/>
  <c r="H688" i="3" s="1" a="1"/>
  <c r="H688" i="3" s="1"/>
  <c r="G687" i="3"/>
  <c r="H687" i="3" s="1" a="1"/>
  <c r="H687" i="3" s="1"/>
  <c r="G686" i="3"/>
  <c r="H686" i="3" s="1" a="1"/>
  <c r="H686" i="3" s="1"/>
  <c r="G685" i="3"/>
  <c r="H685" i="3" s="1" a="1"/>
  <c r="H685" i="3" s="1"/>
  <c r="G684" i="3"/>
  <c r="H684" i="3" s="1" a="1"/>
  <c r="H684" i="3" s="1"/>
  <c r="G683" i="3"/>
  <c r="H683" i="3" s="1" a="1"/>
  <c r="H683" i="3" s="1"/>
  <c r="G682" i="3"/>
  <c r="H682" i="3" s="1" a="1"/>
  <c r="H682" i="3" s="1"/>
  <c r="G681" i="3"/>
  <c r="H681" i="3" s="1" a="1"/>
  <c r="H681" i="3" s="1"/>
  <c r="G680" i="3"/>
  <c r="H680" i="3" s="1" a="1"/>
  <c r="H680" i="3" s="1"/>
  <c r="G679" i="3"/>
  <c r="H679" i="3" s="1" a="1"/>
  <c r="H679" i="3" s="1"/>
  <c r="G678" i="3"/>
  <c r="H678" i="3" s="1" a="1"/>
  <c r="H678" i="3" s="1"/>
  <c r="G677" i="3"/>
  <c r="H677" i="3" s="1" a="1"/>
  <c r="H677" i="3" s="1"/>
  <c r="G676" i="3"/>
  <c r="H676" i="3" s="1" a="1"/>
  <c r="H676" i="3" s="1"/>
  <c r="G675" i="3"/>
  <c r="H675" i="3" s="1" a="1"/>
  <c r="H675" i="3" s="1"/>
  <c r="G674" i="3"/>
  <c r="H674" i="3" s="1" a="1"/>
  <c r="H674" i="3" s="1"/>
  <c r="G673" i="3"/>
  <c r="H673" i="3" s="1" a="1"/>
  <c r="H673" i="3" s="1"/>
  <c r="G672" i="3"/>
  <c r="H672" i="3" s="1" a="1"/>
  <c r="H672" i="3" s="1"/>
  <c r="G671" i="3"/>
  <c r="H671" i="3" s="1" a="1"/>
  <c r="H671" i="3" s="1"/>
  <c r="G670" i="3"/>
  <c r="H670" i="3" s="1" a="1"/>
  <c r="H670" i="3" s="1"/>
  <c r="G669" i="3"/>
  <c r="H669" i="3" s="1" a="1"/>
  <c r="H669" i="3" s="1"/>
  <c r="G668" i="3"/>
  <c r="H668" i="3" s="1" a="1"/>
  <c r="H668" i="3" s="1"/>
  <c r="G667" i="3"/>
  <c r="H667" i="3" s="1" a="1"/>
  <c r="H667" i="3" s="1"/>
  <c r="G666" i="3"/>
  <c r="H666" i="3" s="1" a="1"/>
  <c r="H666" i="3" s="1"/>
  <c r="G665" i="3"/>
  <c r="H665" i="3" s="1" a="1"/>
  <c r="H665" i="3" s="1"/>
  <c r="G664" i="3"/>
  <c r="H664" i="3" s="1" a="1"/>
  <c r="H664" i="3" s="1"/>
  <c r="G663" i="3"/>
  <c r="H663" i="3" s="1" a="1"/>
  <c r="H663" i="3" s="1"/>
  <c r="G662" i="3"/>
  <c r="H662" i="3" s="1" a="1"/>
  <c r="H662" i="3" s="1"/>
  <c r="G661" i="3"/>
  <c r="H661" i="3" s="1" a="1"/>
  <c r="H661" i="3" s="1"/>
  <c r="G660" i="3"/>
  <c r="H660" i="3" s="1" a="1"/>
  <c r="H660" i="3" s="1"/>
  <c r="G659" i="3"/>
  <c r="H659" i="3" s="1" a="1"/>
  <c r="H659" i="3" s="1"/>
  <c r="G658" i="3"/>
  <c r="H658" i="3" s="1" a="1"/>
  <c r="H658" i="3" s="1"/>
  <c r="G657" i="3"/>
  <c r="H657" i="3" s="1" a="1"/>
  <c r="H657" i="3" s="1"/>
  <c r="G656" i="3"/>
  <c r="H656" i="3" s="1" a="1"/>
  <c r="H656" i="3" s="1"/>
  <c r="G655" i="3"/>
  <c r="H655" i="3" s="1" a="1"/>
  <c r="H655" i="3" s="1"/>
  <c r="G654" i="3"/>
  <c r="H654" i="3" s="1" a="1"/>
  <c r="H654" i="3" s="1"/>
  <c r="G653" i="3"/>
  <c r="H653" i="3" s="1" a="1"/>
  <c r="H653" i="3" s="1"/>
  <c r="G652" i="3"/>
  <c r="H652" i="3" s="1" a="1"/>
  <c r="H652" i="3" s="1"/>
  <c r="G651" i="3"/>
  <c r="H651" i="3" s="1" a="1"/>
  <c r="H651" i="3" s="1"/>
  <c r="G650" i="3"/>
  <c r="H650" i="3" s="1" a="1"/>
  <c r="H650" i="3" s="1"/>
  <c r="G649" i="3"/>
  <c r="H649" i="3" s="1" a="1"/>
  <c r="H649" i="3" s="1"/>
  <c r="G648" i="3"/>
  <c r="H648" i="3" s="1" a="1"/>
  <c r="H648" i="3" s="1"/>
  <c r="G647" i="3"/>
  <c r="H647" i="3" s="1" a="1"/>
  <c r="H647" i="3" s="1"/>
  <c r="G646" i="3"/>
  <c r="H646" i="3" s="1" a="1"/>
  <c r="H646" i="3" s="1"/>
  <c r="G645" i="3"/>
  <c r="H645" i="3" s="1" a="1"/>
  <c r="H645" i="3" s="1"/>
  <c r="G644" i="3"/>
  <c r="H644" i="3" s="1" a="1"/>
  <c r="H644" i="3" s="1"/>
  <c r="G643" i="3"/>
  <c r="H643" i="3" s="1" a="1"/>
  <c r="H643" i="3" s="1"/>
  <c r="G642" i="3"/>
  <c r="H642" i="3" s="1" a="1"/>
  <c r="H642" i="3" s="1"/>
  <c r="G641" i="3"/>
  <c r="H641" i="3" s="1" a="1"/>
  <c r="H641" i="3" s="1"/>
  <c r="G640" i="3"/>
  <c r="H640" i="3" s="1" a="1"/>
  <c r="H640" i="3" s="1"/>
  <c r="G639" i="3"/>
  <c r="H639" i="3" s="1" a="1"/>
  <c r="H639" i="3" s="1"/>
  <c r="G638" i="3"/>
  <c r="H638" i="3" s="1" a="1"/>
  <c r="H638" i="3" s="1"/>
  <c r="G637" i="3"/>
  <c r="H637" i="3" s="1" a="1"/>
  <c r="H637" i="3" s="1"/>
  <c r="G636" i="3"/>
  <c r="H636" i="3" s="1" a="1"/>
  <c r="H636" i="3" s="1"/>
  <c r="G635" i="3"/>
  <c r="H635" i="3" s="1" a="1"/>
  <c r="H635" i="3" s="1"/>
  <c r="G634" i="3"/>
  <c r="H634" i="3" s="1" a="1"/>
  <c r="H634" i="3" s="1"/>
  <c r="G633" i="3"/>
  <c r="H633" i="3" s="1" a="1"/>
  <c r="H633" i="3" s="1"/>
  <c r="G632" i="3"/>
  <c r="H632" i="3" s="1" a="1"/>
  <c r="H632" i="3" s="1"/>
  <c r="G631" i="3"/>
  <c r="H631" i="3" s="1" a="1"/>
  <c r="H631" i="3" s="1"/>
  <c r="G630" i="3"/>
  <c r="H630" i="3" s="1" a="1"/>
  <c r="H630" i="3" s="1"/>
  <c r="G629" i="3"/>
  <c r="H629" i="3" s="1" a="1"/>
  <c r="H629" i="3" s="1"/>
  <c r="G628" i="3"/>
  <c r="H628" i="3" s="1" a="1"/>
  <c r="H628" i="3" s="1"/>
  <c r="G627" i="3"/>
  <c r="H627" i="3" s="1" a="1"/>
  <c r="H627" i="3" s="1"/>
  <c r="G626" i="3"/>
  <c r="H626" i="3" s="1" a="1"/>
  <c r="H626" i="3" s="1"/>
  <c r="G625" i="3"/>
  <c r="H625" i="3" s="1" a="1"/>
  <c r="H625" i="3" s="1"/>
  <c r="G624" i="3"/>
  <c r="H624" i="3" s="1" a="1"/>
  <c r="H624" i="3" s="1"/>
  <c r="G623" i="3"/>
  <c r="H623" i="3" s="1" a="1"/>
  <c r="H623" i="3" s="1"/>
  <c r="G622" i="3"/>
  <c r="H622" i="3" s="1" a="1"/>
  <c r="H622" i="3" s="1"/>
  <c r="G621" i="3"/>
  <c r="H621" i="3" s="1" a="1"/>
  <c r="H621" i="3" s="1"/>
  <c r="G620" i="3"/>
  <c r="H620" i="3" s="1" a="1"/>
  <c r="H620" i="3" s="1"/>
  <c r="G619" i="3"/>
  <c r="H619" i="3" s="1" a="1"/>
  <c r="H619" i="3" s="1"/>
  <c r="G618" i="3"/>
  <c r="H618" i="3" s="1" a="1"/>
  <c r="H618" i="3" s="1"/>
  <c r="G617" i="3"/>
  <c r="H617" i="3" s="1" a="1"/>
  <c r="H617" i="3" s="1"/>
  <c r="G616" i="3"/>
  <c r="H616" i="3" s="1" a="1"/>
  <c r="H616" i="3" s="1"/>
  <c r="G615" i="3"/>
  <c r="H615" i="3" s="1" a="1"/>
  <c r="H615" i="3" s="1"/>
  <c r="G614" i="3"/>
  <c r="H614" i="3" s="1" a="1"/>
  <c r="H614" i="3" s="1"/>
  <c r="G613" i="3"/>
  <c r="H613" i="3" s="1" a="1"/>
  <c r="H613" i="3" s="1"/>
  <c r="G612" i="3"/>
  <c r="H612" i="3" s="1" a="1"/>
  <c r="H612" i="3" s="1"/>
  <c r="G611" i="3"/>
  <c r="H611" i="3" s="1" a="1"/>
  <c r="H611" i="3" s="1"/>
  <c r="G610" i="3"/>
  <c r="H610" i="3" s="1" a="1"/>
  <c r="H610" i="3" s="1"/>
  <c r="G609" i="3"/>
  <c r="H609" i="3" s="1" a="1"/>
  <c r="H609" i="3" s="1"/>
  <c r="G608" i="3"/>
  <c r="H608" i="3" s="1" a="1"/>
  <c r="H608" i="3" s="1"/>
  <c r="G607" i="3"/>
  <c r="H607" i="3" s="1" a="1"/>
  <c r="H607" i="3" s="1"/>
  <c r="G606" i="3"/>
  <c r="H606" i="3" s="1" a="1"/>
  <c r="H606" i="3" s="1"/>
  <c r="G605" i="3"/>
  <c r="H605" i="3" s="1" a="1"/>
  <c r="H605" i="3" s="1"/>
  <c r="G604" i="3"/>
  <c r="H604" i="3" s="1" a="1"/>
  <c r="H604" i="3" s="1"/>
  <c r="G603" i="3"/>
  <c r="H603" i="3" s="1" a="1"/>
  <c r="H603" i="3" s="1"/>
  <c r="G602" i="3"/>
  <c r="H602" i="3" s="1" a="1"/>
  <c r="H602" i="3" s="1"/>
  <c r="G601" i="3"/>
  <c r="H601" i="3" s="1" a="1"/>
  <c r="H601" i="3" s="1"/>
  <c r="G600" i="3"/>
  <c r="H600" i="3" s="1" a="1"/>
  <c r="H600" i="3" s="1"/>
  <c r="G599" i="3"/>
  <c r="H599" i="3" s="1" a="1"/>
  <c r="H599" i="3" s="1"/>
  <c r="G598" i="3"/>
  <c r="H598" i="3" s="1" a="1"/>
  <c r="H598" i="3" s="1"/>
  <c r="G597" i="3"/>
  <c r="H597" i="3" s="1" a="1"/>
  <c r="H597" i="3" s="1"/>
  <c r="G596" i="3"/>
  <c r="H596" i="3" s="1" a="1"/>
  <c r="H596" i="3" s="1"/>
  <c r="G595" i="3"/>
  <c r="H595" i="3" s="1" a="1"/>
  <c r="H595" i="3" s="1"/>
  <c r="G594" i="3"/>
  <c r="H594" i="3" s="1" a="1"/>
  <c r="H594" i="3" s="1"/>
  <c r="G593" i="3"/>
  <c r="H593" i="3" s="1" a="1"/>
  <c r="H593" i="3" s="1"/>
  <c r="G592" i="3"/>
  <c r="H592" i="3" s="1" a="1"/>
  <c r="H592" i="3" s="1"/>
  <c r="G591" i="3"/>
  <c r="H591" i="3" s="1" a="1"/>
  <c r="H591" i="3" s="1"/>
  <c r="G590" i="3"/>
  <c r="H590" i="3" s="1" a="1"/>
  <c r="H590" i="3" s="1"/>
  <c r="G589" i="3"/>
  <c r="H589" i="3" s="1" a="1"/>
  <c r="H589" i="3" s="1"/>
  <c r="G588" i="3"/>
  <c r="H588" i="3" s="1" a="1"/>
  <c r="H588" i="3" s="1"/>
  <c r="G587" i="3"/>
  <c r="H587" i="3" s="1" a="1"/>
  <c r="H587" i="3" s="1"/>
  <c r="G586" i="3"/>
  <c r="H586" i="3" s="1" a="1"/>
  <c r="H586" i="3" s="1"/>
  <c r="G585" i="3"/>
  <c r="H585" i="3" s="1" a="1"/>
  <c r="H585" i="3" s="1"/>
  <c r="G584" i="3"/>
  <c r="H584" i="3" s="1" a="1"/>
  <c r="H584" i="3" s="1"/>
  <c r="G583" i="3"/>
  <c r="H583" i="3" s="1" a="1"/>
  <c r="H583" i="3" s="1"/>
  <c r="G582" i="3"/>
  <c r="H582" i="3" s="1" a="1"/>
  <c r="H582" i="3" s="1"/>
  <c r="G581" i="3"/>
  <c r="H581" i="3" s="1" a="1"/>
  <c r="H581" i="3" s="1"/>
  <c r="G580" i="3"/>
  <c r="H580" i="3" s="1" a="1"/>
  <c r="H580" i="3" s="1"/>
  <c r="G579" i="3"/>
  <c r="H579" i="3" s="1" a="1"/>
  <c r="H579" i="3" s="1"/>
  <c r="G578" i="3"/>
  <c r="H578" i="3" s="1" a="1"/>
  <c r="H578" i="3" s="1"/>
  <c r="G577" i="3"/>
  <c r="H577" i="3" s="1" a="1"/>
  <c r="H577" i="3" s="1"/>
  <c r="G576" i="3"/>
  <c r="H576" i="3" s="1" a="1"/>
  <c r="H576" i="3" s="1"/>
  <c r="G575" i="3"/>
  <c r="H575" i="3" s="1" a="1"/>
  <c r="H575" i="3" s="1"/>
  <c r="G574" i="3"/>
  <c r="H574" i="3" s="1" a="1"/>
  <c r="H574" i="3" s="1"/>
  <c r="G573" i="3"/>
  <c r="H573" i="3" s="1" a="1"/>
  <c r="H573" i="3" s="1"/>
  <c r="G572" i="3"/>
  <c r="H572" i="3" s="1" a="1"/>
  <c r="H572" i="3" s="1"/>
  <c r="G571" i="3"/>
  <c r="H571" i="3" s="1" a="1"/>
  <c r="H571" i="3" s="1"/>
  <c r="G570" i="3"/>
  <c r="H570" i="3" s="1" a="1"/>
  <c r="H570" i="3" s="1"/>
  <c r="G569" i="3"/>
  <c r="H569" i="3" s="1" a="1"/>
  <c r="H569" i="3" s="1"/>
  <c r="G568" i="3"/>
  <c r="H568" i="3" s="1" a="1"/>
  <c r="H568" i="3" s="1"/>
  <c r="G567" i="3"/>
  <c r="H567" i="3" s="1" a="1"/>
  <c r="H567" i="3" s="1"/>
  <c r="G566" i="3"/>
  <c r="H566" i="3" s="1" a="1"/>
  <c r="H566" i="3" s="1"/>
  <c r="G565" i="3"/>
  <c r="H565" i="3" s="1" a="1"/>
  <c r="H565" i="3" s="1"/>
  <c r="G564" i="3"/>
  <c r="H564" i="3" s="1" a="1"/>
  <c r="H564" i="3" s="1"/>
  <c r="G563" i="3"/>
  <c r="H563" i="3" s="1" a="1"/>
  <c r="H563" i="3" s="1"/>
  <c r="G562" i="3"/>
  <c r="H562" i="3" s="1" a="1"/>
  <c r="H562" i="3" s="1"/>
  <c r="G561" i="3"/>
  <c r="H561" i="3" s="1" a="1"/>
  <c r="H561" i="3" s="1"/>
  <c r="G560" i="3"/>
  <c r="H560" i="3" s="1" a="1"/>
  <c r="H560" i="3" s="1"/>
  <c r="G559" i="3"/>
  <c r="H559" i="3" s="1" a="1"/>
  <c r="H559" i="3" s="1"/>
  <c r="G558" i="3"/>
  <c r="H558" i="3" s="1" a="1"/>
  <c r="H558" i="3" s="1"/>
  <c r="G557" i="3"/>
  <c r="H557" i="3" s="1" a="1"/>
  <c r="H557" i="3" s="1"/>
  <c r="G556" i="3"/>
  <c r="H556" i="3" s="1" a="1"/>
  <c r="H556" i="3" s="1"/>
  <c r="G555" i="3"/>
  <c r="H555" i="3" s="1" a="1"/>
  <c r="H555" i="3" s="1"/>
  <c r="G554" i="3"/>
  <c r="H554" i="3" s="1" a="1"/>
  <c r="H554" i="3" s="1"/>
  <c r="G553" i="3"/>
  <c r="H553" i="3" s="1" a="1"/>
  <c r="H553" i="3" s="1"/>
  <c r="G552" i="3"/>
  <c r="H552" i="3" s="1" a="1"/>
  <c r="H552" i="3" s="1"/>
  <c r="G551" i="3"/>
  <c r="H551" i="3" s="1" a="1"/>
  <c r="H551" i="3" s="1"/>
  <c r="G550" i="3"/>
  <c r="H550" i="3" s="1" a="1"/>
  <c r="H550" i="3" s="1"/>
  <c r="G549" i="3"/>
  <c r="H549" i="3" s="1" a="1"/>
  <c r="H549" i="3" s="1"/>
  <c r="G548" i="3"/>
  <c r="H548" i="3" s="1" a="1"/>
  <c r="H548" i="3" s="1"/>
  <c r="G547" i="3"/>
  <c r="H547" i="3" s="1" a="1"/>
  <c r="H547" i="3" s="1"/>
  <c r="G546" i="3"/>
  <c r="H546" i="3" s="1" a="1"/>
  <c r="H546" i="3" s="1"/>
  <c r="G545" i="3"/>
  <c r="H545" i="3" s="1" a="1"/>
  <c r="H545" i="3" s="1"/>
  <c r="G544" i="3"/>
  <c r="H544" i="3" s="1" a="1"/>
  <c r="H544" i="3" s="1"/>
  <c r="G543" i="3"/>
  <c r="H543" i="3" s="1" a="1"/>
  <c r="H543" i="3" s="1"/>
  <c r="G542" i="3"/>
  <c r="H542" i="3" s="1" a="1"/>
  <c r="H542" i="3" s="1"/>
  <c r="G541" i="3"/>
  <c r="H541" i="3" s="1" a="1"/>
  <c r="H541" i="3" s="1"/>
  <c r="G540" i="3"/>
  <c r="H540" i="3" s="1" a="1"/>
  <c r="H540" i="3" s="1"/>
  <c r="G539" i="3"/>
  <c r="H539" i="3" s="1" a="1"/>
  <c r="H539" i="3" s="1"/>
  <c r="G538" i="3"/>
  <c r="H538" i="3" s="1" a="1"/>
  <c r="H538" i="3" s="1"/>
  <c r="G537" i="3"/>
  <c r="H537" i="3" s="1" a="1"/>
  <c r="H537" i="3" s="1"/>
  <c r="G536" i="3"/>
  <c r="H536" i="3" s="1" a="1"/>
  <c r="H536" i="3" s="1"/>
  <c r="G535" i="3"/>
  <c r="H535" i="3" s="1" a="1"/>
  <c r="H535" i="3" s="1"/>
  <c r="G534" i="3"/>
  <c r="H534" i="3" s="1" a="1"/>
  <c r="H534" i="3" s="1"/>
  <c r="G533" i="3"/>
  <c r="H533" i="3" s="1" a="1"/>
  <c r="H533" i="3" s="1"/>
  <c r="G532" i="3"/>
  <c r="H532" i="3" s="1" a="1"/>
  <c r="H532" i="3" s="1"/>
  <c r="G531" i="3"/>
  <c r="H531" i="3" s="1" a="1"/>
  <c r="H531" i="3" s="1"/>
  <c r="G530" i="3"/>
  <c r="H530" i="3" s="1" a="1"/>
  <c r="H530" i="3" s="1"/>
  <c r="G529" i="3"/>
  <c r="H529" i="3" s="1" a="1"/>
  <c r="H529" i="3" s="1"/>
  <c r="G528" i="3"/>
  <c r="H528" i="3" s="1" a="1"/>
  <c r="H528" i="3" s="1"/>
  <c r="G527" i="3"/>
  <c r="H527" i="3" s="1" a="1"/>
  <c r="H527" i="3" s="1"/>
  <c r="G526" i="3"/>
  <c r="H526" i="3" s="1" a="1"/>
  <c r="H526" i="3" s="1"/>
  <c r="G525" i="3"/>
  <c r="H525" i="3" s="1" a="1"/>
  <c r="H525" i="3" s="1"/>
  <c r="G524" i="3"/>
  <c r="H524" i="3" s="1" a="1"/>
  <c r="H524" i="3" s="1"/>
  <c r="G523" i="3"/>
  <c r="H523" i="3" s="1" a="1"/>
  <c r="H523" i="3" s="1"/>
  <c r="G522" i="3"/>
  <c r="H522" i="3" s="1" a="1"/>
  <c r="H522" i="3" s="1"/>
  <c r="G521" i="3"/>
  <c r="H521" i="3" s="1" a="1"/>
  <c r="H521" i="3" s="1"/>
  <c r="G520" i="3"/>
  <c r="H520" i="3" s="1" a="1"/>
  <c r="H520" i="3" s="1"/>
  <c r="G519" i="3"/>
  <c r="H519" i="3" s="1" a="1"/>
  <c r="H519" i="3" s="1"/>
  <c r="G518" i="3"/>
  <c r="H518" i="3" s="1" a="1"/>
  <c r="H518" i="3" s="1"/>
  <c r="G517" i="3"/>
  <c r="H517" i="3" s="1" a="1"/>
  <c r="H517" i="3" s="1"/>
  <c r="G516" i="3"/>
  <c r="H516" i="3" s="1" a="1"/>
  <c r="H516" i="3" s="1"/>
  <c r="G515" i="3"/>
  <c r="H515" i="3" s="1" a="1"/>
  <c r="H515" i="3" s="1"/>
  <c r="G514" i="3"/>
  <c r="H514" i="3" s="1" a="1"/>
  <c r="H514" i="3" s="1"/>
  <c r="G513" i="3"/>
  <c r="H513" i="3" s="1" a="1"/>
  <c r="H513" i="3" s="1"/>
  <c r="G512" i="3"/>
  <c r="H512" i="3" s="1" a="1"/>
  <c r="H512" i="3" s="1"/>
  <c r="G511" i="3"/>
  <c r="H511" i="3" s="1" a="1"/>
  <c r="H511" i="3" s="1"/>
  <c r="G510" i="3"/>
  <c r="H510" i="3" s="1" a="1"/>
  <c r="H510" i="3" s="1"/>
  <c r="G509" i="3"/>
  <c r="H509" i="3" s="1" a="1"/>
  <c r="H509" i="3" s="1"/>
  <c r="G508" i="3"/>
  <c r="H508" i="3" s="1" a="1"/>
  <c r="H508" i="3" s="1"/>
  <c r="G507" i="3"/>
  <c r="H507" i="3" s="1" a="1"/>
  <c r="H507" i="3" s="1"/>
  <c r="G506" i="3"/>
  <c r="H506" i="3" s="1" a="1"/>
  <c r="H506" i="3" s="1"/>
  <c r="G505" i="3"/>
  <c r="H505" i="3" s="1" a="1"/>
  <c r="H505" i="3" s="1"/>
  <c r="G504" i="3"/>
  <c r="H504" i="3" s="1" a="1"/>
  <c r="H504" i="3" s="1"/>
  <c r="G503" i="3"/>
  <c r="H503" i="3" s="1" a="1"/>
  <c r="H503" i="3" s="1"/>
  <c r="G502" i="3"/>
  <c r="H502" i="3" s="1" a="1"/>
  <c r="H502" i="3" s="1"/>
  <c r="G501" i="3"/>
  <c r="H501" i="3" s="1" a="1"/>
  <c r="H501" i="3" s="1"/>
  <c r="G500" i="3"/>
  <c r="H500" i="3" s="1" a="1"/>
  <c r="H500" i="3" s="1"/>
  <c r="G499" i="3"/>
  <c r="H499" i="3" s="1" a="1"/>
  <c r="H499" i="3" s="1"/>
  <c r="G498" i="3"/>
  <c r="H498" i="3" s="1" a="1"/>
  <c r="H498" i="3" s="1"/>
  <c r="G497" i="3"/>
  <c r="H497" i="3" s="1" a="1"/>
  <c r="H497" i="3" s="1"/>
  <c r="G496" i="3"/>
  <c r="H496" i="3" s="1" a="1"/>
  <c r="H496" i="3" s="1"/>
  <c r="G495" i="3"/>
  <c r="H495" i="3" s="1" a="1"/>
  <c r="H495" i="3" s="1"/>
  <c r="G494" i="3"/>
  <c r="H494" i="3" s="1" a="1"/>
  <c r="H494" i="3" s="1"/>
  <c r="G493" i="3"/>
  <c r="H493" i="3" s="1" a="1"/>
  <c r="H493" i="3" s="1"/>
  <c r="G492" i="3"/>
  <c r="H492" i="3" s="1" a="1"/>
  <c r="H492" i="3" s="1"/>
  <c r="G491" i="3"/>
  <c r="H491" i="3" s="1" a="1"/>
  <c r="H491" i="3" s="1"/>
  <c r="G490" i="3"/>
  <c r="H490" i="3" s="1" a="1"/>
  <c r="H490" i="3" s="1"/>
  <c r="G489" i="3"/>
  <c r="H489" i="3" s="1" a="1"/>
  <c r="H489" i="3" s="1"/>
  <c r="G488" i="3"/>
  <c r="H488" i="3" s="1" a="1"/>
  <c r="H488" i="3" s="1"/>
  <c r="G487" i="3"/>
  <c r="H487" i="3" s="1" a="1"/>
  <c r="H487" i="3" s="1"/>
  <c r="G486" i="3"/>
  <c r="H486" i="3" s="1" a="1"/>
  <c r="H486" i="3" s="1"/>
  <c r="G485" i="3"/>
  <c r="H485" i="3" s="1" a="1"/>
  <c r="H485" i="3" s="1"/>
  <c r="G484" i="3"/>
  <c r="H484" i="3" s="1" a="1"/>
  <c r="H484" i="3" s="1"/>
  <c r="G483" i="3"/>
  <c r="H483" i="3" s="1" a="1"/>
  <c r="H483" i="3" s="1"/>
  <c r="G482" i="3"/>
  <c r="H482" i="3" s="1" a="1"/>
  <c r="H482" i="3" s="1"/>
  <c r="G481" i="3"/>
  <c r="H481" i="3" s="1" a="1"/>
  <c r="H481" i="3" s="1"/>
  <c r="G480" i="3"/>
  <c r="H480" i="3" s="1" a="1"/>
  <c r="H480" i="3" s="1"/>
  <c r="G479" i="3"/>
  <c r="H479" i="3" s="1" a="1"/>
  <c r="H479" i="3" s="1"/>
  <c r="G478" i="3"/>
  <c r="H478" i="3" s="1" a="1"/>
  <c r="H478" i="3" s="1"/>
  <c r="G477" i="3"/>
  <c r="H477" i="3" s="1" a="1"/>
  <c r="H477" i="3" s="1"/>
  <c r="G476" i="3"/>
  <c r="H476" i="3" s="1" a="1"/>
  <c r="H476" i="3" s="1"/>
  <c r="G475" i="3"/>
  <c r="H475" i="3" s="1" a="1"/>
  <c r="H475" i="3" s="1"/>
  <c r="G474" i="3"/>
  <c r="H474" i="3" s="1" a="1"/>
  <c r="H474" i="3" s="1"/>
  <c r="G473" i="3"/>
  <c r="H473" i="3" s="1" a="1"/>
  <c r="H473" i="3" s="1"/>
  <c r="G472" i="3"/>
  <c r="H472" i="3" s="1" a="1"/>
  <c r="H472" i="3" s="1"/>
  <c r="G471" i="3"/>
  <c r="H471" i="3" s="1" a="1"/>
  <c r="H471" i="3" s="1"/>
  <c r="G470" i="3"/>
  <c r="H470" i="3" s="1" a="1"/>
  <c r="H470" i="3" s="1"/>
  <c r="G469" i="3"/>
  <c r="H469" i="3" s="1" a="1"/>
  <c r="H469" i="3" s="1"/>
  <c r="G468" i="3"/>
  <c r="H468" i="3" s="1" a="1"/>
  <c r="H468" i="3" s="1"/>
  <c r="G467" i="3"/>
  <c r="H467" i="3" s="1" a="1"/>
  <c r="H467" i="3" s="1"/>
  <c r="G466" i="3"/>
  <c r="H466" i="3" s="1" a="1"/>
  <c r="H466" i="3" s="1"/>
  <c r="G465" i="3"/>
  <c r="H465" i="3" s="1" a="1"/>
  <c r="H465" i="3" s="1"/>
  <c r="G464" i="3"/>
  <c r="H464" i="3" s="1" a="1"/>
  <c r="H464" i="3" s="1"/>
  <c r="G463" i="3"/>
  <c r="H463" i="3" s="1" a="1"/>
  <c r="H463" i="3" s="1"/>
  <c r="G462" i="3"/>
  <c r="H462" i="3" s="1" a="1"/>
  <c r="H462" i="3" s="1"/>
  <c r="G461" i="3"/>
  <c r="H461" i="3" s="1" a="1"/>
  <c r="H461" i="3" s="1"/>
  <c r="G460" i="3"/>
  <c r="H460" i="3" s="1" a="1"/>
  <c r="H460" i="3" s="1"/>
  <c r="G459" i="3"/>
  <c r="H459" i="3" s="1" a="1"/>
  <c r="H459" i="3" s="1"/>
  <c r="G458" i="3"/>
  <c r="H458" i="3" s="1" a="1"/>
  <c r="H458" i="3" s="1"/>
  <c r="G457" i="3"/>
  <c r="H457" i="3" s="1" a="1"/>
  <c r="H457" i="3" s="1"/>
  <c r="G456" i="3"/>
  <c r="H456" i="3" s="1" a="1"/>
  <c r="H456" i="3" s="1"/>
  <c r="G455" i="3"/>
  <c r="H455" i="3" s="1" a="1"/>
  <c r="H455" i="3" s="1"/>
  <c r="G454" i="3"/>
  <c r="H454" i="3" s="1" a="1"/>
  <c r="H454" i="3" s="1"/>
  <c r="G453" i="3"/>
  <c r="H453" i="3" s="1" a="1"/>
  <c r="H453" i="3" s="1"/>
  <c r="G452" i="3"/>
  <c r="H452" i="3" s="1" a="1"/>
  <c r="H452" i="3" s="1"/>
  <c r="G451" i="3"/>
  <c r="H451" i="3" s="1" a="1"/>
  <c r="H451" i="3" s="1"/>
  <c r="G450" i="3"/>
  <c r="H450" i="3" s="1" a="1"/>
  <c r="H450" i="3" s="1"/>
  <c r="G449" i="3"/>
  <c r="H449" i="3" s="1" a="1"/>
  <c r="H449" i="3" s="1"/>
  <c r="G448" i="3"/>
  <c r="H448" i="3" s="1" a="1"/>
  <c r="H448" i="3" s="1"/>
  <c r="G447" i="3"/>
  <c r="H447" i="3" s="1" a="1"/>
  <c r="H447" i="3" s="1"/>
  <c r="G446" i="3"/>
  <c r="H446" i="3" s="1" a="1"/>
  <c r="H446" i="3" s="1"/>
  <c r="G445" i="3"/>
  <c r="H445" i="3" s="1" a="1"/>
  <c r="H445" i="3" s="1"/>
  <c r="G444" i="3"/>
  <c r="H444" i="3" s="1" a="1"/>
  <c r="H444" i="3" s="1"/>
  <c r="G443" i="3"/>
  <c r="H443" i="3" s="1" a="1"/>
  <c r="H443" i="3" s="1"/>
  <c r="G442" i="3"/>
  <c r="H442" i="3" s="1" a="1"/>
  <c r="H442" i="3" s="1"/>
  <c r="G441" i="3"/>
  <c r="H441" i="3" s="1" a="1"/>
  <c r="H441" i="3" s="1"/>
  <c r="G440" i="3"/>
  <c r="H440" i="3" s="1" a="1"/>
  <c r="H440" i="3" s="1"/>
  <c r="G439" i="3"/>
  <c r="H439" i="3" s="1" a="1"/>
  <c r="H439" i="3" s="1"/>
  <c r="G438" i="3"/>
  <c r="H438" i="3" s="1" a="1"/>
  <c r="H438" i="3" s="1"/>
  <c r="G437" i="3"/>
  <c r="H437" i="3" s="1" a="1"/>
  <c r="H437" i="3" s="1"/>
  <c r="G436" i="3"/>
  <c r="H436" i="3" s="1" a="1"/>
  <c r="H436" i="3" s="1"/>
  <c r="G435" i="3"/>
  <c r="H435" i="3" s="1" a="1"/>
  <c r="H435" i="3" s="1"/>
  <c r="G434" i="3"/>
  <c r="H434" i="3" s="1" a="1"/>
  <c r="H434" i="3" s="1"/>
  <c r="G433" i="3"/>
  <c r="H433" i="3" s="1" a="1"/>
  <c r="H433" i="3" s="1"/>
  <c r="G432" i="3"/>
  <c r="H432" i="3" s="1" a="1"/>
  <c r="H432" i="3" s="1"/>
  <c r="G431" i="3"/>
  <c r="H431" i="3" s="1" a="1"/>
  <c r="H431" i="3" s="1"/>
  <c r="G430" i="3"/>
  <c r="H430" i="3" s="1" a="1"/>
  <c r="H430" i="3" s="1"/>
  <c r="G429" i="3"/>
  <c r="H429" i="3" s="1" a="1"/>
  <c r="H429" i="3" s="1"/>
  <c r="G428" i="3"/>
  <c r="H428" i="3" s="1" a="1"/>
  <c r="H428" i="3" s="1"/>
  <c r="G427" i="3"/>
  <c r="H427" i="3" s="1" a="1"/>
  <c r="H427" i="3" s="1"/>
  <c r="G426" i="3"/>
  <c r="H426" i="3" s="1" a="1"/>
  <c r="H426" i="3" s="1"/>
  <c r="G425" i="3"/>
  <c r="H425" i="3" s="1" a="1"/>
  <c r="H425" i="3" s="1"/>
  <c r="G424" i="3"/>
  <c r="H424" i="3" s="1" a="1"/>
  <c r="H424" i="3" s="1"/>
  <c r="G423" i="3"/>
  <c r="H423" i="3" s="1" a="1"/>
  <c r="H423" i="3" s="1"/>
  <c r="G422" i="3"/>
  <c r="H422" i="3" s="1" a="1"/>
  <c r="H422" i="3" s="1"/>
  <c r="G421" i="3"/>
  <c r="H421" i="3" s="1" a="1"/>
  <c r="H421" i="3" s="1"/>
  <c r="G420" i="3"/>
  <c r="H420" i="3" s="1" a="1"/>
  <c r="H420" i="3" s="1"/>
  <c r="G419" i="3"/>
  <c r="H419" i="3" s="1" a="1"/>
  <c r="H419" i="3" s="1"/>
  <c r="G418" i="3"/>
  <c r="H418" i="3" s="1" a="1"/>
  <c r="H418" i="3" s="1"/>
  <c r="G417" i="3"/>
  <c r="H417" i="3" s="1" a="1"/>
  <c r="H417" i="3" s="1"/>
  <c r="G416" i="3"/>
  <c r="H416" i="3" s="1" a="1"/>
  <c r="H416" i="3" s="1"/>
  <c r="G415" i="3"/>
  <c r="H415" i="3" s="1" a="1"/>
  <c r="H415" i="3" s="1"/>
  <c r="G414" i="3"/>
  <c r="H414" i="3" s="1" a="1"/>
  <c r="H414" i="3" s="1"/>
  <c r="G413" i="3"/>
  <c r="H413" i="3" s="1" a="1"/>
  <c r="H413" i="3" s="1"/>
  <c r="G412" i="3"/>
  <c r="H412" i="3" s="1" a="1"/>
  <c r="H412" i="3" s="1"/>
  <c r="G411" i="3"/>
  <c r="H411" i="3" s="1" a="1"/>
  <c r="H411" i="3" s="1"/>
  <c r="G410" i="3"/>
  <c r="H410" i="3" s="1" a="1"/>
  <c r="H410" i="3" s="1"/>
  <c r="G409" i="3"/>
  <c r="H409" i="3" s="1" a="1"/>
  <c r="H409" i="3" s="1"/>
  <c r="G408" i="3"/>
  <c r="H408" i="3" s="1" a="1"/>
  <c r="H408" i="3" s="1"/>
  <c r="G407" i="3"/>
  <c r="H407" i="3" s="1" a="1"/>
  <c r="H407" i="3" s="1"/>
  <c r="G406" i="3"/>
  <c r="H406" i="3" s="1" a="1"/>
  <c r="H406" i="3" s="1"/>
  <c r="G405" i="3"/>
  <c r="H405" i="3" s="1" a="1"/>
  <c r="H405" i="3" s="1"/>
  <c r="G404" i="3"/>
  <c r="H404" i="3" s="1" a="1"/>
  <c r="H404" i="3" s="1"/>
  <c r="G403" i="3"/>
  <c r="H403" i="3" s="1" a="1"/>
  <c r="H403" i="3" s="1"/>
  <c r="G402" i="3"/>
  <c r="H402" i="3" s="1" a="1"/>
  <c r="H402" i="3" s="1"/>
  <c r="G401" i="3"/>
  <c r="H401" i="3" s="1" a="1"/>
  <c r="H401" i="3" s="1"/>
  <c r="G400" i="3"/>
  <c r="H400" i="3" s="1" a="1"/>
  <c r="H400" i="3" s="1"/>
  <c r="G399" i="3"/>
  <c r="H399" i="3" s="1" a="1"/>
  <c r="H399" i="3" s="1"/>
  <c r="G398" i="3"/>
  <c r="H398" i="3" s="1" a="1"/>
  <c r="H398" i="3" s="1"/>
  <c r="G397" i="3"/>
  <c r="H397" i="3" s="1" a="1"/>
  <c r="H397" i="3" s="1"/>
  <c r="G396" i="3"/>
  <c r="H396" i="3" s="1" a="1"/>
  <c r="H396" i="3" s="1"/>
  <c r="G395" i="3"/>
  <c r="H395" i="3" s="1" a="1"/>
  <c r="H395" i="3" s="1"/>
  <c r="G394" i="3"/>
  <c r="H394" i="3" s="1" a="1"/>
  <c r="H394" i="3" s="1"/>
  <c r="G393" i="3"/>
  <c r="H393" i="3" s="1" a="1"/>
  <c r="H393" i="3" s="1"/>
  <c r="G392" i="3"/>
  <c r="H392" i="3" s="1" a="1"/>
  <c r="H392" i="3" s="1"/>
  <c r="G391" i="3"/>
  <c r="H391" i="3" s="1" a="1"/>
  <c r="H391" i="3" s="1"/>
  <c r="G390" i="3"/>
  <c r="H390" i="3" s="1" a="1"/>
  <c r="H390" i="3" s="1"/>
  <c r="G389" i="3"/>
  <c r="H389" i="3" s="1" a="1"/>
  <c r="H389" i="3" s="1"/>
  <c r="G388" i="3"/>
  <c r="H388" i="3" s="1" a="1"/>
  <c r="H388" i="3" s="1"/>
  <c r="G387" i="3"/>
  <c r="H387" i="3" s="1" a="1"/>
  <c r="H387" i="3" s="1"/>
  <c r="G386" i="3"/>
  <c r="H386" i="3" s="1" a="1"/>
  <c r="H386" i="3" s="1"/>
  <c r="G385" i="3"/>
  <c r="H385" i="3" s="1" a="1"/>
  <c r="H385" i="3" s="1"/>
  <c r="G384" i="3"/>
  <c r="H384" i="3" s="1" a="1"/>
  <c r="H384" i="3" s="1"/>
  <c r="G383" i="3"/>
  <c r="H383" i="3" s="1" a="1"/>
  <c r="H383" i="3" s="1"/>
  <c r="G382" i="3"/>
  <c r="H382" i="3" s="1" a="1"/>
  <c r="H382" i="3" s="1"/>
  <c r="G381" i="3"/>
  <c r="H381" i="3" s="1" a="1"/>
  <c r="H381" i="3" s="1"/>
  <c r="G380" i="3"/>
  <c r="H380" i="3" s="1" a="1"/>
  <c r="H380" i="3" s="1"/>
  <c r="G379" i="3"/>
  <c r="H379" i="3" s="1" a="1"/>
  <c r="H379" i="3" s="1"/>
  <c r="G378" i="3"/>
  <c r="H378" i="3" s="1" a="1"/>
  <c r="H378" i="3" s="1"/>
  <c r="G377" i="3"/>
  <c r="H377" i="3" s="1" a="1"/>
  <c r="H377" i="3" s="1"/>
  <c r="G376" i="3"/>
  <c r="H376" i="3" s="1" a="1"/>
  <c r="H376" i="3" s="1"/>
  <c r="G375" i="3"/>
  <c r="H375" i="3" s="1" a="1"/>
  <c r="H375" i="3" s="1"/>
  <c r="G374" i="3"/>
  <c r="H374" i="3" s="1" a="1"/>
  <c r="H374" i="3" s="1"/>
  <c r="G373" i="3"/>
  <c r="H373" i="3" s="1" a="1"/>
  <c r="H373" i="3" s="1"/>
  <c r="G372" i="3"/>
  <c r="H372" i="3" s="1" a="1"/>
  <c r="H372" i="3" s="1"/>
  <c r="G371" i="3"/>
  <c r="H371" i="3" s="1" a="1"/>
  <c r="H371" i="3" s="1"/>
  <c r="G370" i="3"/>
  <c r="H370" i="3" s="1" a="1"/>
  <c r="H370" i="3" s="1"/>
  <c r="G369" i="3"/>
  <c r="H369" i="3" s="1" a="1"/>
  <c r="H369" i="3" s="1"/>
  <c r="G368" i="3"/>
  <c r="H368" i="3" s="1" a="1"/>
  <c r="H368" i="3" s="1"/>
  <c r="G367" i="3"/>
  <c r="H367" i="3" s="1" a="1"/>
  <c r="H367" i="3" s="1"/>
  <c r="G366" i="3"/>
  <c r="H366" i="3" s="1" a="1"/>
  <c r="H366" i="3" s="1"/>
  <c r="G365" i="3"/>
  <c r="H365" i="3" s="1" a="1"/>
  <c r="H365" i="3" s="1"/>
  <c r="G364" i="3"/>
  <c r="H364" i="3" s="1" a="1"/>
  <c r="H364" i="3" s="1"/>
  <c r="G363" i="3"/>
  <c r="H363" i="3" s="1" a="1"/>
  <c r="H363" i="3" s="1"/>
  <c r="G362" i="3"/>
  <c r="H362" i="3" s="1" a="1"/>
  <c r="H362" i="3" s="1"/>
  <c r="G361" i="3"/>
  <c r="H361" i="3" s="1" a="1"/>
  <c r="H361" i="3" s="1"/>
  <c r="G360" i="3"/>
  <c r="H360" i="3" s="1" a="1"/>
  <c r="H360" i="3" s="1"/>
  <c r="G359" i="3"/>
  <c r="H359" i="3" s="1" a="1"/>
  <c r="H359" i="3" s="1"/>
  <c r="G358" i="3"/>
  <c r="H358" i="3" s="1" a="1"/>
  <c r="H358" i="3" s="1"/>
  <c r="G357" i="3"/>
  <c r="H357" i="3" s="1" a="1"/>
  <c r="H357" i="3" s="1"/>
  <c r="G356" i="3"/>
  <c r="H356" i="3" s="1" a="1"/>
  <c r="H356" i="3" s="1"/>
  <c r="G355" i="3"/>
  <c r="H355" i="3" s="1" a="1"/>
  <c r="H355" i="3" s="1"/>
  <c r="G354" i="3"/>
  <c r="H354" i="3" s="1" a="1"/>
  <c r="H354" i="3" s="1"/>
  <c r="G353" i="3"/>
  <c r="H353" i="3" s="1" a="1"/>
  <c r="H353" i="3" s="1"/>
  <c r="G352" i="3"/>
  <c r="H352" i="3" s="1" a="1"/>
  <c r="H352" i="3" s="1"/>
  <c r="G351" i="3"/>
  <c r="H351" i="3" s="1" a="1"/>
  <c r="H351" i="3" s="1"/>
  <c r="G350" i="3"/>
  <c r="H350" i="3" s="1" a="1"/>
  <c r="H350" i="3" s="1"/>
  <c r="G349" i="3"/>
  <c r="H349" i="3" s="1" a="1"/>
  <c r="H349" i="3" s="1"/>
  <c r="G348" i="3"/>
  <c r="H348" i="3" s="1" a="1"/>
  <c r="H348" i="3" s="1"/>
  <c r="G347" i="3"/>
  <c r="H347" i="3" s="1" a="1"/>
  <c r="H347" i="3" s="1"/>
  <c r="G346" i="3"/>
  <c r="H346" i="3" s="1" a="1"/>
  <c r="H346" i="3" s="1"/>
  <c r="G345" i="3"/>
  <c r="H345" i="3" s="1" a="1"/>
  <c r="H345" i="3" s="1"/>
  <c r="G344" i="3"/>
  <c r="H344" i="3" s="1" a="1"/>
  <c r="H344" i="3" s="1"/>
  <c r="G343" i="3"/>
  <c r="H343" i="3" s="1" a="1"/>
  <c r="H343" i="3" s="1"/>
  <c r="G342" i="3"/>
  <c r="H342" i="3" s="1" a="1"/>
  <c r="H342" i="3" s="1"/>
  <c r="G341" i="3"/>
  <c r="H341" i="3" s="1" a="1"/>
  <c r="H341" i="3" s="1"/>
  <c r="G340" i="3"/>
  <c r="H340" i="3" s="1" a="1"/>
  <c r="H340" i="3" s="1"/>
  <c r="G339" i="3"/>
  <c r="H339" i="3" s="1" a="1"/>
  <c r="H339" i="3" s="1"/>
  <c r="G338" i="3"/>
  <c r="H338" i="3" s="1" a="1"/>
  <c r="H338" i="3" s="1"/>
  <c r="G337" i="3"/>
  <c r="H337" i="3" s="1" a="1"/>
  <c r="H337" i="3" s="1"/>
  <c r="G336" i="3"/>
  <c r="H336" i="3" s="1" a="1"/>
  <c r="H336" i="3" s="1"/>
  <c r="G335" i="3"/>
  <c r="H335" i="3" s="1" a="1"/>
  <c r="H335" i="3" s="1"/>
  <c r="G334" i="3"/>
  <c r="H334" i="3" s="1" a="1"/>
  <c r="H334" i="3" s="1"/>
  <c r="G333" i="3"/>
  <c r="H333" i="3" s="1" a="1"/>
  <c r="H333" i="3" s="1"/>
  <c r="G332" i="3"/>
  <c r="H332" i="3" s="1" a="1"/>
  <c r="H332" i="3" s="1"/>
  <c r="G331" i="3"/>
  <c r="H331" i="3" s="1" a="1"/>
  <c r="H331" i="3" s="1"/>
  <c r="G330" i="3"/>
  <c r="H330" i="3" s="1" a="1"/>
  <c r="H330" i="3" s="1"/>
  <c r="G329" i="3"/>
  <c r="H329" i="3" s="1" a="1"/>
  <c r="H329" i="3" s="1"/>
  <c r="G328" i="3"/>
  <c r="H328" i="3" s="1" a="1"/>
  <c r="H328" i="3" s="1"/>
  <c r="G327" i="3"/>
  <c r="H327" i="3" s="1" a="1"/>
  <c r="H327" i="3" s="1"/>
  <c r="G326" i="3"/>
  <c r="H326" i="3" s="1" a="1"/>
  <c r="H326" i="3" s="1"/>
  <c r="G325" i="3"/>
  <c r="H325" i="3" s="1" a="1"/>
  <c r="H325" i="3" s="1"/>
  <c r="G324" i="3"/>
  <c r="H324" i="3" s="1" a="1"/>
  <c r="H324" i="3" s="1"/>
  <c r="G323" i="3"/>
  <c r="H323" i="3" s="1" a="1"/>
  <c r="H323" i="3" s="1"/>
  <c r="G322" i="3"/>
  <c r="H322" i="3" s="1" a="1"/>
  <c r="H322" i="3" s="1"/>
  <c r="G321" i="3"/>
  <c r="H321" i="3" s="1" a="1"/>
  <c r="H321" i="3" s="1"/>
  <c r="G320" i="3"/>
  <c r="H320" i="3" s="1" a="1"/>
  <c r="H320" i="3" s="1"/>
  <c r="G319" i="3"/>
  <c r="H319" i="3" s="1" a="1"/>
  <c r="H319" i="3" s="1"/>
  <c r="G318" i="3"/>
  <c r="H318" i="3" s="1" a="1"/>
  <c r="H318" i="3" s="1"/>
  <c r="G317" i="3"/>
  <c r="H317" i="3" s="1" a="1"/>
  <c r="H317" i="3" s="1"/>
  <c r="G316" i="3"/>
  <c r="H316" i="3" s="1" a="1"/>
  <c r="H316" i="3" s="1"/>
  <c r="G315" i="3"/>
  <c r="H315" i="3" s="1" a="1"/>
  <c r="H315" i="3" s="1"/>
  <c r="G314" i="3"/>
  <c r="H314" i="3" s="1" a="1"/>
  <c r="H314" i="3" s="1"/>
  <c r="G313" i="3"/>
  <c r="H313" i="3" s="1" a="1"/>
  <c r="H313" i="3" s="1"/>
  <c r="G312" i="3"/>
  <c r="H312" i="3" s="1" a="1"/>
  <c r="H312" i="3" s="1"/>
  <c r="G311" i="3"/>
  <c r="H311" i="3" s="1" a="1"/>
  <c r="H311" i="3" s="1"/>
  <c r="G310" i="3"/>
  <c r="H310" i="3" s="1" a="1"/>
  <c r="H310" i="3" s="1"/>
  <c r="G309" i="3"/>
  <c r="H309" i="3" s="1" a="1"/>
  <c r="H309" i="3" s="1"/>
  <c r="G308" i="3"/>
  <c r="H308" i="3" s="1" a="1"/>
  <c r="H308" i="3" s="1"/>
  <c r="G307" i="3"/>
  <c r="H307" i="3" s="1" a="1"/>
  <c r="H307" i="3" s="1"/>
  <c r="G306" i="3"/>
  <c r="H306" i="3" s="1" a="1"/>
  <c r="H306" i="3" s="1"/>
  <c r="G305" i="3"/>
  <c r="H305" i="3" s="1" a="1"/>
  <c r="H305" i="3" s="1"/>
  <c r="G304" i="3"/>
  <c r="H304" i="3" s="1" a="1"/>
  <c r="H304" i="3" s="1"/>
  <c r="G303" i="3"/>
  <c r="H303" i="3" s="1" a="1"/>
  <c r="H303" i="3" s="1"/>
  <c r="G302" i="3"/>
  <c r="H302" i="3" s="1" a="1"/>
  <c r="H302" i="3" s="1"/>
  <c r="G301" i="3"/>
  <c r="H301" i="3" s="1" a="1"/>
  <c r="H301" i="3" s="1"/>
  <c r="G300" i="3"/>
  <c r="H300" i="3" s="1" a="1"/>
  <c r="H300" i="3" s="1"/>
  <c r="G299" i="3"/>
  <c r="H299" i="3" s="1" a="1"/>
  <c r="H299" i="3" s="1"/>
  <c r="G298" i="3"/>
  <c r="H298" i="3" s="1" a="1"/>
  <c r="H298" i="3" s="1"/>
  <c r="G297" i="3"/>
  <c r="H297" i="3" s="1" a="1"/>
  <c r="H297" i="3" s="1"/>
  <c r="G296" i="3"/>
  <c r="H296" i="3" s="1" a="1"/>
  <c r="H296" i="3" s="1"/>
  <c r="G295" i="3"/>
  <c r="H295" i="3" s="1" a="1"/>
  <c r="H295" i="3" s="1"/>
  <c r="G294" i="3"/>
  <c r="H294" i="3" s="1" a="1"/>
  <c r="H294" i="3" s="1"/>
  <c r="G293" i="3"/>
  <c r="H293" i="3" s="1" a="1"/>
  <c r="H293" i="3" s="1"/>
  <c r="G292" i="3"/>
  <c r="H292" i="3" s="1" a="1"/>
  <c r="H292" i="3" s="1"/>
  <c r="G291" i="3"/>
  <c r="H291" i="3" s="1" a="1"/>
  <c r="H291" i="3" s="1"/>
  <c r="G290" i="3"/>
  <c r="H290" i="3" s="1" a="1"/>
  <c r="H290" i="3" s="1"/>
  <c r="G289" i="3"/>
  <c r="H289" i="3" s="1" a="1"/>
  <c r="H289" i="3" s="1"/>
  <c r="G288" i="3"/>
  <c r="H288" i="3" s="1" a="1"/>
  <c r="H288" i="3" s="1"/>
  <c r="G287" i="3"/>
  <c r="H287" i="3" s="1" a="1"/>
  <c r="H287" i="3" s="1"/>
  <c r="G286" i="3"/>
  <c r="H286" i="3" s="1" a="1"/>
  <c r="H286" i="3" s="1"/>
  <c r="G285" i="3"/>
  <c r="H285" i="3" s="1" a="1"/>
  <c r="H285" i="3" s="1"/>
  <c r="G284" i="3"/>
  <c r="H284" i="3" s="1" a="1"/>
  <c r="H284" i="3" s="1"/>
  <c r="G283" i="3"/>
  <c r="H283" i="3" s="1" a="1"/>
  <c r="H283" i="3" s="1"/>
  <c r="G282" i="3"/>
  <c r="H282" i="3" s="1" a="1"/>
  <c r="H282" i="3" s="1"/>
  <c r="G281" i="3"/>
  <c r="H281" i="3" s="1" a="1"/>
  <c r="H281" i="3" s="1"/>
  <c r="G280" i="3"/>
  <c r="H280" i="3" s="1" a="1"/>
  <c r="H280" i="3" s="1"/>
  <c r="G279" i="3"/>
  <c r="H279" i="3" s="1" a="1"/>
  <c r="H279" i="3" s="1"/>
  <c r="G278" i="3"/>
  <c r="H278" i="3" s="1" a="1"/>
  <c r="H278" i="3" s="1"/>
  <c r="G277" i="3"/>
  <c r="H277" i="3" s="1" a="1"/>
  <c r="H277" i="3" s="1"/>
  <c r="G276" i="3"/>
  <c r="H276" i="3" s="1" a="1"/>
  <c r="H276" i="3" s="1"/>
  <c r="G275" i="3"/>
  <c r="H275" i="3" s="1" a="1"/>
  <c r="H275" i="3" s="1"/>
  <c r="G274" i="3"/>
  <c r="H274" i="3" s="1" a="1"/>
  <c r="H274" i="3" s="1"/>
  <c r="G273" i="3"/>
  <c r="H273" i="3" s="1" a="1"/>
  <c r="H273" i="3" s="1"/>
  <c r="G272" i="3"/>
  <c r="H272" i="3" s="1" a="1"/>
  <c r="H272" i="3" s="1"/>
  <c r="G271" i="3"/>
  <c r="H271" i="3" s="1" a="1"/>
  <c r="H271" i="3" s="1"/>
  <c r="G270" i="3"/>
  <c r="H270" i="3" s="1" a="1"/>
  <c r="H270" i="3" s="1"/>
  <c r="G269" i="3"/>
  <c r="H269" i="3" s="1" a="1"/>
  <c r="H269" i="3" s="1"/>
  <c r="G268" i="3"/>
  <c r="H268" i="3" s="1" a="1"/>
  <c r="H268" i="3" s="1"/>
  <c r="G267" i="3"/>
  <c r="H267" i="3" s="1" a="1"/>
  <c r="H267" i="3" s="1"/>
  <c r="G266" i="3"/>
  <c r="H266" i="3" s="1" a="1"/>
  <c r="H266" i="3" s="1"/>
  <c r="G265" i="3"/>
  <c r="H265" i="3" s="1" a="1"/>
  <c r="H265" i="3" s="1"/>
  <c r="G264" i="3"/>
  <c r="H264" i="3" s="1" a="1"/>
  <c r="H264" i="3" s="1"/>
  <c r="G263" i="3"/>
  <c r="H263" i="3" s="1" a="1"/>
  <c r="H263" i="3" s="1"/>
  <c r="G262" i="3"/>
  <c r="H262" i="3" s="1" a="1"/>
  <c r="H262" i="3" s="1"/>
  <c r="G261" i="3"/>
  <c r="H261" i="3" s="1" a="1"/>
  <c r="H261" i="3" s="1"/>
  <c r="G260" i="3"/>
  <c r="H260" i="3" s="1" a="1"/>
  <c r="H260" i="3" s="1"/>
  <c r="G259" i="3"/>
  <c r="H259" i="3" s="1" a="1"/>
  <c r="H259" i="3" s="1"/>
  <c r="G258" i="3"/>
  <c r="H258" i="3" s="1" a="1"/>
  <c r="H258" i="3" s="1"/>
  <c r="G257" i="3"/>
  <c r="H257" i="3" s="1" a="1"/>
  <c r="H257" i="3" s="1"/>
  <c r="G256" i="3"/>
  <c r="H256" i="3" s="1" a="1"/>
  <c r="H256" i="3" s="1"/>
  <c r="G255" i="3"/>
  <c r="H255" i="3" s="1" a="1"/>
  <c r="H255" i="3" s="1"/>
  <c r="G254" i="3"/>
  <c r="H254" i="3" s="1" a="1"/>
  <c r="H254" i="3" s="1"/>
  <c r="G253" i="3"/>
  <c r="H253" i="3" s="1" a="1"/>
  <c r="H253" i="3" s="1"/>
  <c r="G252" i="3"/>
  <c r="H252" i="3" s="1" a="1"/>
  <c r="H252" i="3" s="1"/>
  <c r="G251" i="3"/>
  <c r="H251" i="3" s="1" a="1"/>
  <c r="H251" i="3" s="1"/>
  <c r="G250" i="3"/>
  <c r="H250" i="3" s="1" a="1"/>
  <c r="H250" i="3" s="1"/>
  <c r="G249" i="3"/>
  <c r="H249" i="3" s="1" a="1"/>
  <c r="H249" i="3" s="1"/>
  <c r="G248" i="3"/>
  <c r="H248" i="3" s="1" a="1"/>
  <c r="H248" i="3" s="1"/>
  <c r="G247" i="3"/>
  <c r="H247" i="3" s="1" a="1"/>
  <c r="H247" i="3" s="1"/>
  <c r="G246" i="3"/>
  <c r="H246" i="3" s="1" a="1"/>
  <c r="H246" i="3" s="1"/>
  <c r="G245" i="3"/>
  <c r="H245" i="3" s="1" a="1"/>
  <c r="H245" i="3" s="1"/>
  <c r="G244" i="3"/>
  <c r="H244" i="3" s="1" a="1"/>
  <c r="H244" i="3" s="1"/>
  <c r="G243" i="3"/>
  <c r="H243" i="3" s="1" a="1"/>
  <c r="H243" i="3" s="1"/>
  <c r="G242" i="3"/>
  <c r="H242" i="3" s="1" a="1"/>
  <c r="H242" i="3" s="1"/>
  <c r="G241" i="3"/>
  <c r="H241" i="3" s="1" a="1"/>
  <c r="H241" i="3" s="1"/>
  <c r="G240" i="3"/>
  <c r="H240" i="3" s="1" a="1"/>
  <c r="H240" i="3" s="1"/>
  <c r="G239" i="3"/>
  <c r="H239" i="3" s="1" a="1"/>
  <c r="H239" i="3" s="1"/>
  <c r="G238" i="3"/>
  <c r="H238" i="3" s="1" a="1"/>
  <c r="H238" i="3" s="1"/>
  <c r="G237" i="3"/>
  <c r="H237" i="3" s="1" a="1"/>
  <c r="H237" i="3" s="1"/>
  <c r="G236" i="3"/>
  <c r="H236" i="3" s="1" a="1"/>
  <c r="H236" i="3" s="1"/>
  <c r="G235" i="3"/>
  <c r="H235" i="3" s="1" a="1"/>
  <c r="H235" i="3" s="1"/>
  <c r="G234" i="3"/>
  <c r="H234" i="3" s="1" a="1"/>
  <c r="H234" i="3" s="1"/>
  <c r="G233" i="3"/>
  <c r="H233" i="3" s="1" a="1"/>
  <c r="H233" i="3" s="1"/>
  <c r="G232" i="3"/>
  <c r="H232" i="3" s="1" a="1"/>
  <c r="H232" i="3" s="1"/>
  <c r="G231" i="3"/>
  <c r="H231" i="3" s="1" a="1"/>
  <c r="H231" i="3" s="1"/>
  <c r="G230" i="3"/>
  <c r="H230" i="3" s="1" a="1"/>
  <c r="H230" i="3" s="1"/>
  <c r="G229" i="3"/>
  <c r="H229" i="3" s="1" a="1"/>
  <c r="H229" i="3" s="1"/>
  <c r="G228" i="3"/>
  <c r="H228" i="3" s="1" a="1"/>
  <c r="H228" i="3" s="1"/>
  <c r="G227" i="3"/>
  <c r="H227" i="3" s="1" a="1"/>
  <c r="H227" i="3" s="1"/>
  <c r="G226" i="3"/>
  <c r="H226" i="3" s="1" a="1"/>
  <c r="H226" i="3" s="1"/>
  <c r="G225" i="3"/>
  <c r="H225" i="3" s="1" a="1"/>
  <c r="H225" i="3" s="1"/>
  <c r="G224" i="3"/>
  <c r="H224" i="3" s="1" a="1"/>
  <c r="H224" i="3" s="1"/>
  <c r="G223" i="3"/>
  <c r="H223" i="3" s="1" a="1"/>
  <c r="H223" i="3" s="1"/>
  <c r="G222" i="3"/>
  <c r="H222" i="3" s="1" a="1"/>
  <c r="H222" i="3" s="1"/>
  <c r="G221" i="3"/>
  <c r="H221" i="3" s="1" a="1"/>
  <c r="H221" i="3" s="1"/>
  <c r="G220" i="3"/>
  <c r="H220" i="3" s="1" a="1"/>
  <c r="H220" i="3" s="1"/>
  <c r="G219" i="3"/>
  <c r="H219" i="3" s="1" a="1"/>
  <c r="H219" i="3" s="1"/>
  <c r="G218" i="3"/>
  <c r="H218" i="3" s="1" a="1"/>
  <c r="H218" i="3" s="1"/>
  <c r="G217" i="3"/>
  <c r="H217" i="3" s="1" a="1"/>
  <c r="H217" i="3" s="1"/>
  <c r="G216" i="3"/>
  <c r="H216" i="3" s="1" a="1"/>
  <c r="H216" i="3" s="1"/>
  <c r="G215" i="3"/>
  <c r="H215" i="3" s="1" a="1"/>
  <c r="H215" i="3" s="1"/>
  <c r="G214" i="3"/>
  <c r="H214" i="3" s="1" a="1"/>
  <c r="H214" i="3" s="1"/>
  <c r="G213" i="3"/>
  <c r="H213" i="3" s="1" a="1"/>
  <c r="H213" i="3" s="1"/>
  <c r="G212" i="3"/>
  <c r="H212" i="3" s="1" a="1"/>
  <c r="H212" i="3" s="1"/>
  <c r="G211" i="3"/>
  <c r="H211" i="3" s="1" a="1"/>
  <c r="H211" i="3" s="1"/>
  <c r="G210" i="3"/>
  <c r="H210" i="3" s="1" a="1"/>
  <c r="H210" i="3" s="1"/>
  <c r="G209" i="3"/>
  <c r="H209" i="3" s="1" a="1"/>
  <c r="H209" i="3" s="1"/>
  <c r="G208" i="3"/>
  <c r="H208" i="3" s="1" a="1"/>
  <c r="H208" i="3" s="1"/>
  <c r="G207" i="3"/>
  <c r="H207" i="3" s="1" a="1"/>
  <c r="H207" i="3" s="1"/>
  <c r="G206" i="3"/>
  <c r="H206" i="3" s="1" a="1"/>
  <c r="H206" i="3" s="1"/>
  <c r="G205" i="3"/>
  <c r="H205" i="3" s="1" a="1"/>
  <c r="H205" i="3" s="1"/>
  <c r="G204" i="3"/>
  <c r="H204" i="3" s="1" a="1"/>
  <c r="H204" i="3" s="1"/>
  <c r="G203" i="3"/>
  <c r="H203" i="3" s="1" a="1"/>
  <c r="H203" i="3" s="1"/>
  <c r="G202" i="3"/>
  <c r="H202" i="3" s="1" a="1"/>
  <c r="H202" i="3" s="1"/>
  <c r="G201" i="3"/>
  <c r="H201" i="3" s="1" a="1"/>
  <c r="H201" i="3" s="1"/>
  <c r="G200" i="3"/>
  <c r="H200" i="3" s="1" a="1"/>
  <c r="H200" i="3" s="1"/>
  <c r="G199" i="3"/>
  <c r="H199" i="3" s="1" a="1"/>
  <c r="H199" i="3" s="1"/>
  <c r="G198" i="3"/>
  <c r="H198" i="3" s="1" a="1"/>
  <c r="H198" i="3" s="1"/>
  <c r="G197" i="3"/>
  <c r="H197" i="3" s="1" a="1"/>
  <c r="H197" i="3" s="1"/>
  <c r="G196" i="3"/>
  <c r="H196" i="3" s="1" a="1"/>
  <c r="H196" i="3" s="1"/>
  <c r="G195" i="3"/>
  <c r="H195" i="3" s="1" a="1"/>
  <c r="H195" i="3" s="1"/>
  <c r="G194" i="3"/>
  <c r="H194" i="3" s="1" a="1"/>
  <c r="H194" i="3" s="1"/>
  <c r="G193" i="3"/>
  <c r="H193" i="3" s="1" a="1"/>
  <c r="H193" i="3" s="1"/>
  <c r="G192" i="3"/>
  <c r="H192" i="3" s="1" a="1"/>
  <c r="H192" i="3" s="1"/>
  <c r="G191" i="3"/>
  <c r="H191" i="3" s="1" a="1"/>
  <c r="H191" i="3" s="1"/>
  <c r="G190" i="3"/>
  <c r="H190" i="3" s="1" a="1"/>
  <c r="H190" i="3" s="1"/>
  <c r="G189" i="3"/>
  <c r="H189" i="3" s="1" a="1"/>
  <c r="H189" i="3" s="1"/>
  <c r="G188" i="3"/>
  <c r="H188" i="3" s="1" a="1"/>
  <c r="H188" i="3" s="1"/>
  <c r="G187" i="3"/>
  <c r="H187" i="3" s="1" a="1"/>
  <c r="H187" i="3" s="1"/>
  <c r="G186" i="3"/>
  <c r="H186" i="3" s="1" a="1"/>
  <c r="H186" i="3" s="1"/>
  <c r="G185" i="3"/>
  <c r="H185" i="3" s="1" a="1"/>
  <c r="H185" i="3" s="1"/>
  <c r="G184" i="3"/>
  <c r="H184" i="3" s="1" a="1"/>
  <c r="H184" i="3" s="1"/>
  <c r="G183" i="3"/>
  <c r="H183" i="3" s="1" a="1"/>
  <c r="H183" i="3" s="1"/>
  <c r="G182" i="3"/>
  <c r="H182" i="3" s="1" a="1"/>
  <c r="H182" i="3" s="1"/>
  <c r="G181" i="3"/>
  <c r="H181" i="3" s="1" a="1"/>
  <c r="H181" i="3" s="1"/>
  <c r="G180" i="3"/>
  <c r="H180" i="3" s="1" a="1"/>
  <c r="H180" i="3" s="1"/>
  <c r="G179" i="3"/>
  <c r="H179" i="3" s="1" a="1"/>
  <c r="H179" i="3" s="1"/>
  <c r="G178" i="3"/>
  <c r="H178" i="3" s="1" a="1"/>
  <c r="H178" i="3" s="1"/>
  <c r="G177" i="3"/>
  <c r="H177" i="3" s="1" a="1"/>
  <c r="H177" i="3" s="1"/>
  <c r="G176" i="3"/>
  <c r="H176" i="3" s="1" a="1"/>
  <c r="H176" i="3" s="1"/>
  <c r="G175" i="3"/>
  <c r="H175" i="3" s="1" a="1"/>
  <c r="H175" i="3" s="1"/>
  <c r="G174" i="3"/>
  <c r="H174" i="3" s="1" a="1"/>
  <c r="H174" i="3" s="1"/>
  <c r="G173" i="3"/>
  <c r="H173" i="3" s="1" a="1"/>
  <c r="H173" i="3" s="1"/>
  <c r="G172" i="3"/>
  <c r="H172" i="3" s="1" a="1"/>
  <c r="H172" i="3" s="1"/>
  <c r="G171" i="3"/>
  <c r="H171" i="3" s="1" a="1"/>
  <c r="H171" i="3" s="1"/>
  <c r="G170" i="3"/>
  <c r="H170" i="3" s="1" a="1"/>
  <c r="H170" i="3" s="1"/>
  <c r="G169" i="3"/>
  <c r="H169" i="3" s="1" a="1"/>
  <c r="H169" i="3" s="1"/>
  <c r="G168" i="3"/>
  <c r="H168" i="3" s="1" a="1"/>
  <c r="H168" i="3" s="1"/>
  <c r="G167" i="3"/>
  <c r="H167" i="3" s="1" a="1"/>
  <c r="H167" i="3" s="1"/>
  <c r="G166" i="3"/>
  <c r="H166" i="3" s="1" a="1"/>
  <c r="H166" i="3" s="1"/>
  <c r="G165" i="3"/>
  <c r="H165" i="3" s="1" a="1"/>
  <c r="H165" i="3" s="1"/>
  <c r="G164" i="3"/>
  <c r="H164" i="3" s="1" a="1"/>
  <c r="H164" i="3" s="1"/>
  <c r="G163" i="3"/>
  <c r="H163" i="3" s="1" a="1"/>
  <c r="H163" i="3" s="1"/>
  <c r="G162" i="3"/>
  <c r="H162" i="3" s="1" a="1"/>
  <c r="H162" i="3" s="1"/>
  <c r="G161" i="3"/>
  <c r="H161" i="3" s="1" a="1"/>
  <c r="H161" i="3" s="1"/>
  <c r="G160" i="3"/>
  <c r="H160" i="3" s="1" a="1"/>
  <c r="H160" i="3" s="1"/>
  <c r="G159" i="3"/>
  <c r="H159" i="3" s="1" a="1"/>
  <c r="H159" i="3" s="1"/>
  <c r="G158" i="3"/>
  <c r="H158" i="3" s="1" a="1"/>
  <c r="H158" i="3" s="1"/>
  <c r="G157" i="3"/>
  <c r="H157" i="3" s="1" a="1"/>
  <c r="H157" i="3" s="1"/>
  <c r="G156" i="3"/>
  <c r="H156" i="3" s="1" a="1"/>
  <c r="H156" i="3" s="1"/>
  <c r="G155" i="3"/>
  <c r="H155" i="3" s="1" a="1"/>
  <c r="H155" i="3" s="1"/>
  <c r="G154" i="3"/>
  <c r="H154" i="3" s="1" a="1"/>
  <c r="H154" i="3" s="1"/>
  <c r="G153" i="3"/>
  <c r="H153" i="3" s="1" a="1"/>
  <c r="H153" i="3" s="1"/>
  <c r="G152" i="3"/>
  <c r="H152" i="3" s="1" a="1"/>
  <c r="H152" i="3" s="1"/>
  <c r="G151" i="3"/>
  <c r="H151" i="3" s="1" a="1"/>
  <c r="H151" i="3" s="1"/>
  <c r="G150" i="3"/>
  <c r="H150" i="3" s="1" a="1"/>
  <c r="H150" i="3" s="1"/>
  <c r="G149" i="3"/>
  <c r="H149" i="3" s="1" a="1"/>
  <c r="H149" i="3" s="1"/>
  <c r="G148" i="3"/>
  <c r="H148" i="3" s="1" a="1"/>
  <c r="H148" i="3" s="1"/>
  <c r="G147" i="3"/>
  <c r="H147" i="3" s="1" a="1"/>
  <c r="H147" i="3" s="1"/>
  <c r="G146" i="3"/>
  <c r="H146" i="3" s="1" a="1"/>
  <c r="H146" i="3" s="1"/>
  <c r="G145" i="3"/>
  <c r="H145" i="3" s="1" a="1"/>
  <c r="H145" i="3" s="1"/>
  <c r="G144" i="3"/>
  <c r="H144" i="3" s="1" a="1"/>
  <c r="H144" i="3" s="1"/>
  <c r="G143" i="3"/>
  <c r="H143" i="3" s="1" a="1"/>
  <c r="H143" i="3" s="1"/>
  <c r="G142" i="3"/>
  <c r="H142" i="3" s="1" a="1"/>
  <c r="H142" i="3" s="1"/>
  <c r="G141" i="3"/>
  <c r="H141" i="3" s="1" a="1"/>
  <c r="H141" i="3" s="1"/>
  <c r="G140" i="3"/>
  <c r="H140" i="3" s="1" a="1"/>
  <c r="H140" i="3" s="1"/>
  <c r="G139" i="3"/>
  <c r="H139" i="3" s="1" a="1"/>
  <c r="H139" i="3" s="1"/>
  <c r="G138" i="3"/>
  <c r="H138" i="3" s="1" a="1"/>
  <c r="H138" i="3" s="1"/>
  <c r="G137" i="3"/>
  <c r="H137" i="3" s="1" a="1"/>
  <c r="H137" i="3" s="1"/>
  <c r="G136" i="3"/>
  <c r="H136" i="3" s="1" a="1"/>
  <c r="H136" i="3" s="1"/>
  <c r="G135" i="3"/>
  <c r="H135" i="3" s="1" a="1"/>
  <c r="H135" i="3" s="1"/>
  <c r="G134" i="3"/>
  <c r="H134" i="3" s="1" a="1"/>
  <c r="H134" i="3" s="1"/>
  <c r="G133" i="3"/>
  <c r="H133" i="3" s="1" a="1"/>
  <c r="H133" i="3" s="1"/>
  <c r="G132" i="3"/>
  <c r="H132" i="3" s="1" a="1"/>
  <c r="H132" i="3" s="1"/>
  <c r="G131" i="3"/>
  <c r="H131" i="3" s="1" a="1"/>
  <c r="H131" i="3" s="1"/>
  <c r="G130" i="3"/>
  <c r="H130" i="3" s="1" a="1"/>
  <c r="H130" i="3" s="1"/>
  <c r="G129" i="3"/>
  <c r="H129" i="3" s="1" a="1"/>
  <c r="H129" i="3" s="1"/>
  <c r="G128" i="3"/>
  <c r="H128" i="3" s="1" a="1"/>
  <c r="H128" i="3" s="1"/>
  <c r="G127" i="3"/>
  <c r="H127" i="3" s="1" a="1"/>
  <c r="H127" i="3" s="1"/>
  <c r="G126" i="3"/>
  <c r="H126" i="3" s="1" a="1"/>
  <c r="H126" i="3" s="1"/>
  <c r="G125" i="3"/>
  <c r="H125" i="3" s="1" a="1"/>
  <c r="H125" i="3" s="1"/>
  <c r="G124" i="3"/>
  <c r="H124" i="3" s="1" a="1"/>
  <c r="H124" i="3" s="1"/>
  <c r="G123" i="3"/>
  <c r="H123" i="3" s="1" a="1"/>
  <c r="H123" i="3" s="1"/>
  <c r="G122" i="3"/>
  <c r="H122" i="3" s="1" a="1"/>
  <c r="H122" i="3" s="1"/>
  <c r="G121" i="3"/>
  <c r="H121" i="3" s="1" a="1"/>
  <c r="H121" i="3" s="1"/>
  <c r="G120" i="3"/>
  <c r="H120" i="3" s="1" a="1"/>
  <c r="H120" i="3" s="1"/>
  <c r="G119" i="3"/>
  <c r="H119" i="3" s="1" a="1"/>
  <c r="H119" i="3" s="1"/>
  <c r="G118" i="3"/>
  <c r="H118" i="3" s="1" a="1"/>
  <c r="H118" i="3" s="1"/>
  <c r="G117" i="3"/>
  <c r="H117" i="3" s="1" a="1"/>
  <c r="H117" i="3" s="1"/>
  <c r="G116" i="3"/>
  <c r="H116" i="3" s="1" a="1"/>
  <c r="H116" i="3" s="1"/>
  <c r="G115" i="3"/>
  <c r="H115" i="3" s="1" a="1"/>
  <c r="H115" i="3" s="1"/>
  <c r="G114" i="3"/>
  <c r="H114" i="3" s="1" a="1"/>
  <c r="H114" i="3" s="1"/>
  <c r="G113" i="3"/>
  <c r="H113" i="3" s="1" a="1"/>
  <c r="H113" i="3" s="1"/>
  <c r="G112" i="3"/>
  <c r="H112" i="3" s="1" a="1"/>
  <c r="H112" i="3" s="1"/>
  <c r="G111" i="3"/>
  <c r="H111" i="3" s="1" a="1"/>
  <c r="H111" i="3" s="1"/>
  <c r="G110" i="3"/>
  <c r="H110" i="3" s="1" a="1"/>
  <c r="H110" i="3" s="1"/>
  <c r="G109" i="3"/>
  <c r="H109" i="3" s="1" a="1"/>
  <c r="H109" i="3" s="1"/>
  <c r="G108" i="3"/>
  <c r="H108" i="3" s="1" a="1"/>
  <c r="H108" i="3" s="1"/>
  <c r="G107" i="3"/>
  <c r="H107" i="3" s="1" a="1"/>
  <c r="H107" i="3" s="1"/>
  <c r="G106" i="3"/>
  <c r="H106" i="3" s="1" a="1"/>
  <c r="H106" i="3" s="1"/>
  <c r="G105" i="3"/>
  <c r="H105" i="3" s="1" a="1"/>
  <c r="H105" i="3" s="1"/>
  <c r="G104" i="3"/>
  <c r="H104" i="3" s="1" a="1"/>
  <c r="H104" i="3" s="1"/>
  <c r="G103" i="3"/>
  <c r="H103" i="3" s="1" a="1"/>
  <c r="H103" i="3" s="1"/>
  <c r="G102" i="3"/>
  <c r="H102" i="3" s="1" a="1"/>
  <c r="H102" i="3" s="1"/>
  <c r="G101" i="3"/>
  <c r="H101" i="3" s="1" a="1"/>
  <c r="H101" i="3" s="1"/>
  <c r="G100" i="3"/>
  <c r="H100" i="3" s="1" a="1"/>
  <c r="H100" i="3" s="1"/>
  <c r="G99" i="3"/>
  <c r="H99" i="3" s="1" a="1"/>
  <c r="H99" i="3" s="1"/>
  <c r="G98" i="3"/>
  <c r="H98" i="3" s="1" a="1"/>
  <c r="H98" i="3" s="1"/>
  <c r="G97" i="3"/>
  <c r="H97" i="3" s="1" a="1"/>
  <c r="H97" i="3" s="1"/>
  <c r="G96" i="3"/>
  <c r="H96" i="3" s="1" a="1"/>
  <c r="H96" i="3" s="1"/>
  <c r="G95" i="3"/>
  <c r="H95" i="3" s="1" a="1"/>
  <c r="H95" i="3" s="1"/>
  <c r="G94" i="3"/>
  <c r="H94" i="3" s="1" a="1"/>
  <c r="H94" i="3" s="1"/>
  <c r="G93" i="3"/>
  <c r="H93" i="3" s="1" a="1"/>
  <c r="H93" i="3" s="1"/>
  <c r="G92" i="3"/>
  <c r="H92" i="3" s="1" a="1"/>
  <c r="H92" i="3" s="1"/>
  <c r="G91" i="3"/>
  <c r="H91" i="3" s="1" a="1"/>
  <c r="H91" i="3" s="1"/>
  <c r="G90" i="3"/>
  <c r="H90" i="3" s="1" a="1"/>
  <c r="H90" i="3" s="1"/>
  <c r="G89" i="3"/>
  <c r="H89" i="3" s="1" a="1"/>
  <c r="H89" i="3" s="1"/>
  <c r="G88" i="3"/>
  <c r="H88" i="3" s="1" a="1"/>
  <c r="H88" i="3" s="1"/>
  <c r="G87" i="3"/>
  <c r="H87" i="3" s="1" a="1"/>
  <c r="H87" i="3" s="1"/>
  <c r="G86" i="3"/>
  <c r="H86" i="3" s="1" a="1"/>
  <c r="H86" i="3" s="1"/>
  <c r="G85" i="3"/>
  <c r="H85" i="3" s="1" a="1"/>
  <c r="H85" i="3" s="1"/>
  <c r="G84" i="3"/>
  <c r="H84" i="3" s="1" a="1"/>
  <c r="H84" i="3" s="1"/>
  <c r="G83" i="3"/>
  <c r="H83" i="3" s="1" a="1"/>
  <c r="H83" i="3" s="1"/>
  <c r="G82" i="3"/>
  <c r="H82" i="3" s="1" a="1"/>
  <c r="H82" i="3" s="1"/>
  <c r="G81" i="3"/>
  <c r="H81" i="3" s="1" a="1"/>
  <c r="H81" i="3" s="1"/>
  <c r="G80" i="3"/>
  <c r="H80" i="3" s="1" a="1"/>
  <c r="H80" i="3" s="1"/>
  <c r="G79" i="3"/>
  <c r="H79" i="3" s="1" a="1"/>
  <c r="H79" i="3" s="1"/>
  <c r="G78" i="3"/>
  <c r="H78" i="3" s="1" a="1"/>
  <c r="H78" i="3" s="1"/>
  <c r="G77" i="3"/>
  <c r="H77" i="3" s="1" a="1"/>
  <c r="H77" i="3" s="1"/>
  <c r="G76" i="3"/>
  <c r="H76" i="3" s="1" a="1"/>
  <c r="H76" i="3" s="1"/>
  <c r="G75" i="3"/>
  <c r="H75" i="3" s="1" a="1"/>
  <c r="H75" i="3" s="1"/>
  <c r="G74" i="3"/>
  <c r="H74" i="3" s="1" a="1"/>
  <c r="H74" i="3" s="1"/>
  <c r="G73" i="3"/>
  <c r="H73" i="3" s="1" a="1"/>
  <c r="H73" i="3" s="1"/>
  <c r="G72" i="3"/>
  <c r="H72" i="3" s="1" a="1"/>
  <c r="H72" i="3" s="1"/>
  <c r="G71" i="3"/>
  <c r="H71" i="3" s="1" a="1"/>
  <c r="H71" i="3" s="1"/>
  <c r="G70" i="3"/>
  <c r="H70" i="3" s="1" a="1"/>
  <c r="H70" i="3" s="1"/>
  <c r="G69" i="3"/>
  <c r="H69" i="3" s="1" a="1"/>
  <c r="H69" i="3" s="1"/>
  <c r="G68" i="3"/>
  <c r="H68" i="3" s="1" a="1"/>
  <c r="H68" i="3" s="1"/>
  <c r="G67" i="3"/>
  <c r="H67" i="3" s="1" a="1"/>
  <c r="H67" i="3" s="1"/>
  <c r="G66" i="3"/>
  <c r="H66" i="3" s="1" a="1"/>
  <c r="H66" i="3" s="1"/>
  <c r="G65" i="3"/>
  <c r="H65" i="3" s="1" a="1"/>
  <c r="H65" i="3" s="1"/>
  <c r="G64" i="3"/>
  <c r="H64" i="3" s="1" a="1"/>
  <c r="H64" i="3" s="1"/>
  <c r="G63" i="3"/>
  <c r="H63" i="3" s="1" a="1"/>
  <c r="H63" i="3" s="1"/>
  <c r="G62" i="3"/>
  <c r="H62" i="3" s="1" a="1"/>
  <c r="H62" i="3" s="1"/>
  <c r="G61" i="3"/>
  <c r="H61" i="3" s="1" a="1"/>
  <c r="H61" i="3" s="1"/>
  <c r="G60" i="3"/>
  <c r="H60" i="3" s="1" a="1"/>
  <c r="H60" i="3" s="1"/>
  <c r="G59" i="3"/>
  <c r="H59" i="3" s="1" a="1"/>
  <c r="H59" i="3" s="1"/>
  <c r="G58" i="3"/>
  <c r="H58" i="3" s="1" a="1"/>
  <c r="H58" i="3" s="1"/>
  <c r="G57" i="3"/>
  <c r="H57" i="3" s="1" a="1"/>
  <c r="H57" i="3" s="1"/>
  <c r="G56" i="3"/>
  <c r="H56" i="3" s="1" a="1"/>
  <c r="H56" i="3" s="1"/>
  <c r="G55" i="3"/>
  <c r="H55" i="3" s="1" a="1"/>
  <c r="H55" i="3" s="1"/>
  <c r="G54" i="3"/>
  <c r="H54" i="3" s="1" a="1"/>
  <c r="H54" i="3" s="1"/>
  <c r="G53" i="3"/>
  <c r="H53" i="3" s="1" a="1"/>
  <c r="H53" i="3" s="1"/>
  <c r="G52" i="3"/>
  <c r="H52" i="3" s="1" a="1"/>
  <c r="H52" i="3" s="1"/>
  <c r="G51" i="3"/>
  <c r="H51" i="3" s="1" a="1"/>
  <c r="H51" i="3" s="1"/>
  <c r="G50" i="3"/>
  <c r="H50" i="3" s="1" a="1"/>
  <c r="H50" i="3" s="1"/>
  <c r="G49" i="3"/>
  <c r="H49" i="3" s="1" a="1"/>
  <c r="H49" i="3" s="1"/>
  <c r="G48" i="3"/>
  <c r="H48" i="3" s="1" a="1"/>
  <c r="H48" i="3" s="1"/>
  <c r="G47" i="3"/>
  <c r="H47" i="3" s="1" a="1"/>
  <c r="H47" i="3" s="1"/>
  <c r="G46" i="3"/>
  <c r="H46" i="3" s="1" a="1"/>
  <c r="H46" i="3" s="1"/>
  <c r="G45" i="3"/>
  <c r="H45" i="3" s="1" a="1"/>
  <c r="H45" i="3" s="1"/>
  <c r="G44" i="3"/>
  <c r="H44" i="3" s="1" a="1"/>
  <c r="H44" i="3" s="1"/>
  <c r="G43" i="3"/>
  <c r="H43" i="3" s="1" a="1"/>
  <c r="H43" i="3" s="1"/>
  <c r="G42" i="3"/>
  <c r="H42" i="3" s="1" a="1"/>
  <c r="H42" i="3" s="1"/>
  <c r="G41" i="3"/>
  <c r="H41" i="3" s="1" a="1"/>
  <c r="H41" i="3" s="1"/>
  <c r="G40" i="3"/>
  <c r="H40" i="3" s="1" a="1"/>
  <c r="H40" i="3" s="1"/>
  <c r="G39" i="3"/>
  <c r="H39" i="3" s="1" a="1"/>
  <c r="H39" i="3" s="1"/>
  <c r="G38" i="3"/>
  <c r="H38" i="3" s="1" a="1"/>
  <c r="H38" i="3" s="1"/>
  <c r="G37" i="3"/>
  <c r="H37" i="3" s="1" a="1"/>
  <c r="H37" i="3" s="1"/>
  <c r="G36" i="3"/>
  <c r="H36" i="3" s="1" a="1"/>
  <c r="H36" i="3" s="1"/>
  <c r="G35" i="3"/>
  <c r="H35" i="3" s="1" a="1"/>
  <c r="H35" i="3" s="1"/>
  <c r="G34" i="3"/>
  <c r="H34" i="3" s="1" a="1"/>
  <c r="H34" i="3" s="1"/>
  <c r="G33" i="3"/>
  <c r="H33" i="3" s="1" a="1"/>
  <c r="H33" i="3" s="1"/>
  <c r="G32" i="3"/>
  <c r="H32" i="3" s="1" a="1"/>
  <c r="H32" i="3" s="1"/>
  <c r="G31" i="3"/>
  <c r="H31" i="3" s="1" a="1"/>
  <c r="H31" i="3" s="1"/>
  <c r="G30" i="3"/>
  <c r="H30" i="3" s="1" a="1"/>
  <c r="H30" i="3" s="1"/>
  <c r="G29" i="3"/>
  <c r="H29" i="3" s="1" a="1"/>
  <c r="H29" i="3" s="1"/>
  <c r="G28" i="3"/>
  <c r="H28" i="3" s="1" a="1"/>
  <c r="H28" i="3" s="1"/>
  <c r="G27" i="3"/>
  <c r="H27" i="3" s="1" a="1"/>
  <c r="H27" i="3" s="1"/>
  <c r="G26" i="3"/>
  <c r="H26" i="3" s="1" a="1"/>
  <c r="H26" i="3" s="1"/>
  <c r="G25" i="3"/>
  <c r="H25" i="3" s="1" a="1"/>
  <c r="H25" i="3" s="1"/>
  <c r="G24" i="3"/>
  <c r="H24" i="3" s="1" a="1"/>
  <c r="H24" i="3" s="1"/>
  <c r="G23" i="3"/>
  <c r="H23" i="3" s="1" a="1"/>
  <c r="H23" i="3" s="1"/>
  <c r="G22" i="3"/>
  <c r="H22" i="3" s="1" a="1"/>
  <c r="H22" i="3" s="1"/>
  <c r="G21" i="3"/>
  <c r="H21" i="3" s="1" a="1"/>
  <c r="H21" i="3" s="1"/>
  <c r="G20" i="3"/>
  <c r="H20" i="3" s="1" a="1"/>
  <c r="H20" i="3" s="1"/>
  <c r="G19" i="3"/>
  <c r="H19" i="3" s="1" a="1"/>
  <c r="H19" i="3" s="1"/>
  <c r="G18" i="3"/>
  <c r="H18" i="3" s="1" a="1"/>
  <c r="H18" i="3" s="1"/>
  <c r="G17" i="3"/>
  <c r="H17" i="3" s="1" a="1"/>
  <c r="H17" i="3" s="1"/>
  <c r="G16" i="3"/>
  <c r="H16" i="3" s="1" a="1"/>
  <c r="H16" i="3" s="1"/>
  <c r="G15" i="3"/>
  <c r="H15" i="3" s="1" a="1"/>
  <c r="H15" i="3" s="1"/>
  <c r="G14" i="3"/>
  <c r="H14" i="3" s="1" a="1"/>
  <c r="H14" i="3" s="1"/>
  <c r="G13" i="3"/>
  <c r="H13" i="3" s="1" a="1"/>
  <c r="H13" i="3" s="1"/>
  <c r="G12" i="3"/>
  <c r="H12" i="3" s="1" a="1"/>
  <c r="H12" i="3" s="1"/>
  <c r="G11" i="3"/>
  <c r="H11" i="3" s="1" a="1"/>
  <c r="H11" i="3" s="1"/>
  <c r="G10" i="3"/>
  <c r="H10" i="3" s="1" a="1"/>
  <c r="H10" i="3" s="1"/>
  <c r="G9" i="3"/>
  <c r="H9" i="3" s="1" a="1"/>
  <c r="H9" i="3" s="1"/>
  <c r="G8" i="3"/>
  <c r="H8" i="3" s="1" a="1"/>
  <c r="H8" i="3" s="1"/>
  <c r="G7" i="3"/>
  <c r="H7" i="3" s="1" a="1"/>
  <c r="H7" i="3" s="1"/>
  <c r="G6" i="3"/>
  <c r="H6" i="3" s="1" a="1"/>
  <c r="H6" i="3" s="1"/>
  <c r="G5" i="3"/>
  <c r="H5" i="3" s="1" a="1"/>
  <c r="H5" i="3" s="1"/>
  <c r="G4" i="3"/>
  <c r="H4" i="3" s="1" a="1"/>
  <c r="H4" i="3" s="1"/>
  <c r="G3" i="3"/>
  <c r="H3" i="3" s="1" a="1"/>
  <c r="H3" i="3" s="1"/>
  <c r="G2" i="3"/>
  <c r="H2" i="3" s="1" a="1"/>
  <c r="H2" i="3" s="1"/>
  <c r="J2" i="2" l="1" a="1"/>
  <c r="J2" i="2" s="1"/>
  <c r="J3" i="2" a="1"/>
  <c r="J3" i="2" s="1"/>
  <c r="J4" i="2" a="1"/>
  <c r="J4" i="2" s="1"/>
  <c r="J5" i="2" a="1"/>
  <c r="J5" i="2" s="1"/>
  <c r="J6" i="2" a="1"/>
  <c r="J6" i="2" s="1"/>
  <c r="J7" i="2" a="1"/>
  <c r="J7" i="2" s="1"/>
  <c r="J8" i="2" a="1"/>
  <c r="J8" i="2" s="1"/>
  <c r="J9" i="2" a="1"/>
  <c r="J9" i="2" s="1"/>
  <c r="J10" i="2" a="1"/>
  <c r="J10" i="2" s="1"/>
  <c r="J11" i="2" a="1"/>
  <c r="J11" i="2" s="1"/>
  <c r="J12" i="2" a="1"/>
  <c r="J12" i="2" s="1"/>
  <c r="J13" i="2" a="1"/>
  <c r="J13" i="2" s="1"/>
  <c r="J14" i="2" a="1"/>
  <c r="J14" i="2" s="1"/>
  <c r="J15" i="2" a="1"/>
  <c r="J15" i="2" s="1"/>
  <c r="J16" i="2" a="1"/>
  <c r="J16" i="2" s="1"/>
  <c r="J17" i="2" a="1"/>
  <c r="J17" i="2" s="1"/>
  <c r="J18" i="2" a="1"/>
  <c r="J18" i="2" s="1"/>
  <c r="J19" i="2" a="1"/>
  <c r="J19" i="2" s="1"/>
  <c r="J20" i="2" a="1"/>
  <c r="J20" i="2" s="1"/>
  <c r="J21" i="2" a="1"/>
  <c r="J21" i="2" s="1"/>
  <c r="J22" i="2" a="1"/>
  <c r="J22" i="2" s="1"/>
  <c r="J23" i="2" a="1"/>
  <c r="J23" i="2" s="1"/>
  <c r="J24" i="2" a="1"/>
  <c r="J24" i="2" s="1"/>
  <c r="J25" i="2" a="1"/>
  <c r="J25" i="2" s="1"/>
  <c r="J26" i="2" a="1"/>
  <c r="J26" i="2" s="1"/>
  <c r="J27" i="2" a="1"/>
  <c r="J27" i="2" s="1"/>
  <c r="J28" i="2" a="1"/>
  <c r="J28" i="2" s="1"/>
  <c r="J29" i="2" a="1"/>
  <c r="J29" i="2" s="1"/>
  <c r="J30" i="2" a="1"/>
  <c r="J30" i="2" s="1"/>
  <c r="J31" i="2" a="1"/>
  <c r="J31" i="2" s="1"/>
  <c r="J32" i="2" a="1"/>
  <c r="J32" i="2" s="1"/>
  <c r="J33" i="2" a="1"/>
  <c r="J33" i="2" s="1"/>
  <c r="J34" i="2" a="1"/>
  <c r="J34" i="2" s="1"/>
  <c r="J35" i="2" a="1"/>
  <c r="J35" i="2" s="1"/>
  <c r="J36" i="2" a="1"/>
  <c r="J36" i="2" s="1"/>
  <c r="J37" i="2" a="1"/>
  <c r="J37" i="2" s="1"/>
  <c r="J38" i="2" a="1"/>
  <c r="J38" i="2" s="1"/>
  <c r="J39" i="2" a="1"/>
  <c r="J39" i="2" s="1"/>
  <c r="J40" i="2" a="1"/>
  <c r="J40" i="2" s="1"/>
  <c r="J41" i="2" a="1"/>
  <c r="J41" i="2" s="1"/>
  <c r="J42" i="2" a="1"/>
  <c r="J42" i="2" s="1"/>
  <c r="J43" i="2" a="1"/>
  <c r="J43" i="2" s="1"/>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s="1"/>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s="1"/>
  <c r="J67" i="2" a="1"/>
  <c r="J67" i="2" s="1"/>
  <c r="J68" i="2" a="1"/>
  <c r="J68" i="2" s="1"/>
  <c r="J69" i="2" a="1"/>
  <c r="J69" i="2" s="1"/>
  <c r="J70" i="2" a="1"/>
  <c r="J70" i="2" s="1"/>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s="1"/>
  <c r="J82" i="2" a="1"/>
  <c r="J82" i="2" s="1"/>
  <c r="J83" i="2" a="1"/>
  <c r="J83" i="2" s="1"/>
  <c r="J84" i="2" a="1"/>
  <c r="J84" i="2" s="1"/>
  <c r="J85" i="2" a="1"/>
  <c r="J85" i="2" s="1"/>
  <c r="J86" i="2" a="1"/>
  <c r="J86" i="2" s="1"/>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5" i="2" a="1"/>
  <c r="J105" i="2" s="1"/>
  <c r="J106" i="2" a="1"/>
  <c r="J106" i="2" s="1"/>
  <c r="J107" i="2" a="1"/>
  <c r="J107" i="2" s="1"/>
  <c r="J108" i="2" a="1"/>
  <c r="J108" i="2" s="1"/>
  <c r="J109" i="2" a="1"/>
  <c r="J109" i="2" s="1"/>
  <c r="J110" i="2" a="1"/>
  <c r="J110" i="2" s="1"/>
  <c r="J111" i="2" a="1"/>
  <c r="J111" i="2" s="1"/>
  <c r="J112" i="2" a="1"/>
  <c r="J112" i="2" s="1"/>
  <c r="J113" i="2" a="1"/>
  <c r="J113" i="2" s="1"/>
  <c r="J114" i="2" a="1"/>
  <c r="J114" i="2" s="1"/>
  <c r="J115" i="2" a="1"/>
  <c r="J115" i="2" s="1"/>
  <c r="J116" i="2" a="1"/>
  <c r="J116" i="2" s="1"/>
  <c r="J117" i="2" a="1"/>
  <c r="J117" i="2" s="1"/>
  <c r="J118" i="2" a="1"/>
  <c r="J118" i="2" s="1"/>
  <c r="J119" i="2" a="1"/>
  <c r="J119" i="2" s="1"/>
  <c r="J120" i="2" a="1"/>
  <c r="J120" i="2" s="1"/>
  <c r="J121" i="2" a="1"/>
  <c r="J121" i="2" s="1"/>
  <c r="J122" i="2" a="1"/>
  <c r="J122" i="2" s="1"/>
  <c r="J123" i="2" a="1"/>
  <c r="J123" i="2" s="1"/>
  <c r="J124" i="2" a="1"/>
  <c r="J124" i="2" s="1"/>
  <c r="J125" i="2" a="1"/>
  <c r="J125" i="2" s="1"/>
  <c r="J126" i="2" a="1"/>
  <c r="J126" i="2" s="1"/>
  <c r="J127" i="2" a="1"/>
  <c r="J127" i="2" s="1"/>
  <c r="J128" i="2" a="1"/>
  <c r="J128" i="2" s="1"/>
  <c r="J129" i="2" a="1"/>
  <c r="J129" i="2" s="1"/>
  <c r="J130" i="2" a="1"/>
  <c r="J130" i="2" s="1"/>
  <c r="J131" i="2" a="1"/>
  <c r="J131" i="2" s="1"/>
  <c r="J132" i="2" a="1"/>
  <c r="J132" i="2" s="1"/>
  <c r="J133" i="2" a="1"/>
  <c r="J133" i="2" s="1"/>
  <c r="J134" i="2" a="1"/>
  <c r="J134" i="2" s="1"/>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6" i="2" a="1"/>
  <c r="J146" i="2" s="1"/>
  <c r="J147" i="2" a="1"/>
  <c r="J147" i="2" s="1"/>
  <c r="J148" i="2" a="1"/>
  <c r="J148" i="2" s="1"/>
  <c r="J149" i="2" a="1"/>
  <c r="J149" i="2" s="1"/>
  <c r="J150" i="2" a="1"/>
  <c r="J150" i="2" s="1"/>
  <c r="J151" i="2" a="1"/>
  <c r="J151" i="2" s="1"/>
  <c r="J152" i="2" a="1"/>
  <c r="J152" i="2" s="1"/>
  <c r="J153" i="2" a="1"/>
  <c r="J153" i="2" s="1"/>
  <c r="J154" i="2" a="1"/>
  <c r="J154" i="2" s="1"/>
  <c r="J155" i="2" a="1"/>
  <c r="J155" i="2" s="1"/>
  <c r="J156" i="2" a="1"/>
  <c r="J156" i="2" s="1"/>
  <c r="J157" i="2" a="1"/>
  <c r="J157" i="2" s="1"/>
  <c r="J158" i="2" a="1"/>
  <c r="J158" i="2" s="1"/>
  <c r="J159" i="2" a="1"/>
  <c r="J159" i="2" s="1"/>
  <c r="J160" i="2" a="1"/>
  <c r="J160" i="2" s="1"/>
  <c r="J161" i="2" a="1"/>
  <c r="J161" i="2" s="1"/>
  <c r="J162" i="2" a="1"/>
  <c r="J162" i="2" s="1"/>
  <c r="J163" i="2" a="1"/>
  <c r="J163" i="2" s="1"/>
  <c r="J164" i="2" a="1"/>
  <c r="J164" i="2" s="1"/>
  <c r="J165" i="2" a="1"/>
  <c r="J165" i="2" s="1"/>
  <c r="J166" i="2" a="1"/>
  <c r="J166" i="2" s="1"/>
  <c r="J167" i="2" a="1"/>
  <c r="J167" i="2" s="1"/>
  <c r="J168" i="2" a="1"/>
  <c r="J168" i="2" s="1"/>
  <c r="J169" i="2" a="1"/>
  <c r="J169" i="2" s="1"/>
  <c r="J170" i="2" a="1"/>
  <c r="J170" i="2" s="1"/>
  <c r="J171" i="2" a="1"/>
  <c r="J171" i="2" s="1"/>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s="1"/>
  <c r="J201" i="2" a="1"/>
  <c r="J201" i="2" s="1"/>
  <c r="J202" i="2" a="1"/>
  <c r="J202" i="2" s="1"/>
  <c r="J203" i="2" a="1"/>
  <c r="J203" i="2" s="1"/>
  <c r="J204" i="2" a="1"/>
  <c r="J204" i="2" s="1"/>
  <c r="J205" i="2" a="1"/>
  <c r="J205" i="2" s="1"/>
  <c r="J206" i="2" a="1"/>
  <c r="J206" i="2" s="1"/>
  <c r="J207" i="2" a="1"/>
  <c r="J207" i="2" s="1"/>
  <c r="J208" i="2" a="1"/>
  <c r="J208" i="2" s="1"/>
  <c r="J209" i="2" a="1"/>
  <c r="J209" i="2" s="1"/>
  <c r="J210" i="2" a="1"/>
  <c r="J210" i="2" s="1"/>
  <c r="J211" i="2" a="1"/>
  <c r="J211" i="2" s="1"/>
  <c r="J212" i="2" a="1"/>
  <c r="J212" i="2" s="1"/>
  <c r="J213" i="2" a="1"/>
  <c r="J213" i="2" s="1"/>
  <c r="J214" i="2" a="1"/>
  <c r="J214" i="2" s="1"/>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26" i="2" a="1"/>
  <c r="J226" i="2" s="1"/>
  <c r="J227" i="2" a="1"/>
  <c r="J227" i="2" s="1"/>
  <c r="J228" i="2" a="1"/>
  <c r="J228" i="2" s="1"/>
  <c r="J229" i="2" a="1"/>
  <c r="J229" i="2" s="1"/>
  <c r="J230" i="2" a="1"/>
  <c r="J230" i="2" s="1"/>
  <c r="J231" i="2" a="1"/>
  <c r="J231" i="2" s="1"/>
  <c r="J232" i="2" a="1"/>
  <c r="J232" i="2" s="1"/>
  <c r="J233" i="2" a="1"/>
  <c r="J233" i="2" s="1"/>
  <c r="J234" i="2" a="1"/>
  <c r="J234" i="2" s="1"/>
  <c r="J235" i="2" a="1"/>
  <c r="J235" i="2" s="1"/>
  <c r="J236" i="2" a="1"/>
  <c r="J236" i="2" s="1"/>
  <c r="J237" i="2" a="1"/>
  <c r="J237" i="2" s="1"/>
  <c r="J238" i="2" a="1"/>
  <c r="J238" i="2" s="1"/>
  <c r="J239" i="2" a="1"/>
  <c r="J239" i="2" s="1"/>
  <c r="J240" i="2" a="1"/>
  <c r="J240" i="2" s="1"/>
  <c r="J241" i="2" a="1"/>
  <c r="J241" i="2" s="1"/>
  <c r="J242" i="2" a="1"/>
  <c r="J242" i="2" s="1"/>
  <c r="J243" i="2" a="1"/>
  <c r="J243" i="2" s="1"/>
  <c r="J244" i="2" a="1"/>
  <c r="J244" i="2" s="1"/>
  <c r="J245" i="2" a="1"/>
  <c r="J245" i="2" s="1"/>
  <c r="J246" i="2" a="1"/>
  <c r="J246" i="2" s="1"/>
  <c r="J247" i="2" a="1"/>
  <c r="J247" i="2" s="1"/>
  <c r="J248" i="2" a="1"/>
  <c r="J248" i="2" s="1"/>
  <c r="J249" i="2" a="1"/>
  <c r="J249" i="2" s="1"/>
  <c r="J250" i="2" a="1"/>
  <c r="J250" i="2" s="1"/>
  <c r="J251" i="2" a="1"/>
  <c r="J251" i="2" s="1"/>
  <c r="J252" i="2" a="1"/>
  <c r="J252" i="2" s="1"/>
  <c r="J253" i="2" a="1"/>
  <c r="J253" i="2" s="1"/>
  <c r="J254" i="2" a="1"/>
  <c r="J254" i="2" s="1"/>
  <c r="J255" i="2" a="1"/>
  <c r="J255" i="2" s="1"/>
  <c r="J256" i="2" a="1"/>
  <c r="J256" i="2" s="1"/>
  <c r="J257" i="2" a="1"/>
  <c r="J257" i="2" s="1"/>
  <c r="J258" i="2" a="1"/>
  <c r="J258" i="2" s="1"/>
  <c r="J259" i="2" a="1"/>
  <c r="J259" i="2" s="1"/>
  <c r="J260" i="2" a="1"/>
  <c r="J260" i="2" s="1"/>
  <c r="J261" i="2" a="1"/>
  <c r="J261" i="2" s="1"/>
  <c r="J262" i="2" a="1"/>
  <c r="J262" i="2" s="1"/>
  <c r="J263" i="2" a="1"/>
  <c r="J263" i="2" s="1"/>
  <c r="J264" i="2" a="1"/>
  <c r="J264" i="2" s="1"/>
  <c r="J265" i="2" a="1"/>
  <c r="J265" i="2" s="1"/>
  <c r="J266" i="2" a="1"/>
  <c r="J266" i="2" s="1"/>
  <c r="J267" i="2" a="1"/>
  <c r="J267" i="2" s="1"/>
  <c r="J268" i="2" a="1"/>
  <c r="J268" i="2" s="1"/>
  <c r="J269" i="2" a="1"/>
  <c r="J269" i="2" s="1"/>
  <c r="J270" i="2" a="1"/>
  <c r="J270" i="2" s="1"/>
  <c r="J271" i="2" a="1"/>
  <c r="J271" i="2" s="1"/>
  <c r="J272" i="2" a="1"/>
  <c r="J272" i="2" s="1"/>
  <c r="J273" i="2" a="1"/>
  <c r="J273" i="2" s="1"/>
  <c r="J274" i="2" a="1"/>
  <c r="J274" i="2" s="1"/>
  <c r="J275" i="2" a="1"/>
  <c r="J275" i="2" s="1"/>
  <c r="J276" i="2" a="1"/>
  <c r="J276" i="2" s="1"/>
  <c r="J277" i="2" a="1"/>
  <c r="J277" i="2" s="1"/>
  <c r="J278" i="2" a="1"/>
  <c r="J278" i="2" s="1"/>
  <c r="J279" i="2" a="1"/>
  <c r="J279" i="2" s="1"/>
  <c r="J280" i="2" a="1"/>
  <c r="J280" i="2" s="1"/>
  <c r="J281" i="2" a="1"/>
  <c r="J281" i="2" s="1"/>
  <c r="J282" i="2" a="1"/>
  <c r="J282" i="2" s="1"/>
  <c r="J283" i="2" a="1"/>
  <c r="J283" i="2" s="1"/>
  <c r="J284" i="2" a="1"/>
  <c r="J284" i="2" s="1"/>
  <c r="J285" i="2" a="1"/>
  <c r="J285" i="2" s="1"/>
  <c r="J286" i="2" a="1"/>
  <c r="J286" i="2" s="1"/>
  <c r="J287" i="2" a="1"/>
  <c r="J287" i="2" s="1"/>
  <c r="J288" i="2" a="1"/>
  <c r="J288" i="2" s="1"/>
  <c r="J289" i="2" a="1"/>
  <c r="J289" i="2" s="1"/>
  <c r="J290" i="2" a="1"/>
  <c r="J290" i="2" s="1"/>
  <c r="J291" i="2" a="1"/>
  <c r="J291" i="2" s="1"/>
  <c r="J292" i="2" a="1"/>
  <c r="J292" i="2" s="1"/>
  <c r="J293" i="2" a="1"/>
  <c r="J293" i="2" s="1"/>
  <c r="J294" i="2" a="1"/>
  <c r="J294" i="2" s="1"/>
  <c r="J295" i="2" a="1"/>
  <c r="J295" i="2" s="1"/>
  <c r="J296" i="2" a="1"/>
  <c r="J296" i="2" s="1"/>
  <c r="J297" i="2" a="1"/>
  <c r="J297" i="2" s="1"/>
  <c r="J298" i="2" a="1"/>
  <c r="J298" i="2" s="1"/>
  <c r="J299" i="2" a="1"/>
  <c r="J299" i="2" s="1"/>
  <c r="J300" i="2" a="1"/>
  <c r="J300" i="2" s="1"/>
  <c r="J301" i="2" a="1"/>
  <c r="J301" i="2" s="1"/>
  <c r="J302" i="2" a="1"/>
  <c r="J302" i="2" s="1"/>
  <c r="J303" i="2" a="1"/>
  <c r="J303" i="2" s="1"/>
  <c r="J304" i="2" a="1"/>
  <c r="J304" i="2" s="1"/>
  <c r="J305" i="2" a="1"/>
  <c r="J305" i="2" s="1"/>
  <c r="J306" i="2" a="1"/>
  <c r="J306" i="2" s="1"/>
  <c r="J307" i="2" a="1"/>
  <c r="J307" i="2" s="1"/>
  <c r="J308" i="2" a="1"/>
  <c r="J308" i="2" s="1"/>
  <c r="J309" i="2" a="1"/>
  <c r="J309" i="2" s="1"/>
  <c r="J310" i="2" a="1"/>
  <c r="J310" i="2" s="1"/>
  <c r="J311" i="2" a="1"/>
  <c r="J311" i="2" s="1"/>
  <c r="J312" i="2" a="1"/>
  <c r="J312" i="2" s="1"/>
  <c r="J313" i="2" a="1"/>
  <c r="J313" i="2" s="1"/>
  <c r="J314" i="2" a="1"/>
  <c r="J314" i="2" s="1"/>
  <c r="J315" i="2" a="1"/>
  <c r="J315" i="2" s="1"/>
  <c r="J316" i="2" a="1"/>
  <c r="J316" i="2" s="1"/>
  <c r="J317" i="2" a="1"/>
  <c r="J317" i="2" s="1"/>
  <c r="J318" i="2" a="1"/>
  <c r="J318" i="2" s="1"/>
  <c r="J319" i="2" a="1"/>
  <c r="J319" i="2" s="1"/>
  <c r="J320" i="2" a="1"/>
  <c r="J320" i="2" s="1"/>
  <c r="J321" i="2" a="1"/>
  <c r="J321" i="2" s="1"/>
  <c r="J322" i="2" a="1"/>
  <c r="J322" i="2" s="1"/>
  <c r="J323" i="2" a="1"/>
  <c r="J323" i="2" s="1"/>
  <c r="J324" i="2" a="1"/>
  <c r="J324" i="2" s="1"/>
  <c r="J325" i="2" a="1"/>
  <c r="J325" i="2" s="1"/>
  <c r="J326" i="2" a="1"/>
  <c r="J326" i="2" s="1"/>
  <c r="J327" i="2" a="1"/>
  <c r="J327" i="2" s="1"/>
  <c r="J328" i="2" a="1"/>
  <c r="J328" i="2" s="1"/>
  <c r="J329" i="2" a="1"/>
  <c r="J329" i="2" s="1"/>
  <c r="J330" i="2" a="1"/>
  <c r="J330" i="2" s="1"/>
  <c r="J331" i="2" a="1"/>
  <c r="J331" i="2" s="1"/>
  <c r="J332" i="2" a="1"/>
  <c r="J332" i="2" s="1"/>
  <c r="J333" i="2" a="1"/>
  <c r="J333" i="2" s="1"/>
  <c r="J334" i="2" a="1"/>
  <c r="J334" i="2" s="1"/>
  <c r="J335" i="2" a="1"/>
  <c r="J335" i="2" s="1"/>
  <c r="J336" i="2" a="1"/>
  <c r="J336" i="2" s="1"/>
  <c r="J337" i="2" a="1"/>
  <c r="J337" i="2" s="1"/>
  <c r="J338" i="2" a="1"/>
  <c r="J338" i="2" s="1"/>
  <c r="J339" i="2" a="1"/>
  <c r="J339" i="2" s="1"/>
  <c r="J340" i="2" a="1"/>
  <c r="J340" i="2" s="1"/>
  <c r="J341" i="2" a="1"/>
  <c r="J341" i="2" s="1"/>
  <c r="J342" i="2" a="1"/>
  <c r="J342" i="2" s="1"/>
  <c r="J343" i="2" a="1"/>
  <c r="J343" i="2" s="1"/>
  <c r="J344" i="2" a="1"/>
  <c r="J344" i="2" s="1"/>
  <c r="J345" i="2" a="1"/>
  <c r="J345" i="2" s="1"/>
  <c r="J346" i="2" a="1"/>
  <c r="J346" i="2" s="1"/>
  <c r="J347" i="2" a="1"/>
  <c r="J347" i="2" s="1"/>
  <c r="J348" i="2" a="1"/>
  <c r="J348" i="2" s="1"/>
  <c r="J349" i="2" a="1"/>
  <c r="J349" i="2" s="1"/>
  <c r="J350" i="2" a="1"/>
  <c r="J350" i="2" s="1"/>
  <c r="J351" i="2" a="1"/>
  <c r="J351" i="2" s="1"/>
  <c r="J352" i="2" a="1"/>
  <c r="J352" i="2" s="1"/>
  <c r="J353" i="2" a="1"/>
  <c r="J353" i="2" s="1"/>
  <c r="J354" i="2" a="1"/>
  <c r="J354" i="2" s="1"/>
  <c r="J355" i="2" a="1"/>
  <c r="J355" i="2" s="1"/>
  <c r="J356" i="2" a="1"/>
  <c r="J356" i="2" s="1"/>
  <c r="J357" i="2" a="1"/>
  <c r="J357" i="2" s="1"/>
  <c r="J358" i="2" a="1"/>
  <c r="J358" i="2" s="1"/>
  <c r="J359" i="2" a="1"/>
  <c r="J359" i="2" s="1"/>
  <c r="J360" i="2" a="1"/>
  <c r="J360" i="2" s="1"/>
  <c r="J361" i="2" a="1"/>
  <c r="J361" i="2" s="1"/>
  <c r="J362" i="2" a="1"/>
  <c r="J362" i="2" s="1"/>
  <c r="J363" i="2" a="1"/>
  <c r="J363" i="2" s="1"/>
  <c r="J364" i="2" a="1"/>
  <c r="J364" i="2" s="1"/>
  <c r="J365" i="2" a="1"/>
  <c r="J365" i="2" s="1"/>
  <c r="J366" i="2" a="1"/>
  <c r="J366" i="2" s="1"/>
  <c r="J367" i="2" a="1"/>
  <c r="J367" i="2" s="1"/>
  <c r="J368" i="2" a="1"/>
  <c r="J368" i="2" s="1"/>
  <c r="J369" i="2" a="1"/>
  <c r="J369" i="2" s="1"/>
  <c r="J370" i="2" a="1"/>
  <c r="J370" i="2" s="1"/>
  <c r="J371" i="2" a="1"/>
  <c r="J371" i="2" s="1"/>
  <c r="J372" i="2" a="1"/>
  <c r="J372" i="2" s="1"/>
  <c r="J373" i="2" a="1"/>
  <c r="J373" i="2" s="1"/>
  <c r="J374" i="2" a="1"/>
  <c r="J374" i="2" s="1"/>
  <c r="J375" i="2" a="1"/>
  <c r="J375" i="2" s="1"/>
  <c r="J376" i="2" a="1"/>
  <c r="J376" i="2" s="1"/>
  <c r="J377" i="2" a="1"/>
  <c r="J377" i="2" s="1"/>
  <c r="J378" i="2" a="1"/>
  <c r="J378" i="2" s="1"/>
  <c r="J379" i="2" a="1"/>
  <c r="J379" i="2" s="1"/>
  <c r="J380" i="2" a="1"/>
  <c r="J380" i="2" s="1"/>
  <c r="J381" i="2" a="1"/>
  <c r="J381" i="2" s="1"/>
  <c r="J382" i="2" a="1"/>
  <c r="J382" i="2" s="1"/>
  <c r="J383" i="2" a="1"/>
  <c r="J383" i="2" s="1"/>
  <c r="J384" i="2" a="1"/>
  <c r="J384" i="2" s="1"/>
  <c r="J385" i="2" a="1"/>
  <c r="J385" i="2" s="1"/>
  <c r="J386" i="2" a="1"/>
  <c r="J386" i="2" s="1"/>
  <c r="J387" i="2" a="1"/>
  <c r="J387" i="2" s="1"/>
  <c r="J388" i="2" a="1"/>
  <c r="J388" i="2" s="1"/>
  <c r="J389" i="2" a="1"/>
  <c r="J389" i="2" s="1"/>
  <c r="J390" i="2" a="1"/>
  <c r="J390" i="2" s="1"/>
  <c r="J391" i="2" a="1"/>
  <c r="J391" i="2" s="1"/>
  <c r="J392" i="2" a="1"/>
  <c r="J392" i="2" s="1"/>
  <c r="J393" i="2" a="1"/>
  <c r="J393" i="2" s="1"/>
  <c r="J394" i="2" a="1"/>
  <c r="J394" i="2" s="1"/>
  <c r="J395" i="2" a="1"/>
  <c r="J395" i="2" s="1"/>
  <c r="J396" i="2" a="1"/>
  <c r="J396" i="2" s="1"/>
  <c r="J397" i="2" a="1"/>
  <c r="J397" i="2" s="1"/>
  <c r="J398" i="2" a="1"/>
  <c r="J398" i="2" s="1"/>
  <c r="J399" i="2" a="1"/>
  <c r="J399" i="2" s="1"/>
  <c r="J400" i="2" a="1"/>
  <c r="J400" i="2" s="1"/>
  <c r="J401" i="2" a="1"/>
  <c r="J401" i="2" s="1"/>
  <c r="J402" i="2" a="1"/>
  <c r="J402" i="2" s="1"/>
  <c r="J403" i="2" a="1"/>
  <c r="J403" i="2" s="1"/>
  <c r="J404" i="2" a="1"/>
  <c r="J404" i="2" s="1"/>
  <c r="J405" i="2" a="1"/>
  <c r="J405" i="2" s="1"/>
  <c r="J406" i="2" a="1"/>
  <c r="J406" i="2" s="1"/>
  <c r="J407" i="2" a="1"/>
  <c r="J407" i="2" s="1"/>
  <c r="J408" i="2" a="1"/>
  <c r="J408" i="2" s="1"/>
  <c r="J409" i="2" a="1"/>
  <c r="J409" i="2" s="1"/>
  <c r="J410" i="2" a="1"/>
  <c r="J410" i="2" s="1"/>
  <c r="J411" i="2" a="1"/>
  <c r="J411" i="2" s="1"/>
  <c r="J412" i="2" a="1"/>
  <c r="J412" i="2" s="1"/>
  <c r="J413" i="2" a="1"/>
  <c r="J413" i="2" s="1"/>
  <c r="J414" i="2" a="1"/>
  <c r="J414" i="2" s="1"/>
  <c r="J415" i="2" a="1"/>
  <c r="J415" i="2" s="1"/>
  <c r="J416" i="2" a="1"/>
  <c r="J416" i="2" s="1"/>
  <c r="J417" i="2" a="1"/>
  <c r="J417" i="2" s="1"/>
  <c r="J418" i="2" a="1"/>
  <c r="J418" i="2" s="1"/>
  <c r="J419" i="2" a="1"/>
  <c r="J419" i="2" s="1"/>
  <c r="J420" i="2" a="1"/>
  <c r="J420" i="2" s="1"/>
  <c r="J421" i="2" a="1"/>
  <c r="J421" i="2" s="1"/>
  <c r="J422" i="2" a="1"/>
  <c r="J422" i="2" s="1"/>
  <c r="J423" i="2" a="1"/>
  <c r="J423" i="2" s="1"/>
  <c r="J424" i="2" a="1"/>
  <c r="J424" i="2" s="1"/>
  <c r="J425" i="2" a="1"/>
  <c r="J425" i="2" s="1"/>
  <c r="J426" i="2" a="1"/>
  <c r="J426" i="2" s="1"/>
  <c r="J427" i="2" a="1"/>
  <c r="J427" i="2" s="1"/>
  <c r="J428" i="2" a="1"/>
  <c r="J428" i="2" s="1"/>
  <c r="J429" i="2" a="1"/>
  <c r="J429" i="2" s="1"/>
  <c r="J430" i="2" a="1"/>
  <c r="J430" i="2" s="1"/>
  <c r="J431" i="2" a="1"/>
  <c r="J431" i="2" s="1"/>
  <c r="J432" i="2" a="1"/>
  <c r="J432" i="2" s="1"/>
  <c r="J433" i="2" a="1"/>
  <c r="J433" i="2" s="1"/>
  <c r="J434" i="2" a="1"/>
  <c r="J434" i="2" s="1"/>
  <c r="J435" i="2" a="1"/>
  <c r="J435" i="2" s="1"/>
  <c r="J436" i="2" a="1"/>
  <c r="J436" i="2" s="1"/>
  <c r="J437" i="2" a="1"/>
  <c r="J437" i="2" s="1"/>
  <c r="J438" i="2" a="1"/>
  <c r="J438" i="2" s="1"/>
  <c r="J439" i="2" a="1"/>
  <c r="J439" i="2" s="1"/>
  <c r="J440" i="2" a="1"/>
  <c r="J440" i="2" s="1"/>
  <c r="J441" i="2" a="1"/>
  <c r="J441" i="2" s="1"/>
  <c r="J442" i="2" a="1"/>
  <c r="J442" i="2" s="1"/>
  <c r="J443" i="2" a="1"/>
  <c r="J443" i="2" s="1"/>
  <c r="J444" i="2" a="1"/>
  <c r="J444" i="2" s="1"/>
  <c r="J445" i="2" a="1"/>
  <c r="J445" i="2" s="1"/>
  <c r="J446" i="2" a="1"/>
  <c r="J446" i="2" s="1"/>
  <c r="J447" i="2" a="1"/>
  <c r="J447" i="2" s="1"/>
  <c r="J448" i="2" a="1"/>
  <c r="J448" i="2" s="1"/>
  <c r="J449" i="2" a="1"/>
  <c r="J449" i="2" s="1"/>
  <c r="J450" i="2" a="1"/>
  <c r="J450" i="2" s="1"/>
  <c r="J451" i="2" a="1"/>
  <c r="J451" i="2" s="1"/>
  <c r="J452" i="2" a="1"/>
  <c r="J452" i="2" s="1"/>
  <c r="J453" i="2" a="1"/>
  <c r="J453" i="2" s="1"/>
  <c r="J454" i="2" a="1"/>
  <c r="J454" i="2" s="1"/>
  <c r="J455" i="2" a="1"/>
  <c r="J455" i="2" s="1"/>
  <c r="J456" i="2" a="1"/>
  <c r="J456" i="2" s="1"/>
  <c r="J457" i="2" a="1"/>
  <c r="J457" i="2" s="1"/>
  <c r="J458" i="2" a="1"/>
  <c r="J458" i="2" s="1"/>
  <c r="J459" i="2" a="1"/>
  <c r="J459" i="2" s="1"/>
  <c r="J460" i="2" a="1"/>
  <c r="J460" i="2" s="1"/>
  <c r="J461" i="2" a="1"/>
  <c r="J461" i="2" s="1"/>
  <c r="J462" i="2" a="1"/>
  <c r="J462" i="2" s="1"/>
  <c r="J463" i="2" a="1"/>
  <c r="J463" i="2" s="1"/>
  <c r="J464" i="2" a="1"/>
  <c r="J464" i="2" s="1"/>
  <c r="J465" i="2" a="1"/>
  <c r="J465" i="2" s="1"/>
  <c r="J466" i="2" a="1"/>
  <c r="J466" i="2" s="1"/>
  <c r="J467" i="2" a="1"/>
  <c r="J467" i="2" s="1"/>
  <c r="J468" i="2" a="1"/>
  <c r="J468" i="2" s="1"/>
  <c r="J469" i="2" a="1"/>
  <c r="J469" i="2" s="1"/>
  <c r="J470" i="2" a="1"/>
  <c r="J470" i="2" s="1"/>
  <c r="J471" i="2" a="1"/>
  <c r="J471" i="2" s="1"/>
  <c r="J472" i="2" a="1"/>
  <c r="J472" i="2" s="1"/>
  <c r="J473" i="2" a="1"/>
  <c r="J473" i="2" s="1"/>
  <c r="J474" i="2" a="1"/>
  <c r="J474" i="2" s="1"/>
  <c r="J475" i="2" a="1"/>
  <c r="J475" i="2" s="1"/>
  <c r="J476" i="2" a="1"/>
  <c r="J476" i="2" s="1"/>
  <c r="J477" i="2" a="1"/>
  <c r="J477" i="2" s="1"/>
  <c r="J478" i="2" a="1"/>
  <c r="J478" i="2" s="1"/>
  <c r="J479" i="2" a="1"/>
  <c r="J479" i="2" s="1"/>
  <c r="J480" i="2" a="1"/>
  <c r="J480" i="2" s="1"/>
  <c r="J481" i="2" a="1"/>
  <c r="J481" i="2" s="1"/>
  <c r="J482" i="2" a="1"/>
  <c r="J482" i="2" s="1"/>
  <c r="J483" i="2" a="1"/>
  <c r="J483" i="2" s="1"/>
  <c r="J484" i="2" a="1"/>
  <c r="J484" i="2" s="1"/>
  <c r="J485" i="2" a="1"/>
  <c r="J485" i="2" s="1"/>
  <c r="J486" i="2" a="1"/>
  <c r="J486" i="2" s="1"/>
  <c r="J487" i="2" a="1"/>
  <c r="J487" i="2" s="1"/>
  <c r="J488" i="2" a="1"/>
  <c r="J48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T2" i="2" a="1"/>
  <c r="T2" i="2" s="1"/>
  <c r="T3" i="2" a="1"/>
  <c r="T3" i="2" s="1"/>
  <c r="T4" i="2" a="1"/>
  <c r="T4" i="2" s="1"/>
  <c r="T5" i="2" a="1"/>
  <c r="T5" i="2" s="1"/>
  <c r="T6" i="2" a="1"/>
  <c r="T6" i="2" s="1"/>
  <c r="T7" i="2" a="1"/>
  <c r="T7" i="2" s="1"/>
  <c r="T8" i="2" a="1"/>
  <c r="T8" i="2" s="1"/>
  <c r="T9" i="2" a="1"/>
  <c r="T9" i="2" s="1"/>
  <c r="T10" i="2" a="1"/>
  <c r="T10" i="2" s="1"/>
  <c r="T11" i="2" a="1"/>
  <c r="T11" i="2" s="1"/>
  <c r="T12" i="2" a="1"/>
  <c r="T12" i="2" s="1"/>
  <c r="T13" i="2" a="1"/>
  <c r="T13" i="2" s="1"/>
  <c r="T14" i="2" a="1"/>
  <c r="T14" i="2" s="1"/>
  <c r="T15" i="2" a="1"/>
  <c r="T15" i="2" s="1"/>
  <c r="T16" i="2" a="1"/>
  <c r="T16" i="2" s="1"/>
  <c r="T17" i="2" a="1"/>
  <c r="T17" i="2" s="1"/>
  <c r="T18" i="2" a="1"/>
  <c r="T18" i="2" s="1"/>
  <c r="T19" i="2" a="1"/>
  <c r="T19" i="2" s="1"/>
  <c r="T20" i="2" a="1"/>
  <c r="T20" i="2" s="1"/>
  <c r="T21" i="2" a="1"/>
  <c r="T21" i="2" s="1"/>
  <c r="T22" i="2" a="1"/>
  <c r="T22" i="2" s="1"/>
  <c r="T23" i="2" a="1"/>
  <c r="T23" i="2" s="1"/>
  <c r="T24" i="2" a="1"/>
  <c r="T24" i="2" s="1"/>
  <c r="T25" i="2" a="1"/>
  <c r="T25" i="2" s="1"/>
  <c r="T26" i="2" a="1"/>
  <c r="T26" i="2" s="1"/>
  <c r="T27" i="2" a="1"/>
  <c r="T27" i="2" s="1"/>
  <c r="T28" i="2" a="1"/>
  <c r="T28" i="2" s="1"/>
  <c r="T29" i="2" a="1"/>
  <c r="T29" i="2" s="1"/>
  <c r="T30" i="2" a="1"/>
  <c r="T30" i="2" s="1"/>
  <c r="T31" i="2" a="1"/>
  <c r="T31" i="2" s="1"/>
  <c r="T32" i="2" a="1"/>
  <c r="T32" i="2" s="1"/>
  <c r="T33" i="2" a="1"/>
  <c r="T33" i="2" s="1"/>
  <c r="T34" i="2" a="1"/>
  <c r="T34" i="2" s="1"/>
  <c r="T35" i="2" a="1"/>
  <c r="T35" i="2" s="1"/>
  <c r="T36" i="2" a="1"/>
  <c r="T36" i="2" s="1"/>
  <c r="T37" i="2" a="1"/>
  <c r="T37" i="2" s="1"/>
  <c r="T38" i="2" a="1"/>
  <c r="T38" i="2" s="1"/>
  <c r="T39" i="2" a="1"/>
  <c r="T39" i="2" s="1"/>
  <c r="T40" i="2" a="1"/>
  <c r="T40" i="2" s="1"/>
  <c r="T41" i="2" a="1"/>
  <c r="T41" i="2" s="1"/>
  <c r="T42" i="2" a="1"/>
  <c r="T42" i="2" s="1"/>
  <c r="T43" i="2" a="1"/>
  <c r="T43" i="2" s="1"/>
  <c r="T44" i="2" a="1"/>
  <c r="T44" i="2" s="1"/>
  <c r="T45" i="2" a="1"/>
  <c r="T45" i="2" s="1"/>
  <c r="T46" i="2" a="1"/>
  <c r="T46" i="2" s="1"/>
  <c r="T47" i="2" a="1"/>
  <c r="T47" i="2" s="1"/>
  <c r="T48" i="2" a="1"/>
  <c r="T48" i="2" s="1"/>
  <c r="T49" i="2" a="1"/>
  <c r="T49" i="2" s="1"/>
  <c r="T50" i="2" a="1"/>
  <c r="T50" i="2" s="1"/>
  <c r="T51" i="2" a="1"/>
  <c r="T51" i="2" s="1"/>
  <c r="T52" i="2" a="1"/>
  <c r="T52" i="2" s="1"/>
  <c r="T53" i="2" a="1"/>
  <c r="T53" i="2" s="1"/>
  <c r="T54" i="2" a="1"/>
  <c r="T54" i="2" s="1"/>
  <c r="T55" i="2" a="1"/>
  <c r="T55" i="2" s="1"/>
  <c r="T56" i="2" a="1"/>
  <c r="T56" i="2" s="1"/>
  <c r="T57" i="2" a="1"/>
  <c r="T57" i="2" s="1"/>
  <c r="T58" i="2" a="1"/>
  <c r="T58" i="2" s="1"/>
  <c r="T59" i="2" a="1"/>
  <c r="T59" i="2" s="1"/>
  <c r="T60" i="2" a="1"/>
  <c r="T60" i="2" s="1"/>
  <c r="T61" i="2" a="1"/>
  <c r="T61" i="2" s="1"/>
  <c r="T62" i="2" a="1"/>
  <c r="T62" i="2" s="1"/>
  <c r="T63" i="2" a="1"/>
  <c r="T63" i="2" s="1"/>
  <c r="T64" i="2" a="1"/>
  <c r="T64" i="2" s="1"/>
  <c r="T65" i="2" a="1"/>
  <c r="T65" i="2" s="1"/>
  <c r="T66" i="2" a="1"/>
  <c r="T66" i="2" s="1"/>
  <c r="T67" i="2" a="1"/>
  <c r="T67" i="2" s="1"/>
  <c r="T68" i="2" a="1"/>
  <c r="T68" i="2" s="1"/>
  <c r="T69" i="2" a="1"/>
  <c r="T69" i="2" s="1"/>
  <c r="T70" i="2" a="1"/>
  <c r="T70" i="2" s="1"/>
  <c r="T71" i="2" a="1"/>
  <c r="T71" i="2" s="1"/>
  <c r="T72" i="2" a="1"/>
  <c r="T72" i="2" s="1"/>
  <c r="T73" i="2" a="1"/>
  <c r="T73" i="2" s="1"/>
  <c r="T74" i="2" a="1"/>
  <c r="T74" i="2" s="1"/>
  <c r="T75" i="2" a="1"/>
  <c r="T75" i="2" s="1"/>
  <c r="T76" i="2" a="1"/>
  <c r="T76" i="2" s="1"/>
  <c r="T77" i="2" a="1"/>
  <c r="T77" i="2" s="1"/>
  <c r="T78" i="2" a="1"/>
  <c r="T78" i="2" s="1"/>
  <c r="T79" i="2" a="1"/>
  <c r="T79" i="2" s="1"/>
  <c r="T80" i="2" a="1"/>
  <c r="T80" i="2" s="1"/>
  <c r="T81" i="2" a="1"/>
  <c r="T81" i="2" s="1"/>
  <c r="T82" i="2" a="1"/>
  <c r="T82" i="2" s="1"/>
  <c r="T83" i="2" a="1"/>
  <c r="T83" i="2" s="1"/>
  <c r="T84" i="2" a="1"/>
  <c r="T84" i="2" s="1"/>
  <c r="T85" i="2" a="1"/>
  <c r="T85" i="2" s="1"/>
  <c r="T86" i="2" a="1"/>
  <c r="T86" i="2" s="1"/>
  <c r="T87" i="2" a="1"/>
  <c r="T87" i="2" s="1"/>
  <c r="T88" i="2" a="1"/>
  <c r="T88" i="2" s="1"/>
  <c r="T89" i="2" a="1"/>
  <c r="T89" i="2" s="1"/>
  <c r="T90" i="2" a="1"/>
  <c r="T90" i="2" s="1"/>
  <c r="T91" i="2" a="1"/>
  <c r="T91" i="2" s="1"/>
  <c r="T92" i="2" a="1"/>
  <c r="T92" i="2" s="1"/>
  <c r="T93" i="2" a="1"/>
  <c r="T93" i="2" s="1"/>
  <c r="T94" i="2" a="1"/>
  <c r="T94" i="2" s="1"/>
  <c r="T95" i="2" a="1"/>
  <c r="T95" i="2" s="1"/>
  <c r="T96" i="2" a="1"/>
  <c r="T96" i="2" s="1"/>
  <c r="T97" i="2" a="1"/>
  <c r="T97" i="2" s="1"/>
  <c r="T98" i="2" a="1"/>
  <c r="T98" i="2" s="1"/>
  <c r="T99" i="2" a="1"/>
  <c r="T99" i="2" s="1"/>
  <c r="T100" i="2" a="1"/>
  <c r="T100" i="2" s="1"/>
  <c r="T101" i="2" a="1"/>
  <c r="T101" i="2" s="1"/>
  <c r="T102" i="2" a="1"/>
  <c r="T102" i="2" s="1"/>
  <c r="T103" i="2" a="1"/>
  <c r="T103" i="2" s="1"/>
  <c r="T104" i="2" a="1"/>
  <c r="T104" i="2" s="1"/>
  <c r="T105" i="2" a="1"/>
  <c r="T105" i="2" s="1"/>
  <c r="T106" i="2" a="1"/>
  <c r="T106" i="2" s="1"/>
  <c r="T107" i="2" a="1"/>
  <c r="T107" i="2" s="1"/>
  <c r="T108" i="2" a="1"/>
  <c r="T108" i="2" s="1"/>
  <c r="T109" i="2" a="1"/>
  <c r="T109" i="2" s="1"/>
  <c r="T110" i="2" a="1"/>
  <c r="T110" i="2" s="1"/>
  <c r="T111" i="2" a="1"/>
  <c r="T111" i="2" s="1"/>
  <c r="T112" i="2" a="1"/>
  <c r="T112" i="2" s="1"/>
  <c r="T113" i="2" a="1"/>
  <c r="T113" i="2" s="1"/>
  <c r="T114" i="2" a="1"/>
  <c r="T114" i="2" s="1"/>
  <c r="T115" i="2" a="1"/>
  <c r="T115" i="2" s="1"/>
  <c r="T116" i="2" a="1"/>
  <c r="T116" i="2" s="1"/>
  <c r="T117" i="2" a="1"/>
  <c r="T117" i="2" s="1"/>
  <c r="T118" i="2" a="1"/>
  <c r="T118" i="2" s="1"/>
  <c r="T119" i="2" a="1"/>
  <c r="T119" i="2" s="1"/>
  <c r="T120" i="2" a="1"/>
  <c r="T120" i="2" s="1"/>
  <c r="T121" i="2" a="1"/>
  <c r="T121" i="2" s="1"/>
  <c r="T122" i="2" a="1"/>
  <c r="T122" i="2" s="1"/>
  <c r="T123" i="2" a="1"/>
  <c r="T123" i="2" s="1"/>
  <c r="T124" i="2" a="1"/>
  <c r="T124" i="2" s="1"/>
  <c r="T125" i="2" a="1"/>
  <c r="T125" i="2" s="1"/>
  <c r="T126" i="2" a="1"/>
  <c r="T126" i="2" s="1"/>
  <c r="T127" i="2" a="1"/>
  <c r="T127" i="2" s="1"/>
  <c r="T128" i="2" a="1"/>
  <c r="T128" i="2" s="1"/>
  <c r="T129" i="2" a="1"/>
  <c r="T129" i="2" s="1"/>
  <c r="T130" i="2" a="1"/>
  <c r="T130" i="2" s="1"/>
  <c r="T131" i="2" a="1"/>
  <c r="T131" i="2" s="1"/>
  <c r="T132" i="2" a="1"/>
  <c r="T132" i="2" s="1"/>
  <c r="T133" i="2" a="1"/>
  <c r="T133" i="2" s="1"/>
  <c r="T134" i="2" a="1"/>
  <c r="T134" i="2" s="1"/>
  <c r="T135" i="2" a="1"/>
  <c r="T135" i="2" s="1"/>
  <c r="T136" i="2" a="1"/>
  <c r="T136" i="2" s="1"/>
  <c r="T137" i="2" a="1"/>
  <c r="T137" i="2" s="1"/>
  <c r="T138" i="2" a="1"/>
  <c r="T138" i="2" s="1"/>
  <c r="T139" i="2" a="1"/>
  <c r="T139" i="2" s="1"/>
  <c r="T140" i="2" a="1"/>
  <c r="T140" i="2" s="1"/>
  <c r="T141" i="2" a="1"/>
  <c r="T141" i="2" s="1"/>
  <c r="T142" i="2" a="1"/>
  <c r="T142" i="2" s="1"/>
  <c r="T143" i="2" a="1"/>
  <c r="T143" i="2" s="1"/>
  <c r="T144" i="2" a="1"/>
  <c r="T144" i="2" s="1"/>
  <c r="T145" i="2" a="1"/>
  <c r="T145" i="2" s="1"/>
  <c r="T146" i="2" a="1"/>
  <c r="T146" i="2" s="1"/>
  <c r="T147" i="2" a="1"/>
  <c r="T147" i="2" s="1"/>
  <c r="T148" i="2" a="1"/>
  <c r="T148" i="2" s="1"/>
  <c r="T149" i="2" a="1"/>
  <c r="T149" i="2" s="1"/>
  <c r="T150" i="2" a="1"/>
  <c r="T150" i="2" s="1"/>
  <c r="T151" i="2" a="1"/>
  <c r="T151" i="2" s="1"/>
  <c r="T152" i="2" a="1"/>
  <c r="T152" i="2" s="1"/>
  <c r="T153" i="2" a="1"/>
  <c r="T153" i="2" s="1"/>
  <c r="T154" i="2" a="1"/>
  <c r="T154" i="2" s="1"/>
  <c r="T155" i="2" a="1"/>
  <c r="T155" i="2" s="1"/>
  <c r="T156" i="2" a="1"/>
  <c r="T156" i="2" s="1"/>
  <c r="T157" i="2" a="1"/>
  <c r="T157" i="2" s="1"/>
  <c r="T158" i="2" a="1"/>
  <c r="T158" i="2" s="1"/>
  <c r="T159" i="2" a="1"/>
  <c r="T159" i="2" s="1"/>
  <c r="T160" i="2" a="1"/>
  <c r="T160" i="2" s="1"/>
  <c r="T161" i="2" a="1"/>
  <c r="T161" i="2" s="1"/>
  <c r="T162" i="2" a="1"/>
  <c r="T162" i="2" s="1"/>
  <c r="T163" i="2" a="1"/>
  <c r="T163" i="2" s="1"/>
  <c r="T164" i="2" a="1"/>
  <c r="T164" i="2" s="1"/>
  <c r="T165" i="2" a="1"/>
  <c r="T165" i="2" s="1"/>
  <c r="T166" i="2" a="1"/>
  <c r="T166" i="2" s="1"/>
  <c r="T167" i="2" a="1"/>
  <c r="T167" i="2" s="1"/>
  <c r="T168" i="2" a="1"/>
  <c r="T168" i="2" s="1"/>
  <c r="T169" i="2" a="1"/>
  <c r="T169" i="2" s="1"/>
  <c r="T170" i="2" a="1"/>
  <c r="T170" i="2" s="1"/>
  <c r="T171" i="2" a="1"/>
  <c r="T171" i="2" s="1"/>
  <c r="T172" i="2" a="1"/>
  <c r="T172" i="2" s="1"/>
  <c r="T173" i="2" a="1"/>
  <c r="T173" i="2" s="1"/>
  <c r="T174" i="2" a="1"/>
  <c r="T174" i="2" s="1"/>
  <c r="T175" i="2" a="1"/>
  <c r="T175" i="2" s="1"/>
  <c r="T176" i="2" a="1"/>
  <c r="T176" i="2" s="1"/>
  <c r="T177" i="2" a="1"/>
  <c r="T177" i="2" s="1"/>
  <c r="T178" i="2" a="1"/>
  <c r="T178" i="2" s="1"/>
  <c r="T179" i="2" a="1"/>
  <c r="T179" i="2" s="1"/>
  <c r="T180" i="2" a="1"/>
  <c r="T180" i="2" s="1"/>
  <c r="T181" i="2" a="1"/>
  <c r="T181" i="2" s="1"/>
  <c r="T182" i="2" a="1"/>
  <c r="T182" i="2" s="1"/>
  <c r="T183" i="2" a="1"/>
  <c r="T183" i="2" s="1"/>
  <c r="T184" i="2" a="1"/>
  <c r="T184" i="2" s="1"/>
  <c r="T185" i="2" a="1"/>
  <c r="T185" i="2" s="1"/>
  <c r="T186" i="2" a="1"/>
  <c r="T186" i="2" s="1"/>
  <c r="T187" i="2" a="1"/>
  <c r="T187" i="2" s="1"/>
  <c r="T188" i="2" a="1"/>
  <c r="T188" i="2" s="1"/>
  <c r="T189" i="2" a="1"/>
  <c r="T189" i="2" s="1"/>
  <c r="T190" i="2" a="1"/>
  <c r="T190" i="2" s="1"/>
  <c r="T191" i="2" a="1"/>
  <c r="T191" i="2" s="1"/>
  <c r="T192" i="2" a="1"/>
  <c r="T192" i="2" s="1"/>
  <c r="T193" i="2" a="1"/>
  <c r="T193" i="2" s="1"/>
  <c r="T194" i="2" a="1"/>
  <c r="T194" i="2" s="1"/>
  <c r="T195" i="2" a="1"/>
  <c r="T195" i="2" s="1"/>
  <c r="T196" i="2" a="1"/>
  <c r="T196" i="2" s="1"/>
  <c r="T197" i="2" a="1"/>
  <c r="T197" i="2" s="1"/>
  <c r="T198" i="2" a="1"/>
  <c r="T198" i="2" s="1"/>
  <c r="T199" i="2" a="1"/>
  <c r="T199" i="2" s="1"/>
  <c r="T200" i="2" a="1"/>
  <c r="T200" i="2" s="1"/>
  <c r="T201" i="2" a="1"/>
  <c r="T201" i="2" s="1"/>
  <c r="T202" i="2" a="1"/>
  <c r="T202" i="2" s="1"/>
  <c r="T203" i="2" a="1"/>
  <c r="T203" i="2" s="1"/>
  <c r="T204" i="2" a="1"/>
  <c r="T204" i="2" s="1"/>
  <c r="T205" i="2" a="1"/>
  <c r="T205" i="2" s="1"/>
  <c r="T206" i="2" a="1"/>
  <c r="T206" i="2" s="1"/>
  <c r="T207" i="2" a="1"/>
  <c r="T207" i="2" s="1"/>
  <c r="T208" i="2" a="1"/>
  <c r="T208" i="2" s="1"/>
  <c r="T209" i="2" a="1"/>
  <c r="T209" i="2" s="1"/>
  <c r="T210" i="2" a="1"/>
  <c r="T210" i="2" s="1"/>
  <c r="T211" i="2" a="1"/>
  <c r="T211" i="2" s="1"/>
  <c r="T212" i="2" a="1"/>
  <c r="T212" i="2" s="1"/>
  <c r="T213" i="2" a="1"/>
  <c r="T213" i="2" s="1"/>
  <c r="T214" i="2" a="1"/>
  <c r="T214" i="2" s="1"/>
  <c r="T215" i="2" a="1"/>
  <c r="T215" i="2" s="1"/>
  <c r="T216" i="2" a="1"/>
  <c r="T216" i="2" s="1"/>
  <c r="T217" i="2" a="1"/>
  <c r="T217" i="2" s="1"/>
  <c r="T218" i="2" a="1"/>
  <c r="T218" i="2" s="1"/>
  <c r="T219" i="2" a="1"/>
  <c r="T219" i="2" s="1"/>
  <c r="T220" i="2" a="1"/>
  <c r="T220" i="2" s="1"/>
  <c r="T221" i="2" a="1"/>
  <c r="T221" i="2" s="1"/>
  <c r="T222" i="2" a="1"/>
  <c r="T222" i="2" s="1"/>
  <c r="T223" i="2" a="1"/>
  <c r="T223" i="2" s="1"/>
  <c r="T224" i="2" a="1"/>
  <c r="T224" i="2" s="1"/>
  <c r="T225" i="2" a="1"/>
  <c r="T225" i="2" s="1"/>
  <c r="T226" i="2" a="1"/>
  <c r="T226" i="2" s="1"/>
  <c r="T227" i="2" a="1"/>
  <c r="T227" i="2" s="1"/>
  <c r="T228" i="2" a="1"/>
  <c r="T228" i="2" s="1"/>
  <c r="T229" i="2" a="1"/>
  <c r="T229" i="2" s="1"/>
  <c r="T230" i="2" a="1"/>
  <c r="T230" i="2" s="1"/>
  <c r="T231" i="2" a="1"/>
  <c r="T231" i="2" s="1"/>
  <c r="T232" i="2" a="1"/>
  <c r="T232" i="2" s="1"/>
  <c r="T233" i="2" a="1"/>
  <c r="T233" i="2" s="1"/>
  <c r="T234" i="2" a="1"/>
  <c r="T234" i="2" s="1"/>
  <c r="T235" i="2" a="1"/>
  <c r="T235" i="2" s="1"/>
  <c r="T236" i="2" a="1"/>
  <c r="T236" i="2" s="1"/>
  <c r="T237" i="2" a="1"/>
  <c r="T237" i="2" s="1"/>
  <c r="T238" i="2" a="1"/>
  <c r="T238" i="2" s="1"/>
  <c r="T239" i="2" a="1"/>
  <c r="T239" i="2" s="1"/>
  <c r="T240" i="2" a="1"/>
  <c r="T240" i="2" s="1"/>
  <c r="T241" i="2" a="1"/>
  <c r="T241" i="2" s="1"/>
  <c r="T242" i="2" a="1"/>
  <c r="T242" i="2" s="1"/>
  <c r="T243" i="2" a="1"/>
  <c r="T243" i="2" s="1"/>
  <c r="T244" i="2" a="1"/>
  <c r="T244" i="2" s="1"/>
  <c r="T245" i="2" a="1"/>
  <c r="T245" i="2" s="1"/>
  <c r="T246" i="2" a="1"/>
  <c r="T246" i="2" s="1"/>
  <c r="T247" i="2" a="1"/>
  <c r="T247" i="2" s="1"/>
  <c r="T248" i="2" a="1"/>
  <c r="T248" i="2" s="1"/>
  <c r="T249" i="2" a="1"/>
  <c r="T249" i="2" s="1"/>
  <c r="T250" i="2" a="1"/>
  <c r="T250" i="2" s="1"/>
  <c r="T251" i="2" a="1"/>
  <c r="T251" i="2" s="1"/>
  <c r="T252" i="2" a="1"/>
  <c r="T252" i="2" s="1"/>
  <c r="T253" i="2" a="1"/>
  <c r="T253" i="2" s="1"/>
  <c r="T254" i="2" a="1"/>
  <c r="T254" i="2" s="1"/>
  <c r="T255" i="2" a="1"/>
  <c r="T255" i="2" s="1"/>
  <c r="T256" i="2" a="1"/>
  <c r="T256" i="2" s="1"/>
  <c r="T257" i="2" a="1"/>
  <c r="T257" i="2" s="1"/>
  <c r="T258" i="2" a="1"/>
  <c r="T258" i="2" s="1"/>
  <c r="T259" i="2" a="1"/>
  <c r="T259" i="2" s="1"/>
  <c r="T260" i="2" a="1"/>
  <c r="T260" i="2" s="1"/>
  <c r="T261" i="2" a="1"/>
  <c r="T261" i="2" s="1"/>
  <c r="T262" i="2" a="1"/>
  <c r="T262" i="2" s="1"/>
  <c r="T263" i="2" a="1"/>
  <c r="T263" i="2" s="1"/>
  <c r="T264" i="2" a="1"/>
  <c r="T264" i="2" s="1"/>
  <c r="T265" i="2" a="1"/>
  <c r="T265" i="2" s="1"/>
  <c r="T266" i="2" a="1"/>
  <c r="T266" i="2" s="1"/>
  <c r="T267" i="2" a="1"/>
  <c r="T267" i="2" s="1"/>
  <c r="T268" i="2" a="1"/>
  <c r="T268" i="2" s="1"/>
  <c r="T269" i="2" a="1"/>
  <c r="T269" i="2" s="1"/>
  <c r="T270" i="2" a="1"/>
  <c r="T270" i="2" s="1"/>
  <c r="T271" i="2" a="1"/>
  <c r="T271" i="2" s="1"/>
  <c r="T272" i="2" a="1"/>
  <c r="T272" i="2" s="1"/>
  <c r="T273" i="2" a="1"/>
  <c r="T273" i="2" s="1"/>
  <c r="T274" i="2" a="1"/>
  <c r="T274" i="2" s="1"/>
  <c r="T275" i="2" a="1"/>
  <c r="T275" i="2" s="1"/>
  <c r="T276" i="2" a="1"/>
  <c r="T276" i="2" s="1"/>
  <c r="T277" i="2" a="1"/>
  <c r="T277" i="2" s="1"/>
  <c r="T278" i="2" a="1"/>
  <c r="T278" i="2" s="1"/>
  <c r="T279" i="2" a="1"/>
  <c r="T279" i="2" s="1"/>
  <c r="T280" i="2" a="1"/>
  <c r="T280" i="2" s="1"/>
  <c r="T281" i="2" a="1"/>
  <c r="T281" i="2" s="1"/>
  <c r="T282" i="2" a="1"/>
  <c r="T282" i="2" s="1"/>
  <c r="T283" i="2" a="1"/>
  <c r="T283" i="2" s="1"/>
  <c r="T284" i="2" a="1"/>
  <c r="T284" i="2" s="1"/>
  <c r="T285" i="2" a="1"/>
  <c r="T285" i="2" s="1"/>
  <c r="T286" i="2" a="1"/>
  <c r="T286" i="2" s="1"/>
  <c r="T287" i="2" a="1"/>
  <c r="T287" i="2" s="1"/>
  <c r="T288" i="2" a="1"/>
  <c r="T288" i="2" s="1"/>
  <c r="T289" i="2" a="1"/>
  <c r="T289" i="2" s="1"/>
  <c r="T290" i="2" a="1"/>
  <c r="T290" i="2" s="1"/>
  <c r="T291" i="2" a="1"/>
  <c r="T291" i="2" s="1"/>
  <c r="T292" i="2" a="1"/>
  <c r="T292" i="2" s="1"/>
  <c r="T293" i="2" a="1"/>
  <c r="T293" i="2" s="1"/>
  <c r="T294" i="2" a="1"/>
  <c r="T294" i="2" s="1"/>
  <c r="T295" i="2" a="1"/>
  <c r="T295" i="2" s="1"/>
  <c r="T296" i="2" a="1"/>
  <c r="T296" i="2" s="1"/>
  <c r="T297" i="2" a="1"/>
  <c r="T297" i="2" s="1"/>
  <c r="T298" i="2" a="1"/>
  <c r="T298" i="2" s="1"/>
  <c r="T299" i="2" a="1"/>
  <c r="T299" i="2" s="1"/>
  <c r="T300" i="2" a="1"/>
  <c r="T300" i="2" s="1"/>
  <c r="T301" i="2" a="1"/>
  <c r="T301" i="2" s="1"/>
  <c r="T302" i="2" a="1"/>
  <c r="T302" i="2" s="1"/>
  <c r="T303" i="2" a="1"/>
  <c r="T303" i="2" s="1"/>
  <c r="T304" i="2" a="1"/>
  <c r="T304" i="2" s="1"/>
  <c r="T305" i="2" a="1"/>
  <c r="T305" i="2" s="1"/>
  <c r="T306" i="2" a="1"/>
  <c r="T306" i="2" s="1"/>
  <c r="T307" i="2" a="1"/>
  <c r="T307" i="2" s="1"/>
  <c r="T308" i="2" a="1"/>
  <c r="T308" i="2" s="1"/>
  <c r="T309" i="2" a="1"/>
  <c r="T309" i="2" s="1"/>
  <c r="T310" i="2" a="1"/>
  <c r="T310" i="2" s="1"/>
  <c r="T311" i="2" a="1"/>
  <c r="T311" i="2" s="1"/>
  <c r="T312" i="2" a="1"/>
  <c r="T312" i="2" s="1"/>
  <c r="T313" i="2" a="1"/>
  <c r="T313" i="2" s="1"/>
  <c r="T314" i="2" a="1"/>
  <c r="T314" i="2" s="1"/>
  <c r="T315" i="2" a="1"/>
  <c r="T315" i="2" s="1"/>
  <c r="T316" i="2" a="1"/>
  <c r="T316" i="2" s="1"/>
  <c r="T317" i="2" a="1"/>
  <c r="T317" i="2" s="1"/>
  <c r="T318" i="2" a="1"/>
  <c r="T318" i="2" s="1"/>
  <c r="T319" i="2" a="1"/>
  <c r="T319" i="2" s="1"/>
  <c r="T320" i="2" a="1"/>
  <c r="T320" i="2" s="1"/>
  <c r="T321" i="2" a="1"/>
  <c r="T321" i="2" s="1"/>
  <c r="T322" i="2" a="1"/>
  <c r="T322" i="2" s="1"/>
  <c r="T323" i="2" a="1"/>
  <c r="T323" i="2" s="1"/>
  <c r="T324" i="2" a="1"/>
  <c r="T324" i="2" s="1"/>
  <c r="T325" i="2" a="1"/>
  <c r="T325" i="2" s="1"/>
  <c r="T326" i="2" a="1"/>
  <c r="T326" i="2" s="1"/>
  <c r="T327" i="2" a="1"/>
  <c r="T327" i="2" s="1"/>
  <c r="T328" i="2" a="1"/>
  <c r="T328" i="2" s="1"/>
  <c r="T329" i="2" a="1"/>
  <c r="T329" i="2" s="1"/>
  <c r="T330" i="2" a="1"/>
  <c r="T330" i="2" s="1"/>
  <c r="T331" i="2" a="1"/>
  <c r="T331" i="2" s="1"/>
  <c r="T332" i="2" a="1"/>
  <c r="T332" i="2" s="1"/>
  <c r="T333" i="2" a="1"/>
  <c r="T333" i="2" s="1"/>
  <c r="T334" i="2" a="1"/>
  <c r="T334" i="2" s="1"/>
  <c r="T335" i="2" a="1"/>
  <c r="T335" i="2" s="1"/>
  <c r="T336" i="2" a="1"/>
  <c r="T336" i="2" s="1"/>
  <c r="T337" i="2" a="1"/>
  <c r="T337" i="2" s="1"/>
  <c r="T338" i="2" a="1"/>
  <c r="T338" i="2" s="1"/>
  <c r="T339" i="2" a="1"/>
  <c r="T339" i="2" s="1"/>
  <c r="T340" i="2" a="1"/>
  <c r="T340" i="2" s="1"/>
  <c r="T341" i="2" a="1"/>
  <c r="T341" i="2" s="1"/>
  <c r="T342" i="2" a="1"/>
  <c r="T342" i="2" s="1"/>
  <c r="T343" i="2" a="1"/>
  <c r="T343" i="2" s="1"/>
  <c r="T344" i="2" a="1"/>
  <c r="T344" i="2" s="1"/>
  <c r="T345" i="2" a="1"/>
  <c r="T345" i="2" s="1"/>
  <c r="T346" i="2" a="1"/>
  <c r="T346" i="2" s="1"/>
  <c r="T347" i="2" a="1"/>
  <c r="T347" i="2" s="1"/>
  <c r="T348" i="2" a="1"/>
  <c r="T348" i="2" s="1"/>
  <c r="T349" i="2" a="1"/>
  <c r="T349" i="2" s="1"/>
  <c r="T350" i="2" a="1"/>
  <c r="T350" i="2" s="1"/>
  <c r="T351" i="2" a="1"/>
  <c r="T351" i="2" s="1"/>
  <c r="T352" i="2" a="1"/>
  <c r="T352" i="2" s="1"/>
  <c r="T353" i="2" a="1"/>
  <c r="T353" i="2" s="1"/>
  <c r="T354" i="2" a="1"/>
  <c r="T354" i="2" s="1"/>
  <c r="T355" i="2" a="1"/>
  <c r="T355" i="2" s="1"/>
  <c r="T356" i="2" a="1"/>
  <c r="T356" i="2" s="1"/>
  <c r="T357" i="2" a="1"/>
  <c r="T357" i="2" s="1"/>
  <c r="T358" i="2" a="1"/>
  <c r="T358" i="2" s="1"/>
  <c r="T359" i="2" a="1"/>
  <c r="T359" i="2" s="1"/>
  <c r="T360" i="2" a="1"/>
  <c r="T360" i="2" s="1"/>
  <c r="T361" i="2" a="1"/>
  <c r="T361" i="2" s="1"/>
  <c r="T362" i="2" a="1"/>
  <c r="T362" i="2" s="1"/>
  <c r="T363" i="2" a="1"/>
  <c r="T363" i="2" s="1"/>
  <c r="T364" i="2" a="1"/>
  <c r="T364" i="2" s="1"/>
  <c r="T365" i="2" a="1"/>
  <c r="T365" i="2" s="1"/>
  <c r="T366" i="2" a="1"/>
  <c r="T366" i="2" s="1"/>
  <c r="T367" i="2" a="1"/>
  <c r="T367" i="2" s="1"/>
  <c r="T368" i="2" a="1"/>
  <c r="T368" i="2" s="1"/>
  <c r="T369" i="2" a="1"/>
  <c r="T369" i="2" s="1"/>
  <c r="T370" i="2" a="1"/>
  <c r="T370" i="2" s="1"/>
  <c r="T371" i="2" a="1"/>
  <c r="T371" i="2" s="1"/>
  <c r="T372" i="2" a="1"/>
  <c r="T372" i="2" s="1"/>
  <c r="T373" i="2" a="1"/>
  <c r="T373" i="2" s="1"/>
  <c r="T374" i="2" a="1"/>
  <c r="T374" i="2" s="1"/>
  <c r="T375" i="2" a="1"/>
  <c r="T375" i="2" s="1"/>
  <c r="T376" i="2" a="1"/>
  <c r="T376" i="2" s="1"/>
  <c r="T377" i="2" a="1"/>
  <c r="T377" i="2" s="1"/>
  <c r="T378" i="2" a="1"/>
  <c r="T378" i="2" s="1"/>
  <c r="T379" i="2" a="1"/>
  <c r="T379" i="2" s="1"/>
  <c r="T380" i="2" a="1"/>
  <c r="T380" i="2" s="1"/>
  <c r="T381" i="2" a="1"/>
  <c r="T381" i="2" s="1"/>
  <c r="T382" i="2" a="1"/>
  <c r="T382" i="2" s="1"/>
  <c r="T383" i="2" a="1"/>
  <c r="T383" i="2" s="1"/>
  <c r="T384" i="2" a="1"/>
  <c r="T384" i="2" s="1"/>
  <c r="T385" i="2" a="1"/>
  <c r="T385" i="2" s="1"/>
  <c r="T386" i="2" a="1"/>
  <c r="T386" i="2" s="1"/>
  <c r="T387" i="2" a="1"/>
  <c r="T387" i="2" s="1"/>
  <c r="T388" i="2" a="1"/>
  <c r="T388" i="2" s="1"/>
  <c r="T389" i="2" a="1"/>
  <c r="T389" i="2" s="1"/>
  <c r="T390" i="2" a="1"/>
  <c r="T390" i="2" s="1"/>
  <c r="T391" i="2" a="1"/>
  <c r="T391" i="2" s="1"/>
  <c r="T392" i="2" a="1"/>
  <c r="T392" i="2" s="1"/>
  <c r="T393" i="2" a="1"/>
  <c r="T393" i="2" s="1"/>
  <c r="T394" i="2" a="1"/>
  <c r="T394" i="2" s="1"/>
  <c r="T395" i="2" a="1"/>
  <c r="T395" i="2" s="1"/>
  <c r="T396" i="2" a="1"/>
  <c r="T396" i="2" s="1"/>
  <c r="T397" i="2" a="1"/>
  <c r="T397" i="2" s="1"/>
  <c r="T398" i="2" a="1"/>
  <c r="T398" i="2" s="1"/>
  <c r="T399" i="2" a="1"/>
  <c r="T399" i="2" s="1"/>
  <c r="T400" i="2" a="1"/>
  <c r="T400" i="2" s="1"/>
  <c r="T401" i="2" a="1"/>
  <c r="T401" i="2" s="1"/>
  <c r="T402" i="2" a="1"/>
  <c r="T402" i="2" s="1"/>
  <c r="T403" i="2" a="1"/>
  <c r="T403" i="2" s="1"/>
  <c r="T404" i="2" a="1"/>
  <c r="T404" i="2" s="1"/>
  <c r="T405" i="2" a="1"/>
  <c r="T405" i="2" s="1"/>
  <c r="T406" i="2" a="1"/>
  <c r="T406" i="2" s="1"/>
  <c r="T407" i="2" a="1"/>
  <c r="T407" i="2" s="1"/>
  <c r="T408" i="2" a="1"/>
  <c r="T408" i="2" s="1"/>
  <c r="T409" i="2" a="1"/>
  <c r="T409" i="2" s="1"/>
  <c r="T410" i="2" a="1"/>
  <c r="T410" i="2" s="1"/>
  <c r="T411" i="2" a="1"/>
  <c r="T411" i="2" s="1"/>
  <c r="T412" i="2" a="1"/>
  <c r="T412" i="2" s="1"/>
  <c r="T413" i="2" a="1"/>
  <c r="T413" i="2" s="1"/>
  <c r="T414" i="2" a="1"/>
  <c r="T414" i="2" s="1"/>
  <c r="T415" i="2" a="1"/>
  <c r="T415" i="2" s="1"/>
  <c r="T416" i="2" a="1"/>
  <c r="T416" i="2" s="1"/>
  <c r="T417" i="2" a="1"/>
  <c r="T417" i="2" s="1"/>
  <c r="T418" i="2" a="1"/>
  <c r="T418" i="2" s="1"/>
  <c r="T419" i="2" a="1"/>
  <c r="T419" i="2" s="1"/>
  <c r="T420" i="2" a="1"/>
  <c r="T420" i="2" s="1"/>
  <c r="T421" i="2" a="1"/>
  <c r="T421" i="2" s="1"/>
  <c r="T422" i="2" a="1"/>
  <c r="T422" i="2" s="1"/>
  <c r="T423" i="2" a="1"/>
  <c r="T423" i="2" s="1"/>
  <c r="T424" i="2" a="1"/>
  <c r="T424" i="2" s="1"/>
  <c r="T425" i="2" a="1"/>
  <c r="T425" i="2" s="1"/>
  <c r="T426" i="2" a="1"/>
  <c r="T426" i="2" s="1"/>
  <c r="T427" i="2" a="1"/>
  <c r="T427" i="2" s="1"/>
  <c r="T428" i="2" a="1"/>
  <c r="T428" i="2" s="1"/>
  <c r="T429" i="2" a="1"/>
  <c r="T429" i="2" s="1"/>
  <c r="T430" i="2" a="1"/>
  <c r="T430" i="2" s="1"/>
  <c r="T431" i="2" a="1"/>
  <c r="T431" i="2" s="1"/>
  <c r="T432" i="2" a="1"/>
  <c r="T432" i="2" s="1"/>
  <c r="T433" i="2" a="1"/>
  <c r="T433" i="2" s="1"/>
  <c r="T434" i="2" a="1"/>
  <c r="T434" i="2" s="1"/>
  <c r="T435" i="2" a="1"/>
  <c r="T435" i="2" s="1"/>
  <c r="T436" i="2" a="1"/>
  <c r="T436" i="2" s="1"/>
  <c r="T437" i="2" a="1"/>
  <c r="T437" i="2" s="1"/>
  <c r="T438" i="2" a="1"/>
  <c r="T438" i="2" s="1"/>
  <c r="T439" i="2" a="1"/>
  <c r="T439" i="2" s="1"/>
  <c r="T440" i="2" a="1"/>
  <c r="T440" i="2" s="1"/>
  <c r="T441" i="2" a="1"/>
  <c r="T441" i="2" s="1"/>
  <c r="T442" i="2" a="1"/>
  <c r="T442" i="2" s="1"/>
  <c r="T443" i="2" a="1"/>
  <c r="T443" i="2" s="1"/>
  <c r="T444" i="2" a="1"/>
  <c r="T444" i="2" s="1"/>
  <c r="T445" i="2" a="1"/>
  <c r="T445" i="2" s="1"/>
  <c r="T446" i="2" a="1"/>
  <c r="T446" i="2" s="1"/>
  <c r="T447" i="2" a="1"/>
  <c r="T447" i="2" s="1"/>
  <c r="T448" i="2" a="1"/>
  <c r="T448" i="2" s="1"/>
  <c r="T449" i="2" a="1"/>
  <c r="T449" i="2" s="1"/>
  <c r="T450" i="2" a="1"/>
  <c r="T450" i="2" s="1"/>
  <c r="T451" i="2" a="1"/>
  <c r="T451" i="2" s="1"/>
  <c r="T452" i="2" a="1"/>
  <c r="T452" i="2" s="1"/>
  <c r="T453" i="2" a="1"/>
  <c r="T453" i="2" s="1"/>
  <c r="T454" i="2" a="1"/>
  <c r="T454" i="2" s="1"/>
  <c r="T455" i="2" a="1"/>
  <c r="T455" i="2" s="1"/>
  <c r="T456" i="2" a="1"/>
  <c r="T456" i="2" s="1"/>
  <c r="T457" i="2" a="1"/>
  <c r="T457" i="2" s="1"/>
  <c r="T458" i="2" a="1"/>
  <c r="T458" i="2" s="1"/>
  <c r="T459" i="2" a="1"/>
  <c r="T459" i="2" s="1"/>
  <c r="T460" i="2" a="1"/>
  <c r="T460" i="2" s="1"/>
  <c r="T461" i="2" a="1"/>
  <c r="T461" i="2" s="1"/>
  <c r="T462" i="2" a="1"/>
  <c r="T462" i="2" s="1"/>
  <c r="T463" i="2" a="1"/>
  <c r="T463" i="2" s="1"/>
  <c r="T464" i="2" a="1"/>
  <c r="T464" i="2" s="1"/>
  <c r="T465" i="2" a="1"/>
  <c r="T465" i="2" s="1"/>
  <c r="T466" i="2" a="1"/>
  <c r="T466" i="2" s="1"/>
  <c r="T467" i="2" a="1"/>
  <c r="T467" i="2" s="1"/>
  <c r="T468" i="2" a="1"/>
  <c r="T468" i="2" s="1"/>
  <c r="T469" i="2" a="1"/>
  <c r="T469" i="2" s="1"/>
  <c r="T470" i="2" a="1"/>
  <c r="T470" i="2" s="1"/>
  <c r="T471" i="2" a="1"/>
  <c r="T471" i="2" s="1"/>
  <c r="T472" i="2" a="1"/>
  <c r="T472" i="2" s="1"/>
  <c r="T473" i="2" a="1"/>
  <c r="T473" i="2" s="1"/>
  <c r="T474" i="2" a="1"/>
  <c r="T474" i="2" s="1"/>
  <c r="T475" i="2" a="1"/>
  <c r="T475" i="2" s="1"/>
  <c r="T476" i="2" a="1"/>
  <c r="T476" i="2" s="1"/>
  <c r="T477" i="2" a="1"/>
  <c r="T477" i="2" s="1"/>
  <c r="T478" i="2" a="1"/>
  <c r="T478" i="2" s="1"/>
  <c r="T479" i="2" a="1"/>
  <c r="T479" i="2" s="1"/>
  <c r="T480" i="2" a="1"/>
  <c r="T480" i="2" s="1"/>
  <c r="T481" i="2" a="1"/>
  <c r="T481" i="2" s="1"/>
  <c r="T482" i="2" a="1"/>
  <c r="T482" i="2" s="1"/>
  <c r="T483" i="2" a="1"/>
  <c r="T483" i="2" s="1"/>
  <c r="T484" i="2" a="1"/>
  <c r="T484" i="2" s="1"/>
  <c r="T485" i="2" a="1"/>
  <c r="T485" i="2" s="1"/>
  <c r="T486" i="2" a="1"/>
  <c r="T486" i="2" s="1"/>
  <c r="T487" i="2" a="1"/>
  <c r="T487" i="2" s="1"/>
  <c r="T488" i="2" a="1"/>
  <c r="T488" i="2" s="1"/>
  <c r="C20" i="5" a="1"/>
  <c r="C20" i="5" s="1"/>
  <c r="C14" i="5" a="1"/>
  <c r="C14" i="5" s="1"/>
  <c r="A8" i="5" a="1"/>
  <c r="A8" i="5" s="1"/>
  <c r="B8" i="5" s="1"/>
  <c r="B11" i="5"/>
  <c r="B4" i="5"/>
  <c r="B3" i="5"/>
  <c r="B2" i="5"/>
  <c r="B10" i="5" l="1"/>
  <c r="B9" i="5"/>
  <c r="O155" i="2"/>
  <c r="O159" i="2"/>
  <c r="O372" i="2"/>
  <c r="O160" i="2"/>
  <c r="O468" i="2"/>
  <c r="O162" i="2"/>
  <c r="O163" i="2"/>
  <c r="O469" i="2"/>
  <c r="O375" i="2"/>
  <c r="O370" i="2"/>
  <c r="O168" i="2"/>
  <c r="O169" i="2"/>
  <c r="O381" i="2"/>
  <c r="O170" i="2"/>
  <c r="O471" i="2"/>
  <c r="O382" i="2"/>
  <c r="O383" i="2"/>
  <c r="O171" i="2"/>
  <c r="O172" i="2"/>
  <c r="O22" i="2"/>
  <c r="O173" i="2"/>
  <c r="O156" i="2"/>
  <c r="O186" i="2"/>
  <c r="O388" i="2"/>
  <c r="O389" i="2"/>
  <c r="O187" i="2"/>
  <c r="O188" i="2"/>
  <c r="O26" i="2"/>
  <c r="O27" i="2"/>
  <c r="O390" i="2"/>
  <c r="O189" i="2"/>
  <c r="O190" i="2"/>
  <c r="O391" i="2"/>
  <c r="O392" i="2"/>
  <c r="O191" i="2"/>
  <c r="O192" i="2"/>
  <c r="O28" i="2"/>
  <c r="O193" i="2"/>
  <c r="O194" i="2"/>
  <c r="O195" i="2"/>
  <c r="O196" i="2"/>
  <c r="O197" i="2"/>
  <c r="O198" i="2"/>
  <c r="O371" i="2"/>
  <c r="O158" i="2"/>
  <c r="O210" i="2"/>
  <c r="O35" i="2"/>
  <c r="O211" i="2"/>
  <c r="O36" i="2"/>
  <c r="O37" i="2"/>
  <c r="O38" i="2"/>
  <c r="O401" i="2"/>
  <c r="O402" i="2"/>
  <c r="O39" i="2"/>
  <c r="O474" i="2"/>
  <c r="O212" i="2"/>
  <c r="O213" i="2"/>
  <c r="O40" i="2"/>
  <c r="O373" i="2"/>
  <c r="O161" i="2"/>
  <c r="O467" i="2"/>
  <c r="O374" i="2"/>
  <c r="O376" i="2"/>
  <c r="O377" i="2"/>
  <c r="O21" i="2"/>
  <c r="O378" i="2"/>
  <c r="O379" i="2"/>
  <c r="O470" i="2"/>
  <c r="O380" i="2"/>
  <c r="O164" i="2"/>
  <c r="O165" i="2"/>
  <c r="O166" i="2"/>
  <c r="O167" i="2"/>
  <c r="O154" i="2"/>
  <c r="O23" i="2"/>
  <c r="O384" i="2"/>
  <c r="O174" i="2"/>
  <c r="O175" i="2"/>
  <c r="O176" i="2"/>
  <c r="O177" i="2"/>
  <c r="O178" i="2"/>
  <c r="O24" i="2"/>
  <c r="O179" i="2"/>
  <c r="O385" i="2"/>
  <c r="O386" i="2"/>
  <c r="O180" i="2"/>
  <c r="O181" i="2"/>
  <c r="O182" i="2"/>
  <c r="O183" i="2"/>
  <c r="O25" i="2"/>
  <c r="O184" i="2"/>
  <c r="O185" i="2"/>
  <c r="O387" i="2"/>
  <c r="O199" i="2"/>
  <c r="O393" i="2"/>
  <c r="O394" i="2"/>
  <c r="O200" i="2"/>
  <c r="O395" i="2"/>
  <c r="O29" i="2"/>
  <c r="O201" i="2"/>
  <c r="O202" i="2"/>
  <c r="O203" i="2"/>
  <c r="O472" i="2"/>
  <c r="O473" i="2"/>
  <c r="O30" i="2"/>
  <c r="O204" i="2"/>
  <c r="O31" i="2"/>
  <c r="O396" i="2"/>
  <c r="O205" i="2"/>
  <c r="O32" i="2"/>
  <c r="O397" i="2"/>
  <c r="O398" i="2"/>
  <c r="O206" i="2"/>
  <c r="O207" i="2"/>
  <c r="O399" i="2"/>
  <c r="O208" i="2"/>
  <c r="O33" i="2"/>
  <c r="O34" i="2"/>
  <c r="O209" i="2"/>
  <c r="O400" i="2"/>
  <c r="O157" i="2"/>
  <c r="O403" i="2"/>
  <c r="O214" i="2"/>
  <c r="O215" i="2"/>
  <c r="O216" i="2"/>
  <c r="O404" i="2"/>
  <c r="O405" i="2"/>
  <c r="O446" i="2"/>
  <c r="O323" i="2"/>
  <c r="O447" i="2"/>
  <c r="O324" i="2"/>
  <c r="O448" i="2"/>
  <c r="O325" i="2"/>
  <c r="O326" i="2"/>
  <c r="O327" i="2"/>
  <c r="O449" i="2"/>
  <c r="O92" i="2"/>
  <c r="O328" i="2"/>
  <c r="O450" i="2"/>
  <c r="O329" i="2"/>
  <c r="O451" i="2"/>
  <c r="O93" i="2"/>
  <c r="O148" i="2"/>
  <c r="O16" i="2"/>
  <c r="O149" i="2"/>
  <c r="O17" i="2"/>
  <c r="O367" i="2"/>
  <c r="O18" i="2"/>
  <c r="O342" i="2"/>
  <c r="O105" i="2"/>
  <c r="O345" i="2"/>
  <c r="O463" i="2"/>
  <c r="O107" i="2"/>
  <c r="O5" i="2"/>
  <c r="O99" i="2"/>
  <c r="O346" i="2"/>
  <c r="O108" i="2"/>
  <c r="O109" i="2"/>
  <c r="O110" i="2"/>
  <c r="O6" i="2"/>
  <c r="O7" i="2"/>
  <c r="O111" i="2"/>
  <c r="O8" i="2"/>
  <c r="O112" i="2"/>
  <c r="O347" i="2"/>
  <c r="O113" i="2"/>
  <c r="O114" i="2"/>
  <c r="O9" i="2"/>
  <c r="O2" i="2"/>
  <c r="O462" i="2"/>
  <c r="O100" i="2"/>
  <c r="O348" i="2"/>
  <c r="O349" i="2"/>
  <c r="O115" i="2"/>
  <c r="O116" i="2"/>
  <c r="O117" i="2"/>
  <c r="O118" i="2"/>
  <c r="O350" i="2"/>
  <c r="O351" i="2"/>
  <c r="O119" i="2"/>
  <c r="O120" i="2"/>
  <c r="O352" i="2"/>
  <c r="O464" i="2"/>
  <c r="O353" i="2"/>
  <c r="O10" i="2"/>
  <c r="O121" i="2"/>
  <c r="O122" i="2"/>
  <c r="O123" i="2"/>
  <c r="O354" i="2"/>
  <c r="O355" i="2"/>
  <c r="O124" i="2"/>
  <c r="O465" i="2"/>
  <c r="O101" i="2"/>
  <c r="O102" i="2"/>
  <c r="O103" i="2"/>
  <c r="O341" i="2"/>
  <c r="O104" i="2"/>
  <c r="O356" i="2"/>
  <c r="O125" i="2"/>
  <c r="O126" i="2"/>
  <c r="O357" i="2"/>
  <c r="O11" i="2"/>
  <c r="O127" i="2"/>
  <c r="O128" i="2"/>
  <c r="O129" i="2"/>
  <c r="O358" i="2"/>
  <c r="O130" i="2"/>
  <c r="O359" i="2"/>
  <c r="O131" i="2"/>
  <c r="O132" i="2"/>
  <c r="O133" i="2"/>
  <c r="O360" i="2"/>
  <c r="O134" i="2"/>
  <c r="O135" i="2"/>
  <c r="O12" i="2"/>
  <c r="O361" i="2"/>
  <c r="O13" i="2"/>
  <c r="O136" i="2"/>
  <c r="O362" i="2"/>
  <c r="O137" i="2"/>
  <c r="O466" i="2"/>
  <c r="O138" i="2"/>
  <c r="O363" i="2"/>
  <c r="O139" i="2"/>
  <c r="O140" i="2"/>
  <c r="O364" i="2"/>
  <c r="O141" i="2"/>
  <c r="O142" i="2"/>
  <c r="O143" i="2"/>
  <c r="O14" i="2"/>
  <c r="O144" i="2"/>
  <c r="O365" i="2"/>
  <c r="O145" i="2"/>
  <c r="O146" i="2"/>
  <c r="O15" i="2"/>
  <c r="O366" i="2"/>
  <c r="O147" i="2"/>
  <c r="O3" i="2"/>
  <c r="O343" i="2"/>
  <c r="O344" i="2"/>
  <c r="O106" i="2"/>
  <c r="O4" i="2"/>
  <c r="O150" i="2"/>
  <c r="O368" i="2"/>
  <c r="O151" i="2"/>
  <c r="O19" i="2"/>
  <c r="O152" i="2"/>
  <c r="O369" i="2"/>
  <c r="O153" i="2"/>
  <c r="O20" i="2"/>
  <c r="O94" i="2"/>
  <c r="O95" i="2"/>
  <c r="O452" i="2"/>
  <c r="O486" i="2"/>
  <c r="O330" i="2"/>
  <c r="O96" i="2"/>
  <c r="O487" i="2"/>
  <c r="O331" i="2"/>
  <c r="O453" i="2"/>
  <c r="O277" i="2"/>
  <c r="O66" i="2"/>
  <c r="O484" i="2"/>
  <c r="O278" i="2"/>
  <c r="O279" i="2"/>
  <c r="O280" i="2"/>
  <c r="O433" i="2"/>
  <c r="O67" i="2"/>
  <c r="O68" i="2"/>
  <c r="O281" i="2"/>
  <c r="O434" i="2"/>
  <c r="O282" i="2"/>
  <c r="O283" i="2"/>
  <c r="O284" i="2"/>
  <c r="O69" i="2"/>
  <c r="O285" i="2"/>
  <c r="O286" i="2"/>
  <c r="O287" i="2"/>
  <c r="O288" i="2"/>
  <c r="O70" i="2"/>
  <c r="O435" i="2"/>
  <c r="O71" i="2"/>
  <c r="O289" i="2"/>
  <c r="O436" i="2"/>
  <c r="O72" i="2"/>
  <c r="O290" i="2"/>
  <c r="O437" i="2"/>
  <c r="O291" i="2"/>
  <c r="O73" i="2"/>
  <c r="O292" i="2"/>
  <c r="O74" i="2"/>
  <c r="O75" i="2"/>
  <c r="O485" i="2"/>
  <c r="O293" i="2"/>
  <c r="O76" i="2"/>
  <c r="O294" i="2"/>
  <c r="O295" i="2"/>
  <c r="O296" i="2"/>
  <c r="O297" i="2"/>
  <c r="O77" i="2"/>
  <c r="O438" i="2"/>
  <c r="O78" i="2"/>
  <c r="O79" i="2"/>
  <c r="O298" i="2"/>
  <c r="O80" i="2"/>
  <c r="O81" i="2"/>
  <c r="O299" i="2"/>
  <c r="O300" i="2"/>
  <c r="O301" i="2"/>
  <c r="O302" i="2"/>
  <c r="O82" i="2"/>
  <c r="O83" i="2"/>
  <c r="O303" i="2"/>
  <c r="O304" i="2"/>
  <c r="O305" i="2"/>
  <c r="O306" i="2"/>
  <c r="O307" i="2"/>
  <c r="O439" i="2"/>
  <c r="O308" i="2"/>
  <c r="O309" i="2"/>
  <c r="O84" i="2"/>
  <c r="O310" i="2"/>
  <c r="O85" i="2"/>
  <c r="O311" i="2"/>
  <c r="O312" i="2"/>
  <c r="O440" i="2"/>
  <c r="O313" i="2"/>
  <c r="O314" i="2"/>
  <c r="O315" i="2"/>
  <c r="O86" i="2"/>
  <c r="O316" i="2"/>
  <c r="O317" i="2"/>
  <c r="O441" i="2"/>
  <c r="O442" i="2"/>
  <c r="O318" i="2"/>
  <c r="O443" i="2"/>
  <c r="O87" i="2"/>
  <c r="O88" i="2"/>
  <c r="O319" i="2"/>
  <c r="O320" i="2"/>
  <c r="O444" i="2"/>
  <c r="O89" i="2"/>
  <c r="O90" i="2"/>
  <c r="O445" i="2"/>
  <c r="O321" i="2"/>
  <c r="O91" i="2"/>
  <c r="O322" i="2"/>
  <c r="O217" i="2"/>
  <c r="O406" i="2"/>
  <c r="O41" i="2"/>
  <c r="O42" i="2"/>
  <c r="O475" i="2"/>
  <c r="O218" i="2"/>
  <c r="O219" i="2"/>
  <c r="O220" i="2"/>
  <c r="O221" i="2"/>
  <c r="O222" i="2"/>
  <c r="O223" i="2"/>
  <c r="O224" i="2"/>
  <c r="O43" i="2"/>
  <c r="O225" i="2"/>
  <c r="O44" i="2"/>
  <c r="O407" i="2"/>
  <c r="O45" i="2"/>
  <c r="O226" i="2"/>
  <c r="O227" i="2"/>
  <c r="O228" i="2"/>
  <c r="O229" i="2"/>
  <c r="O230" i="2"/>
  <c r="O408" i="2"/>
  <c r="O231" i="2"/>
  <c r="O232" i="2"/>
  <c r="O476" i="2"/>
  <c r="O409" i="2"/>
  <c r="O410" i="2"/>
  <c r="O233" i="2"/>
  <c r="O46" i="2"/>
  <c r="O47" i="2"/>
  <c r="O411" i="2"/>
  <c r="O234" i="2"/>
  <c r="O235" i="2"/>
  <c r="O236" i="2"/>
  <c r="O412" i="2"/>
  <c r="O413" i="2"/>
  <c r="O237" i="2"/>
  <c r="O48" i="2"/>
  <c r="O238" i="2"/>
  <c r="O239" i="2"/>
  <c r="O49" i="2"/>
  <c r="O240" i="2"/>
  <c r="O241" i="2"/>
  <c r="O414" i="2"/>
  <c r="O477" i="2"/>
  <c r="O50" i="2"/>
  <c r="O415" i="2"/>
  <c r="O51" i="2"/>
  <c r="O242" i="2"/>
  <c r="O416" i="2"/>
  <c r="O243" i="2"/>
  <c r="O244" i="2"/>
  <c r="O245" i="2"/>
  <c r="O417" i="2"/>
  <c r="O418" i="2"/>
  <c r="O246" i="2"/>
  <c r="O247" i="2"/>
  <c r="O52" i="2"/>
  <c r="O419" i="2"/>
  <c r="O248" i="2"/>
  <c r="O420" i="2"/>
  <c r="O249" i="2"/>
  <c r="O53" i="2"/>
  <c r="O478" i="2"/>
  <c r="O250" i="2"/>
  <c r="O251" i="2"/>
  <c r="O252" i="2"/>
  <c r="O54" i="2"/>
  <c r="O421" i="2"/>
  <c r="O253" i="2"/>
  <c r="O254" i="2"/>
  <c r="O255" i="2"/>
  <c r="O256" i="2"/>
  <c r="O257" i="2"/>
  <c r="O258" i="2"/>
  <c r="O422" i="2"/>
  <c r="O55" i="2"/>
  <c r="O259" i="2"/>
  <c r="O260" i="2"/>
  <c r="O423" i="2"/>
  <c r="O56" i="2"/>
  <c r="O479" i="2"/>
  <c r="O424" i="2"/>
  <c r="O57" i="2"/>
  <c r="O261" i="2"/>
  <c r="O262" i="2"/>
  <c r="O263" i="2"/>
  <c r="O480" i="2"/>
  <c r="O481" i="2"/>
  <c r="O425" i="2"/>
  <c r="O58" i="2"/>
  <c r="O426" i="2"/>
  <c r="O264" i="2"/>
  <c r="O265" i="2"/>
  <c r="O427" i="2"/>
  <c r="O59" i="2"/>
  <c r="O60" i="2"/>
  <c r="O266" i="2"/>
  <c r="O267" i="2"/>
  <c r="O268" i="2"/>
  <c r="O269" i="2"/>
  <c r="O270" i="2"/>
  <c r="O271" i="2"/>
  <c r="O272" i="2"/>
  <c r="O273" i="2"/>
  <c r="O61" i="2"/>
  <c r="O274" i="2"/>
  <c r="O428" i="2"/>
  <c r="O275" i="2"/>
  <c r="O62" i="2"/>
  <c r="O276" i="2"/>
  <c r="O429" i="2"/>
  <c r="O482" i="2"/>
  <c r="O430" i="2"/>
  <c r="O483" i="2"/>
  <c r="O63" i="2"/>
  <c r="O431" i="2"/>
  <c r="O64" i="2"/>
  <c r="O65" i="2"/>
  <c r="O432" i="2"/>
  <c r="O454" i="2"/>
  <c r="O455" i="2"/>
  <c r="O456" i="2"/>
  <c r="O457" i="2"/>
  <c r="O458" i="2"/>
  <c r="O332" i="2"/>
  <c r="O333" i="2"/>
  <c r="O334" i="2"/>
  <c r="O335" i="2"/>
  <c r="O336" i="2"/>
  <c r="O459" i="2"/>
  <c r="O488" i="2"/>
  <c r="O337" i="2"/>
  <c r="O460" i="2"/>
  <c r="O97" i="2"/>
  <c r="O338" i="2"/>
  <c r="O98" i="2"/>
  <c r="O339" i="2"/>
  <c r="O340" i="2"/>
  <c r="O461" i="2"/>
  <c r="N155" i="2"/>
  <c r="N159" i="2"/>
  <c r="N372" i="2"/>
  <c r="N160" i="2"/>
  <c r="N468" i="2"/>
  <c r="N162" i="2"/>
  <c r="N163" i="2"/>
  <c r="N469" i="2"/>
  <c r="N375" i="2"/>
  <c r="N370" i="2"/>
  <c r="N168" i="2"/>
  <c r="N169" i="2"/>
  <c r="N381" i="2"/>
  <c r="N170" i="2"/>
  <c r="N471" i="2"/>
  <c r="N382" i="2"/>
  <c r="N383" i="2"/>
  <c r="N171" i="2"/>
  <c r="N172" i="2"/>
  <c r="N22" i="2"/>
  <c r="N173" i="2"/>
  <c r="N156" i="2"/>
  <c r="N186" i="2"/>
  <c r="N388" i="2"/>
  <c r="N389" i="2"/>
  <c r="N187" i="2"/>
  <c r="N188" i="2"/>
  <c r="N26" i="2"/>
  <c r="N27" i="2"/>
  <c r="N390" i="2"/>
  <c r="N189" i="2"/>
  <c r="N190" i="2"/>
  <c r="N391" i="2"/>
  <c r="N392" i="2"/>
  <c r="N191" i="2"/>
  <c r="N192" i="2"/>
  <c r="N28" i="2"/>
  <c r="N193" i="2"/>
  <c r="N194" i="2"/>
  <c r="N195" i="2"/>
  <c r="N196" i="2"/>
  <c r="N197" i="2"/>
  <c r="N198" i="2"/>
  <c r="N371" i="2"/>
  <c r="N158" i="2"/>
  <c r="N210" i="2"/>
  <c r="N35" i="2"/>
  <c r="N211" i="2"/>
  <c r="N36" i="2"/>
  <c r="N37" i="2"/>
  <c r="N38" i="2"/>
  <c r="N401" i="2"/>
  <c r="N402" i="2"/>
  <c r="N39" i="2"/>
  <c r="N474" i="2"/>
  <c r="N212" i="2"/>
  <c r="N213" i="2"/>
  <c r="N40" i="2"/>
  <c r="N373" i="2"/>
  <c r="N161" i="2"/>
  <c r="N467" i="2"/>
  <c r="N374" i="2"/>
  <c r="N376" i="2"/>
  <c r="N377" i="2"/>
  <c r="N21" i="2"/>
  <c r="N378" i="2"/>
  <c r="N379" i="2"/>
  <c r="N470" i="2"/>
  <c r="N380" i="2"/>
  <c r="N164" i="2"/>
  <c r="N165" i="2"/>
  <c r="N166" i="2"/>
  <c r="N167" i="2"/>
  <c r="N154" i="2"/>
  <c r="N23" i="2"/>
  <c r="N384" i="2"/>
  <c r="N174" i="2"/>
  <c r="N175" i="2"/>
  <c r="N176" i="2"/>
  <c r="N177" i="2"/>
  <c r="N178" i="2"/>
  <c r="N24" i="2"/>
  <c r="N179" i="2"/>
  <c r="N385" i="2"/>
  <c r="N386" i="2"/>
  <c r="N180" i="2"/>
  <c r="N181" i="2"/>
  <c r="N182" i="2"/>
  <c r="N183" i="2"/>
  <c r="N25" i="2"/>
  <c r="N184" i="2"/>
  <c r="N185" i="2"/>
  <c r="N387" i="2"/>
  <c r="N199" i="2"/>
  <c r="N393" i="2"/>
  <c r="N394" i="2"/>
  <c r="N200" i="2"/>
  <c r="N395" i="2"/>
  <c r="N29" i="2"/>
  <c r="N201" i="2"/>
  <c r="N202" i="2"/>
  <c r="N203" i="2"/>
  <c r="N472" i="2"/>
  <c r="N473" i="2"/>
  <c r="N30" i="2"/>
  <c r="N204" i="2"/>
  <c r="N31" i="2"/>
  <c r="N396" i="2"/>
  <c r="N205" i="2"/>
  <c r="N32" i="2"/>
  <c r="N397" i="2"/>
  <c r="N398" i="2"/>
  <c r="N206" i="2"/>
  <c r="N207" i="2"/>
  <c r="N399" i="2"/>
  <c r="N208" i="2"/>
  <c r="N33" i="2"/>
  <c r="N34" i="2"/>
  <c r="N209" i="2"/>
  <c r="N400" i="2"/>
  <c r="N157" i="2"/>
  <c r="N403" i="2"/>
  <c r="N214" i="2"/>
  <c r="N215" i="2"/>
  <c r="N216" i="2"/>
  <c r="N404" i="2"/>
  <c r="N405" i="2"/>
  <c r="N446" i="2"/>
  <c r="N323" i="2"/>
  <c r="N447" i="2"/>
  <c r="N324" i="2"/>
  <c r="N448" i="2"/>
  <c r="N325" i="2"/>
  <c r="N326" i="2"/>
  <c r="N327" i="2"/>
  <c r="N449" i="2"/>
  <c r="N92" i="2"/>
  <c r="N328" i="2"/>
  <c r="N450" i="2"/>
  <c r="N329" i="2"/>
  <c r="N451" i="2"/>
  <c r="N93" i="2"/>
  <c r="N148" i="2"/>
  <c r="N16" i="2"/>
  <c r="N149" i="2"/>
  <c r="N17" i="2"/>
  <c r="N367" i="2"/>
  <c r="N18" i="2"/>
  <c r="N342" i="2"/>
  <c r="N105" i="2"/>
  <c r="N345" i="2"/>
  <c r="N463" i="2"/>
  <c r="N107" i="2"/>
  <c r="N5" i="2"/>
  <c r="N99" i="2"/>
  <c r="N346" i="2"/>
  <c r="N108" i="2"/>
  <c r="N109" i="2"/>
  <c r="N110" i="2"/>
  <c r="N6" i="2"/>
  <c r="N7" i="2"/>
  <c r="N111" i="2"/>
  <c r="N8" i="2"/>
  <c r="N112" i="2"/>
  <c r="N347" i="2"/>
  <c r="N113" i="2"/>
  <c r="N114" i="2"/>
  <c r="N9" i="2"/>
  <c r="N2" i="2"/>
  <c r="N462" i="2"/>
  <c r="N100" i="2"/>
  <c r="N348" i="2"/>
  <c r="N349" i="2"/>
  <c r="N115" i="2"/>
  <c r="N116" i="2"/>
  <c r="N117" i="2"/>
  <c r="N118" i="2"/>
  <c r="N350" i="2"/>
  <c r="N351" i="2"/>
  <c r="N119" i="2"/>
  <c r="N120" i="2"/>
  <c r="N352" i="2"/>
  <c r="N464" i="2"/>
  <c r="N353" i="2"/>
  <c r="N10" i="2"/>
  <c r="N121" i="2"/>
  <c r="N122" i="2"/>
  <c r="N123" i="2"/>
  <c r="N354" i="2"/>
  <c r="N355" i="2"/>
  <c r="N124" i="2"/>
  <c r="N465" i="2"/>
  <c r="N101" i="2"/>
  <c r="N102" i="2"/>
  <c r="N103" i="2"/>
  <c r="N341" i="2"/>
  <c r="N104" i="2"/>
  <c r="N356" i="2"/>
  <c r="N125" i="2"/>
  <c r="N126" i="2"/>
  <c r="N357" i="2"/>
  <c r="N11" i="2"/>
  <c r="N127" i="2"/>
  <c r="N128" i="2"/>
  <c r="N129" i="2"/>
  <c r="N358" i="2"/>
  <c r="N130" i="2"/>
  <c r="N359" i="2"/>
  <c r="N131" i="2"/>
  <c r="N132" i="2"/>
  <c r="N133" i="2"/>
  <c r="N360" i="2"/>
  <c r="N134" i="2"/>
  <c r="N135" i="2"/>
  <c r="N12" i="2"/>
  <c r="N361" i="2"/>
  <c r="N13" i="2"/>
  <c r="N136" i="2"/>
  <c r="N362" i="2"/>
  <c r="N137" i="2"/>
  <c r="N466" i="2"/>
  <c r="N138" i="2"/>
  <c r="N363" i="2"/>
  <c r="N139" i="2"/>
  <c r="N140" i="2"/>
  <c r="N364" i="2"/>
  <c r="N141" i="2"/>
  <c r="N142" i="2"/>
  <c r="N143" i="2"/>
  <c r="N14" i="2"/>
  <c r="N144" i="2"/>
  <c r="N365" i="2"/>
  <c r="N145" i="2"/>
  <c r="N146" i="2"/>
  <c r="N15" i="2"/>
  <c r="N366" i="2"/>
  <c r="N147" i="2"/>
  <c r="N3" i="2"/>
  <c r="N343" i="2"/>
  <c r="N344" i="2"/>
  <c r="N106" i="2"/>
  <c r="N4" i="2"/>
  <c r="N150" i="2"/>
  <c r="N368" i="2"/>
  <c r="N151" i="2"/>
  <c r="N19" i="2"/>
  <c r="N152" i="2"/>
  <c r="N369" i="2"/>
  <c r="N153" i="2"/>
  <c r="N20" i="2"/>
  <c r="N94" i="2"/>
  <c r="N95" i="2"/>
  <c r="N452" i="2"/>
  <c r="N486" i="2"/>
  <c r="N330" i="2"/>
  <c r="N96" i="2"/>
  <c r="N487" i="2"/>
  <c r="N331" i="2"/>
  <c r="N453" i="2"/>
  <c r="N277" i="2"/>
  <c r="N66" i="2"/>
  <c r="N484" i="2"/>
  <c r="N278" i="2"/>
  <c r="N279" i="2"/>
  <c r="N280" i="2"/>
  <c r="N433" i="2"/>
  <c r="N67" i="2"/>
  <c r="N68" i="2"/>
  <c r="N281" i="2"/>
  <c r="N434" i="2"/>
  <c r="N282" i="2"/>
  <c r="N283" i="2"/>
  <c r="N284" i="2"/>
  <c r="N69" i="2"/>
  <c r="N285" i="2"/>
  <c r="N286" i="2"/>
  <c r="N287" i="2"/>
  <c r="N288" i="2"/>
  <c r="N70" i="2"/>
  <c r="N435" i="2"/>
  <c r="N71" i="2"/>
  <c r="N289" i="2"/>
  <c r="N436" i="2"/>
  <c r="N72" i="2"/>
  <c r="N290" i="2"/>
  <c r="N437" i="2"/>
  <c r="N291" i="2"/>
  <c r="N73" i="2"/>
  <c r="N292" i="2"/>
  <c r="N74" i="2"/>
  <c r="N75" i="2"/>
  <c r="N485" i="2"/>
  <c r="N293" i="2"/>
  <c r="N76" i="2"/>
  <c r="N294" i="2"/>
  <c r="N295" i="2"/>
  <c r="N296" i="2"/>
  <c r="N297" i="2"/>
  <c r="N77" i="2"/>
  <c r="N438" i="2"/>
  <c r="N78" i="2"/>
  <c r="N79" i="2"/>
  <c r="N298" i="2"/>
  <c r="N80" i="2"/>
  <c r="N81" i="2"/>
  <c r="N299" i="2"/>
  <c r="N300" i="2"/>
  <c r="N301" i="2"/>
  <c r="N302" i="2"/>
  <c r="N82" i="2"/>
  <c r="N83" i="2"/>
  <c r="N303" i="2"/>
  <c r="N304" i="2"/>
  <c r="N305" i="2"/>
  <c r="N306" i="2"/>
  <c r="N307" i="2"/>
  <c r="N439" i="2"/>
  <c r="N308" i="2"/>
  <c r="N309" i="2"/>
  <c r="N84" i="2"/>
  <c r="N310" i="2"/>
  <c r="N85" i="2"/>
  <c r="N311" i="2"/>
  <c r="N312" i="2"/>
  <c r="N440" i="2"/>
  <c r="N313" i="2"/>
  <c r="N314" i="2"/>
  <c r="N315" i="2"/>
  <c r="N86" i="2"/>
  <c r="N316" i="2"/>
  <c r="N317" i="2"/>
  <c r="N441" i="2"/>
  <c r="N442" i="2"/>
  <c r="N318" i="2"/>
  <c r="N443" i="2"/>
  <c r="N87" i="2"/>
  <c r="N88" i="2"/>
  <c r="N319" i="2"/>
  <c r="N320" i="2"/>
  <c r="N444" i="2"/>
  <c r="N89" i="2"/>
  <c r="N90" i="2"/>
  <c r="N445" i="2"/>
  <c r="N321" i="2"/>
  <c r="N91" i="2"/>
  <c r="N322" i="2"/>
  <c r="N217" i="2"/>
  <c r="N406" i="2"/>
  <c r="N41" i="2"/>
  <c r="N42" i="2"/>
  <c r="N475" i="2"/>
  <c r="N218" i="2"/>
  <c r="N219" i="2"/>
  <c r="N220" i="2"/>
  <c r="N221" i="2"/>
  <c r="N222" i="2"/>
  <c r="N223" i="2"/>
  <c r="N224" i="2"/>
  <c r="N43" i="2"/>
  <c r="N225" i="2"/>
  <c r="N44" i="2"/>
  <c r="N407" i="2"/>
  <c r="N45" i="2"/>
  <c r="N226" i="2"/>
  <c r="N227" i="2"/>
  <c r="N228" i="2"/>
  <c r="N229" i="2"/>
  <c r="N230" i="2"/>
  <c r="N408" i="2"/>
  <c r="N231" i="2"/>
  <c r="N232" i="2"/>
  <c r="N476" i="2"/>
  <c r="N409" i="2"/>
  <c r="N410" i="2"/>
  <c r="N233" i="2"/>
  <c r="N46" i="2"/>
  <c r="N47" i="2"/>
  <c r="N411" i="2"/>
  <c r="N234" i="2"/>
  <c r="N235" i="2"/>
  <c r="N236" i="2"/>
  <c r="N412" i="2"/>
  <c r="N413" i="2"/>
  <c r="N237" i="2"/>
  <c r="N48" i="2"/>
  <c r="N238" i="2"/>
  <c r="N239" i="2"/>
  <c r="N49" i="2"/>
  <c r="N240" i="2"/>
  <c r="N241" i="2"/>
  <c r="N414" i="2"/>
  <c r="N477" i="2"/>
  <c r="N50" i="2"/>
  <c r="N415" i="2"/>
  <c r="N51" i="2"/>
  <c r="N242" i="2"/>
  <c r="N416" i="2"/>
  <c r="N243" i="2"/>
  <c r="N244" i="2"/>
  <c r="N245" i="2"/>
  <c r="N417" i="2"/>
  <c r="N418" i="2"/>
  <c r="N246" i="2"/>
  <c r="N247" i="2"/>
  <c r="N52" i="2"/>
  <c r="N419" i="2"/>
  <c r="N248" i="2"/>
  <c r="N420" i="2"/>
  <c r="N249" i="2"/>
  <c r="N53" i="2"/>
  <c r="N478" i="2"/>
  <c r="N250" i="2"/>
  <c r="N251" i="2"/>
  <c r="N252" i="2"/>
  <c r="N54" i="2"/>
  <c r="N421" i="2"/>
  <c r="N253" i="2"/>
  <c r="N254" i="2"/>
  <c r="N255" i="2"/>
  <c r="N256" i="2"/>
  <c r="N257" i="2"/>
  <c r="N258" i="2"/>
  <c r="N422" i="2"/>
  <c r="N55" i="2"/>
  <c r="N259" i="2"/>
  <c r="N260" i="2"/>
  <c r="N423" i="2"/>
  <c r="N56" i="2"/>
  <c r="N479" i="2"/>
  <c r="N424" i="2"/>
  <c r="N57" i="2"/>
  <c r="N261" i="2"/>
  <c r="N262" i="2"/>
  <c r="N263" i="2"/>
  <c r="N480" i="2"/>
  <c r="N481" i="2"/>
  <c r="N425" i="2"/>
  <c r="N58" i="2"/>
  <c r="N426" i="2"/>
  <c r="N264" i="2"/>
  <c r="N265" i="2"/>
  <c r="N427" i="2"/>
  <c r="N59" i="2"/>
  <c r="N60" i="2"/>
  <c r="N266" i="2"/>
  <c r="N267" i="2"/>
  <c r="N268" i="2"/>
  <c r="N269" i="2"/>
  <c r="N270" i="2"/>
  <c r="N271" i="2"/>
  <c r="N272" i="2"/>
  <c r="N273" i="2"/>
  <c r="N61" i="2"/>
  <c r="N274" i="2"/>
  <c r="N428" i="2"/>
  <c r="N275" i="2"/>
  <c r="N62" i="2"/>
  <c r="N276" i="2"/>
  <c r="N429" i="2"/>
  <c r="N482" i="2"/>
  <c r="N430" i="2"/>
  <c r="N483" i="2"/>
  <c r="N63" i="2"/>
  <c r="N431" i="2"/>
  <c r="N64" i="2"/>
  <c r="N65" i="2"/>
  <c r="N432" i="2"/>
  <c r="N454" i="2"/>
  <c r="N455" i="2"/>
  <c r="N456" i="2"/>
  <c r="N457" i="2"/>
  <c r="N458" i="2"/>
  <c r="N332" i="2"/>
  <c r="N333" i="2"/>
  <c r="N334" i="2"/>
  <c r="N335" i="2"/>
  <c r="N336" i="2"/>
  <c r="N459" i="2"/>
  <c r="N488" i="2"/>
  <c r="N337" i="2"/>
  <c r="N460" i="2"/>
  <c r="N97" i="2"/>
  <c r="N338" i="2"/>
  <c r="N98" i="2"/>
  <c r="N339" i="2"/>
  <c r="N340" i="2"/>
  <c r="N461" i="2"/>
  <c r="M155" i="2"/>
  <c r="M159" i="2"/>
  <c r="M372" i="2"/>
  <c r="M160" i="2"/>
  <c r="M468" i="2"/>
  <c r="M162" i="2"/>
  <c r="M163" i="2"/>
  <c r="M469" i="2"/>
  <c r="M375" i="2"/>
  <c r="M370" i="2"/>
  <c r="M168" i="2"/>
  <c r="M169" i="2"/>
  <c r="M381" i="2"/>
  <c r="M170" i="2"/>
  <c r="M471" i="2"/>
  <c r="M382" i="2"/>
  <c r="M383" i="2"/>
  <c r="M171" i="2"/>
  <c r="M172" i="2"/>
  <c r="M22" i="2"/>
  <c r="M173" i="2"/>
  <c r="M156" i="2"/>
  <c r="M186" i="2"/>
  <c r="M388" i="2"/>
  <c r="M389" i="2"/>
  <c r="M187" i="2"/>
  <c r="M188" i="2"/>
  <c r="M26" i="2"/>
  <c r="M27" i="2"/>
  <c r="M390" i="2"/>
  <c r="M189" i="2"/>
  <c r="M190" i="2"/>
  <c r="M391" i="2"/>
  <c r="M392" i="2"/>
  <c r="M191" i="2"/>
  <c r="M192" i="2"/>
  <c r="M28" i="2"/>
  <c r="M193" i="2"/>
  <c r="M194" i="2"/>
  <c r="M195" i="2"/>
  <c r="M196" i="2"/>
  <c r="M197" i="2"/>
  <c r="M198" i="2"/>
  <c r="M371" i="2"/>
  <c r="M158" i="2"/>
  <c r="M210" i="2"/>
  <c r="M35" i="2"/>
  <c r="M211" i="2"/>
  <c r="M36" i="2"/>
  <c r="M37" i="2"/>
  <c r="M38" i="2"/>
  <c r="M401" i="2"/>
  <c r="M402" i="2"/>
  <c r="M39" i="2"/>
  <c r="M474" i="2"/>
  <c r="M212" i="2"/>
  <c r="M213" i="2"/>
  <c r="M40" i="2"/>
  <c r="M373" i="2"/>
  <c r="M161" i="2"/>
  <c r="M467" i="2"/>
  <c r="M374" i="2"/>
  <c r="M376" i="2"/>
  <c r="M377" i="2"/>
  <c r="M21" i="2"/>
  <c r="M378" i="2"/>
  <c r="M379" i="2"/>
  <c r="M470" i="2"/>
  <c r="M380" i="2"/>
  <c r="M164" i="2"/>
  <c r="M165" i="2"/>
  <c r="M166" i="2"/>
  <c r="M167" i="2"/>
  <c r="M154" i="2"/>
  <c r="M23" i="2"/>
  <c r="M384" i="2"/>
  <c r="M174" i="2"/>
  <c r="M175" i="2"/>
  <c r="M176" i="2"/>
  <c r="M177" i="2"/>
  <c r="M178" i="2"/>
  <c r="M24" i="2"/>
  <c r="M179" i="2"/>
  <c r="M385" i="2"/>
  <c r="M386" i="2"/>
  <c r="M180" i="2"/>
  <c r="M181" i="2"/>
  <c r="M182" i="2"/>
  <c r="M183" i="2"/>
  <c r="M25" i="2"/>
  <c r="M184" i="2"/>
  <c r="M185" i="2"/>
  <c r="M387" i="2"/>
  <c r="M199" i="2"/>
  <c r="M393" i="2"/>
  <c r="M394" i="2"/>
  <c r="M200" i="2"/>
  <c r="M395" i="2"/>
  <c r="M29" i="2"/>
  <c r="M201" i="2"/>
  <c r="M202" i="2"/>
  <c r="M203" i="2"/>
  <c r="M472" i="2"/>
  <c r="M473" i="2"/>
  <c r="M30" i="2"/>
  <c r="M204" i="2"/>
  <c r="M31" i="2"/>
  <c r="M396" i="2"/>
  <c r="M205" i="2"/>
  <c r="M32" i="2"/>
  <c r="M397" i="2"/>
  <c r="M398" i="2"/>
  <c r="M206" i="2"/>
  <c r="M207" i="2"/>
  <c r="M399" i="2"/>
  <c r="M208" i="2"/>
  <c r="M33" i="2"/>
  <c r="M34" i="2"/>
  <c r="M209" i="2"/>
  <c r="M400" i="2"/>
  <c r="M157" i="2"/>
  <c r="M403" i="2"/>
  <c r="M214" i="2"/>
  <c r="M215" i="2"/>
  <c r="M216" i="2"/>
  <c r="M404" i="2"/>
  <c r="M405" i="2"/>
  <c r="M446" i="2"/>
  <c r="M323" i="2"/>
  <c r="M447" i="2"/>
  <c r="M324" i="2"/>
  <c r="M448" i="2"/>
  <c r="M325" i="2"/>
  <c r="M326" i="2"/>
  <c r="M327" i="2"/>
  <c r="M449" i="2"/>
  <c r="M92" i="2"/>
  <c r="M328" i="2"/>
  <c r="M450" i="2"/>
  <c r="M329" i="2"/>
  <c r="M451" i="2"/>
  <c r="M93" i="2"/>
  <c r="M148" i="2"/>
  <c r="M16" i="2"/>
  <c r="M149" i="2"/>
  <c r="M17" i="2"/>
  <c r="M367" i="2"/>
  <c r="M18" i="2"/>
  <c r="M342" i="2"/>
  <c r="M105" i="2"/>
  <c r="M345" i="2"/>
  <c r="M463" i="2"/>
  <c r="M107" i="2"/>
  <c r="M5" i="2"/>
  <c r="M99" i="2"/>
  <c r="M346" i="2"/>
  <c r="M108" i="2"/>
  <c r="M109" i="2"/>
  <c r="M110" i="2"/>
  <c r="M6" i="2"/>
  <c r="M7" i="2"/>
  <c r="M111" i="2"/>
  <c r="M8" i="2"/>
  <c r="M112" i="2"/>
  <c r="M347" i="2"/>
  <c r="M113" i="2"/>
  <c r="M114" i="2"/>
  <c r="M9" i="2"/>
  <c r="M2" i="2"/>
  <c r="M462" i="2"/>
  <c r="M100" i="2"/>
  <c r="M348" i="2"/>
  <c r="M349" i="2"/>
  <c r="M115" i="2"/>
  <c r="M116" i="2"/>
  <c r="M117" i="2"/>
  <c r="M118" i="2"/>
  <c r="M350" i="2"/>
  <c r="M351" i="2"/>
  <c r="M119" i="2"/>
  <c r="M120" i="2"/>
  <c r="M352" i="2"/>
  <c r="M464" i="2"/>
  <c r="M353" i="2"/>
  <c r="M10" i="2"/>
  <c r="M121" i="2"/>
  <c r="M122" i="2"/>
  <c r="M123" i="2"/>
  <c r="M354" i="2"/>
  <c r="M355" i="2"/>
  <c r="M124" i="2"/>
  <c r="M465" i="2"/>
  <c r="M101" i="2"/>
  <c r="M102" i="2"/>
  <c r="M103" i="2"/>
  <c r="M341" i="2"/>
  <c r="M104" i="2"/>
  <c r="M356" i="2"/>
  <c r="M125" i="2"/>
  <c r="M126" i="2"/>
  <c r="M357" i="2"/>
  <c r="M11" i="2"/>
  <c r="M127" i="2"/>
  <c r="M128" i="2"/>
  <c r="M129" i="2"/>
  <c r="M358" i="2"/>
  <c r="M130" i="2"/>
  <c r="M359" i="2"/>
  <c r="M131" i="2"/>
  <c r="M132" i="2"/>
  <c r="M133" i="2"/>
  <c r="M360" i="2"/>
  <c r="M134" i="2"/>
  <c r="M135" i="2"/>
  <c r="M12" i="2"/>
  <c r="M361" i="2"/>
  <c r="M13" i="2"/>
  <c r="M136" i="2"/>
  <c r="M362" i="2"/>
  <c r="M137" i="2"/>
  <c r="M466" i="2"/>
  <c r="M138" i="2"/>
  <c r="M363" i="2"/>
  <c r="M139" i="2"/>
  <c r="M140" i="2"/>
  <c r="M364" i="2"/>
  <c r="M141" i="2"/>
  <c r="M142" i="2"/>
  <c r="M143" i="2"/>
  <c r="M14" i="2"/>
  <c r="M144" i="2"/>
  <c r="M365" i="2"/>
  <c r="M145" i="2"/>
  <c r="M146" i="2"/>
  <c r="M15" i="2"/>
  <c r="M366" i="2"/>
  <c r="M147" i="2"/>
  <c r="M3" i="2"/>
  <c r="M343" i="2"/>
  <c r="M344" i="2"/>
  <c r="M106" i="2"/>
  <c r="M4" i="2"/>
  <c r="M150" i="2"/>
  <c r="M368" i="2"/>
  <c r="M151" i="2"/>
  <c r="M19" i="2"/>
  <c r="M152" i="2"/>
  <c r="M369" i="2"/>
  <c r="M153" i="2"/>
  <c r="M20" i="2"/>
  <c r="M94" i="2"/>
  <c r="M95" i="2"/>
  <c r="M452" i="2"/>
  <c r="M486" i="2"/>
  <c r="M330" i="2"/>
  <c r="M96" i="2"/>
  <c r="M487" i="2"/>
  <c r="M331" i="2"/>
  <c r="M453" i="2"/>
  <c r="M277" i="2"/>
  <c r="M66" i="2"/>
  <c r="M484" i="2"/>
  <c r="M278" i="2"/>
  <c r="M279" i="2"/>
  <c r="M280" i="2"/>
  <c r="M433" i="2"/>
  <c r="M67" i="2"/>
  <c r="M68" i="2"/>
  <c r="M281" i="2"/>
  <c r="M434" i="2"/>
  <c r="M282" i="2"/>
  <c r="M283" i="2"/>
  <c r="M284" i="2"/>
  <c r="M69" i="2"/>
  <c r="M285" i="2"/>
  <c r="M286" i="2"/>
  <c r="M287" i="2"/>
  <c r="M288" i="2"/>
  <c r="M70" i="2"/>
  <c r="M435" i="2"/>
  <c r="M71" i="2"/>
  <c r="M289" i="2"/>
  <c r="M436" i="2"/>
  <c r="M72" i="2"/>
  <c r="M290" i="2"/>
  <c r="M437" i="2"/>
  <c r="M291" i="2"/>
  <c r="M73" i="2"/>
  <c r="M292" i="2"/>
  <c r="M74" i="2"/>
  <c r="M75" i="2"/>
  <c r="M485" i="2"/>
  <c r="M293" i="2"/>
  <c r="M76" i="2"/>
  <c r="M294" i="2"/>
  <c r="M295" i="2"/>
  <c r="M296" i="2"/>
  <c r="M297" i="2"/>
  <c r="M77" i="2"/>
  <c r="M438" i="2"/>
  <c r="M78" i="2"/>
  <c r="M79" i="2"/>
  <c r="M298" i="2"/>
  <c r="M80" i="2"/>
  <c r="M81" i="2"/>
  <c r="M299" i="2"/>
  <c r="M300" i="2"/>
  <c r="M301" i="2"/>
  <c r="M302" i="2"/>
  <c r="M82" i="2"/>
  <c r="M83" i="2"/>
  <c r="M303" i="2"/>
  <c r="M304" i="2"/>
  <c r="M305" i="2"/>
  <c r="M306" i="2"/>
  <c r="M307" i="2"/>
  <c r="M439" i="2"/>
  <c r="M308" i="2"/>
  <c r="M309" i="2"/>
  <c r="M84" i="2"/>
  <c r="M310" i="2"/>
  <c r="M85" i="2"/>
  <c r="M311" i="2"/>
  <c r="M312" i="2"/>
  <c r="M440" i="2"/>
  <c r="M313" i="2"/>
  <c r="M314" i="2"/>
  <c r="M315" i="2"/>
  <c r="M86" i="2"/>
  <c r="M316" i="2"/>
  <c r="M317" i="2"/>
  <c r="M441" i="2"/>
  <c r="M442" i="2"/>
  <c r="M318" i="2"/>
  <c r="M443" i="2"/>
  <c r="M87" i="2"/>
  <c r="M88" i="2"/>
  <c r="M319" i="2"/>
  <c r="M320" i="2"/>
  <c r="M444" i="2"/>
  <c r="M89" i="2"/>
  <c r="M90" i="2"/>
  <c r="M445" i="2"/>
  <c r="M321" i="2"/>
  <c r="M91" i="2"/>
  <c r="M322" i="2"/>
  <c r="M217" i="2"/>
  <c r="M406" i="2"/>
  <c r="M41" i="2"/>
  <c r="M42" i="2"/>
  <c r="M475" i="2"/>
  <c r="M218" i="2"/>
  <c r="M219" i="2"/>
  <c r="M220" i="2"/>
  <c r="M221" i="2"/>
  <c r="M222" i="2"/>
  <c r="M223" i="2"/>
  <c r="M224" i="2"/>
  <c r="M43" i="2"/>
  <c r="M225" i="2"/>
  <c r="M44" i="2"/>
  <c r="M407" i="2"/>
  <c r="M45" i="2"/>
  <c r="M226" i="2"/>
  <c r="M227" i="2"/>
  <c r="M228" i="2"/>
  <c r="M229" i="2"/>
  <c r="M230" i="2"/>
  <c r="M408" i="2"/>
  <c r="M231" i="2"/>
  <c r="M232" i="2"/>
  <c r="M476" i="2"/>
  <c r="M409" i="2"/>
  <c r="M410" i="2"/>
  <c r="M233" i="2"/>
  <c r="M46" i="2"/>
  <c r="M47" i="2"/>
  <c r="M411" i="2"/>
  <c r="M234" i="2"/>
  <c r="M235" i="2"/>
  <c r="M236" i="2"/>
  <c r="M412" i="2"/>
  <c r="M413" i="2"/>
  <c r="M237" i="2"/>
  <c r="M48" i="2"/>
  <c r="M238" i="2"/>
  <c r="M239" i="2"/>
  <c r="M49" i="2"/>
  <c r="M240" i="2"/>
  <c r="M241" i="2"/>
  <c r="M414" i="2"/>
  <c r="M477" i="2"/>
  <c r="M50" i="2"/>
  <c r="M415" i="2"/>
  <c r="M51" i="2"/>
  <c r="M242" i="2"/>
  <c r="M416" i="2"/>
  <c r="M243" i="2"/>
  <c r="M244" i="2"/>
  <c r="M245" i="2"/>
  <c r="M417" i="2"/>
  <c r="M418" i="2"/>
  <c r="M246" i="2"/>
  <c r="M247" i="2"/>
  <c r="M52" i="2"/>
  <c r="M419" i="2"/>
  <c r="M248" i="2"/>
  <c r="M420" i="2"/>
  <c r="M249" i="2"/>
  <c r="M53" i="2"/>
  <c r="M478" i="2"/>
  <c r="M250" i="2"/>
  <c r="M251" i="2"/>
  <c r="M252" i="2"/>
  <c r="M54" i="2"/>
  <c r="M421" i="2"/>
  <c r="M253" i="2"/>
  <c r="M254" i="2"/>
  <c r="M255" i="2"/>
  <c r="M256" i="2"/>
  <c r="M257" i="2"/>
  <c r="M258" i="2"/>
  <c r="M422" i="2"/>
  <c r="M55" i="2"/>
  <c r="M259" i="2"/>
  <c r="M260" i="2"/>
  <c r="M423" i="2"/>
  <c r="M56" i="2"/>
  <c r="M479" i="2"/>
  <c r="M424" i="2"/>
  <c r="M57" i="2"/>
  <c r="M261" i="2"/>
  <c r="M262" i="2"/>
  <c r="M263" i="2"/>
  <c r="M480" i="2"/>
  <c r="M481" i="2"/>
  <c r="M425" i="2"/>
  <c r="M58" i="2"/>
  <c r="M426" i="2"/>
  <c r="M264" i="2"/>
  <c r="M265" i="2"/>
  <c r="M427" i="2"/>
  <c r="M59" i="2"/>
  <c r="M60" i="2"/>
  <c r="M266" i="2"/>
  <c r="M267" i="2"/>
  <c r="M268" i="2"/>
  <c r="M269" i="2"/>
  <c r="M270" i="2"/>
  <c r="M271" i="2"/>
  <c r="M272" i="2"/>
  <c r="M273" i="2"/>
  <c r="M61" i="2"/>
  <c r="M274" i="2"/>
  <c r="M428" i="2"/>
  <c r="M275" i="2"/>
  <c r="M62" i="2"/>
  <c r="M276" i="2"/>
  <c r="M429" i="2"/>
  <c r="M482" i="2"/>
  <c r="M430" i="2"/>
  <c r="M483" i="2"/>
  <c r="M63" i="2"/>
  <c r="M431" i="2"/>
  <c r="M64" i="2"/>
  <c r="M65" i="2"/>
  <c r="M432" i="2"/>
  <c r="M454" i="2"/>
  <c r="M455" i="2"/>
  <c r="M456" i="2"/>
  <c r="M457" i="2"/>
  <c r="M458" i="2"/>
  <c r="M332" i="2"/>
  <c r="M333" i="2"/>
  <c r="M334" i="2"/>
  <c r="M335" i="2"/>
  <c r="M336" i="2"/>
  <c r="M459" i="2"/>
  <c r="M488" i="2"/>
  <c r="M337" i="2"/>
  <c r="M460" i="2"/>
  <c r="M97" i="2"/>
  <c r="M338" i="2"/>
  <c r="M98" i="2"/>
  <c r="M339" i="2"/>
  <c r="M340" i="2"/>
  <c r="M461" i="2"/>
  <c r="L155" i="2"/>
  <c r="L159" i="2"/>
  <c r="L372" i="2"/>
  <c r="L160" i="2"/>
  <c r="L468" i="2"/>
  <c r="L162" i="2"/>
  <c r="L163" i="2"/>
  <c r="L469" i="2"/>
  <c r="L375" i="2"/>
  <c r="L370" i="2"/>
  <c r="L168" i="2"/>
  <c r="L169" i="2"/>
  <c r="L381" i="2"/>
  <c r="L170" i="2"/>
  <c r="L471" i="2"/>
  <c r="L382" i="2"/>
  <c r="L383" i="2"/>
  <c r="L171" i="2"/>
  <c r="L172" i="2"/>
  <c r="L22" i="2"/>
  <c r="L173" i="2"/>
  <c r="L156" i="2"/>
  <c r="L186" i="2"/>
  <c r="L388" i="2"/>
  <c r="L389" i="2"/>
  <c r="L187" i="2"/>
  <c r="L188" i="2"/>
  <c r="L26" i="2"/>
  <c r="L27" i="2"/>
  <c r="L390" i="2"/>
  <c r="L189" i="2"/>
  <c r="L190" i="2"/>
  <c r="L391" i="2"/>
  <c r="L392" i="2"/>
  <c r="L191" i="2"/>
  <c r="L192" i="2"/>
  <c r="L28" i="2"/>
  <c r="L193" i="2"/>
  <c r="L194" i="2"/>
  <c r="L195" i="2"/>
  <c r="L196" i="2"/>
  <c r="L197" i="2"/>
  <c r="L198" i="2"/>
  <c r="L371" i="2"/>
  <c r="L158" i="2"/>
  <c r="L210" i="2"/>
  <c r="L35" i="2"/>
  <c r="L211" i="2"/>
  <c r="L36" i="2"/>
  <c r="L37" i="2"/>
  <c r="L38" i="2"/>
  <c r="L401" i="2"/>
  <c r="L402" i="2"/>
  <c r="L39" i="2"/>
  <c r="L474" i="2"/>
  <c r="L212" i="2"/>
  <c r="L213" i="2"/>
  <c r="L40" i="2"/>
  <c r="L373" i="2"/>
  <c r="L161" i="2"/>
  <c r="L467" i="2"/>
  <c r="L374" i="2"/>
  <c r="L376" i="2"/>
  <c r="L377" i="2"/>
  <c r="L21" i="2"/>
  <c r="L378" i="2"/>
  <c r="L379" i="2"/>
  <c r="L470" i="2"/>
  <c r="L380" i="2"/>
  <c r="L164" i="2"/>
  <c r="L165" i="2"/>
  <c r="L166" i="2"/>
  <c r="L167" i="2"/>
  <c r="L154" i="2"/>
  <c r="L23" i="2"/>
  <c r="L384" i="2"/>
  <c r="L174" i="2"/>
  <c r="L175" i="2"/>
  <c r="L176" i="2"/>
  <c r="L177" i="2"/>
  <c r="L178" i="2"/>
  <c r="L24" i="2"/>
  <c r="L179" i="2"/>
  <c r="L385" i="2"/>
  <c r="L386" i="2"/>
  <c r="L180" i="2"/>
  <c r="L181" i="2"/>
  <c r="L182" i="2"/>
  <c r="L183" i="2"/>
  <c r="L25" i="2"/>
  <c r="L184" i="2"/>
  <c r="L185" i="2"/>
  <c r="L387" i="2"/>
  <c r="L199" i="2"/>
  <c r="L393" i="2"/>
  <c r="L394" i="2"/>
  <c r="L200" i="2"/>
  <c r="L395" i="2"/>
  <c r="L29" i="2"/>
  <c r="L201" i="2"/>
  <c r="L202" i="2"/>
  <c r="L203" i="2"/>
  <c r="L472" i="2"/>
  <c r="L473" i="2"/>
  <c r="L30" i="2"/>
  <c r="L204" i="2"/>
  <c r="L31" i="2"/>
  <c r="L396" i="2"/>
  <c r="L205" i="2"/>
  <c r="L32" i="2"/>
  <c r="L397" i="2"/>
  <c r="L398" i="2"/>
  <c r="L206" i="2"/>
  <c r="L207" i="2"/>
  <c r="L399" i="2"/>
  <c r="L208" i="2"/>
  <c r="L33" i="2"/>
  <c r="L34" i="2"/>
  <c r="L209" i="2"/>
  <c r="L400" i="2"/>
  <c r="L157" i="2"/>
  <c r="L403" i="2"/>
  <c r="L214" i="2"/>
  <c r="L215" i="2"/>
  <c r="L216" i="2"/>
  <c r="L404" i="2"/>
  <c r="L405" i="2"/>
  <c r="L446" i="2"/>
  <c r="L323" i="2"/>
  <c r="L447" i="2"/>
  <c r="L324" i="2"/>
  <c r="L448" i="2"/>
  <c r="L325" i="2"/>
  <c r="L326" i="2"/>
  <c r="L327" i="2"/>
  <c r="L449" i="2"/>
  <c r="L92" i="2"/>
  <c r="L328" i="2"/>
  <c r="L450" i="2"/>
  <c r="L329" i="2"/>
  <c r="L451" i="2"/>
  <c r="L93" i="2"/>
  <c r="L148" i="2"/>
  <c r="L16" i="2"/>
  <c r="L149" i="2"/>
  <c r="L17" i="2"/>
  <c r="L367" i="2"/>
  <c r="L18" i="2"/>
  <c r="L342" i="2"/>
  <c r="L105" i="2"/>
  <c r="L345" i="2"/>
  <c r="L463" i="2"/>
  <c r="L107" i="2"/>
  <c r="L5" i="2"/>
  <c r="L99" i="2"/>
  <c r="L346" i="2"/>
  <c r="L108" i="2"/>
  <c r="L109" i="2"/>
  <c r="L110" i="2"/>
  <c r="L6" i="2"/>
  <c r="L7" i="2"/>
  <c r="L111" i="2"/>
  <c r="L8" i="2"/>
  <c r="L112" i="2"/>
  <c r="L347" i="2"/>
  <c r="L113" i="2"/>
  <c r="L114" i="2"/>
  <c r="L9" i="2"/>
  <c r="L2" i="2"/>
  <c r="L462" i="2"/>
  <c r="L100" i="2"/>
  <c r="L348" i="2"/>
  <c r="L349" i="2"/>
  <c r="L115" i="2"/>
  <c r="L116" i="2"/>
  <c r="L117" i="2"/>
  <c r="L118" i="2"/>
  <c r="L350" i="2"/>
  <c r="L351" i="2"/>
  <c r="L119" i="2"/>
  <c r="L120" i="2"/>
  <c r="L352" i="2"/>
  <c r="L464" i="2"/>
  <c r="L353" i="2"/>
  <c r="L10" i="2"/>
  <c r="L121" i="2"/>
  <c r="L122" i="2"/>
  <c r="L123" i="2"/>
  <c r="L354" i="2"/>
  <c r="L355" i="2"/>
  <c r="L124" i="2"/>
  <c r="L465" i="2"/>
  <c r="L101" i="2"/>
  <c r="L102" i="2"/>
  <c r="L103" i="2"/>
  <c r="L341" i="2"/>
  <c r="L104" i="2"/>
  <c r="L356" i="2"/>
  <c r="L125" i="2"/>
  <c r="L126" i="2"/>
  <c r="L357" i="2"/>
  <c r="L11" i="2"/>
  <c r="L127" i="2"/>
  <c r="L128" i="2"/>
  <c r="L129" i="2"/>
  <c r="L358" i="2"/>
  <c r="L130" i="2"/>
  <c r="L359" i="2"/>
  <c r="L131" i="2"/>
  <c r="L132" i="2"/>
  <c r="L133" i="2"/>
  <c r="L360" i="2"/>
  <c r="L134" i="2"/>
  <c r="L135" i="2"/>
  <c r="L12" i="2"/>
  <c r="L361" i="2"/>
  <c r="L13" i="2"/>
  <c r="L136" i="2"/>
  <c r="L362" i="2"/>
  <c r="L137" i="2"/>
  <c r="L466" i="2"/>
  <c r="L138" i="2"/>
  <c r="L363" i="2"/>
  <c r="L139" i="2"/>
  <c r="L140" i="2"/>
  <c r="L364" i="2"/>
  <c r="L141" i="2"/>
  <c r="L142" i="2"/>
  <c r="L143" i="2"/>
  <c r="L14" i="2"/>
  <c r="L144" i="2"/>
  <c r="L365" i="2"/>
  <c r="L145" i="2"/>
  <c r="L146" i="2"/>
  <c r="L15" i="2"/>
  <c r="L366" i="2"/>
  <c r="L147" i="2"/>
  <c r="L3" i="2"/>
  <c r="L343" i="2"/>
  <c r="L344" i="2"/>
  <c r="L106" i="2"/>
  <c r="L4" i="2"/>
  <c r="L150" i="2"/>
  <c r="L368" i="2"/>
  <c r="L151" i="2"/>
  <c r="L19" i="2"/>
  <c r="L152" i="2"/>
  <c r="L369" i="2"/>
  <c r="L153" i="2"/>
  <c r="L20" i="2"/>
  <c r="L94" i="2"/>
  <c r="L95" i="2"/>
  <c r="L452" i="2"/>
  <c r="L486" i="2"/>
  <c r="L330" i="2"/>
  <c r="L96" i="2"/>
  <c r="L487" i="2"/>
  <c r="L331" i="2"/>
  <c r="L453" i="2"/>
  <c r="L277" i="2"/>
  <c r="L66" i="2"/>
  <c r="L484" i="2"/>
  <c r="L278" i="2"/>
  <c r="L279" i="2"/>
  <c r="L280" i="2"/>
  <c r="L433" i="2"/>
  <c r="L67" i="2"/>
  <c r="L68" i="2"/>
  <c r="L281" i="2"/>
  <c r="L434" i="2"/>
  <c r="L282" i="2"/>
  <c r="L283" i="2"/>
  <c r="L284" i="2"/>
  <c r="L69" i="2"/>
  <c r="L285" i="2"/>
  <c r="L286" i="2"/>
  <c r="L287" i="2"/>
  <c r="L288" i="2"/>
  <c r="L70" i="2"/>
  <c r="L435" i="2"/>
  <c r="L71" i="2"/>
  <c r="L289" i="2"/>
  <c r="L436" i="2"/>
  <c r="L72" i="2"/>
  <c r="L290" i="2"/>
  <c r="L437" i="2"/>
  <c r="L291" i="2"/>
  <c r="L73" i="2"/>
  <c r="L292" i="2"/>
  <c r="L74" i="2"/>
  <c r="L75" i="2"/>
  <c r="L485" i="2"/>
  <c r="L293" i="2"/>
  <c r="L76" i="2"/>
  <c r="L294" i="2"/>
  <c r="L295" i="2"/>
  <c r="L296" i="2"/>
  <c r="L297" i="2"/>
  <c r="L77" i="2"/>
  <c r="L438" i="2"/>
  <c r="L78" i="2"/>
  <c r="L79" i="2"/>
  <c r="L298" i="2"/>
  <c r="L80" i="2"/>
  <c r="L81" i="2"/>
  <c r="L299" i="2"/>
  <c r="L300" i="2"/>
  <c r="L301" i="2"/>
  <c r="L302" i="2"/>
  <c r="L82" i="2"/>
  <c r="L83" i="2"/>
  <c r="L303" i="2"/>
  <c r="L304" i="2"/>
  <c r="L305" i="2"/>
  <c r="L306" i="2"/>
  <c r="L307" i="2"/>
  <c r="L439" i="2"/>
  <c r="L308" i="2"/>
  <c r="L309" i="2"/>
  <c r="L84" i="2"/>
  <c r="L310" i="2"/>
  <c r="L85" i="2"/>
  <c r="L311" i="2"/>
  <c r="L312" i="2"/>
  <c r="L440" i="2"/>
  <c r="L313" i="2"/>
  <c r="L314" i="2"/>
  <c r="L315" i="2"/>
  <c r="L86" i="2"/>
  <c r="L316" i="2"/>
  <c r="L317" i="2"/>
  <c r="L441" i="2"/>
  <c r="L442" i="2"/>
  <c r="L318" i="2"/>
  <c r="L443" i="2"/>
  <c r="L87" i="2"/>
  <c r="L88" i="2"/>
  <c r="L319" i="2"/>
  <c r="L320" i="2"/>
  <c r="L444" i="2"/>
  <c r="L89" i="2"/>
  <c r="L90" i="2"/>
  <c r="L445" i="2"/>
  <c r="L321" i="2"/>
  <c r="L91" i="2"/>
  <c r="L322" i="2"/>
  <c r="L217" i="2"/>
  <c r="L406" i="2"/>
  <c r="L41" i="2"/>
  <c r="L42" i="2"/>
  <c r="L475" i="2"/>
  <c r="L218" i="2"/>
  <c r="L219" i="2"/>
  <c r="L220" i="2"/>
  <c r="L221" i="2"/>
  <c r="L222" i="2"/>
  <c r="L223" i="2"/>
  <c r="L224" i="2"/>
  <c r="L43" i="2"/>
  <c r="L225" i="2"/>
  <c r="L44" i="2"/>
  <c r="L407" i="2"/>
  <c r="L45" i="2"/>
  <c r="L226" i="2"/>
  <c r="L227" i="2"/>
  <c r="L228" i="2"/>
  <c r="L229" i="2"/>
  <c r="L230" i="2"/>
  <c r="L408" i="2"/>
  <c r="L231" i="2"/>
  <c r="L232" i="2"/>
  <c r="L476" i="2"/>
  <c r="L409" i="2"/>
  <c r="L410" i="2"/>
  <c r="L233" i="2"/>
  <c r="L46" i="2"/>
  <c r="L47" i="2"/>
  <c r="L411" i="2"/>
  <c r="L234" i="2"/>
  <c r="L235" i="2"/>
  <c r="L236" i="2"/>
  <c r="L412" i="2"/>
  <c r="L413" i="2"/>
  <c r="L237" i="2"/>
  <c r="L48" i="2"/>
  <c r="L238" i="2"/>
  <c r="L239" i="2"/>
  <c r="L49" i="2"/>
  <c r="L240" i="2"/>
  <c r="L241" i="2"/>
  <c r="L414" i="2"/>
  <c r="L477" i="2"/>
  <c r="L50" i="2"/>
  <c r="L415" i="2"/>
  <c r="L51" i="2"/>
  <c r="L242" i="2"/>
  <c r="L416" i="2"/>
  <c r="L243" i="2"/>
  <c r="L244" i="2"/>
  <c r="L245" i="2"/>
  <c r="L417" i="2"/>
  <c r="L418" i="2"/>
  <c r="L246" i="2"/>
  <c r="L247" i="2"/>
  <c r="L52" i="2"/>
  <c r="L419" i="2"/>
  <c r="L248" i="2"/>
  <c r="L420" i="2"/>
  <c r="L249" i="2"/>
  <c r="L53" i="2"/>
  <c r="L478" i="2"/>
  <c r="L250" i="2"/>
  <c r="L251" i="2"/>
  <c r="L252" i="2"/>
  <c r="L54" i="2"/>
  <c r="L421" i="2"/>
  <c r="L253" i="2"/>
  <c r="L254" i="2"/>
  <c r="L255" i="2"/>
  <c r="L256" i="2"/>
  <c r="L257" i="2"/>
  <c r="L258" i="2"/>
  <c r="L422" i="2"/>
  <c r="L55" i="2"/>
  <c r="L259" i="2"/>
  <c r="L260" i="2"/>
  <c r="L423" i="2"/>
  <c r="L56" i="2"/>
  <c r="L479" i="2"/>
  <c r="L424" i="2"/>
  <c r="L57" i="2"/>
  <c r="L261" i="2"/>
  <c r="L262" i="2"/>
  <c r="L263" i="2"/>
  <c r="L480" i="2"/>
  <c r="L481" i="2"/>
  <c r="L425" i="2"/>
  <c r="L58" i="2"/>
  <c r="L426" i="2"/>
  <c r="L264" i="2"/>
  <c r="L265" i="2"/>
  <c r="L427" i="2"/>
  <c r="L59" i="2"/>
  <c r="L60" i="2"/>
  <c r="L266" i="2"/>
  <c r="L267" i="2"/>
  <c r="L268" i="2"/>
  <c r="L269" i="2"/>
  <c r="L270" i="2"/>
  <c r="L271" i="2"/>
  <c r="L272" i="2"/>
  <c r="L273" i="2"/>
  <c r="L61" i="2"/>
  <c r="L274" i="2"/>
  <c r="L428" i="2"/>
  <c r="L275" i="2"/>
  <c r="L62" i="2"/>
  <c r="L276" i="2"/>
  <c r="L429" i="2"/>
  <c r="L482" i="2"/>
  <c r="L430" i="2"/>
  <c r="L483" i="2"/>
  <c r="L63" i="2"/>
  <c r="L431" i="2"/>
  <c r="L64" i="2"/>
  <c r="L65" i="2"/>
  <c r="L432" i="2"/>
  <c r="L454" i="2"/>
  <c r="L455" i="2"/>
  <c r="L456" i="2"/>
  <c r="L457" i="2"/>
  <c r="L458" i="2"/>
  <c r="L332" i="2"/>
  <c r="L333" i="2"/>
  <c r="L334" i="2"/>
  <c r="L335" i="2"/>
  <c r="L336" i="2"/>
  <c r="L459" i="2"/>
  <c r="L488" i="2"/>
  <c r="L337" i="2"/>
  <c r="L460" i="2"/>
  <c r="L97" i="2"/>
  <c r="L338" i="2"/>
  <c r="L98" i="2"/>
  <c r="L339" i="2"/>
  <c r="L340" i="2"/>
  <c r="L461" i="2"/>
  <c r="K155" i="2"/>
  <c r="K159" i="2"/>
  <c r="K372" i="2"/>
  <c r="K160" i="2"/>
  <c r="K468" i="2"/>
  <c r="K162" i="2"/>
  <c r="K163" i="2"/>
  <c r="K469" i="2"/>
  <c r="K375" i="2"/>
  <c r="K370" i="2"/>
  <c r="K168" i="2"/>
  <c r="K169" i="2"/>
  <c r="K381" i="2"/>
  <c r="K170" i="2"/>
  <c r="K471" i="2"/>
  <c r="K382" i="2"/>
  <c r="K383" i="2"/>
  <c r="K171" i="2"/>
  <c r="K172" i="2"/>
  <c r="K22" i="2"/>
  <c r="K173" i="2"/>
  <c r="K156" i="2"/>
  <c r="K186" i="2"/>
  <c r="K388" i="2"/>
  <c r="K389" i="2"/>
  <c r="K187" i="2"/>
  <c r="K188" i="2"/>
  <c r="K26" i="2"/>
  <c r="K27" i="2"/>
  <c r="K390" i="2"/>
  <c r="K189" i="2"/>
  <c r="K190" i="2"/>
  <c r="K391" i="2"/>
  <c r="K392" i="2"/>
  <c r="K191" i="2"/>
  <c r="K192" i="2"/>
  <c r="K28" i="2"/>
  <c r="K193" i="2"/>
  <c r="K194" i="2"/>
  <c r="K195" i="2"/>
  <c r="K196" i="2"/>
  <c r="K197" i="2"/>
  <c r="K198" i="2"/>
  <c r="K371" i="2"/>
  <c r="K158" i="2"/>
  <c r="K210" i="2"/>
  <c r="K35" i="2"/>
  <c r="K211" i="2"/>
  <c r="K36" i="2"/>
  <c r="K37" i="2"/>
  <c r="K38" i="2"/>
  <c r="K401" i="2"/>
  <c r="K402" i="2"/>
  <c r="K39" i="2"/>
  <c r="K474" i="2"/>
  <c r="K212" i="2"/>
  <c r="K213" i="2"/>
  <c r="K40" i="2"/>
  <c r="K373" i="2"/>
  <c r="K161" i="2"/>
  <c r="K467" i="2"/>
  <c r="K374" i="2"/>
  <c r="K376" i="2"/>
  <c r="K377" i="2"/>
  <c r="K21" i="2"/>
  <c r="K378" i="2"/>
  <c r="K379" i="2"/>
  <c r="K470" i="2"/>
  <c r="K380" i="2"/>
  <c r="K164" i="2"/>
  <c r="K165" i="2"/>
  <c r="K166" i="2"/>
  <c r="K167" i="2"/>
  <c r="K154" i="2"/>
  <c r="K23" i="2"/>
  <c r="K384" i="2"/>
  <c r="K174" i="2"/>
  <c r="K175" i="2"/>
  <c r="K176" i="2"/>
  <c r="K177" i="2"/>
  <c r="K178" i="2"/>
  <c r="K24" i="2"/>
  <c r="K179" i="2"/>
  <c r="K385" i="2"/>
  <c r="K386" i="2"/>
  <c r="K180" i="2"/>
  <c r="K181" i="2"/>
  <c r="K182" i="2"/>
  <c r="K183" i="2"/>
  <c r="K25" i="2"/>
  <c r="K184" i="2"/>
  <c r="K185" i="2"/>
  <c r="K387" i="2"/>
  <c r="K199" i="2"/>
  <c r="K393" i="2"/>
  <c r="K394" i="2"/>
  <c r="K200" i="2"/>
  <c r="K395" i="2"/>
  <c r="K29" i="2"/>
  <c r="K201" i="2"/>
  <c r="K202" i="2"/>
  <c r="K203" i="2"/>
  <c r="K472" i="2"/>
  <c r="K473" i="2"/>
  <c r="K30" i="2"/>
  <c r="K204" i="2"/>
  <c r="K31" i="2"/>
  <c r="K396" i="2"/>
  <c r="K205" i="2"/>
  <c r="K32" i="2"/>
  <c r="K397" i="2"/>
  <c r="K398" i="2"/>
  <c r="K206" i="2"/>
  <c r="K207" i="2"/>
  <c r="K399" i="2"/>
  <c r="K208" i="2"/>
  <c r="K33" i="2"/>
  <c r="K34" i="2"/>
  <c r="K209" i="2"/>
  <c r="K400" i="2"/>
  <c r="K157" i="2"/>
  <c r="K403" i="2"/>
  <c r="K214" i="2"/>
  <c r="K215" i="2"/>
  <c r="K216" i="2"/>
  <c r="K404" i="2"/>
  <c r="K405" i="2"/>
  <c r="K446" i="2"/>
  <c r="K323" i="2"/>
  <c r="K447" i="2"/>
  <c r="K324" i="2"/>
  <c r="K448" i="2"/>
  <c r="K325" i="2"/>
  <c r="K326" i="2"/>
  <c r="K327" i="2"/>
  <c r="K449" i="2"/>
  <c r="K92" i="2"/>
  <c r="K328" i="2"/>
  <c r="K450" i="2"/>
  <c r="K329" i="2"/>
  <c r="K451" i="2"/>
  <c r="K93" i="2"/>
  <c r="K148" i="2"/>
  <c r="K16" i="2"/>
  <c r="K149" i="2"/>
  <c r="K17" i="2"/>
  <c r="K367" i="2"/>
  <c r="K18" i="2"/>
  <c r="K342" i="2"/>
  <c r="K105" i="2"/>
  <c r="K345" i="2"/>
  <c r="K463" i="2"/>
  <c r="K107" i="2"/>
  <c r="K5" i="2"/>
  <c r="K99" i="2"/>
  <c r="K346" i="2"/>
  <c r="K108" i="2"/>
  <c r="K109" i="2"/>
  <c r="K110" i="2"/>
  <c r="K6" i="2"/>
  <c r="K7" i="2"/>
  <c r="K111" i="2"/>
  <c r="K8" i="2"/>
  <c r="K112" i="2"/>
  <c r="K347" i="2"/>
  <c r="K113" i="2"/>
  <c r="K114" i="2"/>
  <c r="K9" i="2"/>
  <c r="K2" i="2"/>
  <c r="K462" i="2"/>
  <c r="K100" i="2"/>
  <c r="K348" i="2"/>
  <c r="K349" i="2"/>
  <c r="K115" i="2"/>
  <c r="K116" i="2"/>
  <c r="K117" i="2"/>
  <c r="K118" i="2"/>
  <c r="K350" i="2"/>
  <c r="K351" i="2"/>
  <c r="K119" i="2"/>
  <c r="K120" i="2"/>
  <c r="K352" i="2"/>
  <c r="K464" i="2"/>
  <c r="K353" i="2"/>
  <c r="K10" i="2"/>
  <c r="K121" i="2"/>
  <c r="K122" i="2"/>
  <c r="K123" i="2"/>
  <c r="K354" i="2"/>
  <c r="K355" i="2"/>
  <c r="K124" i="2"/>
  <c r="K465" i="2"/>
  <c r="K101" i="2"/>
  <c r="K102" i="2"/>
  <c r="K103" i="2"/>
  <c r="K341" i="2"/>
  <c r="K104" i="2"/>
  <c r="K356" i="2"/>
  <c r="K125" i="2"/>
  <c r="K126" i="2"/>
  <c r="K357" i="2"/>
  <c r="K11" i="2"/>
  <c r="K127" i="2"/>
  <c r="K128" i="2"/>
  <c r="K129" i="2"/>
  <c r="K358" i="2"/>
  <c r="K130" i="2"/>
  <c r="K359" i="2"/>
  <c r="K131" i="2"/>
  <c r="K132" i="2"/>
  <c r="K133" i="2"/>
  <c r="K360" i="2"/>
  <c r="K134" i="2"/>
  <c r="K135" i="2"/>
  <c r="K12" i="2"/>
  <c r="K361" i="2"/>
  <c r="K13" i="2"/>
  <c r="K136" i="2"/>
  <c r="K362" i="2"/>
  <c r="K137" i="2"/>
  <c r="K466" i="2"/>
  <c r="K138" i="2"/>
  <c r="K363" i="2"/>
  <c r="K139" i="2"/>
  <c r="K140" i="2"/>
  <c r="K364" i="2"/>
  <c r="K141" i="2"/>
  <c r="K142" i="2"/>
  <c r="K143" i="2"/>
  <c r="K14" i="2"/>
  <c r="K144" i="2"/>
  <c r="K365" i="2"/>
  <c r="K145" i="2"/>
  <c r="K146" i="2"/>
  <c r="K15" i="2"/>
  <c r="K366" i="2"/>
  <c r="K147" i="2"/>
  <c r="K3" i="2"/>
  <c r="K343" i="2"/>
  <c r="K344" i="2"/>
  <c r="K106" i="2"/>
  <c r="K4" i="2"/>
  <c r="K150" i="2"/>
  <c r="K368" i="2"/>
  <c r="K151" i="2"/>
  <c r="K19" i="2"/>
  <c r="K152" i="2"/>
  <c r="K369" i="2"/>
  <c r="K153" i="2"/>
  <c r="K20" i="2"/>
  <c r="K94" i="2"/>
  <c r="K95" i="2"/>
  <c r="K452" i="2"/>
  <c r="K486" i="2"/>
  <c r="K330" i="2"/>
  <c r="K96" i="2"/>
  <c r="K487" i="2"/>
  <c r="K331" i="2"/>
  <c r="K453" i="2"/>
  <c r="K277" i="2"/>
  <c r="K66" i="2"/>
  <c r="K484" i="2"/>
  <c r="K278" i="2"/>
  <c r="K279" i="2"/>
  <c r="K280" i="2"/>
  <c r="K433" i="2"/>
  <c r="K67" i="2"/>
  <c r="K68" i="2"/>
  <c r="K281" i="2"/>
  <c r="K434" i="2"/>
  <c r="K282" i="2"/>
  <c r="K283" i="2"/>
  <c r="K284" i="2"/>
  <c r="K69" i="2"/>
  <c r="K285" i="2"/>
  <c r="K286" i="2"/>
  <c r="K287" i="2"/>
  <c r="K288" i="2"/>
  <c r="K70" i="2"/>
  <c r="K435" i="2"/>
  <c r="K71" i="2"/>
  <c r="K289" i="2"/>
  <c r="K436" i="2"/>
  <c r="K72" i="2"/>
  <c r="K290" i="2"/>
  <c r="K437" i="2"/>
  <c r="K291" i="2"/>
  <c r="K73" i="2"/>
  <c r="K292" i="2"/>
  <c r="K74" i="2"/>
  <c r="K75" i="2"/>
  <c r="K485" i="2"/>
  <c r="K293" i="2"/>
  <c r="K76" i="2"/>
  <c r="K294" i="2"/>
  <c r="K295" i="2"/>
  <c r="K296" i="2"/>
  <c r="K297" i="2"/>
  <c r="K77" i="2"/>
  <c r="K438" i="2"/>
  <c r="K78" i="2"/>
  <c r="K79" i="2"/>
  <c r="K298" i="2"/>
  <c r="K80" i="2"/>
  <c r="K81" i="2"/>
  <c r="K299" i="2"/>
  <c r="K300" i="2"/>
  <c r="K301" i="2"/>
  <c r="K302" i="2"/>
  <c r="K82" i="2"/>
  <c r="K83" i="2"/>
  <c r="K303" i="2"/>
  <c r="K304" i="2"/>
  <c r="K305" i="2"/>
  <c r="K306" i="2"/>
  <c r="K307" i="2"/>
  <c r="K439" i="2"/>
  <c r="K308" i="2"/>
  <c r="K309" i="2"/>
  <c r="K84" i="2"/>
  <c r="K310" i="2"/>
  <c r="K85" i="2"/>
  <c r="K311" i="2"/>
  <c r="K312" i="2"/>
  <c r="K440" i="2"/>
  <c r="K313" i="2"/>
  <c r="K314" i="2"/>
  <c r="K315" i="2"/>
  <c r="K86" i="2"/>
  <c r="K316" i="2"/>
  <c r="K317" i="2"/>
  <c r="K441" i="2"/>
  <c r="K442" i="2"/>
  <c r="K318" i="2"/>
  <c r="K443" i="2"/>
  <c r="K87" i="2"/>
  <c r="K88" i="2"/>
  <c r="K319" i="2"/>
  <c r="K320" i="2"/>
  <c r="K444" i="2"/>
  <c r="K89" i="2"/>
  <c r="K90" i="2"/>
  <c r="K445" i="2"/>
  <c r="K321" i="2"/>
  <c r="K91" i="2"/>
  <c r="K322" i="2"/>
  <c r="K217" i="2"/>
  <c r="K406" i="2"/>
  <c r="K41" i="2"/>
  <c r="K42" i="2"/>
  <c r="K475" i="2"/>
  <c r="K218" i="2"/>
  <c r="K219" i="2"/>
  <c r="K220" i="2"/>
  <c r="K221" i="2"/>
  <c r="K222" i="2"/>
  <c r="K223" i="2"/>
  <c r="K224" i="2"/>
  <c r="K43" i="2"/>
  <c r="K225" i="2"/>
  <c r="K44" i="2"/>
  <c r="K407" i="2"/>
  <c r="K45" i="2"/>
  <c r="K226" i="2"/>
  <c r="K227" i="2"/>
  <c r="K228" i="2"/>
  <c r="K229" i="2"/>
  <c r="K230" i="2"/>
  <c r="K408" i="2"/>
  <c r="K231" i="2"/>
  <c r="K232" i="2"/>
  <c r="K476" i="2"/>
  <c r="K409" i="2"/>
  <c r="K410" i="2"/>
  <c r="K233" i="2"/>
  <c r="K46" i="2"/>
  <c r="K47" i="2"/>
  <c r="K411" i="2"/>
  <c r="K234" i="2"/>
  <c r="K235" i="2"/>
  <c r="K236" i="2"/>
  <c r="K412" i="2"/>
  <c r="K413" i="2"/>
  <c r="K237" i="2"/>
  <c r="K48" i="2"/>
  <c r="K238" i="2"/>
  <c r="K239" i="2"/>
  <c r="K49" i="2"/>
  <c r="K240" i="2"/>
  <c r="K241" i="2"/>
  <c r="K414" i="2"/>
  <c r="K477" i="2"/>
  <c r="K50" i="2"/>
  <c r="K415" i="2"/>
  <c r="K51" i="2"/>
  <c r="K242" i="2"/>
  <c r="K416" i="2"/>
  <c r="K243" i="2"/>
  <c r="K244" i="2"/>
  <c r="K245" i="2"/>
  <c r="K417" i="2"/>
  <c r="K418" i="2"/>
  <c r="K246" i="2"/>
  <c r="K247" i="2"/>
  <c r="K52" i="2"/>
  <c r="K419" i="2"/>
  <c r="K248" i="2"/>
  <c r="K420" i="2"/>
  <c r="K249" i="2"/>
  <c r="K53" i="2"/>
  <c r="K478" i="2"/>
  <c r="K250" i="2"/>
  <c r="K251" i="2"/>
  <c r="K252" i="2"/>
  <c r="K54" i="2"/>
  <c r="K421" i="2"/>
  <c r="K253" i="2"/>
  <c r="K254" i="2"/>
  <c r="K255" i="2"/>
  <c r="K256" i="2"/>
  <c r="K257" i="2"/>
  <c r="K258" i="2"/>
  <c r="K422" i="2"/>
  <c r="K55" i="2"/>
  <c r="K259" i="2"/>
  <c r="K260" i="2"/>
  <c r="K423" i="2"/>
  <c r="K56" i="2"/>
  <c r="K479" i="2"/>
  <c r="K424" i="2"/>
  <c r="K57" i="2"/>
  <c r="K261" i="2"/>
  <c r="K262" i="2"/>
  <c r="K263" i="2"/>
  <c r="K480" i="2"/>
  <c r="K481" i="2"/>
  <c r="K425" i="2"/>
  <c r="K58" i="2"/>
  <c r="K426" i="2"/>
  <c r="K264" i="2"/>
  <c r="K265" i="2"/>
  <c r="K427" i="2"/>
  <c r="K59" i="2"/>
  <c r="K60" i="2"/>
  <c r="K266" i="2"/>
  <c r="K267" i="2"/>
  <c r="K268" i="2"/>
  <c r="K269" i="2"/>
  <c r="K270" i="2"/>
  <c r="K271" i="2"/>
  <c r="K272" i="2"/>
  <c r="K273" i="2"/>
  <c r="K61" i="2"/>
  <c r="K274" i="2"/>
  <c r="K428" i="2"/>
  <c r="K275" i="2"/>
  <c r="K62" i="2"/>
  <c r="K276" i="2"/>
  <c r="K429" i="2"/>
  <c r="K482" i="2"/>
  <c r="K430" i="2"/>
  <c r="K483" i="2"/>
  <c r="K63" i="2"/>
  <c r="K431" i="2"/>
  <c r="K64" i="2"/>
  <c r="K65" i="2"/>
  <c r="K432" i="2"/>
  <c r="K454" i="2"/>
  <c r="K455" i="2"/>
  <c r="K456" i="2"/>
  <c r="K457" i="2"/>
  <c r="K458" i="2"/>
  <c r="K332" i="2"/>
  <c r="K333" i="2"/>
  <c r="K334" i="2"/>
  <c r="K335" i="2"/>
  <c r="K336" i="2"/>
  <c r="K459" i="2"/>
  <c r="K488" i="2"/>
  <c r="K337" i="2"/>
  <c r="K460" i="2"/>
  <c r="K97" i="2"/>
  <c r="K338" i="2"/>
  <c r="K98" i="2"/>
  <c r="K339" i="2"/>
  <c r="K340" i="2"/>
  <c r="K461" i="2"/>
  <c r="V5" i="2"/>
  <c r="P354" i="2" l="1"/>
  <c r="Q354" i="2" s="1"/>
  <c r="R354" i="2" s="1" a="1"/>
  <c r="R354" i="2" s="1"/>
  <c r="P444" i="2"/>
  <c r="Q444" i="2" s="1"/>
  <c r="R444" i="2" s="1" a="1"/>
  <c r="R444" i="2" s="1"/>
  <c r="P224" i="2"/>
  <c r="Q224" i="2" s="1"/>
  <c r="R224" i="2" s="1" a="1"/>
  <c r="R224" i="2" s="1"/>
  <c r="P40" i="2"/>
  <c r="Q40" i="2" s="1"/>
  <c r="R40" i="2" s="1" a="1"/>
  <c r="R40" i="2" s="1"/>
  <c r="P167" i="2"/>
  <c r="Q167" i="2" s="1"/>
  <c r="R167" i="2" s="1" a="1"/>
  <c r="R167" i="2" s="1"/>
  <c r="P303" i="2"/>
  <c r="Q303" i="2" s="1"/>
  <c r="R303" i="2" s="1" a="1"/>
  <c r="R303" i="2" s="1"/>
  <c r="P420" i="2"/>
  <c r="Q420" i="2" s="1"/>
  <c r="R420" i="2" s="1" a="1"/>
  <c r="R420" i="2" s="1"/>
  <c r="P172" i="2"/>
  <c r="Q172" i="2" s="1"/>
  <c r="R172" i="2" s="1" a="1"/>
  <c r="R172" i="2" s="1"/>
  <c r="P250" i="2"/>
  <c r="Q250" i="2" s="1"/>
  <c r="R250" i="2" s="1" a="1"/>
  <c r="R250" i="2" s="1"/>
  <c r="P305" i="2"/>
  <c r="Q305" i="2" s="1"/>
  <c r="R305" i="2" s="1" a="1"/>
  <c r="R305" i="2" s="1"/>
  <c r="P177" i="2"/>
  <c r="Q177" i="2" s="1"/>
  <c r="R177" i="2" s="1" a="1"/>
  <c r="R177" i="2" s="1"/>
  <c r="P399" i="2"/>
  <c r="Q399" i="2" s="1"/>
  <c r="R399" i="2" s="1" a="1"/>
  <c r="R399" i="2" s="1"/>
  <c r="P74" i="2"/>
  <c r="Q74" i="2" s="1"/>
  <c r="R74" i="2" s="1" a="1"/>
  <c r="R74" i="2" s="1"/>
  <c r="P149" i="2"/>
  <c r="Q149" i="2" s="1"/>
  <c r="R149" i="2" s="1" a="1"/>
  <c r="R149" i="2" s="1"/>
  <c r="P15" i="2"/>
  <c r="Q15" i="2" s="1"/>
  <c r="R15" i="2" s="1" a="1"/>
  <c r="R15" i="2" s="1"/>
  <c r="P98" i="2"/>
  <c r="Q98" i="2" s="1"/>
  <c r="R98" i="2" s="1" a="1"/>
  <c r="R98" i="2" s="1"/>
  <c r="P62" i="2"/>
  <c r="Q62" i="2" s="1"/>
  <c r="R62" i="2" s="1" a="1"/>
  <c r="R62" i="2" s="1"/>
  <c r="P341" i="2"/>
  <c r="Q341" i="2" s="1"/>
  <c r="R341" i="2" s="1" a="1"/>
  <c r="R341" i="2" s="1"/>
  <c r="P347" i="2"/>
  <c r="Q347" i="2" s="1"/>
  <c r="R347" i="2" s="1" a="1"/>
  <c r="R347" i="2" s="1"/>
  <c r="P355" i="2"/>
  <c r="Q355" i="2" s="1"/>
  <c r="R355" i="2" s="1" a="1"/>
  <c r="R355" i="2" s="1"/>
  <c r="P211" i="2"/>
  <c r="Q211" i="2" s="1"/>
  <c r="R211" i="2" s="1" a="1"/>
  <c r="R211" i="2" s="1"/>
  <c r="P228" i="2"/>
  <c r="Q228" i="2" s="1"/>
  <c r="R228" i="2" s="1" a="1"/>
  <c r="R228" i="2" s="1"/>
  <c r="P100" i="2"/>
  <c r="Q100" i="2" s="1"/>
  <c r="R100" i="2" s="1" a="1"/>
  <c r="R100" i="2" s="1"/>
  <c r="P166" i="2"/>
  <c r="Q166" i="2" s="1"/>
  <c r="R166" i="2" s="1" a="1"/>
  <c r="R166" i="2" s="1"/>
  <c r="P178" i="2"/>
  <c r="Q178" i="2" s="1"/>
  <c r="R178" i="2" s="1" a="1"/>
  <c r="R178" i="2" s="1"/>
  <c r="P386" i="2"/>
  <c r="Q386" i="2" s="1"/>
  <c r="R386" i="2" s="1" a="1"/>
  <c r="R386" i="2" s="1"/>
  <c r="P429" i="2"/>
  <c r="Q429" i="2" s="1"/>
  <c r="R429" i="2" s="1" a="1"/>
  <c r="R429" i="2" s="1"/>
  <c r="P30" i="2"/>
  <c r="Q30" i="2" s="1"/>
  <c r="R30" i="2" s="1" a="1"/>
  <c r="R30" i="2" s="1"/>
  <c r="P114" i="2"/>
  <c r="Q114" i="2" s="1"/>
  <c r="R114" i="2" s="1" a="1"/>
  <c r="R114" i="2" s="1"/>
  <c r="P447" i="2"/>
  <c r="Q447" i="2" s="1"/>
  <c r="R447" i="2" s="1" a="1"/>
  <c r="R447" i="2" s="1"/>
  <c r="P197" i="2"/>
  <c r="Q197" i="2" s="1"/>
  <c r="R197" i="2" s="1" a="1"/>
  <c r="R197" i="2" s="1"/>
  <c r="P152" i="2"/>
  <c r="Q152" i="2" s="1"/>
  <c r="R152" i="2" s="1" a="1"/>
  <c r="R152" i="2" s="1"/>
  <c r="P92" i="2"/>
  <c r="Q92" i="2" s="1"/>
  <c r="R92" i="2" s="1" a="1"/>
  <c r="R92" i="2" s="1"/>
  <c r="P247" i="2"/>
  <c r="Q247" i="2" s="1"/>
  <c r="R247" i="2" s="1" a="1"/>
  <c r="R247" i="2" s="1"/>
  <c r="P312" i="2"/>
  <c r="Q312" i="2" s="1"/>
  <c r="R312" i="2" s="1" a="1"/>
  <c r="R312" i="2" s="1"/>
  <c r="P68" i="2"/>
  <c r="Q68" i="2" s="1"/>
  <c r="R68" i="2" s="1" a="1"/>
  <c r="R68" i="2" s="1"/>
  <c r="P55" i="2"/>
  <c r="Q55" i="2" s="1"/>
  <c r="R55" i="2" s="1" a="1"/>
  <c r="R55" i="2" s="1"/>
  <c r="P93" i="2"/>
  <c r="Q93" i="2" s="1"/>
  <c r="R93" i="2" s="1" a="1"/>
  <c r="R93" i="2" s="1"/>
  <c r="P71" i="2"/>
  <c r="Q71" i="2" s="1"/>
  <c r="R71" i="2" s="1" a="1"/>
  <c r="R71" i="2" s="1"/>
  <c r="P136" i="2"/>
  <c r="Q136" i="2" s="1"/>
  <c r="R136" i="2" s="1" a="1"/>
  <c r="R136" i="2" s="1"/>
  <c r="P331" i="2"/>
  <c r="Q331" i="2" s="1"/>
  <c r="R331" i="2" s="1" a="1"/>
  <c r="R331" i="2" s="1"/>
  <c r="P13" i="2"/>
  <c r="Q13" i="2" s="1"/>
  <c r="R13" i="2" s="1" a="1"/>
  <c r="R13" i="2" s="1"/>
  <c r="P289" i="2"/>
  <c r="Q289" i="2" s="1"/>
  <c r="R289" i="2" s="1" a="1"/>
  <c r="R289" i="2" s="1"/>
  <c r="P365" i="2"/>
  <c r="Q365" i="2" s="1"/>
  <c r="R365" i="2" s="1" a="1"/>
  <c r="R365" i="2" s="1"/>
  <c r="P302" i="2"/>
  <c r="Q302" i="2" s="1"/>
  <c r="R302" i="2" s="1" a="1"/>
  <c r="R302" i="2" s="1"/>
  <c r="P245" i="2"/>
  <c r="Q245" i="2" s="1"/>
  <c r="R245" i="2" s="1" a="1"/>
  <c r="R245" i="2" s="1"/>
  <c r="P389" i="2"/>
  <c r="Q389" i="2" s="1"/>
  <c r="R389" i="2" s="1" a="1"/>
  <c r="R389" i="2" s="1"/>
  <c r="P124" i="2"/>
  <c r="Q124" i="2" s="1"/>
  <c r="R124" i="2" s="1" a="1"/>
  <c r="R124" i="2" s="1"/>
  <c r="P143" i="2"/>
  <c r="Q143" i="2" s="1"/>
  <c r="R143" i="2" s="1" a="1"/>
  <c r="R143" i="2" s="1"/>
  <c r="P123" i="2"/>
  <c r="Q123" i="2" s="1"/>
  <c r="R123" i="2" s="1" a="1"/>
  <c r="R123" i="2" s="1"/>
  <c r="P212" i="2"/>
  <c r="Q212" i="2" s="1"/>
  <c r="R212" i="2" s="1" a="1"/>
  <c r="R212" i="2" s="1"/>
  <c r="P14" i="2"/>
  <c r="Q14" i="2" s="1"/>
  <c r="R14" i="2" s="1" a="1"/>
  <c r="R14" i="2" s="1"/>
  <c r="P480" i="2"/>
  <c r="Q480" i="2" s="1"/>
  <c r="R480" i="2" s="1" a="1"/>
  <c r="R480" i="2" s="1"/>
  <c r="P243" i="2"/>
  <c r="Q243" i="2" s="1"/>
  <c r="R243" i="2" s="1" a="1"/>
  <c r="R243" i="2" s="1"/>
  <c r="P461" i="2"/>
  <c r="Q461" i="2" s="1"/>
  <c r="R461" i="2" s="1" a="1"/>
  <c r="R461" i="2" s="1"/>
  <c r="P353" i="2"/>
  <c r="Q353" i="2" s="1"/>
  <c r="R353" i="2" s="1" a="1"/>
  <c r="R353" i="2" s="1"/>
  <c r="P434" i="2"/>
  <c r="Q434" i="2" s="1"/>
  <c r="R434" i="2" s="1" a="1"/>
  <c r="R434" i="2" s="1"/>
  <c r="P425" i="2"/>
  <c r="Q425" i="2" s="1"/>
  <c r="R425" i="2" s="1" a="1"/>
  <c r="R425" i="2" s="1"/>
  <c r="P207" i="2"/>
  <c r="Q207" i="2" s="1"/>
  <c r="R207" i="2" s="1" a="1"/>
  <c r="R207" i="2" s="1"/>
  <c r="P443" i="2"/>
  <c r="Q443" i="2" s="1"/>
  <c r="R443" i="2" s="1" a="1"/>
  <c r="R443" i="2" s="1"/>
  <c r="P435" i="2"/>
  <c r="Q435" i="2" s="1"/>
  <c r="R435" i="2" s="1" a="1"/>
  <c r="R435" i="2" s="1"/>
  <c r="P252" i="2"/>
  <c r="Q252" i="2" s="1"/>
  <c r="R252" i="2" s="1" a="1"/>
  <c r="R252" i="2" s="1"/>
  <c r="P196" i="2"/>
  <c r="Q196" i="2" s="1"/>
  <c r="R196" i="2" s="1" a="1"/>
  <c r="R196" i="2" s="1"/>
  <c r="P402" i="2"/>
  <c r="Q402" i="2" s="1"/>
  <c r="R402" i="2" s="1" a="1"/>
  <c r="R402" i="2" s="1"/>
  <c r="P134" i="2"/>
  <c r="Q134" i="2" s="1"/>
  <c r="R134" i="2" s="1" a="1"/>
  <c r="R134" i="2" s="1"/>
  <c r="P49" i="2"/>
  <c r="Q49" i="2" s="1"/>
  <c r="R49" i="2" s="1" a="1"/>
  <c r="R49" i="2" s="1"/>
  <c r="P273" i="2"/>
  <c r="Q273" i="2" s="1"/>
  <c r="R273" i="2" s="1" a="1"/>
  <c r="R273" i="2" s="1"/>
  <c r="P412" i="2"/>
  <c r="Q412" i="2" s="1"/>
  <c r="R412" i="2" s="1" a="1"/>
  <c r="R412" i="2" s="1"/>
  <c r="P111" i="2"/>
  <c r="Q111" i="2" s="1"/>
  <c r="R111" i="2" s="1" a="1"/>
  <c r="R111" i="2" s="1"/>
  <c r="P215" i="2"/>
  <c r="Q215" i="2" s="1"/>
  <c r="R215" i="2" s="1" a="1"/>
  <c r="R215" i="2" s="1"/>
  <c r="P339" i="2"/>
  <c r="Q339" i="2" s="1"/>
  <c r="R339" i="2" s="1" a="1"/>
  <c r="R339" i="2" s="1"/>
  <c r="P77" i="2"/>
  <c r="Q77" i="2" s="1"/>
  <c r="R77" i="2" s="1" a="1"/>
  <c r="R77" i="2" s="1"/>
  <c r="P266" i="2"/>
  <c r="Q266" i="2" s="1"/>
  <c r="R266" i="2" s="1" a="1"/>
  <c r="R266" i="2" s="1"/>
  <c r="P472" i="2"/>
  <c r="Q472" i="2" s="1"/>
  <c r="R472" i="2" s="1" a="1"/>
  <c r="R472" i="2" s="1"/>
  <c r="P21" i="2"/>
  <c r="Q21" i="2" s="1"/>
  <c r="R21" i="2" s="1" a="1"/>
  <c r="R21" i="2" s="1"/>
  <c r="P59" i="2"/>
  <c r="Q59" i="2" s="1"/>
  <c r="R59" i="2" s="1" a="1"/>
  <c r="R59" i="2" s="1"/>
  <c r="P201" i="2"/>
  <c r="Q201" i="2" s="1"/>
  <c r="R201" i="2" s="1" a="1"/>
  <c r="R201" i="2" s="1"/>
  <c r="P18" i="2"/>
  <c r="Q18" i="2" s="1"/>
  <c r="R18" i="2" s="1" a="1"/>
  <c r="R18" i="2" s="1"/>
  <c r="P433" i="2"/>
  <c r="Q433" i="2" s="1"/>
  <c r="R433" i="2" s="1" a="1"/>
  <c r="R433" i="2" s="1"/>
  <c r="P358" i="2"/>
  <c r="Q358" i="2" s="1"/>
  <c r="R358" i="2" s="1" a="1"/>
  <c r="R358" i="2" s="1"/>
  <c r="P10" i="2"/>
  <c r="Q10" i="2" s="1"/>
  <c r="R10" i="2" s="1" a="1"/>
  <c r="R10" i="2" s="1"/>
  <c r="P330" i="2"/>
  <c r="Q330" i="2" s="1"/>
  <c r="R330" i="2" s="1" a="1"/>
  <c r="R330" i="2" s="1"/>
  <c r="P385" i="2"/>
  <c r="Q385" i="2" s="1"/>
  <c r="R385" i="2" s="1" a="1"/>
  <c r="R385" i="2" s="1"/>
  <c r="P297" i="2"/>
  <c r="Q297" i="2" s="1"/>
  <c r="R297" i="2" s="1" a="1"/>
  <c r="R297" i="2" s="1"/>
  <c r="P294" i="2"/>
  <c r="Q294" i="2" s="1"/>
  <c r="R294" i="2" s="1" a="1"/>
  <c r="R294" i="2" s="1"/>
  <c r="P287" i="2"/>
  <c r="Q287" i="2" s="1"/>
  <c r="R287" i="2" s="1" a="1"/>
  <c r="R287" i="2" s="1"/>
  <c r="P483" i="2"/>
  <c r="Q483" i="2" s="1"/>
  <c r="R483" i="2" s="1" a="1"/>
  <c r="R483" i="2" s="1"/>
  <c r="P199" i="2"/>
  <c r="Q199" i="2" s="1"/>
  <c r="R199" i="2" s="1" a="1"/>
  <c r="R199" i="2" s="1"/>
  <c r="P154" i="2"/>
  <c r="Q154" i="2" s="1"/>
  <c r="R154" i="2" s="1" a="1"/>
  <c r="R154" i="2" s="1"/>
  <c r="P76" i="2"/>
  <c r="Q76" i="2" s="1"/>
  <c r="R76" i="2" s="1" a="1"/>
  <c r="R76" i="2" s="1"/>
  <c r="P306" i="2"/>
  <c r="Q306" i="2" s="1"/>
  <c r="R306" i="2" s="1" a="1"/>
  <c r="R306" i="2" s="1"/>
  <c r="P223" i="2"/>
  <c r="Q223" i="2" s="1"/>
  <c r="R223" i="2" s="1" a="1"/>
  <c r="R223" i="2" s="1"/>
  <c r="P31" i="2"/>
  <c r="Q31" i="2" s="1"/>
  <c r="R31" i="2" s="1" a="1"/>
  <c r="R31" i="2" s="1"/>
  <c r="P344" i="2"/>
  <c r="Q344" i="2" s="1"/>
  <c r="R344" i="2" s="1" a="1"/>
  <c r="R344" i="2" s="1"/>
  <c r="P112" i="2"/>
  <c r="Q112" i="2" s="1"/>
  <c r="R112" i="2" s="1" a="1"/>
  <c r="R112" i="2" s="1"/>
  <c r="P304" i="2"/>
  <c r="Q304" i="2" s="1"/>
  <c r="R304" i="2" s="1" a="1"/>
  <c r="R304" i="2" s="1"/>
  <c r="P322" i="2"/>
  <c r="Q322" i="2" s="1"/>
  <c r="R322" i="2" s="1" a="1"/>
  <c r="R322" i="2" s="1"/>
  <c r="P23" i="2"/>
  <c r="Q23" i="2" s="1"/>
  <c r="R23" i="2" s="1" a="1"/>
  <c r="R23" i="2" s="1"/>
  <c r="P12" i="2"/>
  <c r="Q12" i="2" s="1"/>
  <c r="R12" i="2" s="1" a="1"/>
  <c r="R12" i="2" s="1"/>
  <c r="P117" i="2"/>
  <c r="Q117" i="2" s="1"/>
  <c r="R117" i="2" s="1" a="1"/>
  <c r="R117" i="2" s="1"/>
  <c r="P238" i="2"/>
  <c r="Q238" i="2" s="1"/>
  <c r="R238" i="2" s="1" a="1"/>
  <c r="R238" i="2" s="1"/>
  <c r="P221" i="2"/>
  <c r="Q221" i="2" s="1"/>
  <c r="R221" i="2" s="1" a="1"/>
  <c r="R221" i="2" s="1"/>
  <c r="P415" i="2"/>
  <c r="Q415" i="2" s="1"/>
  <c r="R415" i="2" s="1" a="1"/>
  <c r="R415" i="2" s="1"/>
  <c r="P176" i="2"/>
  <c r="Q176" i="2" s="1"/>
  <c r="R176" i="2" s="1" a="1"/>
  <c r="R176" i="2" s="1"/>
  <c r="P416" i="2"/>
  <c r="Q416" i="2" s="1"/>
  <c r="R416" i="2" s="1" a="1"/>
  <c r="R416" i="2" s="1"/>
  <c r="P449" i="2"/>
  <c r="Q449" i="2" s="1"/>
  <c r="R449" i="2" s="1" a="1"/>
  <c r="R449" i="2" s="1"/>
  <c r="P35" i="2"/>
  <c r="Q35" i="2" s="1"/>
  <c r="R35" i="2" s="1" a="1"/>
  <c r="R35" i="2" s="1"/>
  <c r="P328" i="2"/>
  <c r="Q328" i="2" s="1"/>
  <c r="R328" i="2" s="1" a="1"/>
  <c r="R328" i="2" s="1"/>
  <c r="P476" i="2"/>
  <c r="Q476" i="2" s="1"/>
  <c r="R476" i="2" s="1" a="1"/>
  <c r="R476" i="2" s="1"/>
  <c r="P110" i="2"/>
  <c r="Q110" i="2" s="1"/>
  <c r="R110" i="2" s="1" a="1"/>
  <c r="R110" i="2" s="1"/>
  <c r="P332" i="2"/>
  <c r="Q332" i="2" s="1"/>
  <c r="R332" i="2" s="1" a="1"/>
  <c r="R332" i="2" s="1"/>
  <c r="P109" i="2"/>
  <c r="Q109" i="2" s="1"/>
  <c r="R109" i="2" s="1" a="1"/>
  <c r="R109" i="2" s="1"/>
  <c r="P139" i="2"/>
  <c r="Q139" i="2" s="1"/>
  <c r="R139" i="2" s="1" a="1"/>
  <c r="R139" i="2" s="1"/>
  <c r="P265" i="2"/>
  <c r="Q265" i="2" s="1"/>
  <c r="R265" i="2" s="1" a="1"/>
  <c r="R265" i="2" s="1"/>
  <c r="P258" i="2"/>
  <c r="Q258" i="2" s="1"/>
  <c r="R258" i="2" s="1" a="1"/>
  <c r="R258" i="2" s="1"/>
  <c r="P51" i="2"/>
  <c r="Q51" i="2" s="1"/>
  <c r="R51" i="2" s="1" a="1"/>
  <c r="R51" i="2" s="1"/>
  <c r="P262" i="2"/>
  <c r="Q262" i="2" s="1"/>
  <c r="R262" i="2" s="1" a="1"/>
  <c r="R262" i="2" s="1"/>
  <c r="P54" i="2"/>
  <c r="Q54" i="2" s="1"/>
  <c r="R54" i="2" s="1" a="1"/>
  <c r="R54" i="2" s="1"/>
  <c r="P445" i="2"/>
  <c r="Q445" i="2" s="1"/>
  <c r="R445" i="2" s="1" a="1"/>
  <c r="R445" i="2" s="1"/>
  <c r="P318" i="2"/>
  <c r="Q318" i="2" s="1"/>
  <c r="R318" i="2" s="1" a="1"/>
  <c r="R318" i="2" s="1"/>
  <c r="P16" i="2"/>
  <c r="Q16" i="2" s="1"/>
  <c r="R16" i="2" s="1" a="1"/>
  <c r="R16" i="2" s="1"/>
  <c r="P195" i="2"/>
  <c r="Q195" i="2" s="1"/>
  <c r="R195" i="2" s="1" a="1"/>
  <c r="R195" i="2" s="1"/>
  <c r="P89" i="2"/>
  <c r="Q89" i="2" s="1"/>
  <c r="R89" i="2" s="1" a="1"/>
  <c r="R89" i="2" s="1"/>
  <c r="P351" i="2"/>
  <c r="Q351" i="2" s="1"/>
  <c r="R351" i="2" s="1" a="1"/>
  <c r="R351" i="2" s="1"/>
  <c r="P156" i="2"/>
  <c r="Q156" i="2" s="1"/>
  <c r="R156" i="2" s="1" a="1"/>
  <c r="R156" i="2" s="1"/>
  <c r="P337" i="2"/>
  <c r="Q337" i="2" s="1"/>
  <c r="R337" i="2" s="1" a="1"/>
  <c r="R337" i="2" s="1"/>
  <c r="P458" i="2"/>
  <c r="Q458" i="2" s="1"/>
  <c r="R458" i="2" s="1" a="1"/>
  <c r="R458" i="2" s="1"/>
  <c r="P213" i="2"/>
  <c r="Q213" i="2" s="1"/>
  <c r="R213" i="2" s="1" a="1"/>
  <c r="R213" i="2" s="1"/>
  <c r="P113" i="2"/>
  <c r="Q113" i="2" s="1"/>
  <c r="R113" i="2" s="1" a="1"/>
  <c r="R113" i="2" s="1"/>
  <c r="P191" i="2"/>
  <c r="Q191" i="2" s="1"/>
  <c r="R191" i="2" s="1" a="1"/>
  <c r="R191" i="2" s="1"/>
  <c r="P11" i="2"/>
  <c r="Q11" i="2" s="1"/>
  <c r="R11" i="2" s="1" a="1"/>
  <c r="R11" i="2" s="1"/>
  <c r="P267" i="2"/>
  <c r="Q267" i="2" s="1"/>
  <c r="R267" i="2" s="1" a="1"/>
  <c r="R267" i="2" s="1"/>
  <c r="P25" i="2"/>
  <c r="Q25" i="2" s="1"/>
  <c r="R25" i="2" s="1" a="1"/>
  <c r="R25" i="2" s="1"/>
  <c r="P86" i="2"/>
  <c r="Q86" i="2" s="1"/>
  <c r="R86" i="2" s="1" a="1"/>
  <c r="R86" i="2" s="1"/>
  <c r="P279" i="2"/>
  <c r="Q279" i="2" s="1"/>
  <c r="R279" i="2" s="1" a="1"/>
  <c r="R279" i="2" s="1"/>
  <c r="P234" i="2"/>
  <c r="Q234" i="2" s="1"/>
  <c r="R234" i="2" s="1" a="1"/>
  <c r="R234" i="2" s="1"/>
  <c r="P274" i="2"/>
  <c r="Q274" i="2" s="1"/>
  <c r="R274" i="2" s="1" a="1"/>
  <c r="R274" i="2" s="1"/>
  <c r="P257" i="2"/>
  <c r="Q257" i="2" s="1"/>
  <c r="R257" i="2" s="1" a="1"/>
  <c r="R257" i="2" s="1"/>
  <c r="P251" i="2"/>
  <c r="Q251" i="2" s="1"/>
  <c r="R251" i="2" s="1" a="1"/>
  <c r="R251" i="2" s="1"/>
  <c r="P216" i="2"/>
  <c r="Q216" i="2" s="1"/>
  <c r="R216" i="2" s="1" a="1"/>
  <c r="R216" i="2" s="1"/>
  <c r="P165" i="2"/>
  <c r="Q165" i="2" s="1"/>
  <c r="R165" i="2" s="1" a="1"/>
  <c r="R165" i="2" s="1"/>
  <c r="P144" i="2"/>
  <c r="Q144" i="2" s="1"/>
  <c r="R144" i="2" s="1" a="1"/>
  <c r="R144" i="2" s="1"/>
  <c r="P280" i="2"/>
  <c r="Q280" i="2" s="1"/>
  <c r="R280" i="2" s="1" a="1"/>
  <c r="R280" i="2" s="1"/>
  <c r="P373" i="2"/>
  <c r="Q373" i="2" s="1"/>
  <c r="R373" i="2" s="1" a="1"/>
  <c r="R373" i="2" s="1"/>
  <c r="P371" i="2"/>
  <c r="Q371" i="2" s="1"/>
  <c r="R371" i="2" s="1" a="1"/>
  <c r="R371" i="2" s="1"/>
  <c r="P383" i="2"/>
  <c r="Q383" i="2" s="1"/>
  <c r="R383" i="2" s="1" a="1"/>
  <c r="R383" i="2" s="1"/>
  <c r="P308" i="2"/>
  <c r="Q308" i="2" s="1"/>
  <c r="R308" i="2" s="1" a="1"/>
  <c r="R308" i="2" s="1"/>
  <c r="P205" i="2"/>
  <c r="Q205" i="2" s="1"/>
  <c r="R205" i="2" s="1" a="1"/>
  <c r="R205" i="2" s="1"/>
  <c r="P6" i="2"/>
  <c r="Q6" i="2" s="1"/>
  <c r="R6" i="2" s="1" a="1"/>
  <c r="R6" i="2" s="1"/>
  <c r="P96" i="2"/>
  <c r="Q96" i="2" s="1"/>
  <c r="R96" i="2" s="1" a="1"/>
  <c r="R96" i="2" s="1"/>
  <c r="P359" i="2"/>
  <c r="Q359" i="2" s="1"/>
  <c r="R359" i="2" s="1" a="1"/>
  <c r="R359" i="2" s="1"/>
  <c r="P393" i="2"/>
  <c r="Q393" i="2" s="1"/>
  <c r="R393" i="2" s="1" a="1"/>
  <c r="R393" i="2" s="1"/>
  <c r="P329" i="2"/>
  <c r="Q329" i="2" s="1"/>
  <c r="R329" i="2" s="1" a="1"/>
  <c r="R329" i="2" s="1"/>
  <c r="P164" i="2"/>
  <c r="Q164" i="2" s="1"/>
  <c r="R164" i="2" s="1" a="1"/>
  <c r="R164" i="2" s="1"/>
  <c r="P182" i="2"/>
  <c r="Q182" i="2" s="1"/>
  <c r="R182" i="2" s="1" a="1"/>
  <c r="R182" i="2" s="1"/>
  <c r="P108" i="2"/>
  <c r="Q108" i="2" s="1"/>
  <c r="R108" i="2" s="1" a="1"/>
  <c r="R108" i="2" s="1"/>
  <c r="P174" i="2"/>
  <c r="Q174" i="2" s="1"/>
  <c r="R174" i="2" s="1" a="1"/>
  <c r="R174" i="2" s="1"/>
  <c r="P462" i="2"/>
  <c r="Q462" i="2" s="1"/>
  <c r="R462" i="2" s="1" a="1"/>
  <c r="R462" i="2" s="1"/>
  <c r="P272" i="2"/>
  <c r="Q272" i="2" s="1"/>
  <c r="R272" i="2" s="1" a="1"/>
  <c r="R272" i="2" s="1"/>
  <c r="P367" i="2"/>
  <c r="Q367" i="2" s="1"/>
  <c r="R367" i="2" s="1" a="1"/>
  <c r="R367" i="2" s="1"/>
  <c r="P183" i="2"/>
  <c r="Q183" i="2" s="1"/>
  <c r="R183" i="2" s="1" a="1"/>
  <c r="R183" i="2" s="1"/>
  <c r="P253" i="2"/>
  <c r="Q253" i="2" s="1"/>
  <c r="R253" i="2" s="1" a="1"/>
  <c r="R253" i="2" s="1"/>
  <c r="P235" i="2"/>
  <c r="Q235" i="2" s="1"/>
  <c r="R235" i="2" s="1" a="1"/>
  <c r="R235" i="2" s="1"/>
  <c r="P427" i="2"/>
  <c r="Q427" i="2" s="1"/>
  <c r="R427" i="2" s="1" a="1"/>
  <c r="R427" i="2" s="1"/>
  <c r="P147" i="2"/>
  <c r="Q147" i="2" s="1"/>
  <c r="R147" i="2" s="1" a="1"/>
  <c r="R147" i="2" s="1"/>
  <c r="P122" i="2"/>
  <c r="Q122" i="2" s="1"/>
  <c r="R122" i="2" s="1" a="1"/>
  <c r="R122" i="2" s="1"/>
  <c r="P65" i="2"/>
  <c r="Q65" i="2" s="1"/>
  <c r="R65" i="2" s="1" a="1"/>
  <c r="R65" i="2" s="1"/>
  <c r="P242" i="2"/>
  <c r="Q242" i="2" s="1"/>
  <c r="R242" i="2" s="1" a="1"/>
  <c r="R242" i="2" s="1"/>
  <c r="P60" i="2"/>
  <c r="Q60" i="2" s="1"/>
  <c r="R60" i="2" s="1" a="1"/>
  <c r="R60" i="2" s="1"/>
  <c r="P210" i="2"/>
  <c r="Q210" i="2" s="1"/>
  <c r="R210" i="2" s="1" a="1"/>
  <c r="R210" i="2" s="1"/>
  <c r="P363" i="2"/>
  <c r="Q363" i="2" s="1"/>
  <c r="R363" i="2" s="1" a="1"/>
  <c r="R363" i="2" s="1"/>
  <c r="P227" i="2"/>
  <c r="Q227" i="2" s="1"/>
  <c r="R227" i="2" s="1" a="1"/>
  <c r="R227" i="2" s="1"/>
  <c r="P209" i="2"/>
  <c r="Q209" i="2" s="1"/>
  <c r="R209" i="2" s="1" a="1"/>
  <c r="R209" i="2" s="1"/>
  <c r="P141" i="2"/>
  <c r="Q141" i="2" s="1"/>
  <c r="R141" i="2" s="1" a="1"/>
  <c r="R141" i="2" s="1"/>
  <c r="P19" i="2"/>
  <c r="Q19" i="2" s="1"/>
  <c r="R19" i="2" s="1" a="1"/>
  <c r="R19" i="2" s="1"/>
  <c r="P236" i="2"/>
  <c r="Q236" i="2" s="1"/>
  <c r="R236" i="2" s="1" a="1"/>
  <c r="R236" i="2" s="1"/>
  <c r="P249" i="2"/>
  <c r="Q249" i="2" s="1"/>
  <c r="R249" i="2" s="1" a="1"/>
  <c r="R249" i="2" s="1"/>
  <c r="P162" i="2"/>
  <c r="Q162" i="2" s="1"/>
  <c r="R162" i="2" s="1" a="1"/>
  <c r="R162" i="2" s="1"/>
  <c r="P194" i="2"/>
  <c r="Q194" i="2" s="1"/>
  <c r="R194" i="2" s="1" a="1"/>
  <c r="R194" i="2" s="1"/>
  <c r="P226" i="2"/>
  <c r="Q226" i="2" s="1"/>
  <c r="R226" i="2" s="1" a="1"/>
  <c r="R226" i="2" s="1"/>
  <c r="P419" i="2"/>
  <c r="Q419" i="2" s="1"/>
  <c r="R419" i="2" s="1" a="1"/>
  <c r="R419" i="2" s="1"/>
  <c r="P27" i="2"/>
  <c r="Q27" i="2" s="1"/>
  <c r="R27" i="2" s="1" a="1"/>
  <c r="R27" i="2" s="1"/>
  <c r="P159" i="2"/>
  <c r="Q159" i="2" s="1"/>
  <c r="R159" i="2" s="1" a="1"/>
  <c r="R159" i="2" s="1"/>
  <c r="P53" i="2"/>
  <c r="Q53" i="2" s="1"/>
  <c r="R53" i="2" s="1" a="1"/>
  <c r="R53" i="2" s="1"/>
  <c r="P288" i="2"/>
  <c r="Q288" i="2" s="1"/>
  <c r="R288" i="2" s="1" a="1"/>
  <c r="R288" i="2" s="1"/>
  <c r="P453" i="2"/>
  <c r="Q453" i="2" s="1"/>
  <c r="R453" i="2" s="1" a="1"/>
  <c r="R453" i="2" s="1"/>
  <c r="P421" i="2"/>
  <c r="Q421" i="2" s="1"/>
  <c r="R421" i="2" s="1" a="1"/>
  <c r="R421" i="2" s="1"/>
  <c r="P2" i="2"/>
  <c r="Q2" i="2" s="1"/>
  <c r="R2" i="2" s="1" a="1"/>
  <c r="R2" i="2" s="1"/>
  <c r="P369" i="2"/>
  <c r="Q369" i="2" s="1"/>
  <c r="R369" i="2" s="1" a="1"/>
  <c r="R369" i="2" s="1"/>
  <c r="P161" i="2"/>
  <c r="Q161" i="2" s="1"/>
  <c r="R161" i="2" s="1" a="1"/>
  <c r="R161" i="2" s="1"/>
  <c r="P95" i="2"/>
  <c r="Q95" i="2" s="1"/>
  <c r="R95" i="2" s="1" a="1"/>
  <c r="R95" i="2" s="1"/>
  <c r="P204" i="2"/>
  <c r="Q204" i="2" s="1"/>
  <c r="R204" i="2" s="1" a="1"/>
  <c r="R204" i="2" s="1"/>
  <c r="P465" i="2"/>
  <c r="Q465" i="2" s="1"/>
  <c r="R465" i="2" s="1" a="1"/>
  <c r="R465" i="2" s="1"/>
  <c r="P155" i="2"/>
  <c r="Q155" i="2" s="1"/>
  <c r="R155" i="2" s="1" a="1"/>
  <c r="R155" i="2" s="1"/>
  <c r="P233" i="2"/>
  <c r="Q233" i="2" s="1"/>
  <c r="R233" i="2" s="1" a="1"/>
  <c r="R233" i="2" s="1"/>
  <c r="P411" i="2"/>
  <c r="Q411" i="2" s="1"/>
  <c r="R411" i="2" s="1" a="1"/>
  <c r="R411" i="2" s="1"/>
  <c r="P406" i="2"/>
  <c r="Q406" i="2" s="1"/>
  <c r="R406" i="2" s="1" a="1"/>
  <c r="R406" i="2" s="1"/>
  <c r="P70" i="2"/>
  <c r="Q70" i="2" s="1"/>
  <c r="R70" i="2" s="1" a="1"/>
  <c r="R70" i="2" s="1"/>
  <c r="P7" i="2"/>
  <c r="Q7" i="2" s="1"/>
  <c r="R7" i="2" s="1" a="1"/>
  <c r="R7" i="2" s="1"/>
  <c r="P437" i="2"/>
  <c r="Q437" i="2" s="1"/>
  <c r="R437" i="2" s="1" a="1"/>
  <c r="R437" i="2" s="1"/>
  <c r="P88" i="2"/>
  <c r="Q88" i="2" s="1"/>
  <c r="R88" i="2" s="1" a="1"/>
  <c r="R88" i="2" s="1"/>
  <c r="P140" i="2"/>
  <c r="Q140" i="2" s="1"/>
  <c r="R140" i="2" s="1" a="1"/>
  <c r="R140" i="2" s="1"/>
  <c r="P90" i="2"/>
  <c r="Q90" i="2" s="1"/>
  <c r="R90" i="2" s="1" a="1"/>
  <c r="R90" i="2" s="1"/>
  <c r="P47" i="2"/>
  <c r="Q47" i="2" s="1"/>
  <c r="R47" i="2" s="1" a="1"/>
  <c r="R47" i="2" s="1"/>
  <c r="P132" i="2"/>
  <c r="Q132" i="2" s="1"/>
  <c r="R132" i="2" s="1" a="1"/>
  <c r="R132" i="2" s="1"/>
  <c r="P104" i="2"/>
  <c r="Q104" i="2" s="1"/>
  <c r="R104" i="2" s="1" a="1"/>
  <c r="R104" i="2" s="1"/>
  <c r="P388" i="2"/>
  <c r="Q388" i="2" s="1"/>
  <c r="R388" i="2" s="1" a="1"/>
  <c r="R388" i="2" s="1"/>
  <c r="P67" i="2"/>
  <c r="Q67" i="2" s="1"/>
  <c r="R67" i="2" s="1" a="1"/>
  <c r="R67" i="2" s="1"/>
  <c r="P368" i="2"/>
  <c r="Q368" i="2" s="1"/>
  <c r="R368" i="2" s="1" a="1"/>
  <c r="R368" i="2" s="1"/>
  <c r="P184" i="2"/>
  <c r="Q184" i="2" s="1"/>
  <c r="R184" i="2" s="1" a="1"/>
  <c r="R184" i="2" s="1"/>
  <c r="P403" i="2"/>
  <c r="Q403" i="2" s="1"/>
  <c r="R403" i="2" s="1" a="1"/>
  <c r="R403" i="2" s="1"/>
  <c r="P69" i="2"/>
  <c r="Q69" i="2" s="1"/>
  <c r="R69" i="2" s="1" a="1"/>
  <c r="R69" i="2" s="1"/>
  <c r="P327" i="2"/>
  <c r="Q327" i="2" s="1"/>
  <c r="R327" i="2" s="1" a="1"/>
  <c r="R327" i="2" s="1"/>
  <c r="P180" i="2"/>
  <c r="Q180" i="2" s="1"/>
  <c r="R180" i="2" s="1" a="1"/>
  <c r="R180" i="2" s="1"/>
  <c r="P106" i="2"/>
  <c r="Q106" i="2" s="1"/>
  <c r="R106" i="2" s="1" a="1"/>
  <c r="R106" i="2" s="1"/>
  <c r="P314" i="2"/>
  <c r="Q314" i="2" s="1"/>
  <c r="R314" i="2" s="1" a="1"/>
  <c r="R314" i="2" s="1"/>
  <c r="P66" i="2"/>
  <c r="Q66" i="2" s="1"/>
  <c r="R66" i="2" s="1" a="1"/>
  <c r="R66" i="2" s="1"/>
  <c r="P52" i="2"/>
  <c r="Q52" i="2" s="1"/>
  <c r="R52" i="2" s="1" a="1"/>
  <c r="R52" i="2" s="1"/>
  <c r="P208" i="2"/>
  <c r="Q208" i="2" s="1"/>
  <c r="R208" i="2" s="1" a="1"/>
  <c r="R208" i="2" s="1"/>
  <c r="P357" i="2"/>
  <c r="Q357" i="2" s="1"/>
  <c r="R357" i="2" s="1" a="1"/>
  <c r="R357" i="2" s="1"/>
  <c r="P333" i="2"/>
  <c r="Q333" i="2" s="1"/>
  <c r="R333" i="2" s="1" a="1"/>
  <c r="R333" i="2" s="1"/>
  <c r="P467" i="2"/>
  <c r="Q467" i="2" s="1"/>
  <c r="R467" i="2" s="1" a="1"/>
  <c r="R467" i="2" s="1"/>
  <c r="P237" i="2"/>
  <c r="Q237" i="2" s="1"/>
  <c r="R237" i="2" s="1" a="1"/>
  <c r="R237" i="2" s="1"/>
  <c r="P468" i="2"/>
  <c r="Q468" i="2" s="1"/>
  <c r="R468" i="2" s="1" a="1"/>
  <c r="R468" i="2" s="1"/>
  <c r="P9" i="2"/>
  <c r="Q9" i="2" s="1"/>
  <c r="R9" i="2" s="1" a="1"/>
  <c r="R9" i="2" s="1"/>
  <c r="P451" i="2"/>
  <c r="Q451" i="2" s="1"/>
  <c r="R451" i="2" s="1" a="1"/>
  <c r="R451" i="2" s="1"/>
  <c r="P153" i="2"/>
  <c r="Q153" i="2" s="1"/>
  <c r="R153" i="2" s="1" a="1"/>
  <c r="R153" i="2" s="1"/>
  <c r="P220" i="2"/>
  <c r="Q220" i="2" s="1"/>
  <c r="R220" i="2" s="1" a="1"/>
  <c r="R220" i="2" s="1"/>
  <c r="P397" i="2"/>
  <c r="Q397" i="2" s="1"/>
  <c r="R397" i="2" s="1" a="1"/>
  <c r="R397" i="2" s="1"/>
  <c r="P488" i="2"/>
  <c r="Q488" i="2" s="1"/>
  <c r="R488" i="2" s="1" a="1"/>
  <c r="R488" i="2" s="1"/>
  <c r="P360" i="2"/>
  <c r="Q360" i="2" s="1"/>
  <c r="R360" i="2" s="1" a="1"/>
  <c r="R360" i="2" s="1"/>
  <c r="P163" i="2"/>
  <c r="Q163" i="2" s="1"/>
  <c r="R163" i="2" s="1" a="1"/>
  <c r="R163" i="2" s="1"/>
  <c r="P284" i="2"/>
  <c r="Q284" i="2" s="1"/>
  <c r="R284" i="2" s="1" a="1"/>
  <c r="R284" i="2" s="1"/>
  <c r="P409" i="2"/>
  <c r="Q409" i="2" s="1"/>
  <c r="R409" i="2" s="1" a="1"/>
  <c r="R409" i="2" s="1"/>
  <c r="P290" i="2"/>
  <c r="Q290" i="2" s="1"/>
  <c r="R290" i="2" s="1" a="1"/>
  <c r="R290" i="2" s="1"/>
  <c r="P120" i="2"/>
  <c r="Q120" i="2" s="1"/>
  <c r="R120" i="2" s="1" a="1"/>
  <c r="R120" i="2" s="1"/>
  <c r="P192" i="2"/>
  <c r="Q192" i="2" s="1"/>
  <c r="R192" i="2" s="1" a="1"/>
  <c r="R192" i="2" s="1"/>
  <c r="P46" i="2"/>
  <c r="Q46" i="2" s="1"/>
  <c r="R46" i="2" s="1" a="1"/>
  <c r="R46" i="2" s="1"/>
  <c r="P378" i="2"/>
  <c r="Q378" i="2" s="1"/>
  <c r="R378" i="2" s="1" a="1"/>
  <c r="R378" i="2" s="1"/>
  <c r="P169" i="2"/>
  <c r="Q169" i="2" s="1"/>
  <c r="R169" i="2" s="1" a="1"/>
  <c r="R169" i="2" s="1"/>
  <c r="P36" i="2"/>
  <c r="Q36" i="2" s="1"/>
  <c r="R36" i="2" s="1" a="1"/>
  <c r="R36" i="2" s="1"/>
  <c r="P475" i="2"/>
  <c r="Q475" i="2" s="1"/>
  <c r="R475" i="2" s="1" a="1"/>
  <c r="R475" i="2" s="1"/>
  <c r="P260" i="2"/>
  <c r="Q260" i="2" s="1"/>
  <c r="R260" i="2" s="1" a="1"/>
  <c r="R260" i="2" s="1"/>
  <c r="P379" i="2"/>
  <c r="Q379" i="2" s="1"/>
  <c r="R379" i="2" s="1" a="1"/>
  <c r="R379" i="2" s="1"/>
  <c r="P116" i="2"/>
  <c r="Q116" i="2" s="1"/>
  <c r="R116" i="2" s="1" a="1"/>
  <c r="R116" i="2" s="1"/>
  <c r="P157" i="2"/>
  <c r="Q157" i="2" s="1"/>
  <c r="R157" i="2" s="1" a="1"/>
  <c r="R157" i="2" s="1"/>
  <c r="P317" i="2"/>
  <c r="Q317" i="2" s="1"/>
  <c r="R317" i="2" s="1" a="1"/>
  <c r="R317" i="2" s="1"/>
  <c r="P99" i="2"/>
  <c r="Q99" i="2" s="1"/>
  <c r="R99" i="2" s="1" a="1"/>
  <c r="R99" i="2" s="1"/>
  <c r="P173" i="2"/>
  <c r="Q173" i="2" s="1"/>
  <c r="R173" i="2" s="1" a="1"/>
  <c r="R173" i="2" s="1"/>
  <c r="P405" i="2"/>
  <c r="Q405" i="2" s="1"/>
  <c r="R405" i="2" s="1" a="1"/>
  <c r="R405" i="2" s="1"/>
  <c r="P323" i="2"/>
  <c r="Q323" i="2" s="1"/>
  <c r="R323" i="2" s="1" a="1"/>
  <c r="R323" i="2" s="1"/>
  <c r="P361" i="2"/>
  <c r="Q361" i="2" s="1"/>
  <c r="R361" i="2" s="1" a="1"/>
  <c r="R361" i="2" s="1"/>
  <c r="P145" i="2"/>
  <c r="Q145" i="2" s="1"/>
  <c r="R145" i="2" s="1" a="1"/>
  <c r="R145" i="2" s="1"/>
  <c r="P225" i="2"/>
  <c r="Q225" i="2" s="1"/>
  <c r="R225" i="2" s="1" a="1"/>
  <c r="R225" i="2" s="1"/>
  <c r="P391" i="2"/>
  <c r="Q391" i="2" s="1"/>
  <c r="R391" i="2" s="1" a="1"/>
  <c r="R391" i="2" s="1"/>
  <c r="P254" i="2"/>
  <c r="Q254" i="2" s="1"/>
  <c r="R254" i="2" s="1" a="1"/>
  <c r="R254" i="2" s="1"/>
  <c r="P278" i="2"/>
  <c r="Q278" i="2" s="1"/>
  <c r="R278" i="2" s="1" a="1"/>
  <c r="R278" i="2" s="1"/>
  <c r="P362" i="2"/>
  <c r="Q362" i="2" s="1"/>
  <c r="R362" i="2" s="1" a="1"/>
  <c r="R362" i="2" s="1"/>
  <c r="P256" i="2"/>
  <c r="Q256" i="2" s="1"/>
  <c r="R256" i="2" s="1" a="1"/>
  <c r="R256" i="2" s="1"/>
  <c r="P345" i="2"/>
  <c r="Q345" i="2" s="1"/>
  <c r="R345" i="2" s="1" a="1"/>
  <c r="R345" i="2" s="1"/>
  <c r="P125" i="2"/>
  <c r="Q125" i="2" s="1"/>
  <c r="R125" i="2" s="1" a="1"/>
  <c r="R125" i="2" s="1"/>
  <c r="P190" i="2"/>
  <c r="Q190" i="2" s="1"/>
  <c r="R190" i="2" s="1" a="1"/>
  <c r="R190" i="2" s="1"/>
  <c r="P277" i="2"/>
  <c r="Q277" i="2" s="1"/>
  <c r="R277" i="2" s="1" a="1"/>
  <c r="R277" i="2" s="1"/>
  <c r="P428" i="2"/>
  <c r="Q428" i="2" s="1"/>
  <c r="R428" i="2" s="1" a="1"/>
  <c r="R428" i="2" s="1"/>
  <c r="P410" i="2"/>
  <c r="Q410" i="2" s="1"/>
  <c r="R410" i="2" s="1" a="1"/>
  <c r="R410" i="2" s="1"/>
  <c r="P285" i="2"/>
  <c r="Q285" i="2" s="1"/>
  <c r="R285" i="2" s="1" a="1"/>
  <c r="R285" i="2" s="1"/>
  <c r="P73" i="2"/>
  <c r="Q73" i="2" s="1"/>
  <c r="R73" i="2" s="1" a="1"/>
  <c r="R73" i="2" s="1"/>
  <c r="P255" i="2"/>
  <c r="Q255" i="2" s="1"/>
  <c r="R255" i="2" s="1" a="1"/>
  <c r="R255" i="2" s="1"/>
  <c r="P376" i="2"/>
  <c r="Q376" i="2" s="1"/>
  <c r="R376" i="2" s="1" a="1"/>
  <c r="R376" i="2" s="1"/>
  <c r="P119" i="2"/>
  <c r="Q119" i="2" s="1"/>
  <c r="R119" i="2" s="1" a="1"/>
  <c r="R119" i="2" s="1"/>
  <c r="P79" i="2"/>
  <c r="Q79" i="2" s="1"/>
  <c r="R79" i="2" s="1" a="1"/>
  <c r="R79" i="2" s="1"/>
  <c r="P219" i="2"/>
  <c r="Q219" i="2" s="1"/>
  <c r="R219" i="2" s="1" a="1"/>
  <c r="R219" i="2" s="1"/>
  <c r="P198" i="2"/>
  <c r="Q198" i="2" s="1"/>
  <c r="R198" i="2" s="1" a="1"/>
  <c r="R198" i="2" s="1"/>
  <c r="P431" i="2"/>
  <c r="Q431" i="2" s="1"/>
  <c r="R431" i="2" s="1" a="1"/>
  <c r="R431" i="2" s="1"/>
  <c r="P481" i="2"/>
  <c r="Q481" i="2" s="1"/>
  <c r="R481" i="2" s="1" a="1"/>
  <c r="R481" i="2" s="1"/>
  <c r="P137" i="2"/>
  <c r="Q137" i="2" s="1"/>
  <c r="R137" i="2" s="1" a="1"/>
  <c r="R137" i="2" s="1"/>
  <c r="P186" i="2"/>
  <c r="Q186" i="2" s="1"/>
  <c r="R186" i="2" s="1" a="1"/>
  <c r="R186" i="2" s="1"/>
  <c r="P348" i="2"/>
  <c r="Q348" i="2" s="1"/>
  <c r="R348" i="2" s="1" a="1"/>
  <c r="R348" i="2" s="1"/>
  <c r="P395" i="2"/>
  <c r="Q395" i="2" s="1"/>
  <c r="R395" i="2" s="1" a="1"/>
  <c r="R395" i="2" s="1"/>
  <c r="P485" i="2"/>
  <c r="Q485" i="2" s="1"/>
  <c r="R485" i="2" s="1" a="1"/>
  <c r="R485" i="2" s="1"/>
  <c r="P370" i="2"/>
  <c r="Q370" i="2" s="1"/>
  <c r="R370" i="2" s="1" a="1"/>
  <c r="R370" i="2" s="1"/>
  <c r="P374" i="2"/>
  <c r="Q374" i="2" s="1"/>
  <c r="R374" i="2" s="1" a="1"/>
  <c r="R374" i="2" s="1"/>
  <c r="P477" i="2"/>
  <c r="Q477" i="2" s="1"/>
  <c r="R477" i="2" s="1" a="1"/>
  <c r="R477" i="2" s="1"/>
  <c r="P5" i="2"/>
  <c r="Q5" i="2" s="1"/>
  <c r="R5" i="2" s="1" a="1"/>
  <c r="R5" i="2" s="1"/>
  <c r="P350" i="2"/>
  <c r="Q350" i="2" s="1"/>
  <c r="R350" i="2" s="1" a="1"/>
  <c r="R350" i="2" s="1"/>
  <c r="P452" i="2"/>
  <c r="Q452" i="2" s="1"/>
  <c r="R452" i="2" s="1" a="1"/>
  <c r="R452" i="2" s="1"/>
  <c r="P364" i="2"/>
  <c r="Q364" i="2" s="1"/>
  <c r="R364" i="2" s="1" a="1"/>
  <c r="R364" i="2" s="1"/>
  <c r="P168" i="2"/>
  <c r="Q168" i="2" s="1"/>
  <c r="R168" i="2" s="1" a="1"/>
  <c r="R168" i="2" s="1"/>
  <c r="P484" i="2"/>
  <c r="Q484" i="2" s="1"/>
  <c r="R484" i="2" s="1" a="1"/>
  <c r="R484" i="2" s="1"/>
  <c r="P229" i="2"/>
  <c r="Q229" i="2" s="1"/>
  <c r="R229" i="2" s="1" a="1"/>
  <c r="R229" i="2" s="1"/>
  <c r="P42" i="2"/>
  <c r="Q42" i="2" s="1"/>
  <c r="R42" i="2" s="1" a="1"/>
  <c r="R42" i="2" s="1"/>
  <c r="P463" i="2"/>
  <c r="Q463" i="2" s="1"/>
  <c r="R463" i="2" s="1" a="1"/>
  <c r="R463" i="2" s="1"/>
  <c r="P408" i="2"/>
  <c r="Q408" i="2" s="1"/>
  <c r="R408" i="2" s="1" a="1"/>
  <c r="R408" i="2" s="1"/>
  <c r="P343" i="2"/>
  <c r="Q343" i="2" s="1"/>
  <c r="R343" i="2" s="1" a="1"/>
  <c r="R343" i="2" s="1"/>
  <c r="P102" i="2"/>
  <c r="Q102" i="2" s="1"/>
  <c r="R102" i="2" s="1" a="1"/>
  <c r="R102" i="2" s="1"/>
  <c r="P193" i="2"/>
  <c r="Q193" i="2" s="1"/>
  <c r="R193" i="2" s="1" a="1"/>
  <c r="R193" i="2" s="1"/>
  <c r="P64" i="2"/>
  <c r="Q64" i="2" s="1"/>
  <c r="R64" i="2" s="1" a="1"/>
  <c r="R64" i="2" s="1"/>
  <c r="P240" i="2"/>
  <c r="Q240" i="2" s="1"/>
  <c r="R240" i="2" s="1" a="1"/>
  <c r="R240" i="2" s="1"/>
  <c r="P439" i="2"/>
  <c r="Q439" i="2" s="1"/>
  <c r="R439" i="2" s="1" a="1"/>
  <c r="R439" i="2" s="1"/>
  <c r="P138" i="2"/>
  <c r="Q138" i="2" s="1"/>
  <c r="R138" i="2" s="1" a="1"/>
  <c r="R138" i="2" s="1"/>
  <c r="P39" i="2"/>
  <c r="Q39" i="2" s="1"/>
  <c r="R39" i="2" s="1" a="1"/>
  <c r="R39" i="2" s="1"/>
  <c r="P424" i="2"/>
  <c r="Q424" i="2" s="1"/>
  <c r="R424" i="2" s="1" a="1"/>
  <c r="R424" i="2" s="1"/>
  <c r="P38" i="2"/>
  <c r="Q38" i="2" s="1"/>
  <c r="R38" i="2" s="1" a="1"/>
  <c r="R38" i="2" s="1"/>
  <c r="P417" i="2"/>
  <c r="Q417" i="2" s="1"/>
  <c r="R417" i="2" s="1" a="1"/>
  <c r="R417" i="2" s="1"/>
  <c r="P320" i="2"/>
  <c r="Q320" i="2" s="1"/>
  <c r="R320" i="2" s="1" a="1"/>
  <c r="R320" i="2" s="1"/>
  <c r="P188" i="2"/>
  <c r="Q188" i="2" s="1"/>
  <c r="R188" i="2" s="1" a="1"/>
  <c r="R188" i="2" s="1"/>
  <c r="P381" i="2"/>
  <c r="Q381" i="2" s="1"/>
  <c r="R381" i="2" s="1" a="1"/>
  <c r="R381" i="2" s="1"/>
  <c r="P446" i="2"/>
  <c r="Q446" i="2" s="1"/>
  <c r="R446" i="2" s="1" a="1"/>
  <c r="R446" i="2" s="1"/>
  <c r="P281" i="2"/>
  <c r="Q281" i="2" s="1"/>
  <c r="R281" i="2" s="1" a="1"/>
  <c r="R281" i="2" s="1"/>
  <c r="P271" i="2"/>
  <c r="Q271" i="2" s="1"/>
  <c r="R271" i="2" s="1" a="1"/>
  <c r="R271" i="2" s="1"/>
  <c r="P203" i="2"/>
  <c r="Q203" i="2" s="1"/>
  <c r="R203" i="2" s="1" a="1"/>
  <c r="R203" i="2" s="1"/>
  <c r="P448" i="2"/>
  <c r="Q448" i="2" s="1"/>
  <c r="R448" i="2" s="1" a="1"/>
  <c r="R448" i="2" s="1"/>
  <c r="P432" i="2"/>
  <c r="Q432" i="2" s="1"/>
  <c r="R432" i="2" s="1" a="1"/>
  <c r="R432" i="2" s="1"/>
  <c r="P295" i="2"/>
  <c r="Q295" i="2" s="1"/>
  <c r="R295" i="2" s="1" a="1"/>
  <c r="R295" i="2" s="1"/>
  <c r="P81" i="2"/>
  <c r="Q81" i="2" s="1"/>
  <c r="R81" i="2" s="1" a="1"/>
  <c r="R81" i="2" s="1"/>
  <c r="P181" i="2"/>
  <c r="Q181" i="2" s="1"/>
  <c r="R181" i="2" s="1" a="1"/>
  <c r="R181" i="2" s="1"/>
  <c r="P450" i="2"/>
  <c r="Q450" i="2" s="1"/>
  <c r="R450" i="2" s="1" a="1"/>
  <c r="R450" i="2" s="1"/>
  <c r="P151" i="2"/>
  <c r="Q151" i="2" s="1"/>
  <c r="R151" i="2" s="1" a="1"/>
  <c r="R151" i="2" s="1"/>
  <c r="P404" i="2"/>
  <c r="Q404" i="2" s="1"/>
  <c r="R404" i="2" s="1" a="1"/>
  <c r="R404" i="2" s="1"/>
  <c r="P292" i="2"/>
  <c r="Q292" i="2" s="1"/>
  <c r="R292" i="2" s="1" a="1"/>
  <c r="R292" i="2" s="1"/>
  <c r="P423" i="2"/>
  <c r="Q423" i="2" s="1"/>
  <c r="R423" i="2" s="1" a="1"/>
  <c r="R423" i="2" s="1"/>
  <c r="P115" i="2"/>
  <c r="Q115" i="2" s="1"/>
  <c r="R115" i="2" s="1" a="1"/>
  <c r="R115" i="2" s="1"/>
  <c r="P441" i="2"/>
  <c r="Q441" i="2" s="1"/>
  <c r="R441" i="2" s="1" a="1"/>
  <c r="R441" i="2" s="1"/>
  <c r="P470" i="2"/>
  <c r="Q470" i="2" s="1"/>
  <c r="R470" i="2" s="1" a="1"/>
  <c r="R470" i="2" s="1"/>
  <c r="P148" i="2"/>
  <c r="Q148" i="2" s="1"/>
  <c r="R148" i="2" s="1" a="1"/>
  <c r="R148" i="2" s="1"/>
  <c r="P118" i="2"/>
  <c r="Q118" i="2" s="1"/>
  <c r="R118" i="2" s="1" a="1"/>
  <c r="R118" i="2" s="1"/>
  <c r="P315" i="2"/>
  <c r="Q315" i="2" s="1"/>
  <c r="R315" i="2" s="1" a="1"/>
  <c r="R315" i="2" s="1"/>
  <c r="P78" i="2"/>
  <c r="Q78" i="2" s="1"/>
  <c r="R78" i="2" s="1" a="1"/>
  <c r="R78" i="2" s="1"/>
  <c r="P301" i="2"/>
  <c r="Q301" i="2" s="1"/>
  <c r="R301" i="2" s="1" a="1"/>
  <c r="R301" i="2" s="1"/>
  <c r="P300" i="2"/>
  <c r="Q300" i="2" s="1"/>
  <c r="R300" i="2" s="1" a="1"/>
  <c r="R300" i="2" s="1"/>
  <c r="P57" i="2"/>
  <c r="Q57" i="2" s="1"/>
  <c r="R57" i="2" s="1" a="1"/>
  <c r="R57" i="2" s="1"/>
  <c r="P400" i="2"/>
  <c r="Q400" i="2" s="1"/>
  <c r="R400" i="2" s="1" a="1"/>
  <c r="R400" i="2" s="1"/>
  <c r="P33" i="2"/>
  <c r="Q33" i="2" s="1"/>
  <c r="R33" i="2" s="1" a="1"/>
  <c r="R33" i="2" s="1"/>
  <c r="P338" i="2"/>
  <c r="Q338" i="2" s="1"/>
  <c r="R338" i="2" s="1" a="1"/>
  <c r="R338" i="2" s="1"/>
  <c r="P398" i="2"/>
  <c r="Q398" i="2" s="1"/>
  <c r="R398" i="2" s="1" a="1"/>
  <c r="R398" i="2" s="1"/>
  <c r="P189" i="2"/>
  <c r="Q189" i="2" s="1"/>
  <c r="R189" i="2" s="1" a="1"/>
  <c r="R189" i="2" s="1"/>
  <c r="P407" i="2"/>
  <c r="Q407" i="2" s="1"/>
  <c r="R407" i="2" s="1" a="1"/>
  <c r="R407" i="2" s="1"/>
  <c r="P179" i="2"/>
  <c r="Q179" i="2" s="1"/>
  <c r="R179" i="2" s="1" a="1"/>
  <c r="R179" i="2" s="1"/>
  <c r="P283" i="2"/>
  <c r="Q283" i="2" s="1"/>
  <c r="R283" i="2" s="1" a="1"/>
  <c r="R283" i="2" s="1"/>
  <c r="P313" i="2"/>
  <c r="Q313" i="2" s="1"/>
  <c r="R313" i="2" s="1" a="1"/>
  <c r="R313" i="2" s="1"/>
  <c r="P28" i="2"/>
  <c r="Q28" i="2" s="1"/>
  <c r="R28" i="2" s="1" a="1"/>
  <c r="R28" i="2" s="1"/>
  <c r="P29" i="2"/>
  <c r="Q29" i="2" s="1"/>
  <c r="R29" i="2" s="1" a="1"/>
  <c r="R29" i="2" s="1"/>
  <c r="P56" i="2"/>
  <c r="Q56" i="2" s="1"/>
  <c r="R56" i="2" s="1" a="1"/>
  <c r="R56" i="2" s="1"/>
  <c r="P105" i="2"/>
  <c r="Q105" i="2" s="1"/>
  <c r="R105" i="2" s="1" a="1"/>
  <c r="R105" i="2" s="1"/>
  <c r="P202" i="2"/>
  <c r="Q202" i="2" s="1"/>
  <c r="R202" i="2" s="1" a="1"/>
  <c r="R202" i="2" s="1"/>
  <c r="P160" i="2"/>
  <c r="Q160" i="2" s="1"/>
  <c r="R160" i="2" s="1" a="1"/>
  <c r="R160" i="2" s="1"/>
  <c r="P377" i="2"/>
  <c r="Q377" i="2" s="1"/>
  <c r="R377" i="2" s="1" a="1"/>
  <c r="R377" i="2" s="1"/>
  <c r="P91" i="2"/>
  <c r="Q91" i="2" s="1"/>
  <c r="R91" i="2" s="1" a="1"/>
  <c r="R91" i="2" s="1"/>
  <c r="P356" i="2"/>
  <c r="Q356" i="2" s="1"/>
  <c r="R356" i="2" s="1" a="1"/>
  <c r="R356" i="2" s="1"/>
  <c r="P430" i="2"/>
  <c r="Q430" i="2" s="1"/>
  <c r="R430" i="2" s="1" a="1"/>
  <c r="R430" i="2" s="1"/>
  <c r="P61" i="2"/>
  <c r="Q61" i="2" s="1"/>
  <c r="R61" i="2" s="1" a="1"/>
  <c r="R61" i="2" s="1"/>
  <c r="P34" i="2"/>
  <c r="Q34" i="2" s="1"/>
  <c r="R34" i="2" s="1" a="1"/>
  <c r="R34" i="2" s="1"/>
  <c r="P32" i="2"/>
  <c r="Q32" i="2" s="1"/>
  <c r="R32" i="2" s="1" a="1"/>
  <c r="R32" i="2" s="1"/>
  <c r="P466" i="2"/>
  <c r="Q466" i="2" s="1"/>
  <c r="R466" i="2" s="1" a="1"/>
  <c r="R466" i="2" s="1"/>
  <c r="P474" i="2"/>
  <c r="Q474" i="2" s="1"/>
  <c r="R474" i="2" s="1" a="1"/>
  <c r="R474" i="2" s="1"/>
  <c r="P321" i="2"/>
  <c r="Q321" i="2" s="1"/>
  <c r="R321" i="2" s="1" a="1"/>
  <c r="R321" i="2" s="1"/>
  <c r="P438" i="2"/>
  <c r="P43" i="2"/>
  <c r="Q43" i="2" s="1"/>
  <c r="R43" i="2" s="1" a="1"/>
  <c r="R43" i="2" s="1"/>
  <c r="P390" i="2"/>
  <c r="Q390" i="2" s="1"/>
  <c r="R390" i="2" s="1" a="1"/>
  <c r="R390" i="2" s="1"/>
  <c r="P170" i="2"/>
  <c r="Q170" i="2" s="1"/>
  <c r="R170" i="2" s="1" a="1"/>
  <c r="R170" i="2" s="1"/>
  <c r="P401" i="2"/>
  <c r="Q401" i="2" s="1"/>
  <c r="R401" i="2" s="1" a="1"/>
  <c r="R401" i="2" s="1"/>
  <c r="P387" i="2"/>
  <c r="Q387" i="2" s="1"/>
  <c r="R387" i="2" s="1" a="1"/>
  <c r="R387" i="2" s="1"/>
  <c r="P296" i="2"/>
  <c r="Q296" i="2" s="1"/>
  <c r="R296" i="2" s="1" a="1"/>
  <c r="R296" i="2" s="1"/>
  <c r="P244" i="2"/>
  <c r="Q244" i="2" s="1"/>
  <c r="R244" i="2" s="1" a="1"/>
  <c r="R244" i="2" s="1"/>
  <c r="P37" i="2"/>
  <c r="Q37" i="2" s="1"/>
  <c r="R37" i="2" s="1" a="1"/>
  <c r="R37" i="2" s="1"/>
  <c r="P375" i="2"/>
  <c r="Q375" i="2" s="1"/>
  <c r="R375" i="2" s="1" a="1"/>
  <c r="R375" i="2" s="1"/>
  <c r="P482" i="2"/>
  <c r="Q482" i="2" s="1"/>
  <c r="R482" i="2" s="1" a="1"/>
  <c r="R482" i="2" s="1"/>
  <c r="P84" i="2"/>
  <c r="Q84" i="2" s="1"/>
  <c r="R84" i="2" s="1" a="1"/>
  <c r="R84" i="2" s="1"/>
  <c r="P22" i="2"/>
  <c r="Q22" i="2" s="1"/>
  <c r="R22" i="2" s="1" a="1"/>
  <c r="R22" i="2" s="1"/>
  <c r="P58" i="2"/>
  <c r="Q58" i="2" s="1"/>
  <c r="R58" i="2" s="1" a="1"/>
  <c r="R58" i="2" s="1"/>
  <c r="P326" i="2"/>
  <c r="Q326" i="2" s="1"/>
  <c r="R326" i="2" s="1" a="1"/>
  <c r="R326" i="2" s="1"/>
  <c r="P259" i="2"/>
  <c r="Q259" i="2" s="1"/>
  <c r="R259" i="2" s="1" a="1"/>
  <c r="R259" i="2" s="1"/>
  <c r="P241" i="2"/>
  <c r="Q241" i="2" s="1"/>
  <c r="R241" i="2" s="1" a="1"/>
  <c r="R241" i="2" s="1"/>
  <c r="P103" i="2"/>
  <c r="Q103" i="2" s="1"/>
  <c r="R103" i="2" s="1" a="1"/>
  <c r="R103" i="2" s="1"/>
  <c r="P440" i="2"/>
  <c r="Q440" i="2" s="1"/>
  <c r="R440" i="2" s="1" a="1"/>
  <c r="R440" i="2" s="1"/>
  <c r="P17" i="2"/>
  <c r="Q17" i="2" s="1"/>
  <c r="R17" i="2" s="1" a="1"/>
  <c r="R17" i="2" s="1"/>
  <c r="P269" i="2"/>
  <c r="Q269" i="2" s="1"/>
  <c r="R269" i="2" s="1" a="1"/>
  <c r="R269" i="2" s="1"/>
  <c r="P85" i="2"/>
  <c r="Q85" i="2" s="1"/>
  <c r="R85" i="2" s="1" a="1"/>
  <c r="R85" i="2" s="1"/>
  <c r="P218" i="2"/>
  <c r="Q218" i="2" s="1"/>
  <c r="R218" i="2" s="1" a="1"/>
  <c r="R218" i="2" s="1"/>
  <c r="P455" i="2"/>
  <c r="Q455" i="2" s="1"/>
  <c r="R455" i="2" s="1" a="1"/>
  <c r="R455" i="2" s="1"/>
  <c r="P456" i="2"/>
  <c r="Q456" i="2" s="1"/>
  <c r="R456" i="2" s="1" a="1"/>
  <c r="R456" i="2" s="1"/>
  <c r="P129" i="2"/>
  <c r="Q129" i="2" s="1"/>
  <c r="R129" i="2" s="1" a="1"/>
  <c r="R129" i="2" s="1"/>
  <c r="P478" i="2"/>
  <c r="Q478" i="2" s="1"/>
  <c r="R478" i="2" s="1" a="1"/>
  <c r="R478" i="2" s="1"/>
  <c r="P200" i="2"/>
  <c r="Q200" i="2" s="1"/>
  <c r="R200" i="2" s="1" a="1"/>
  <c r="R200" i="2" s="1"/>
  <c r="P135" i="2"/>
  <c r="Q135" i="2" s="1"/>
  <c r="R135" i="2" s="1" a="1"/>
  <c r="R135" i="2" s="1"/>
  <c r="P26" i="2"/>
  <c r="Q26" i="2" s="1"/>
  <c r="R26" i="2" s="1" a="1"/>
  <c r="R26" i="2" s="1"/>
  <c r="P316" i="2"/>
  <c r="Q316" i="2" s="1"/>
  <c r="R316" i="2" s="1" a="1"/>
  <c r="R316" i="2" s="1"/>
  <c r="P107" i="2"/>
  <c r="Q107" i="2" s="1"/>
  <c r="R107" i="2" s="1" a="1"/>
  <c r="R107" i="2" s="1"/>
  <c r="P222" i="2"/>
  <c r="Q222" i="2" s="1"/>
  <c r="R222" i="2" s="1" a="1"/>
  <c r="R222" i="2" s="1"/>
  <c r="P270" i="2"/>
  <c r="Q270" i="2" s="1"/>
  <c r="R270" i="2" s="1" a="1"/>
  <c r="R270" i="2" s="1"/>
  <c r="P392" i="2"/>
  <c r="Q392" i="2" s="1"/>
  <c r="R392" i="2" s="1" a="1"/>
  <c r="R392" i="2" s="1"/>
  <c r="P469" i="2"/>
  <c r="Q469" i="2" s="1"/>
  <c r="R469" i="2" s="1" a="1"/>
  <c r="R469" i="2" s="1"/>
  <c r="P442" i="2"/>
  <c r="Q442" i="2" s="1"/>
  <c r="R442" i="2" s="1" a="1"/>
  <c r="R442" i="2" s="1"/>
  <c r="P293" i="2"/>
  <c r="Q293" i="2" s="1"/>
  <c r="R293" i="2" s="1" a="1"/>
  <c r="R293" i="2" s="1"/>
  <c r="P146" i="2"/>
  <c r="Q146" i="2" s="1"/>
  <c r="R146" i="2" s="1" a="1"/>
  <c r="R146" i="2" s="1"/>
  <c r="P418" i="2"/>
  <c r="Q418" i="2" s="1"/>
  <c r="R418" i="2" s="1" a="1"/>
  <c r="R418" i="2" s="1"/>
  <c r="P20" i="2"/>
  <c r="Q20" i="2" s="1"/>
  <c r="R20" i="2" s="1" a="1"/>
  <c r="R20" i="2" s="1"/>
  <c r="P291" i="2"/>
  <c r="Q291" i="2" s="1"/>
  <c r="R291" i="2" s="1" a="1"/>
  <c r="R291" i="2" s="1"/>
  <c r="P63" i="2"/>
  <c r="Q63" i="2" s="1"/>
  <c r="R63" i="2" s="1" a="1"/>
  <c r="R63" i="2" s="1"/>
  <c r="P349" i="2"/>
  <c r="Q349" i="2" s="1"/>
  <c r="R349" i="2" s="1" a="1"/>
  <c r="R349" i="2" s="1"/>
  <c r="P426" i="2"/>
  <c r="Q426" i="2" s="1"/>
  <c r="R426" i="2" s="1" a="1"/>
  <c r="R426" i="2" s="1"/>
  <c r="P380" i="2"/>
  <c r="Q380" i="2" s="1"/>
  <c r="R380" i="2" s="1" a="1"/>
  <c r="R380" i="2" s="1"/>
  <c r="P346" i="2"/>
  <c r="Q346" i="2" s="1"/>
  <c r="R346" i="2" s="1" a="1"/>
  <c r="R346" i="2" s="1"/>
  <c r="P126" i="2"/>
  <c r="Q126" i="2" s="1"/>
  <c r="R126" i="2" s="1" a="1"/>
  <c r="R126" i="2" s="1"/>
  <c r="P127" i="2"/>
  <c r="Q127" i="2" s="1"/>
  <c r="R127" i="2" s="1" a="1"/>
  <c r="R127" i="2" s="1"/>
  <c r="P460" i="2"/>
  <c r="Q460" i="2" s="1"/>
  <c r="R460" i="2" s="1" a="1"/>
  <c r="R460" i="2" s="1"/>
  <c r="P101" i="2"/>
  <c r="Q101" i="2" s="1"/>
  <c r="R101" i="2" s="1" a="1"/>
  <c r="R101" i="2" s="1"/>
  <c r="P414" i="2"/>
  <c r="Q414" i="2" s="1"/>
  <c r="R414" i="2" s="1" a="1"/>
  <c r="R414" i="2" s="1"/>
  <c r="P248" i="2"/>
  <c r="Q248" i="2" s="1"/>
  <c r="R248" i="2" s="1" a="1"/>
  <c r="R248" i="2" s="1"/>
  <c r="P8" i="2"/>
  <c r="Q8" i="2" s="1"/>
  <c r="R8" i="2" s="1" a="1"/>
  <c r="R8" i="2" s="1"/>
  <c r="P394" i="2"/>
  <c r="Q394" i="2" s="1"/>
  <c r="R394" i="2" s="1" a="1"/>
  <c r="R394" i="2" s="1"/>
  <c r="P352" i="2"/>
  <c r="Q352" i="2" s="1"/>
  <c r="R352" i="2" s="1" a="1"/>
  <c r="R352" i="2" s="1"/>
  <c r="P486" i="2"/>
  <c r="Q486" i="2" s="1"/>
  <c r="R486" i="2" s="1" a="1"/>
  <c r="R486" i="2" s="1"/>
  <c r="P80" i="2"/>
  <c r="Q80" i="2" s="1"/>
  <c r="R80" i="2" s="1" a="1"/>
  <c r="R80" i="2" s="1"/>
  <c r="P232" i="2"/>
  <c r="Q232" i="2" s="1"/>
  <c r="R232" i="2" s="1" a="1"/>
  <c r="R232" i="2" s="1"/>
  <c r="P275" i="2"/>
  <c r="Q275" i="2" s="1"/>
  <c r="R275" i="2" s="1" a="1"/>
  <c r="R275" i="2" s="1"/>
  <c r="P121" i="2"/>
  <c r="Q121" i="2" s="1"/>
  <c r="R121" i="2" s="1" a="1"/>
  <c r="R121" i="2" s="1"/>
  <c r="P130" i="2"/>
  <c r="Q130" i="2" s="1"/>
  <c r="R130" i="2" s="1" a="1"/>
  <c r="R130" i="2" s="1"/>
  <c r="P82" i="2"/>
  <c r="Q82" i="2" s="1"/>
  <c r="R82" i="2" s="1" a="1"/>
  <c r="R82" i="2" s="1"/>
  <c r="P217" i="2"/>
  <c r="Q217" i="2" s="1"/>
  <c r="R217" i="2" s="1" a="1"/>
  <c r="R217" i="2" s="1"/>
  <c r="P3" i="2"/>
  <c r="Q3" i="2" s="1"/>
  <c r="R3" i="2" s="1" a="1"/>
  <c r="R3" i="2" s="1"/>
  <c r="P83" i="2"/>
  <c r="Q83" i="2" s="1"/>
  <c r="R83" i="2" s="1" a="1"/>
  <c r="R83" i="2" s="1"/>
  <c r="P487" i="2"/>
  <c r="Q487" i="2" s="1"/>
  <c r="R487" i="2" s="1" a="1"/>
  <c r="R487" i="2" s="1"/>
  <c r="P231" i="2"/>
  <c r="Q231" i="2" s="1"/>
  <c r="R231" i="2" s="1" a="1"/>
  <c r="R231" i="2" s="1"/>
  <c r="P214" i="2"/>
  <c r="Q214" i="2" s="1"/>
  <c r="R214" i="2" s="1" a="1"/>
  <c r="R214" i="2" s="1"/>
  <c r="P471" i="2"/>
  <c r="Q471" i="2" s="1"/>
  <c r="R471" i="2" s="1" a="1"/>
  <c r="R471" i="2" s="1"/>
  <c r="P128" i="2"/>
  <c r="Q128" i="2" s="1"/>
  <c r="R128" i="2" s="1" a="1"/>
  <c r="R128" i="2" s="1"/>
  <c r="P72" i="2"/>
  <c r="Q72" i="2" s="1"/>
  <c r="R72" i="2" s="1" a="1"/>
  <c r="R72" i="2" s="1"/>
  <c r="P366" i="2"/>
  <c r="Q366" i="2" s="1"/>
  <c r="R366" i="2" s="1" a="1"/>
  <c r="R366" i="2" s="1"/>
  <c r="P299" i="2"/>
  <c r="Q299" i="2" s="1"/>
  <c r="R299" i="2" s="1" a="1"/>
  <c r="R299" i="2" s="1"/>
  <c r="P87" i="2"/>
  <c r="Q87" i="2" s="1"/>
  <c r="R87" i="2" s="1" a="1"/>
  <c r="R87" i="2" s="1"/>
  <c r="P311" i="2"/>
  <c r="Q311" i="2" s="1"/>
  <c r="R311" i="2" s="1" a="1"/>
  <c r="R311" i="2" s="1"/>
  <c r="P413" i="2"/>
  <c r="Q413" i="2" s="1"/>
  <c r="R413" i="2" s="1" a="1"/>
  <c r="R413" i="2" s="1"/>
  <c r="P325" i="2"/>
  <c r="Q325" i="2" s="1"/>
  <c r="R325" i="2" s="1" a="1"/>
  <c r="R325" i="2" s="1"/>
  <c r="P75" i="2"/>
  <c r="Q75" i="2" s="1"/>
  <c r="R75" i="2" s="1" a="1"/>
  <c r="R75" i="2" s="1"/>
  <c r="P45" i="2"/>
  <c r="Q45" i="2" s="1"/>
  <c r="R45" i="2" s="1" a="1"/>
  <c r="R45" i="2" s="1"/>
  <c r="P24" i="2"/>
  <c r="Q24" i="2" s="1"/>
  <c r="R24" i="2" s="1" a="1"/>
  <c r="R24" i="2" s="1"/>
  <c r="P336" i="2"/>
  <c r="Q336" i="2" s="1"/>
  <c r="R336" i="2" s="1" a="1"/>
  <c r="R336" i="2" s="1"/>
  <c r="P48" i="2"/>
  <c r="Q48" i="2" s="1"/>
  <c r="R48" i="2" s="1" a="1"/>
  <c r="R48" i="2" s="1"/>
  <c r="P150" i="2"/>
  <c r="Q150" i="2" s="1"/>
  <c r="R150" i="2" s="1" a="1"/>
  <c r="R150" i="2" s="1"/>
  <c r="P473" i="2"/>
  <c r="Q473" i="2" s="1"/>
  <c r="R473" i="2" s="1" a="1"/>
  <c r="R473" i="2" s="1"/>
  <c r="P158" i="2"/>
  <c r="Q158" i="2" s="1"/>
  <c r="R158" i="2" s="1" a="1"/>
  <c r="R158" i="2" s="1"/>
  <c r="P335" i="2"/>
  <c r="Q335" i="2" s="1"/>
  <c r="R335" i="2" s="1" a="1"/>
  <c r="R335" i="2" s="1"/>
  <c r="P50" i="2"/>
  <c r="Q50" i="2" s="1"/>
  <c r="R50" i="2" s="1" a="1"/>
  <c r="R50" i="2" s="1"/>
  <c r="P276" i="2"/>
  <c r="Q276" i="2" s="1"/>
  <c r="R276" i="2" s="1" a="1"/>
  <c r="R276" i="2" s="1"/>
  <c r="P342" i="2"/>
  <c r="Q342" i="2" s="1"/>
  <c r="R342" i="2" s="1" a="1"/>
  <c r="R342" i="2" s="1"/>
  <c r="P334" i="2"/>
  <c r="Q334" i="2" s="1"/>
  <c r="R334" i="2" s="1" a="1"/>
  <c r="R334" i="2" s="1"/>
  <c r="P436" i="2"/>
  <c r="Q436" i="2" s="1"/>
  <c r="R436" i="2" s="1" a="1"/>
  <c r="R436" i="2" s="1"/>
  <c r="P464" i="2"/>
  <c r="Q464" i="2" s="1"/>
  <c r="R464" i="2" s="1" a="1"/>
  <c r="R464" i="2" s="1"/>
  <c r="P41" i="2"/>
  <c r="Q41" i="2" s="1"/>
  <c r="R41" i="2" s="1" a="1"/>
  <c r="R41" i="2" s="1"/>
  <c r="P319" i="2"/>
  <c r="Q319" i="2" s="1"/>
  <c r="R319" i="2" s="1" a="1"/>
  <c r="R319" i="2" s="1"/>
  <c r="P44" i="2"/>
  <c r="Q44" i="2" s="1"/>
  <c r="R44" i="2" s="1" a="1"/>
  <c r="R44" i="2" s="1"/>
  <c r="P286" i="2"/>
  <c r="Q286" i="2" s="1"/>
  <c r="R286" i="2" s="1" a="1"/>
  <c r="R286" i="2" s="1"/>
  <c r="P264" i="2"/>
  <c r="Q264" i="2" s="1"/>
  <c r="R264" i="2" s="1" a="1"/>
  <c r="R264" i="2" s="1"/>
  <c r="P372" i="2"/>
  <c r="Q372" i="2" s="1"/>
  <c r="R372" i="2" s="1" a="1"/>
  <c r="R372" i="2" s="1"/>
  <c r="P310" i="2"/>
  <c r="Q310" i="2" s="1"/>
  <c r="R310" i="2" s="1" a="1"/>
  <c r="R310" i="2" s="1"/>
  <c r="P206" i="2"/>
  <c r="Q206" i="2" s="1"/>
  <c r="R206" i="2" s="1" a="1"/>
  <c r="R206" i="2" s="1"/>
  <c r="P454" i="2"/>
  <c r="Q454" i="2" s="1"/>
  <c r="R454" i="2" s="1" a="1"/>
  <c r="R454" i="2" s="1"/>
  <c r="P131" i="2"/>
  <c r="Q131" i="2" s="1"/>
  <c r="R131" i="2" s="1" a="1"/>
  <c r="R131" i="2" s="1"/>
  <c r="P239" i="2"/>
  <c r="Q239" i="2" s="1"/>
  <c r="R239" i="2" s="1" a="1"/>
  <c r="R239" i="2" s="1"/>
  <c r="P185" i="2"/>
  <c r="Q185" i="2" s="1"/>
  <c r="R185" i="2" s="1" a="1"/>
  <c r="R185" i="2" s="1"/>
  <c r="P307" i="2"/>
  <c r="Q307" i="2" s="1"/>
  <c r="R307" i="2" s="1" a="1"/>
  <c r="R307" i="2" s="1"/>
  <c r="P324" i="2"/>
  <c r="Q324" i="2" s="1"/>
  <c r="R324" i="2" s="1" a="1"/>
  <c r="R324" i="2" s="1"/>
  <c r="P282" i="2"/>
  <c r="Q282" i="2" s="1"/>
  <c r="R282" i="2" s="1" a="1"/>
  <c r="R282" i="2" s="1"/>
  <c r="P133" i="2"/>
  <c r="Q133" i="2" s="1"/>
  <c r="R133" i="2" s="1" a="1"/>
  <c r="R133" i="2" s="1"/>
  <c r="P396" i="2"/>
  <c r="Q396" i="2" s="1"/>
  <c r="R396" i="2" s="1" a="1"/>
  <c r="R396" i="2" s="1"/>
  <c r="P422" i="2"/>
  <c r="Q422" i="2" s="1"/>
  <c r="R422" i="2" s="1" a="1"/>
  <c r="R422" i="2" s="1"/>
  <c r="P94" i="2"/>
  <c r="Q94" i="2" s="1"/>
  <c r="R94" i="2" s="1" a="1"/>
  <c r="R94" i="2" s="1"/>
  <c r="P142" i="2"/>
  <c r="Q142" i="2" s="1"/>
  <c r="R142" i="2" s="1" a="1"/>
  <c r="R142" i="2" s="1"/>
  <c r="P263" i="2"/>
  <c r="Q263" i="2" s="1"/>
  <c r="R263" i="2" s="1" a="1"/>
  <c r="R263" i="2" s="1"/>
  <c r="P298" i="2"/>
  <c r="Q298" i="2" s="1"/>
  <c r="R298" i="2" s="1" a="1"/>
  <c r="R298" i="2" s="1"/>
  <c r="P171" i="2"/>
  <c r="Q171" i="2" s="1"/>
  <c r="R171" i="2" s="1" a="1"/>
  <c r="R171" i="2" s="1"/>
  <c r="P309" i="2"/>
  <c r="Q309" i="2" s="1"/>
  <c r="R309" i="2" s="1" a="1"/>
  <c r="R309" i="2" s="1"/>
  <c r="P261" i="2"/>
  <c r="Q261" i="2" s="1"/>
  <c r="R261" i="2" s="1" a="1"/>
  <c r="R261" i="2" s="1"/>
  <c r="P187" i="2"/>
  <c r="Q187" i="2" s="1"/>
  <c r="R187" i="2" s="1" a="1"/>
  <c r="R187" i="2" s="1"/>
  <c r="P340" i="2"/>
  <c r="Q340" i="2" s="1"/>
  <c r="R340" i="2" s="1" a="1"/>
  <c r="R340" i="2" s="1"/>
  <c r="P459" i="2"/>
  <c r="Q459" i="2" s="1"/>
  <c r="R459" i="2" s="1" a="1"/>
  <c r="R459" i="2" s="1"/>
  <c r="P384" i="2"/>
  <c r="Q384" i="2" s="1"/>
  <c r="R384" i="2" s="1" a="1"/>
  <c r="R384" i="2" s="1"/>
  <c r="P268" i="2"/>
  <c r="Q268" i="2" s="1"/>
  <c r="R268" i="2" s="1" a="1"/>
  <c r="R268" i="2" s="1"/>
  <c r="P4" i="2"/>
  <c r="Q4" i="2" s="1"/>
  <c r="R4" i="2" s="1" a="1"/>
  <c r="R4" i="2" s="1"/>
  <c r="P479" i="2"/>
  <c r="Q479" i="2" s="1"/>
  <c r="R479" i="2" s="1" a="1"/>
  <c r="R479" i="2" s="1"/>
  <c r="P246" i="2"/>
  <c r="Q246" i="2" s="1"/>
  <c r="R246" i="2" s="1" a="1"/>
  <c r="R246" i="2" s="1"/>
  <c r="P97" i="2"/>
  <c r="Q97" i="2" s="1"/>
  <c r="R97" i="2" s="1" a="1"/>
  <c r="R97" i="2" s="1"/>
  <c r="P175" i="2"/>
  <c r="Q175" i="2" s="1"/>
  <c r="R175" i="2" s="1" a="1"/>
  <c r="R175" i="2" s="1"/>
  <c r="P382" i="2"/>
  <c r="Q382" i="2" s="1"/>
  <c r="R382" i="2" s="1" a="1"/>
  <c r="R382" i="2" s="1"/>
  <c r="P230" i="2"/>
  <c r="Q230" i="2" s="1"/>
  <c r="R230" i="2" s="1" a="1"/>
  <c r="R230" i="2" s="1"/>
  <c r="P457" i="2"/>
  <c r="Q457" i="2" s="1"/>
  <c r="R457" i="2" s="1" a="1"/>
  <c r="R457" i="2" s="1"/>
  <c r="Q438" i="2" l="1"/>
  <c r="D10" i="9"/>
  <c r="C5" i="9"/>
  <c r="C10" i="9"/>
  <c r="B5" i="9"/>
  <c r="B10" i="9"/>
  <c r="D5" i="9"/>
  <c r="B2" i="9"/>
  <c r="D11" i="9" l="1"/>
  <c r="R438" i="2" a="1"/>
  <c r="R438" i="2" s="1"/>
  <c r="C6" i="9"/>
  <c r="C11" i="9"/>
  <c r="B6" i="9"/>
  <c r="D6" i="9"/>
  <c r="B11" i="9"/>
  <c r="C2" i="11"/>
  <c r="B2" i="11"/>
  <c r="C5" i="11"/>
  <c r="B5" i="11"/>
  <c r="B5" i="5"/>
  <c r="W5" i="2"/>
  <c r="B8" i="11" s="1"/>
  <c r="C2"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<sst xmlns="http://schemas.openxmlformats.org/spreadsheetml/2006/main" count="9850" uniqueCount="613">
  <si>
    <t>UserID</t>
  </si>
  <si>
    <t>Registrierungsdatum</t>
  </si>
  <si>
    <t>Alter</t>
  </si>
  <si>
    <t>Branche</t>
  </si>
  <si>
    <t>Bildungsabschluss</t>
  </si>
  <si>
    <t>Berufserfahrung</t>
  </si>
  <si>
    <t>00233</t>
  </si>
  <si>
    <t>Großhandel</t>
  </si>
  <si>
    <t>Bachelor</t>
  </si>
  <si>
    <t>00454</t>
  </si>
  <si>
    <t>Einzelhandel</t>
  </si>
  <si>
    <t>00258</t>
  </si>
  <si>
    <t>E-Commerce</t>
  </si>
  <si>
    <t>Master</t>
  </si>
  <si>
    <t>00188</t>
  </si>
  <si>
    <t>00055</t>
  </si>
  <si>
    <t>Promotion</t>
  </si>
  <si>
    <t>00089</t>
  </si>
  <si>
    <t>00511</t>
  </si>
  <si>
    <t>00104</t>
  </si>
  <si>
    <t>00455</t>
  </si>
  <si>
    <t>00044</t>
  </si>
  <si>
    <t>00300</t>
  </si>
  <si>
    <t>00003</t>
  </si>
  <si>
    <t>00557</t>
  </si>
  <si>
    <t>00360</t>
  </si>
  <si>
    <t>00205</t>
  </si>
  <si>
    <t>00020</t>
  </si>
  <si>
    <t>00063</t>
  </si>
  <si>
    <t>00530</t>
  </si>
  <si>
    <t>00345</t>
  </si>
  <si>
    <t>00448</t>
  </si>
  <si>
    <t>00100</t>
  </si>
  <si>
    <t>00211</t>
  </si>
  <si>
    <t>00378</t>
  </si>
  <si>
    <t>00446</t>
  </si>
  <si>
    <t>00486</t>
  </si>
  <si>
    <t>00058</t>
  </si>
  <si>
    <t>00555</t>
  </si>
  <si>
    <t>00183</t>
  </si>
  <si>
    <t>00073</t>
  </si>
  <si>
    <t>00432</t>
  </si>
  <si>
    <t>00330</t>
  </si>
  <si>
    <t>00320</t>
  </si>
  <si>
    <t>00216</t>
  </si>
  <si>
    <t>00325</t>
  </si>
  <si>
    <t>00091</t>
  </si>
  <si>
    <t>00434</t>
  </si>
  <si>
    <t>00289</t>
  </si>
  <si>
    <t>00516</t>
  </si>
  <si>
    <t>00219</t>
  </si>
  <si>
    <t>00212</t>
  </si>
  <si>
    <t>00093</t>
  </si>
  <si>
    <t>00515</t>
  </si>
  <si>
    <t>00141</t>
  </si>
  <si>
    <t>00316</t>
  </si>
  <si>
    <t>00439</t>
  </si>
  <si>
    <t>00447</t>
  </si>
  <si>
    <t>00357</t>
  </si>
  <si>
    <t>00471</t>
  </si>
  <si>
    <t>00540</t>
  </si>
  <si>
    <t>00178</t>
  </si>
  <si>
    <t>00046</t>
  </si>
  <si>
    <t>00144</t>
  </si>
  <si>
    <t>00083</t>
  </si>
  <si>
    <t>00011</t>
  </si>
  <si>
    <t>00542</t>
  </si>
  <si>
    <t>00385</t>
  </si>
  <si>
    <t>00483</t>
  </si>
  <si>
    <t>00251</t>
  </si>
  <si>
    <t>00328</t>
  </si>
  <si>
    <t>00307</t>
  </si>
  <si>
    <t>00466</t>
  </si>
  <si>
    <t>00260</t>
  </si>
  <si>
    <t>00277</t>
  </si>
  <si>
    <t>00107</t>
  </si>
  <si>
    <t>00120</t>
  </si>
  <si>
    <t>00541</t>
  </si>
  <si>
    <t>00430</t>
  </si>
  <si>
    <t>00463</t>
  </si>
  <si>
    <t>00248</t>
  </si>
  <si>
    <t>00147</t>
  </si>
  <si>
    <t>00175</t>
  </si>
  <si>
    <t>00314</t>
  </si>
  <si>
    <t>00370</t>
  </si>
  <si>
    <t>00214</t>
  </si>
  <si>
    <t>00108</t>
  </si>
  <si>
    <t>00539</t>
  </si>
  <si>
    <t>00410</t>
  </si>
  <si>
    <t>00469</t>
  </si>
  <si>
    <t>00589</t>
  </si>
  <si>
    <t>00558</t>
  </si>
  <si>
    <t>00210</t>
  </si>
  <si>
    <t>00380</t>
  </si>
  <si>
    <t>00450</t>
  </si>
  <si>
    <t>00504</t>
  </si>
  <si>
    <t>00531</t>
  </si>
  <si>
    <t>00253</t>
  </si>
  <si>
    <t>00296</t>
  </si>
  <si>
    <t>00522</t>
  </si>
  <si>
    <t>00255</t>
  </si>
  <si>
    <t>00593</t>
  </si>
  <si>
    <t>00228</t>
  </si>
  <si>
    <t>00315</t>
  </si>
  <si>
    <t>00096</t>
  </si>
  <si>
    <t>00533</t>
  </si>
  <si>
    <t>00196</t>
  </si>
  <si>
    <t>00342</t>
  </si>
  <si>
    <t>00507</t>
  </si>
  <si>
    <t>00426</t>
  </si>
  <si>
    <t>00286</t>
  </si>
  <si>
    <t>00193</t>
  </si>
  <si>
    <t>00586</t>
  </si>
  <si>
    <t>00080</t>
  </si>
  <si>
    <t>00477</t>
  </si>
  <si>
    <t>00394</t>
  </si>
  <si>
    <t>00554</t>
  </si>
  <si>
    <t>00023</t>
  </si>
  <si>
    <t>00464</t>
  </si>
  <si>
    <t>00449</t>
  </si>
  <si>
    <t>00460</t>
  </si>
  <si>
    <t>00405</t>
  </si>
  <si>
    <t>00278</t>
  </si>
  <si>
    <t>00433</t>
  </si>
  <si>
    <t>00041</t>
  </si>
  <si>
    <t>00247</t>
  </si>
  <si>
    <t>00298</t>
  </si>
  <si>
    <t>00497</t>
  </si>
  <si>
    <t>00105</t>
  </si>
  <si>
    <t>00527</t>
  </si>
  <si>
    <t>00324</t>
  </si>
  <si>
    <t>00241</t>
  </si>
  <si>
    <t>00579</t>
  </si>
  <si>
    <t>00459</t>
  </si>
  <si>
    <t>00491</t>
  </si>
  <si>
    <t>00428</t>
  </si>
  <si>
    <t>00444</t>
  </si>
  <si>
    <t>00138</t>
  </si>
  <si>
    <t>00245</t>
  </si>
  <si>
    <t>00143</t>
  </si>
  <si>
    <t>Bauwesen</t>
  </si>
  <si>
    <t>00412</t>
  </si>
  <si>
    <t>00537</t>
  </si>
  <si>
    <t>00487</t>
  </si>
  <si>
    <t>00326</t>
  </si>
  <si>
    <t>00384</t>
  </si>
  <si>
    <t>00529</t>
  </si>
  <si>
    <t>00335</t>
  </si>
  <si>
    <t>00521</t>
  </si>
  <si>
    <t>00008</t>
  </si>
  <si>
    <t>00097</t>
  </si>
  <si>
    <t>00123</t>
  </si>
  <si>
    <t>00419</t>
  </si>
  <si>
    <t>00042</t>
  </si>
  <si>
    <t>00076</t>
  </si>
  <si>
    <t>00187</t>
  </si>
  <si>
    <t>Beratung</t>
  </si>
  <si>
    <t>00198</t>
  </si>
  <si>
    <t>00005</t>
  </si>
  <si>
    <t>00066</t>
  </si>
  <si>
    <t>00381</t>
  </si>
  <si>
    <t>00220</t>
  </si>
  <si>
    <t>00338</t>
  </si>
  <si>
    <t>00128</t>
  </si>
  <si>
    <t>00098</t>
  </si>
  <si>
    <t>00337</t>
  </si>
  <si>
    <t>00480</t>
  </si>
  <si>
    <t>00280</t>
  </si>
  <si>
    <t>00350</t>
  </si>
  <si>
    <t>00177</t>
  </si>
  <si>
    <t>00099</t>
  </si>
  <si>
    <t>00470</t>
  </si>
  <si>
    <t>00591</t>
  </si>
  <si>
    <t>00057</t>
  </si>
  <si>
    <t>00461</t>
  </si>
  <si>
    <t>00429</t>
  </si>
  <si>
    <t>00474</t>
  </si>
  <si>
    <t>00304</t>
  </si>
  <si>
    <t>00503</t>
  </si>
  <si>
    <t>00218</t>
  </si>
  <si>
    <t>00275</t>
  </si>
  <si>
    <t>00027</t>
  </si>
  <si>
    <t>00524</t>
  </si>
  <si>
    <t>00351</t>
  </si>
  <si>
    <t>00285</t>
  </si>
  <si>
    <t>00033</t>
  </si>
  <si>
    <t>00373</t>
  </si>
  <si>
    <t>00237</t>
  </si>
  <si>
    <t>00117</t>
  </si>
  <si>
    <t>00598</t>
  </si>
  <si>
    <t>00458</t>
  </si>
  <si>
    <t>00226</t>
  </si>
  <si>
    <t>00452</t>
  </si>
  <si>
    <t>00134</t>
  </si>
  <si>
    <t>00119</t>
  </si>
  <si>
    <t>00271</t>
  </si>
  <si>
    <t>00502</t>
  </si>
  <si>
    <t>00180</t>
  </si>
  <si>
    <t>00482</t>
  </si>
  <si>
    <t>00002</t>
  </si>
  <si>
    <t>00440</t>
  </si>
  <si>
    <t>00287</t>
  </si>
  <si>
    <t>00290</t>
  </si>
  <si>
    <t>00493</t>
  </si>
  <si>
    <t>00309</t>
  </si>
  <si>
    <t>00513</t>
  </si>
  <si>
    <t>00566</t>
  </si>
  <si>
    <t>00007</t>
  </si>
  <si>
    <t>00517</t>
  </si>
  <si>
    <t>00157</t>
  </si>
  <si>
    <t>00425</t>
  </si>
  <si>
    <t>00159</t>
  </si>
  <si>
    <t>00543</t>
  </si>
  <si>
    <t>00078</t>
  </si>
  <si>
    <t>00535</t>
  </si>
  <si>
    <t>00383</t>
  </si>
  <si>
    <t>00321</t>
  </si>
  <si>
    <t>00597</t>
  </si>
  <si>
    <t>00476</t>
  </si>
  <si>
    <t>00109</t>
  </si>
  <si>
    <t>00021</t>
  </si>
  <si>
    <t>00301</t>
  </si>
  <si>
    <t>00581</t>
  </si>
  <si>
    <t>00571</t>
  </si>
  <si>
    <t>00562</t>
  </si>
  <si>
    <t>00423</t>
  </si>
  <si>
    <t>00544</t>
  </si>
  <si>
    <t>00563</t>
  </si>
  <si>
    <t>00365</t>
  </si>
  <si>
    <t>00596</t>
  </si>
  <si>
    <t>00359</t>
  </si>
  <si>
    <t>00575</t>
  </si>
  <si>
    <t>00588</t>
  </si>
  <si>
    <t>00418</t>
  </si>
  <si>
    <t>00230</t>
  </si>
  <si>
    <t>00329</t>
  </si>
  <si>
    <t>00050</t>
  </si>
  <si>
    <t>00197</t>
  </si>
  <si>
    <t>00094</t>
  </si>
  <si>
    <t>00582</t>
  </si>
  <si>
    <t>00364</t>
  </si>
  <si>
    <t>00106</t>
  </si>
  <si>
    <t>00229</t>
  </si>
  <si>
    <t>00576</t>
  </si>
  <si>
    <t>00062</t>
  </si>
  <si>
    <t>00195</t>
  </si>
  <si>
    <t>00366</t>
  </si>
  <si>
    <t>00506</t>
  </si>
  <si>
    <t>00110</t>
  </si>
  <si>
    <t>00115</t>
  </si>
  <si>
    <t>00343</t>
  </si>
  <si>
    <t>00224</t>
  </si>
  <si>
    <t>00009</t>
  </si>
  <si>
    <t>00167</t>
  </si>
  <si>
    <t>00374</t>
  </si>
  <si>
    <t>00276</t>
  </si>
  <si>
    <t>00031</t>
  </si>
  <si>
    <t>00369</t>
  </si>
  <si>
    <t>00518</t>
  </si>
  <si>
    <t>00473</t>
  </si>
  <si>
    <t>00090</t>
  </si>
  <si>
    <t>00070</t>
  </si>
  <si>
    <t>00568</t>
  </si>
  <si>
    <t>00137</t>
  </si>
  <si>
    <t>00416</t>
  </si>
  <si>
    <t>Bildung</t>
  </si>
  <si>
    <t>00363</t>
  </si>
  <si>
    <t>00355</t>
  </si>
  <si>
    <t>00552</t>
  </si>
  <si>
    <t>00051</t>
  </si>
  <si>
    <t>00282</t>
  </si>
  <si>
    <t>00284</t>
  </si>
  <si>
    <t>00388</t>
  </si>
  <si>
    <t>00431</t>
  </si>
  <si>
    <t>00441</t>
  </si>
  <si>
    <t>00310</t>
  </si>
  <si>
    <t>00538</t>
  </si>
  <si>
    <t>00225</t>
  </si>
  <si>
    <t>00523</t>
  </si>
  <si>
    <t>00029</t>
  </si>
  <si>
    <t>00121</t>
  </si>
  <si>
    <t>00018</t>
  </si>
  <si>
    <t>00395</t>
  </si>
  <si>
    <t>00595</t>
  </si>
  <si>
    <t>00499</t>
  </si>
  <si>
    <t>00125</t>
  </si>
  <si>
    <t>Energieversorgung</t>
  </si>
  <si>
    <t>00088</t>
  </si>
  <si>
    <t>00379</t>
  </si>
  <si>
    <t>00012</t>
  </si>
  <si>
    <t>00407</t>
  </si>
  <si>
    <t>00154</t>
  </si>
  <si>
    <t>00048</t>
  </si>
  <si>
    <t>00403</t>
  </si>
  <si>
    <t>00367</t>
  </si>
  <si>
    <t>00200</t>
  </si>
  <si>
    <t>00331</t>
  </si>
  <si>
    <t>00084</t>
  </si>
  <si>
    <t>00170</t>
  </si>
  <si>
    <t>00095</t>
  </si>
  <si>
    <t>00349</t>
  </si>
  <si>
    <t>00485</t>
  </si>
  <si>
    <t>00400</t>
  </si>
  <si>
    <t>00313</t>
  </si>
  <si>
    <t>00526</t>
  </si>
  <si>
    <t>Finanzdienstleistung</t>
  </si>
  <si>
    <t>00396</t>
  </si>
  <si>
    <t>00236</t>
  </si>
  <si>
    <t>00192</t>
  </si>
  <si>
    <t>00102</t>
  </si>
  <si>
    <t>00232</t>
  </si>
  <si>
    <t>00256</t>
  </si>
  <si>
    <t>00445</t>
  </si>
  <si>
    <t>00368</t>
  </si>
  <si>
    <t>00438</t>
  </si>
  <si>
    <t>00424</t>
  </si>
  <si>
    <t>00206</t>
  </si>
  <si>
    <t>00553</t>
  </si>
  <si>
    <t>00111</t>
  </si>
  <si>
    <t>00492</t>
  </si>
  <si>
    <t>00594</t>
  </si>
  <si>
    <t>00265</t>
  </si>
  <si>
    <t>00191</t>
  </si>
  <si>
    <t>00332</t>
  </si>
  <si>
    <t>00072</t>
  </si>
  <si>
    <t>00013</t>
  </si>
  <si>
    <t>00184</t>
  </si>
  <si>
    <t>00142</t>
  </si>
  <si>
    <t>Gesundheitswesen</t>
  </si>
  <si>
    <t>00202</t>
  </si>
  <si>
    <t>00577</t>
  </si>
  <si>
    <t>00113</t>
  </si>
  <si>
    <t>00190</t>
  </si>
  <si>
    <t>00323</t>
  </si>
  <si>
    <t>00386</t>
  </si>
  <si>
    <t>00361</t>
  </si>
  <si>
    <t>00288</t>
  </si>
  <si>
    <t>00030</t>
  </si>
  <si>
    <t>00393</t>
  </si>
  <si>
    <t>00101</t>
  </si>
  <si>
    <t>00354</t>
  </si>
  <si>
    <t>00215</t>
  </si>
  <si>
    <t>00025</t>
  </si>
  <si>
    <t>00318</t>
  </si>
  <si>
    <t>00243</t>
  </si>
  <si>
    <t>00234</t>
  </si>
  <si>
    <t>00484</t>
  </si>
  <si>
    <t>Immobilien</t>
  </si>
  <si>
    <t>00022</t>
  </si>
  <si>
    <t>00182</t>
  </si>
  <si>
    <t>00293</t>
  </si>
  <si>
    <t>00176</t>
  </si>
  <si>
    <t>00495</t>
  </si>
  <si>
    <t>00305</t>
  </si>
  <si>
    <t>00500</t>
  </si>
  <si>
    <t>00010</t>
  </si>
  <si>
    <t>00079</t>
  </si>
  <si>
    <t>00087</t>
  </si>
  <si>
    <t>00235</t>
  </si>
  <si>
    <t>00353</t>
  </si>
  <si>
    <t>00131</t>
  </si>
  <si>
    <t>00583</t>
  </si>
  <si>
    <t>00561</t>
  </si>
  <si>
    <t>00207</t>
  </si>
  <si>
    <t>00016</t>
  </si>
  <si>
    <t>00017</t>
  </si>
  <si>
    <t>IT und Technologie</t>
  </si>
  <si>
    <t>00472</t>
  </si>
  <si>
    <t>00077</t>
  </si>
  <si>
    <t>00520</t>
  </si>
  <si>
    <t>00032</t>
  </si>
  <si>
    <t>00436</t>
  </si>
  <si>
    <t>00151</t>
  </si>
  <si>
    <t>00501</t>
  </si>
  <si>
    <t>00261</t>
  </si>
  <si>
    <t>00146</t>
  </si>
  <si>
    <t>00152</t>
  </si>
  <si>
    <t>00259</t>
  </si>
  <si>
    <t>00467</t>
  </si>
  <si>
    <t>00266</t>
  </si>
  <si>
    <t>00443</t>
  </si>
  <si>
    <t>00372</t>
  </si>
  <si>
    <t>00223</t>
  </si>
  <si>
    <t>00371</t>
  </si>
  <si>
    <t>00490</t>
  </si>
  <si>
    <t>00417</t>
  </si>
  <si>
    <t>00573</t>
  </si>
  <si>
    <t>00508</t>
  </si>
  <si>
    <t>00116</t>
  </si>
  <si>
    <t>00092</t>
  </si>
  <si>
    <t>00421</t>
  </si>
  <si>
    <t>00239</t>
  </si>
  <si>
    <t>00053</t>
  </si>
  <si>
    <t>00382</t>
  </si>
  <si>
    <t>00037</t>
  </si>
  <si>
    <t>00528</t>
  </si>
  <si>
    <t>00578</t>
  </si>
  <si>
    <t>00165</t>
  </si>
  <si>
    <t>00139</t>
  </si>
  <si>
    <t>00052</t>
  </si>
  <si>
    <t>00274</t>
  </si>
  <si>
    <t>00222</t>
  </si>
  <si>
    <t>00038</t>
  </si>
  <si>
    <t>00124</t>
  </si>
  <si>
    <t>00599</t>
  </si>
  <si>
    <t>00317</t>
  </si>
  <si>
    <t>00333</t>
  </si>
  <si>
    <t>00174</t>
  </si>
  <si>
    <t>00240</t>
  </si>
  <si>
    <t>00213</t>
  </si>
  <si>
    <t>00401</t>
  </si>
  <si>
    <t>00587</t>
  </si>
  <si>
    <t>00295</t>
  </si>
  <si>
    <t>00548</t>
  </si>
  <si>
    <t>00336</t>
  </si>
  <si>
    <t>00496</t>
  </si>
  <si>
    <t>00442</t>
  </si>
  <si>
    <t>00054</t>
  </si>
  <si>
    <t>00590</t>
  </si>
  <si>
    <t>00199</t>
  </si>
  <si>
    <t>00047</t>
  </si>
  <si>
    <t>00404</t>
  </si>
  <si>
    <t>00059</t>
  </si>
  <si>
    <t>00194</t>
  </si>
  <si>
    <t>00422</t>
  </si>
  <si>
    <t>00153</t>
  </si>
  <si>
    <t>00204</t>
  </si>
  <si>
    <t>00279</t>
  </si>
  <si>
    <t>00494</t>
  </si>
  <si>
    <t>00074</t>
  </si>
  <si>
    <t>00064</t>
  </si>
  <si>
    <t>00039</t>
  </si>
  <si>
    <t>00068</t>
  </si>
  <si>
    <t>00453</t>
  </si>
  <si>
    <t>00263</t>
  </si>
  <si>
    <t>00126</t>
  </si>
  <si>
    <t>00269</t>
  </si>
  <si>
    <t>00584</t>
  </si>
  <si>
    <t>00303</t>
  </si>
  <si>
    <t>00399</t>
  </si>
  <si>
    <t>00203</t>
  </si>
  <si>
    <t>00377</t>
  </si>
  <si>
    <t>00075</t>
  </si>
  <si>
    <t>00264</t>
  </si>
  <si>
    <t>00024</t>
  </si>
  <si>
    <t>00130</t>
  </si>
  <si>
    <t>00510</t>
  </si>
  <si>
    <t>00252</t>
  </si>
  <si>
    <t>00376</t>
  </si>
  <si>
    <t>00559</t>
  </si>
  <si>
    <t>00481</t>
  </si>
  <si>
    <t>00257</t>
  </si>
  <si>
    <t>00556</t>
  </si>
  <si>
    <t>00273</t>
  </si>
  <si>
    <t>00201</t>
  </si>
  <si>
    <t>00246</t>
  </si>
  <si>
    <t>00569</t>
  </si>
  <si>
    <t>00362</t>
  </si>
  <si>
    <t>00549</t>
  </si>
  <si>
    <t>00085</t>
  </si>
  <si>
    <t>00043</t>
  </si>
  <si>
    <t>00127</t>
  </si>
  <si>
    <t>00334</t>
  </si>
  <si>
    <t>00014</t>
  </si>
  <si>
    <t>00145</t>
  </si>
  <si>
    <t>00341</t>
  </si>
  <si>
    <t>00004</t>
  </si>
  <si>
    <t>00498</t>
  </si>
  <si>
    <t>00036</t>
  </si>
  <si>
    <t>00475</t>
  </si>
  <si>
    <t>00532</t>
  </si>
  <si>
    <t>00572</t>
  </si>
  <si>
    <t>00149</t>
  </si>
  <si>
    <t>00034</t>
  </si>
  <si>
    <t>00028</t>
  </si>
  <si>
    <t>00299</t>
  </si>
  <si>
    <t>00465</t>
  </si>
  <si>
    <t>00169</t>
  </si>
  <si>
    <t>00015</t>
  </si>
  <si>
    <t>00398</t>
  </si>
  <si>
    <t>00136</t>
  </si>
  <si>
    <t>00060</t>
  </si>
  <si>
    <t>00592</t>
  </si>
  <si>
    <t>00322</t>
  </si>
  <si>
    <t>00294</t>
  </si>
  <si>
    <t>00375</t>
  </si>
  <si>
    <t>00040</t>
  </si>
  <si>
    <t>00600</t>
  </si>
  <si>
    <t>Öffentlicher Dienst</t>
  </si>
  <si>
    <t>00163</t>
  </si>
  <si>
    <t>00479</t>
  </si>
  <si>
    <t>00112</t>
  </si>
  <si>
    <t>00133</t>
  </si>
  <si>
    <t>00567</t>
  </si>
  <si>
    <t>00173</t>
  </si>
  <si>
    <t>00565</t>
  </si>
  <si>
    <t>00391</t>
  </si>
  <si>
    <t>00390</t>
  </si>
  <si>
    <t>00319</t>
  </si>
  <si>
    <t>00166</t>
  </si>
  <si>
    <t>00249</t>
  </si>
  <si>
    <t>00547</t>
  </si>
  <si>
    <t>00489</t>
  </si>
  <si>
    <t>00348</t>
  </si>
  <si>
    <t>00509</t>
  </si>
  <si>
    <t>00505</t>
  </si>
  <si>
    <t>00114</t>
  </si>
  <si>
    <t>00408</t>
  </si>
  <si>
    <t>Frage1_Prozent</t>
  </si>
  <si>
    <t>Frage2_Prozent</t>
  </si>
  <si>
    <t>Frage3_Prozent</t>
  </si>
  <si>
    <t>Frage4_Prozent</t>
  </si>
  <si>
    <t>Frage5_Prozent</t>
  </si>
  <si>
    <t>Quizergebnis</t>
  </si>
  <si>
    <t>Quizergebnis_Prozent</t>
  </si>
  <si>
    <t>Bewertung</t>
  </si>
  <si>
    <t>Max_Frage1</t>
  </si>
  <si>
    <t>Max_Frage2</t>
  </si>
  <si>
    <t>Max_Frage3</t>
  </si>
  <si>
    <t>Max_Frage4</t>
  </si>
  <si>
    <t>Max_Frage5</t>
  </si>
  <si>
    <t>Max_Quizergebnis</t>
  </si>
  <si>
    <t>Anzahl_Trainingsabschluss</t>
  </si>
  <si>
    <t>Lektionsnummer</t>
  </si>
  <si>
    <t>Lektionstitel</t>
  </si>
  <si>
    <t>Lektionstyp</t>
  </si>
  <si>
    <t>Einführung</t>
  </si>
  <si>
    <t>Video</t>
  </si>
  <si>
    <t>Finanzkennzahlen</t>
  </si>
  <si>
    <t>Text</t>
  </si>
  <si>
    <t>Übung</t>
  </si>
  <si>
    <t>Aktienanalyse</t>
  </si>
  <si>
    <t>Forecasting</t>
  </si>
  <si>
    <t>Zusammenfassung Finanzdatenanalyse</t>
  </si>
  <si>
    <t>Handout</t>
  </si>
  <si>
    <t>Abschlussquiz</t>
  </si>
  <si>
    <t>Quiz</t>
  </si>
  <si>
    <t>Abschluss</t>
  </si>
  <si>
    <t>Anzahl</t>
  </si>
  <si>
    <t>Handel</t>
  </si>
  <si>
    <t>Sonstiges</t>
  </si>
  <si>
    <t>Mittelwert</t>
  </si>
  <si>
    <t>Anteil</t>
  </si>
  <si>
    <t>Abschlüsse</t>
  </si>
  <si>
    <t>Standardabweichung (STABW.N)</t>
  </si>
  <si>
    <t>Standardabweichung (STABW.S)</t>
  </si>
  <si>
    <t>Median</t>
  </si>
  <si>
    <t>IQR (INKL)</t>
  </si>
  <si>
    <t>IQR (EXKL)</t>
  </si>
  <si>
    <t>Standardabweichung</t>
  </si>
  <si>
    <t>IQR</t>
  </si>
  <si>
    <t>Net Promoter Score (NPS)</t>
  </si>
  <si>
    <t>Bilanz, Gewinn und Verlustrechnung</t>
  </si>
  <si>
    <t>Schwierigkeit 1</t>
  </si>
  <si>
    <t>Schwierigkeit 2</t>
  </si>
  <si>
    <t>Schwierigkeit 3</t>
  </si>
  <si>
    <t>Schwierigkeit 4</t>
  </si>
  <si>
    <t>Schwierigkeit 5</t>
  </si>
  <si>
    <t>Bearbeitungsdauer_real</t>
  </si>
  <si>
    <t>Bearbeitungsdauer_geschätzt</t>
  </si>
  <si>
    <t>Bearbeitungsdauer_abgewichen</t>
  </si>
  <si>
    <t>Bewertung_Schwierigkeit</t>
  </si>
  <si>
    <t>Zeilenbeschriftungen</t>
  </si>
  <si>
    <t>Gesamtergebnis</t>
  </si>
  <si>
    <t>Mittelwert von Bearbeitungsdauer_real</t>
  </si>
  <si>
    <t>Spaltenbeschriftungen</t>
  </si>
  <si>
    <t>Anzahl von UserID</t>
  </si>
  <si>
    <t>Intervallgrenze</t>
  </si>
  <si>
    <t>&lt;=24</t>
  </si>
  <si>
    <t>25-35</t>
  </si>
  <si>
    <t>36-45</t>
  </si>
  <si>
    <t>&gt;45</t>
  </si>
  <si>
    <t>&lt;=4</t>
  </si>
  <si>
    <t>5-10</t>
  </si>
  <si>
    <t>11-15</t>
  </si>
  <si>
    <t>16-20</t>
  </si>
  <si>
    <t>&gt;20</t>
  </si>
  <si>
    <t>Quiz_Frage1_Punkte</t>
  </si>
  <si>
    <t>Quiz_Frage2_Punkte</t>
  </si>
  <si>
    <t>Quiz_Frage3_Punkte</t>
  </si>
  <si>
    <t>Quiz_Frage4_Punkte</t>
  </si>
  <si>
    <t>Quiz_Frage5_Punkte</t>
  </si>
  <si>
    <t>Training_Bewertung</t>
  </si>
  <si>
    <t>Bewertungssegment</t>
  </si>
  <si>
    <t>Detraktor</t>
  </si>
  <si>
    <t>Passiv</t>
  </si>
  <si>
    <t>Promotor</t>
  </si>
  <si>
    <t>Anzahl von Bewertungssegment</t>
  </si>
  <si>
    <t>Quizergebnis_Note</t>
  </si>
  <si>
    <t>Bestanden</t>
  </si>
  <si>
    <t>Gut bestanden</t>
  </si>
  <si>
    <t>Nicht bestanden</t>
  </si>
  <si>
    <t>Sehr gut bestanden</t>
  </si>
  <si>
    <t>Mittelwert von Quizergebnis_Prozent</t>
  </si>
  <si>
    <t>Mittelwert von Training_Bewertung</t>
  </si>
  <si>
    <t>Erfahrungsstufe</t>
  </si>
  <si>
    <t>fortgeschritten</t>
  </si>
  <si>
    <t>mittel</t>
  </si>
  <si>
    <t>sehr viel</t>
  </si>
  <si>
    <t>viel</t>
  </si>
  <si>
    <t>wenig</t>
  </si>
  <si>
    <t>Kein Abschluss</t>
  </si>
  <si>
    <t>Bearbeitungsdauer_Abweichungskategorie</t>
  </si>
  <si>
    <t xml:space="preserve">Bilanz, Gewinn- und Verlustrechnung </t>
  </si>
  <si>
    <t xml:space="preserve">Forecasting </t>
  </si>
  <si>
    <t>Mittelwert von  Bewertung_Schwierigkeit</t>
  </si>
  <si>
    <t>Standardabweichung (Grundgesamtheit)</t>
  </si>
  <si>
    <t>Mittelwert von Bewertung_Schwierigkeit</t>
  </si>
  <si>
    <t>Standardabweichung (Grundgesamtheit) von Bewertung_Schwierigkeit</t>
  </si>
  <si>
    <t>kürzer</t>
  </si>
  <si>
    <t>keine Abweichung</t>
  </si>
  <si>
    <t>länger</t>
  </si>
  <si>
    <t>viel länger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</si>
</sst>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i/>
      <sz val="11"/>
      <color theme="1"/>
      <name val="Calibri"/>
      <family val="2"/>
      <scheme val="minor"/>
    </font>
    <font>
      <b/>
      <sz val="11"/>
      <color theme="0" tint="-0.249977111117893"/>
      <name val="Calibri"/>
      <family val="2"/>
      <scheme val="minor"/>
    </font>
    <font>
      <sz val="11"/>
      <color theme="0" tint="-0.249977111117893"/>
      <name val="Calibri"/>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14" fontId="0" fillId="0" borderId="0" xfId="0" applyNumberFormat="1"/>
    <xf numFmtId="164" fontId="0" fillId="0" borderId="0" xfId="0" applyNumberFormat="1"/>
    <xf numFmtId="1" fontId="0" fillId="0" borderId="0" xfId="0" applyNumberFormat="1"/>
    <xf numFmtId="49" fontId="0" fillId="0" borderId="0" xfId="0" applyNumberFormat="1"/>
    <xf numFmtId="0" fontId="1" fillId="0" borderId="0" xfId="0" applyFont="1"/>
    <xf numFmtId="10" fontId="0" fillId="0" borderId="0" xfId="0" applyNumberFormat="1"/>
    <xf numFmtId="0" fontId="1" fillId="0" borderId="0" xfId="0" applyFont="1" applyAlignment="1">
      <alignment wrapText="1"/>
    </xf>
    <xf numFmtId="9" fontId="0" fillId="0" borderId="0" xfId="0" applyNumberFormat="1"/>
    <xf numFmtId="1" fontId="0" fillId="0" borderId="0" xfId="1" applyNumberFormat="1" applyFont="1"/>
    <xf numFmtId="0" fontId="0" fillId="0" borderId="0" xfId="0" applyAlignment="1">
      <alignment horizontal="left"/>
    </xf>
    <xf numFmtId="9" fontId="0" fillId="0" borderId="0" xfId="1" applyFont="1"/>
    <xf numFmtId="0" fontId="4" fillId="0" borderId="0" xfId="0" applyFont="1"/>
    <xf numFmtId="165" fontId="0" fillId="0" borderId="0" xfId="0" applyNumberFormat="1"/>
    <xf numFmtId="1" fontId="1" fillId="0" borderId="0" xfId="0" applyNumberFormat="1" applyFont="1"/>
    <xf numFmtId="0" fontId="0" fillId="0" borderId="0" xfId="0" pivotButton="1"/>
    <xf numFmtId="0" fontId="0" fillId="0" borderId="0" xfId="0" applyAlignment="1">
      <alignment wrapText="1"/>
    </xf>
    <xf numFmtId="0" fontId="5" fillId="0" borderId="0" xfId="0" applyFont="1"/>
    <xf numFmtId="0" fontId="6" fillId="0" borderId="0" xfId="0" applyFont="1"/>
    <xf numFmtId="16" fontId="0" fillId="0" borderId="0" xfId="0" applyNumberFormat="1"/>
    <xf numFmtId="0" fontId="7" fillId="0" borderId="0" xfId="0" applyFont="1" applyAlignment="1">
      <alignment vertical="center"/>
    </xf>
    <xf numFmtId="2" fontId="0" fillId="0" borderId="0" xfId="0" applyNumberFormat="1"/>
    <xf numFmtId="10" fontId="0" fillId="0" borderId="0" xfId="1" applyNumberFormat="1" applyFont="1"/>
  </cellXfs>
  <cellStyles count="2">
    <cellStyle name="Prozent" xfId="1" builtinId="5"/>
    <cellStyle name="Standard" xfId="0" builtinId="0"/>
  </cellStyles>
  <dxfs count="32">
    <dxf>
      <fill>
        <patternFill>
          <bgColor rgb="FFFFA8A1"/>
        </patternFill>
      </fill>
    </dxf>
    <dxf>
      <fill>
        <patternFill>
          <bgColor rgb="FFEB5474"/>
        </patternFill>
      </fill>
    </dxf>
    <dxf>
      <fill>
        <patternFill>
          <bgColor rgb="FFCCC8C0"/>
        </patternFill>
      </fill>
    </dxf>
    <dxf>
      <numFmt numFmtId="14" formatCode="0.00%"/>
    </dxf>
    <dxf>
      <numFmt numFmtId="13" formatCode="0%"/>
    </dxf>
    <dxf>
      <alignment wrapText="1"/>
    </dxf>
    <dxf>
      <alignment wrapText="1"/>
    </dxf>
    <dxf>
      <numFmt numFmtId="13" formatCode="0%"/>
    </dxf>
    <dxf>
      <numFmt numFmtId="13" formatCode="0%"/>
    </dxf>
    <dxf>
      <numFmt numFmtId="30" formatCode="@"/>
    </dxf>
    <dxf>
      <numFmt numFmtId="165" formatCode="00000"/>
    </dxf>
    <dxf>
      <numFmt numFmtId="1" formatCode="0"/>
    </dxf>
    <dxf>
      <numFmt numFmtId="1" formatCode="0"/>
    </dxf>
    <dxf>
      <numFmt numFmtId="0" formatCode="General"/>
    </dxf>
    <dxf>
      <numFmt numFmtId="13" formatCode="0%"/>
    </dxf>
    <dxf>
      <numFmt numFmtId="164" formatCode="0.0"/>
    </dxf>
    <dxf>
      <numFmt numFmtId="1" formatCode="0"/>
    </dxf>
    <dxf>
      <numFmt numFmtId="1" formatCode="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000"/>
    </dxf>
    <dxf>
      <numFmt numFmtId="1" formatCode="0"/>
    </dxf>
    <dxf>
      <numFmt numFmtId="30" formatCode="@"/>
    </dxf>
    <dxf>
      <numFmt numFmtId="30" formatCode="@"/>
    </dxf>
    <dxf>
      <numFmt numFmtId="1" formatCode="0"/>
    </dxf>
    <dxf>
      <numFmt numFmtId="19" formatCode="dd/mm/yyyy"/>
    </dxf>
    <dxf>
      <numFmt numFmtId="0" formatCode="General"/>
    </dxf>
  </dxfs>
  <tableStyles count="0" defaultTableStyle="TableStyleMedium9" defaultPivotStyle="PivotStyleLight16"/>
  <colors>
    <mruColors>
      <color rgb="FFEB5474"/>
      <color rgb="FFCCC8C0"/>
      <color rgb="FFF8696B"/>
      <color rgb="FFFFA8A1"/>
      <color rgb="FF16A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3.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[DAQ_K1_E05_data_solution.xlsx]Bewertung_Analyse!PivotTable1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Anteil der Quiznoten</a:t>
            </a:r>
            <a:r>
              <a:rPr lang="de-DE" baseline="0"/>
              <a:t> pro Bewertungssegment</a:t>
            </a:r>
            <a:endParaRPr lang="de-DE"/>
          </a:p>
        </c:rich>
      </c:tx>
      <c:layout>
        <c:manualLayout>
          <c:xMode val="edge"/>
          <c:yMode val="edge"/>
          <c:x val="0.25047686756361587"/>
          <c:y val="8.33071943184842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56303907497082"/>
          <c:y val="0.28816464994561453"/>
          <c:w val="0.42548203195213885"/>
          <c:h val="0.42711615991907503"/>
        </c:manualLayout>
      </c:layout>
      <c:barChart>
        <c:barDir val="col"/>
        <c:grouping val="clustered"/>
        <c:varyColors val="0"/>
        <c:ser>
          <c:idx val="0"/>
          <c:order val="0"/>
          <c:tx>
            <c:strRef>
              <c:f>Bewertung_Analyse!$B$10:$B$11</c:f>
              <c:strCache>
                <c:ptCount val="1"/>
                <c:pt idx="0">
                  <c:v>Nicht bestanden</c:v>
                </c:pt>
              </c:strCache>
            </c:strRef>
          </c:tx>
          <c:spPr>
            <a:solidFill>
              <a:schemeClr val="accent1"/>
            </a:solidFill>
            <a:ln>
              <a:noFill/>
            </a:ln>
            <a:effectLst/>
          </c:spPr>
          <c:invertIfNegative val="0"/>
          <c:cat>
            <c:strRef>
              <c:f>Bewertung_Analyse!$A$12:$A$15</c:f>
              <c:strCache>
                <c:ptCount val="3"/>
                <c:pt idx="0">
                  <c:v>Detraktor</c:v>
                </c:pt>
                <c:pt idx="1">
                  <c:v>Passiv</c:v>
                </c:pt>
                <c:pt idx="2">
                  <c:v>Promotor</c:v>
                </c:pt>
              </c:strCache>
            </c:strRef>
          </c:cat>
          <c:val>
            <c:numRef>
              <c:f>Bewertung_Analyse!$B$12:$B$15</c:f>
              <c:numCache>
                <c:formatCode>0.00%</c:formatCode>
                <c:ptCount val="3"/>
                <c:pt idx="0">
                  <c:v>0.1</c:v>
                </c:pt>
                <c:pt idx="1">
                  <c:v>9.0322580645161285E-2</c:v>
                </c:pt>
                <c:pt idx="2">
                  <c:v>7.0247933884297523E-2</c:v>
                </c:pt>
              </c:numCache>
            </c:numRef>
          </c:val>
          <c:extLst>
            <c:ext xmlns:c16="http://schemas.microsoft.com/office/drawing/2014/chart" uri="{C3380CC4-5D6E-409C-BE32-E72D297353CC}">
              <c16:uniqueId val="{00000000-B582-49E2-BA9E-D92EEB582FEF}"/>
            </c:ext>
          </c:extLst>
        </c:ser>
        <c:ser>
          <c:idx val="1"/>
          <c:order val="1"/>
          <c:tx>
            <c:strRef>
              <c:f>Bewertung_Analyse!$C$10:$C$11</c:f>
              <c:strCache>
                <c:ptCount val="1"/>
                <c:pt idx="0">
                  <c:v>Bestanden</c:v>
                </c:pt>
              </c:strCache>
            </c:strRef>
          </c:tx>
          <c:spPr>
            <a:solidFill>
              <a:schemeClr val="accent2"/>
            </a:solidFill>
            <a:ln>
              <a:noFill/>
            </a:ln>
            <a:effectLst/>
          </c:spPr>
          <c:invertIfNegative val="0"/>
          <c:cat>
            <c:strRef>
              <c:f>Bewertung_Analyse!$A$12:$A$15</c:f>
              <c:strCache>
                <c:ptCount val="3"/>
                <c:pt idx="0">
                  <c:v>Detraktor</c:v>
                </c:pt>
                <c:pt idx="1">
                  <c:v>Passiv</c:v>
                </c:pt>
                <c:pt idx="2">
                  <c:v>Promotor</c:v>
                </c:pt>
              </c:strCache>
            </c:strRef>
          </c:cat>
          <c:val>
            <c:numRef>
              <c:f>Bewertung_Analyse!$C$12:$C$15</c:f>
              <c:numCache>
                <c:formatCode>0.00%</c:formatCode>
                <c:ptCount val="3"/>
                <c:pt idx="0">
                  <c:v>0.37777777777777777</c:v>
                </c:pt>
                <c:pt idx="1">
                  <c:v>0.30967741935483872</c:v>
                </c:pt>
                <c:pt idx="2">
                  <c:v>0.32231404958677684</c:v>
                </c:pt>
              </c:numCache>
            </c:numRef>
          </c:val>
          <c:extLst>
            <c:ext xmlns:c16="http://schemas.microsoft.com/office/drawing/2014/chart" uri="{C3380CC4-5D6E-409C-BE32-E72D297353CC}">
              <c16:uniqueId val="{00000001-B582-49E2-BA9E-D92EEB582FEF}"/>
            </c:ext>
          </c:extLst>
        </c:ser>
        <c:ser>
          <c:idx val="2"/>
          <c:order val="2"/>
          <c:tx>
            <c:strRef>
              <c:f>Bewertung_Analyse!$D$10:$D$11</c:f>
              <c:strCache>
                <c:ptCount val="1"/>
                <c:pt idx="0">
                  <c:v>Gut bestanden</c:v>
                </c:pt>
              </c:strCache>
            </c:strRef>
          </c:tx>
          <c:spPr>
            <a:solidFill>
              <a:schemeClr val="accent3"/>
            </a:solidFill>
            <a:ln>
              <a:noFill/>
            </a:ln>
            <a:effectLst/>
          </c:spPr>
          <c:invertIfNegative val="0"/>
          <c:cat>
            <c:strRef>
              <c:f>Bewertung_Analyse!$A$12:$A$15</c:f>
              <c:strCache>
                <c:ptCount val="3"/>
                <c:pt idx="0">
                  <c:v>Detraktor</c:v>
                </c:pt>
                <c:pt idx="1">
                  <c:v>Passiv</c:v>
                </c:pt>
                <c:pt idx="2">
                  <c:v>Promotor</c:v>
                </c:pt>
              </c:strCache>
            </c:strRef>
          </c:cat>
          <c:val>
            <c:numRef>
              <c:f>Bewertung_Analyse!$D$12:$D$15</c:f>
              <c:numCache>
                <c:formatCode>0.00%</c:formatCode>
                <c:ptCount val="3"/>
                <c:pt idx="0">
                  <c:v>0.4777777777777778</c:v>
                </c:pt>
                <c:pt idx="1">
                  <c:v>0.50322580645161286</c:v>
                </c:pt>
                <c:pt idx="2">
                  <c:v>0.48347107438016529</c:v>
                </c:pt>
              </c:numCache>
            </c:numRef>
          </c:val>
          <c:extLst>
            <c:ext xmlns:c16="http://schemas.microsoft.com/office/drawing/2014/chart" uri="{C3380CC4-5D6E-409C-BE32-E72D297353CC}">
              <c16:uniqueId val="{00000002-B582-49E2-BA9E-D92EEB582FEF}"/>
            </c:ext>
          </c:extLst>
        </c:ser>
        <c:ser>
          <c:idx val="3"/>
          <c:order val="3"/>
          <c:tx>
            <c:strRef>
              <c:f>Bewertung_Analyse!$E$10:$E$11</c:f>
              <c:strCache>
                <c:ptCount val="1"/>
                <c:pt idx="0">
                  <c:v>Sehr gut bestanden</c:v>
                </c:pt>
              </c:strCache>
            </c:strRef>
          </c:tx>
          <c:spPr>
            <a:solidFill>
              <a:schemeClr val="accent4"/>
            </a:solidFill>
            <a:ln>
              <a:noFill/>
            </a:ln>
            <a:effectLst/>
          </c:spPr>
          <c:invertIfNegative val="0"/>
          <c:cat>
            <c:strRef>
              <c:f>Bewertung_Analyse!$A$12:$A$15</c:f>
              <c:strCache>
                <c:ptCount val="3"/>
                <c:pt idx="0">
                  <c:v>Detraktor</c:v>
                </c:pt>
                <c:pt idx="1">
                  <c:v>Passiv</c:v>
                </c:pt>
                <c:pt idx="2">
                  <c:v>Promotor</c:v>
                </c:pt>
              </c:strCache>
            </c:strRef>
          </c:cat>
          <c:val>
            <c:numRef>
              <c:f>Bewertung_Analyse!$E$12:$E$15</c:f>
              <c:numCache>
                <c:formatCode>0.00%</c:formatCode>
                <c:ptCount val="3"/>
                <c:pt idx="0">
                  <c:v>4.4444444444444446E-2</c:v>
                </c:pt>
                <c:pt idx="1">
                  <c:v>9.6774193548387094E-2</c:v>
                </c:pt>
                <c:pt idx="2">
                  <c:v>0.12396694214876033</c:v>
                </c:pt>
              </c:numCache>
            </c:numRef>
          </c:val>
          <c:extLst>
            <c:ext xmlns:c16="http://schemas.microsoft.com/office/drawing/2014/chart" uri="{C3380CC4-5D6E-409C-BE32-E72D297353CC}">
              <c16:uniqueId val="{00000003-B582-49E2-BA9E-D92EEB582FEF}"/>
            </c:ext>
          </c:extLst>
        </c:ser>
        <c:dLbls>
          <c:showLegendKey val="0"/>
          <c:showVal val="0"/>
          <c:showCatName val="0"/>
          <c:showSerName val="0"/>
          <c:showPercent val="0"/>
          <c:showBubbleSize val="0"/>
        </c:dLbls>
        <c:gapWidth val="219"/>
        <c:overlap val="-27"/>
        <c:axId val="1003850624"/>
        <c:axId val="1003848224"/>
      </c:barChart>
      <c:catAx>
        <c:axId val="1003850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Bewertungssegment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03848224"/>
        <c:crosses val="autoZero"/>
        <c:auto val="1"/>
        <c:lblAlgn val="ctr"/>
        <c:lblOffset val="100"/>
        <c:noMultiLvlLbl val="0"/>
      </c:catAx>
      <c:valAx>
        <c:axId val="100384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Anteil der Quiznoten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0385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[DAQ_K1_E05_data_solution.xlsx]Bewertung_Analyse!PivotTable3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Durchschnittliches</a:t>
            </a:r>
            <a:r>
              <a:rPr lang="en-US" baseline="0"/>
              <a:t> prozentuales </a:t>
            </a:r>
          </a:p>
          <a:p>
            <a:pPr>
              <a:defRPr/>
            </a:pPr>
            <a:r>
              <a:rPr lang="en-US" baseline="0"/>
              <a:t>Quizergebnis pro Bewertungssegment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Bewertung_Analyse!$B$18</c:f>
              <c:strCache>
                <c:ptCount val="1"/>
                <c:pt idx="0">
                  <c:v>Ergebnis</c:v>
                </c:pt>
              </c:strCache>
            </c:strRef>
          </c:tx>
          <c:spPr>
            <a:solidFill>
              <a:schemeClr val="accent1"/>
            </a:solidFill>
            <a:ln>
              <a:noFill/>
            </a:ln>
            <a:effectLst/>
          </c:spPr>
          <c:invertIfNegative val="0"/>
          <c:cat>
            <c:strRef>
              <c:f>Bewertung_Analyse!$A$19:$A$22</c:f>
              <c:strCache>
                <c:ptCount val="3"/>
                <c:pt idx="0">
                  <c:v>Detraktor</c:v>
                </c:pt>
                <c:pt idx="1">
                  <c:v>Passiv</c:v>
                </c:pt>
                <c:pt idx="2">
                  <c:v>Promotor</c:v>
                </c:pt>
              </c:strCache>
            </c:strRef>
          </c:cat>
          <c:val>
            <c:numRef>
              <c:f>Bewertung_Analyse!$B$19:$B$22</c:f>
              <c:numCache>
                <c:formatCode>0%</c:formatCode>
                <c:ptCount val="3"/>
                <c:pt idx="0">
                  <c:v>0.62373737373737359</c:v>
                </c:pt>
                <c:pt idx="1">
                  <c:v>0.64882697947214096</c:v>
                </c:pt>
                <c:pt idx="2">
                  <c:v>0.66068745304282483</c:v>
                </c:pt>
              </c:numCache>
            </c:numRef>
          </c:val>
          <c:extLst>
            <c:ext xmlns:c16="http://schemas.microsoft.com/office/drawing/2014/chart" uri="{C3380CC4-5D6E-409C-BE32-E72D297353CC}">
              <c16:uniqueId val="{00000000-E06C-43E4-8870-0DC68736247A}"/>
            </c:ext>
          </c:extLst>
        </c:ser>
        <c:dLbls>
          <c:showLegendKey val="0"/>
          <c:showVal val="0"/>
          <c:showCatName val="0"/>
          <c:showSerName val="0"/>
          <c:showPercent val="0"/>
          <c:showBubbleSize val="0"/>
        </c:dLbls>
        <c:gapWidth val="219"/>
        <c:overlap val="-27"/>
        <c:axId val="1369270112"/>
        <c:axId val="1369271552"/>
      </c:barChart>
      <c:catAx>
        <c:axId val="136927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Bewertungssegment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69271552"/>
        <c:crosses val="autoZero"/>
        <c:auto val="1"/>
        <c:lblAlgn val="ctr"/>
        <c:lblOffset val="100"/>
        <c:noMultiLvlLbl val="0"/>
      </c:catAx>
      <c:valAx>
        <c:axId val="13692715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Quizergebnis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692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[DAQ_K1_E05_data_solution.xlsx]Bewertung_Analyse!PivotTable2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Durchschnittliche Bewertung</a:t>
            </a:r>
            <a:r>
              <a:rPr lang="en-US" baseline="0"/>
              <a:t> pro Quiz</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Bewertung_Analyse!$B$33</c:f>
              <c:strCache>
                <c:ptCount val="1"/>
                <c:pt idx="0">
                  <c:v>Ergebnis</c:v>
                </c:pt>
              </c:strCache>
            </c:strRef>
          </c:tx>
          <c:spPr>
            <a:solidFill>
              <a:schemeClr val="accent1"/>
            </a:solidFill>
            <a:ln>
              <a:noFill/>
            </a:ln>
            <a:effectLst/>
          </c:spPr>
          <c:invertIfNegative val="0"/>
          <c:cat>
            <c:strRef>
              <c:f>Bewertung_Analyse!$A$34:$A$38</c:f>
              <c:strCache>
                <c:ptCount val="4"/>
                <c:pt idx="0">
                  <c:v>Nicht bestanden</c:v>
                </c:pt>
                <c:pt idx="1">
                  <c:v>Bestanden</c:v>
                </c:pt>
                <c:pt idx="2">
                  <c:v>Gut bestanden</c:v>
                </c:pt>
                <c:pt idx="3">
                  <c:v>Sehr gut bestanden</c:v>
                </c:pt>
              </c:strCache>
            </c:strRef>
          </c:cat>
          <c:val>
            <c:numRef>
              <c:f>Bewertung_Analyse!$B$34:$B$38</c:f>
              <c:numCache>
                <c:formatCode>0.00</c:formatCode>
                <c:ptCount val="4"/>
                <c:pt idx="0">
                  <c:v>7.5750000000000002</c:v>
                </c:pt>
                <c:pt idx="1">
                  <c:v>7.8937499999999998</c:v>
                </c:pt>
                <c:pt idx="2">
                  <c:v>7.9285714285714288</c:v>
                </c:pt>
                <c:pt idx="3">
                  <c:v>8.387755102040817</c:v>
                </c:pt>
              </c:numCache>
            </c:numRef>
          </c:val>
          <c:extLst>
            <c:ext xmlns:c16="http://schemas.microsoft.com/office/drawing/2014/chart" uri="{C3380CC4-5D6E-409C-BE32-E72D297353CC}">
              <c16:uniqueId val="{00000000-7570-4064-955D-2B15103FCB9B}"/>
            </c:ext>
          </c:extLst>
        </c:ser>
        <c:dLbls>
          <c:showLegendKey val="0"/>
          <c:showVal val="0"/>
          <c:showCatName val="0"/>
          <c:showSerName val="0"/>
          <c:showPercent val="0"/>
          <c:showBubbleSize val="0"/>
        </c:dLbls>
        <c:gapWidth val="219"/>
        <c:overlap val="-27"/>
        <c:axId val="1629204080"/>
        <c:axId val="1015388704"/>
      </c:barChart>
      <c:catAx>
        <c:axId val="1629204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Quiznote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15388704"/>
        <c:crosses val="autoZero"/>
        <c:auto val="1"/>
        <c:lblAlgn val="ctr"/>
        <c:lblOffset val="100"/>
        <c:noMultiLvlLbl val="0"/>
      </c:catAx>
      <c:valAx>
        <c:axId val="101538870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Bewertung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920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[DAQ_K1_E05_data_solution.xlsx]Bewertung_Analyse!PivotTable4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Anteile der Bewertungssegmente pro Bildungsabschluss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Bewertung_Analyse!$B$49:$B$50</c:f>
              <c:strCache>
                <c:ptCount val="1"/>
                <c:pt idx="0">
                  <c:v>Detraktor</c:v>
                </c:pt>
              </c:strCache>
            </c:strRef>
          </c:tx>
          <c:spPr>
            <a:solidFill>
              <a:schemeClr val="accent2"/>
            </a:solidFill>
            <a:ln>
              <a:noFill/>
            </a:ln>
            <a:effectLst/>
          </c:spPr>
          <c:invertIfNegative val="0"/>
          <c:cat>
            <c:strRef>
              <c:f>Bewertung_Analyse!$A$51:$A$55</c:f>
              <c:strCache>
                <c:ptCount val="4"/>
                <c:pt idx="0">
                  <c:v>Kein Abschluss</c:v>
                </c:pt>
                <c:pt idx="1">
                  <c:v>Bachelor</c:v>
                </c:pt>
                <c:pt idx="2">
                  <c:v>Master</c:v>
                </c:pt>
                <c:pt idx="3">
                  <c:v>Promotion</c:v>
                </c:pt>
              </c:strCache>
            </c:strRef>
          </c:cat>
          <c:val>
            <c:numRef>
              <c:f>Bewertung_Analyse!$B$51:$B$55</c:f>
              <c:numCache>
                <c:formatCode>0.00%</c:formatCode>
                <c:ptCount val="4"/>
                <c:pt idx="0">
                  <c:v>0.17525773195876287</c:v>
                </c:pt>
                <c:pt idx="1">
                  <c:v>0.18595041322314049</c:v>
                </c:pt>
                <c:pt idx="2">
                  <c:v>0.20661157024793389</c:v>
                </c:pt>
                <c:pt idx="3">
                  <c:v>0.1111111111111111</c:v>
                </c:pt>
              </c:numCache>
            </c:numRef>
          </c:val>
          <c:extLst>
            <c:ext xmlns:c16="http://schemas.microsoft.com/office/drawing/2014/chart" uri="{C3380CC4-5D6E-409C-BE32-E72D297353CC}">
              <c16:uniqueId val="{00000000-0AD4-4596-92BA-05DE9479D88C}"/>
            </c:ext>
          </c:extLst>
        </c:ser>
        <c:ser>
          <c:idx val="1"/>
          <c:order val="1"/>
          <c:tx>
            <c:strRef>
              <c:f>Bewertung_Analyse!$C$49:$C$50</c:f>
              <c:strCache>
                <c:ptCount val="1"/>
                <c:pt idx="0">
                  <c:v>Passiv</c:v>
                </c:pt>
              </c:strCache>
            </c:strRef>
          </c:tx>
          <c:spPr>
            <a:solidFill>
              <a:schemeClr val="accent4"/>
            </a:solidFill>
            <a:ln>
              <a:noFill/>
            </a:ln>
            <a:effectLst/>
          </c:spPr>
          <c:invertIfNegative val="0"/>
          <c:cat>
            <c:strRef>
              <c:f>Bewertung_Analyse!$A$51:$A$55</c:f>
              <c:strCache>
                <c:ptCount val="4"/>
                <c:pt idx="0">
                  <c:v>Kein Abschluss</c:v>
                </c:pt>
                <c:pt idx="1">
                  <c:v>Bachelor</c:v>
                </c:pt>
                <c:pt idx="2">
                  <c:v>Master</c:v>
                </c:pt>
                <c:pt idx="3">
                  <c:v>Promotion</c:v>
                </c:pt>
              </c:strCache>
            </c:strRef>
          </c:cat>
          <c:val>
            <c:numRef>
              <c:f>Bewertung_Analyse!$C$51:$C$55</c:f>
              <c:numCache>
                <c:formatCode>0.00%</c:formatCode>
                <c:ptCount val="4"/>
                <c:pt idx="0">
                  <c:v>0.34020618556701032</c:v>
                </c:pt>
                <c:pt idx="1">
                  <c:v>0.34710743801652894</c:v>
                </c:pt>
                <c:pt idx="2">
                  <c:v>0.28099173553719009</c:v>
                </c:pt>
                <c:pt idx="3">
                  <c:v>0.14814814814814814</c:v>
                </c:pt>
              </c:numCache>
            </c:numRef>
          </c:val>
          <c:extLst>
            <c:ext xmlns:c16="http://schemas.microsoft.com/office/drawing/2014/chart" uri="{C3380CC4-5D6E-409C-BE32-E72D297353CC}">
              <c16:uniqueId val="{00000001-0AD4-4596-92BA-05DE9479D88C}"/>
            </c:ext>
          </c:extLst>
        </c:ser>
        <c:ser>
          <c:idx val="2"/>
          <c:order val="2"/>
          <c:tx>
            <c:strRef>
              <c:f>Bewertung_Analyse!$D$49:$D$50</c:f>
              <c:strCache>
                <c:ptCount val="1"/>
                <c:pt idx="0">
                  <c:v>Promotor</c:v>
                </c:pt>
              </c:strCache>
            </c:strRef>
          </c:tx>
          <c:spPr>
            <a:solidFill>
              <a:schemeClr val="accent6"/>
            </a:solidFill>
            <a:ln>
              <a:noFill/>
            </a:ln>
            <a:effectLst/>
          </c:spPr>
          <c:invertIfNegative val="0"/>
          <c:cat>
            <c:strRef>
              <c:f>Bewertung_Analyse!$A$51:$A$55</c:f>
              <c:strCache>
                <c:ptCount val="4"/>
                <c:pt idx="0">
                  <c:v>Kein Abschluss</c:v>
                </c:pt>
                <c:pt idx="1">
                  <c:v>Bachelor</c:v>
                </c:pt>
                <c:pt idx="2">
                  <c:v>Master</c:v>
                </c:pt>
                <c:pt idx="3">
                  <c:v>Promotion</c:v>
                </c:pt>
              </c:strCache>
            </c:strRef>
          </c:cat>
          <c:val>
            <c:numRef>
              <c:f>Bewertung_Analyse!$D$51:$D$55</c:f>
              <c:numCache>
                <c:formatCode>0.00%</c:formatCode>
                <c:ptCount val="4"/>
                <c:pt idx="0">
                  <c:v>0.4845360824742268</c:v>
                </c:pt>
                <c:pt idx="1">
                  <c:v>0.46694214876033058</c:v>
                </c:pt>
                <c:pt idx="2">
                  <c:v>0.51239669421487599</c:v>
                </c:pt>
                <c:pt idx="3">
                  <c:v>0.7407407407407407</c:v>
                </c:pt>
              </c:numCache>
            </c:numRef>
          </c:val>
          <c:extLst>
            <c:ext xmlns:c16="http://schemas.microsoft.com/office/drawing/2014/chart" uri="{C3380CC4-5D6E-409C-BE32-E72D297353CC}">
              <c16:uniqueId val="{00000002-0AD4-4596-92BA-05DE9479D88C}"/>
            </c:ext>
          </c:extLst>
        </c:ser>
        <c:dLbls>
          <c:showLegendKey val="0"/>
          <c:showVal val="0"/>
          <c:showCatName val="0"/>
          <c:showSerName val="0"/>
          <c:showPercent val="0"/>
          <c:showBubbleSize val="0"/>
        </c:dLbls>
        <c:gapWidth val="219"/>
        <c:overlap val="-27"/>
        <c:axId val="1546210992"/>
        <c:axId val="1546213872"/>
      </c:barChart>
      <c:catAx>
        <c:axId val="154621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Bildungsabschluss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46213872"/>
        <c:crosses val="autoZero"/>
        <c:auto val="1"/>
        <c:lblAlgn val="ctr"/>
        <c:lblOffset val="100"/>
        <c:noMultiLvlLbl val="0"/>
      </c:catAx>
      <c:valAx>
        <c:axId val="154621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Anteil des Bildungsabschlusses</a:t>
                </a:r>
              </a:p>
            </c:rich>
          </c:tx>
          <c:layout>
            <c:manualLayout>
              <c:xMode val="edge"/>
              <c:yMode val="edge"/>
              <c:x val="2.5048927889748857E-2"/>
              <c:y val="0.200169291852039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4621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[DAQ_K1_E05_data_solution.xlsx]Bewertung_Analyse!PivotTable5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Anteile der Bewertungssegmente pro Erfahrungsstufe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Bewertung_Analyse!$B$65:$B$66</c:f>
              <c:strCache>
                <c:ptCount val="1"/>
                <c:pt idx="0">
                  <c:v>Detraktor</c:v>
                </c:pt>
              </c:strCache>
            </c:strRef>
          </c:tx>
          <c:spPr>
            <a:solidFill>
              <a:schemeClr val="accent2"/>
            </a:solidFill>
            <a:ln>
              <a:noFill/>
            </a:ln>
            <a:effectLst/>
          </c:spPr>
          <c:invertIfNegative val="0"/>
          <c:cat>
            <c:strRef>
              <c:f>Bewertung_Analyse!$A$67:$A$72</c:f>
              <c:strCache>
                <c:ptCount val="5"/>
                <c:pt idx="0">
                  <c:v>wenig</c:v>
                </c:pt>
                <c:pt idx="1">
                  <c:v>mittel</c:v>
                </c:pt>
                <c:pt idx="2">
                  <c:v>viel</c:v>
                </c:pt>
                <c:pt idx="3">
                  <c:v>sehr viel</c:v>
                </c:pt>
                <c:pt idx="4">
                  <c:v>fortgeschritten</c:v>
                </c:pt>
              </c:strCache>
            </c:strRef>
          </c:cat>
          <c:val>
            <c:numRef>
              <c:f>Bewertung_Analyse!$B$67:$B$72</c:f>
              <c:numCache>
                <c:formatCode>0.00%</c:formatCode>
                <c:ptCount val="5"/>
                <c:pt idx="0">
                  <c:v>0.24107142857142858</c:v>
                </c:pt>
                <c:pt idx="1">
                  <c:v>0.15183246073298429</c:v>
                </c:pt>
                <c:pt idx="2">
                  <c:v>0.18</c:v>
                </c:pt>
                <c:pt idx="3">
                  <c:v>0.23809523809523808</c:v>
                </c:pt>
                <c:pt idx="4">
                  <c:v>0.17699115044247787</c:v>
                </c:pt>
              </c:numCache>
            </c:numRef>
          </c:val>
          <c:extLst>
            <c:ext xmlns:c16="http://schemas.microsoft.com/office/drawing/2014/chart" uri="{C3380CC4-5D6E-409C-BE32-E72D297353CC}">
              <c16:uniqueId val="{00000000-6F7A-48FD-988A-56A2B2D1A6B8}"/>
            </c:ext>
          </c:extLst>
        </c:ser>
        <c:ser>
          <c:idx val="1"/>
          <c:order val="1"/>
          <c:tx>
            <c:strRef>
              <c:f>Bewertung_Analyse!$C$65:$C$66</c:f>
              <c:strCache>
                <c:ptCount val="1"/>
                <c:pt idx="0">
                  <c:v>Passiv</c:v>
                </c:pt>
              </c:strCache>
            </c:strRef>
          </c:tx>
          <c:spPr>
            <a:solidFill>
              <a:schemeClr val="accent4"/>
            </a:solidFill>
            <a:ln>
              <a:noFill/>
            </a:ln>
            <a:effectLst/>
          </c:spPr>
          <c:invertIfNegative val="0"/>
          <c:cat>
            <c:strRef>
              <c:f>Bewertung_Analyse!$A$67:$A$72</c:f>
              <c:strCache>
                <c:ptCount val="5"/>
                <c:pt idx="0">
                  <c:v>wenig</c:v>
                </c:pt>
                <c:pt idx="1">
                  <c:v>mittel</c:v>
                </c:pt>
                <c:pt idx="2">
                  <c:v>viel</c:v>
                </c:pt>
                <c:pt idx="3">
                  <c:v>sehr viel</c:v>
                </c:pt>
                <c:pt idx="4">
                  <c:v>fortgeschritten</c:v>
                </c:pt>
              </c:strCache>
            </c:strRef>
          </c:cat>
          <c:val>
            <c:numRef>
              <c:f>Bewertung_Analyse!$C$67:$C$72</c:f>
              <c:numCache>
                <c:formatCode>0.00%</c:formatCode>
                <c:ptCount val="5"/>
                <c:pt idx="0">
                  <c:v>0.3482142857142857</c:v>
                </c:pt>
                <c:pt idx="1">
                  <c:v>0.35602094240837695</c:v>
                </c:pt>
                <c:pt idx="2">
                  <c:v>0.24</c:v>
                </c:pt>
                <c:pt idx="3">
                  <c:v>0.38095238095238093</c:v>
                </c:pt>
                <c:pt idx="4">
                  <c:v>0.24778761061946902</c:v>
                </c:pt>
              </c:numCache>
            </c:numRef>
          </c:val>
          <c:extLst>
            <c:ext xmlns:c16="http://schemas.microsoft.com/office/drawing/2014/chart" uri="{C3380CC4-5D6E-409C-BE32-E72D297353CC}">
              <c16:uniqueId val="{00000001-6F7A-48FD-988A-56A2B2D1A6B8}"/>
            </c:ext>
          </c:extLst>
        </c:ser>
        <c:ser>
          <c:idx val="2"/>
          <c:order val="2"/>
          <c:tx>
            <c:strRef>
              <c:f>Bewertung_Analyse!$D$65:$D$66</c:f>
              <c:strCache>
                <c:ptCount val="1"/>
                <c:pt idx="0">
                  <c:v>Promotor</c:v>
                </c:pt>
              </c:strCache>
            </c:strRef>
          </c:tx>
          <c:spPr>
            <a:solidFill>
              <a:schemeClr val="accent6"/>
            </a:solidFill>
            <a:ln>
              <a:noFill/>
            </a:ln>
            <a:effectLst/>
          </c:spPr>
          <c:invertIfNegative val="0"/>
          <c:cat>
            <c:strRef>
              <c:f>Bewertung_Analyse!$A$67:$A$72</c:f>
              <c:strCache>
                <c:ptCount val="5"/>
                <c:pt idx="0">
                  <c:v>wenig</c:v>
                </c:pt>
                <c:pt idx="1">
                  <c:v>mittel</c:v>
                </c:pt>
                <c:pt idx="2">
                  <c:v>viel</c:v>
                </c:pt>
                <c:pt idx="3">
                  <c:v>sehr viel</c:v>
                </c:pt>
                <c:pt idx="4">
                  <c:v>fortgeschritten</c:v>
                </c:pt>
              </c:strCache>
            </c:strRef>
          </c:cat>
          <c:val>
            <c:numRef>
              <c:f>Bewertung_Analyse!$D$67:$D$72</c:f>
              <c:numCache>
                <c:formatCode>0.00%</c:formatCode>
                <c:ptCount val="5"/>
                <c:pt idx="0">
                  <c:v>0.4107142857142857</c:v>
                </c:pt>
                <c:pt idx="1">
                  <c:v>0.49214659685863876</c:v>
                </c:pt>
                <c:pt idx="2">
                  <c:v>0.57999999999999996</c:v>
                </c:pt>
                <c:pt idx="3">
                  <c:v>0.38095238095238093</c:v>
                </c:pt>
                <c:pt idx="4">
                  <c:v>0.5752212389380531</c:v>
                </c:pt>
              </c:numCache>
            </c:numRef>
          </c:val>
          <c:extLst>
            <c:ext xmlns:c16="http://schemas.microsoft.com/office/drawing/2014/chart" uri="{C3380CC4-5D6E-409C-BE32-E72D297353CC}">
              <c16:uniqueId val="{00000002-6F7A-48FD-988A-56A2B2D1A6B8}"/>
            </c:ext>
          </c:extLst>
        </c:ser>
        <c:dLbls>
          <c:showLegendKey val="0"/>
          <c:showVal val="0"/>
          <c:showCatName val="0"/>
          <c:showSerName val="0"/>
          <c:showPercent val="0"/>
          <c:showBubbleSize val="0"/>
        </c:dLbls>
        <c:gapWidth val="219"/>
        <c:overlap val="-27"/>
        <c:axId val="1565496896"/>
        <c:axId val="1556322816"/>
      </c:barChart>
      <c:catAx>
        <c:axId val="156549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Erfahrungsstufe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56322816"/>
        <c:crosses val="autoZero"/>
        <c:auto val="1"/>
        <c:lblAlgn val="ctr"/>
        <c:lblOffset val="100"/>
        <c:noMultiLvlLbl val="0"/>
      </c:catAx>
      <c:valAx>
        <c:axId val="1556322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Anteile der</a:t>
                </a:r>
                <a:r>
                  <a:rPr lang="de-DE" baseline="0"/>
                  <a:t> Erfahrungsstufe</a:t>
                </a:r>
                <a:endParaRPr lang="de-DE"/>
              </a:p>
            </c:rich>
          </c:tx>
          <c:layout>
            <c:manualLayout>
              <c:xMode val="edge"/>
              <c:yMode val="edge"/>
              <c:x val="1.5021781583295779E-2"/>
              <c:y val="0.227546284902522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6549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[DAQ_K1_E05_data_solution.xlsx]Bewertung_Analyse!PivotTable6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Anteile der Bewertungssegmente pro Branche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Bewertung_Analyse!$B$81:$B$82</c:f>
              <c:strCache>
                <c:ptCount val="1"/>
                <c:pt idx="0">
                  <c:v>Detraktor</c:v>
                </c:pt>
              </c:strCache>
            </c:strRef>
          </c:tx>
          <c:spPr>
            <a:solidFill>
              <a:schemeClr val="accent2"/>
            </a:solidFill>
            <a:ln>
              <a:noFill/>
            </a:ln>
            <a:effectLst/>
          </c:spPr>
          <c:invertIfNegative val="0"/>
          <c:cat>
            <c:strRef>
              <c:f>Bewertung_Analyse!$A$83:$A$95</c:f>
              <c:strCache>
                <c:ptCount val="12"/>
                <c:pt idx="0">
                  <c:v>Bauwesen</c:v>
                </c:pt>
                <c:pt idx="1">
                  <c:v>Beratung</c:v>
                </c:pt>
                <c:pt idx="2">
                  <c:v>Bildung</c:v>
                </c:pt>
                <c:pt idx="3">
                  <c:v>E-Commerce</c:v>
                </c:pt>
                <c:pt idx="4">
                  <c:v>Einzelhandel</c:v>
                </c:pt>
                <c:pt idx="5">
                  <c:v>Energieversorgung</c:v>
                </c:pt>
                <c:pt idx="6">
                  <c:v>Finanzdienstleistung</c:v>
                </c:pt>
                <c:pt idx="7">
                  <c:v>Gesundheitswesen</c:v>
                </c:pt>
                <c:pt idx="8">
                  <c:v>Großhandel</c:v>
                </c:pt>
                <c:pt idx="9">
                  <c:v>Immobilien</c:v>
                </c:pt>
                <c:pt idx="10">
                  <c:v>IT und Technologie</c:v>
                </c:pt>
                <c:pt idx="11">
                  <c:v>Öffentlicher Dienst</c:v>
                </c:pt>
              </c:strCache>
            </c:strRef>
          </c:cat>
          <c:val>
            <c:numRef>
              <c:f>Bewertung_Analyse!$B$83:$B$95</c:f>
              <c:numCache>
                <c:formatCode>0.00%</c:formatCode>
                <c:ptCount val="12"/>
                <c:pt idx="0">
                  <c:v>0</c:v>
                </c:pt>
                <c:pt idx="1">
                  <c:v>0.1388888888888889</c:v>
                </c:pt>
                <c:pt idx="2">
                  <c:v>0.55000000000000004</c:v>
                </c:pt>
                <c:pt idx="3">
                  <c:v>0.27272727272727271</c:v>
                </c:pt>
                <c:pt idx="4">
                  <c:v>0.41666666666666669</c:v>
                </c:pt>
                <c:pt idx="5">
                  <c:v>0.16666666666666666</c:v>
                </c:pt>
                <c:pt idx="6">
                  <c:v>0</c:v>
                </c:pt>
                <c:pt idx="7">
                  <c:v>0</c:v>
                </c:pt>
                <c:pt idx="8">
                  <c:v>0.34042553191489361</c:v>
                </c:pt>
                <c:pt idx="9">
                  <c:v>0</c:v>
                </c:pt>
                <c:pt idx="10">
                  <c:v>0.1487603305785124</c:v>
                </c:pt>
                <c:pt idx="11">
                  <c:v>0</c:v>
                </c:pt>
              </c:numCache>
            </c:numRef>
          </c:val>
          <c:extLst>
            <c:ext xmlns:c16="http://schemas.microsoft.com/office/drawing/2014/chart" uri="{C3380CC4-5D6E-409C-BE32-E72D297353CC}">
              <c16:uniqueId val="{00000000-F0C2-461A-9309-836F574FEADF}"/>
            </c:ext>
          </c:extLst>
        </c:ser>
        <c:ser>
          <c:idx val="1"/>
          <c:order val="1"/>
          <c:tx>
            <c:strRef>
              <c:f>Bewertung_Analyse!$C$81:$C$82</c:f>
              <c:strCache>
                <c:ptCount val="1"/>
                <c:pt idx="0">
                  <c:v>Passiv</c:v>
                </c:pt>
              </c:strCache>
            </c:strRef>
          </c:tx>
          <c:spPr>
            <a:solidFill>
              <a:schemeClr val="accent4"/>
            </a:solidFill>
            <a:ln>
              <a:noFill/>
            </a:ln>
            <a:effectLst/>
          </c:spPr>
          <c:invertIfNegative val="0"/>
          <c:cat>
            <c:strRef>
              <c:f>Bewertung_Analyse!$A$83:$A$95</c:f>
              <c:strCache>
                <c:ptCount val="12"/>
                <c:pt idx="0">
                  <c:v>Bauwesen</c:v>
                </c:pt>
                <c:pt idx="1">
                  <c:v>Beratung</c:v>
                </c:pt>
                <c:pt idx="2">
                  <c:v>Bildung</c:v>
                </c:pt>
                <c:pt idx="3">
                  <c:v>E-Commerce</c:v>
                </c:pt>
                <c:pt idx="4">
                  <c:v>Einzelhandel</c:v>
                </c:pt>
                <c:pt idx="5">
                  <c:v>Energieversorgung</c:v>
                </c:pt>
                <c:pt idx="6">
                  <c:v>Finanzdienstleistung</c:v>
                </c:pt>
                <c:pt idx="7">
                  <c:v>Gesundheitswesen</c:v>
                </c:pt>
                <c:pt idx="8">
                  <c:v>Großhandel</c:v>
                </c:pt>
                <c:pt idx="9">
                  <c:v>Immobilien</c:v>
                </c:pt>
                <c:pt idx="10">
                  <c:v>IT und Technologie</c:v>
                </c:pt>
                <c:pt idx="11">
                  <c:v>Öffentlicher Dienst</c:v>
                </c:pt>
              </c:strCache>
            </c:strRef>
          </c:cat>
          <c:val>
            <c:numRef>
              <c:f>Bewertung_Analyse!$C$83:$C$95</c:f>
              <c:numCache>
                <c:formatCode>0.00%</c:formatCode>
                <c:ptCount val="12"/>
                <c:pt idx="0">
                  <c:v>0</c:v>
                </c:pt>
                <c:pt idx="1">
                  <c:v>0.34259259259259262</c:v>
                </c:pt>
                <c:pt idx="2">
                  <c:v>0</c:v>
                </c:pt>
                <c:pt idx="3">
                  <c:v>0.43181818181818182</c:v>
                </c:pt>
                <c:pt idx="4">
                  <c:v>0.25</c:v>
                </c:pt>
                <c:pt idx="5">
                  <c:v>0</c:v>
                </c:pt>
                <c:pt idx="6">
                  <c:v>0.77272727272727271</c:v>
                </c:pt>
                <c:pt idx="7">
                  <c:v>1</c:v>
                </c:pt>
                <c:pt idx="8">
                  <c:v>0.19148936170212766</c:v>
                </c:pt>
                <c:pt idx="9">
                  <c:v>0.77777777777777779</c:v>
                </c:pt>
                <c:pt idx="10">
                  <c:v>0.26446280991735538</c:v>
                </c:pt>
                <c:pt idx="11">
                  <c:v>0</c:v>
                </c:pt>
              </c:numCache>
            </c:numRef>
          </c:val>
          <c:extLst>
            <c:ext xmlns:c16="http://schemas.microsoft.com/office/drawing/2014/chart" uri="{C3380CC4-5D6E-409C-BE32-E72D297353CC}">
              <c16:uniqueId val="{00000001-F0C2-461A-9309-836F574FEADF}"/>
            </c:ext>
          </c:extLst>
        </c:ser>
        <c:ser>
          <c:idx val="2"/>
          <c:order val="2"/>
          <c:tx>
            <c:strRef>
              <c:f>Bewertung_Analyse!$D$81:$D$82</c:f>
              <c:strCache>
                <c:ptCount val="1"/>
                <c:pt idx="0">
                  <c:v>Promotor</c:v>
                </c:pt>
              </c:strCache>
            </c:strRef>
          </c:tx>
          <c:spPr>
            <a:solidFill>
              <a:schemeClr val="accent6"/>
            </a:solidFill>
            <a:ln>
              <a:noFill/>
            </a:ln>
            <a:effectLst/>
          </c:spPr>
          <c:invertIfNegative val="0"/>
          <c:cat>
            <c:strRef>
              <c:f>Bewertung_Analyse!$A$83:$A$95</c:f>
              <c:strCache>
                <c:ptCount val="12"/>
                <c:pt idx="0">
                  <c:v>Bauwesen</c:v>
                </c:pt>
                <c:pt idx="1">
                  <c:v>Beratung</c:v>
                </c:pt>
                <c:pt idx="2">
                  <c:v>Bildung</c:v>
                </c:pt>
                <c:pt idx="3">
                  <c:v>E-Commerce</c:v>
                </c:pt>
                <c:pt idx="4">
                  <c:v>Einzelhandel</c:v>
                </c:pt>
                <c:pt idx="5">
                  <c:v>Energieversorgung</c:v>
                </c:pt>
                <c:pt idx="6">
                  <c:v>Finanzdienstleistung</c:v>
                </c:pt>
                <c:pt idx="7">
                  <c:v>Gesundheitswesen</c:v>
                </c:pt>
                <c:pt idx="8">
                  <c:v>Großhandel</c:v>
                </c:pt>
                <c:pt idx="9">
                  <c:v>Immobilien</c:v>
                </c:pt>
                <c:pt idx="10">
                  <c:v>IT und Technologie</c:v>
                </c:pt>
                <c:pt idx="11">
                  <c:v>Öffentlicher Dienst</c:v>
                </c:pt>
              </c:strCache>
            </c:strRef>
          </c:cat>
          <c:val>
            <c:numRef>
              <c:f>Bewertung_Analyse!$D$83:$D$95</c:f>
              <c:numCache>
                <c:formatCode>0.00%</c:formatCode>
                <c:ptCount val="12"/>
                <c:pt idx="0">
                  <c:v>1</c:v>
                </c:pt>
                <c:pt idx="1">
                  <c:v>0.51851851851851849</c:v>
                </c:pt>
                <c:pt idx="2">
                  <c:v>0.45</c:v>
                </c:pt>
                <c:pt idx="3">
                  <c:v>0.29545454545454547</c:v>
                </c:pt>
                <c:pt idx="4">
                  <c:v>0.33333333333333331</c:v>
                </c:pt>
                <c:pt idx="5">
                  <c:v>0.83333333333333337</c:v>
                </c:pt>
                <c:pt idx="6">
                  <c:v>0.22727272727272727</c:v>
                </c:pt>
                <c:pt idx="7">
                  <c:v>0</c:v>
                </c:pt>
                <c:pt idx="8">
                  <c:v>0.46808510638297873</c:v>
                </c:pt>
                <c:pt idx="9">
                  <c:v>0.22222222222222221</c:v>
                </c:pt>
                <c:pt idx="10">
                  <c:v>0.58677685950413228</c:v>
                </c:pt>
                <c:pt idx="11">
                  <c:v>1</c:v>
                </c:pt>
              </c:numCache>
            </c:numRef>
          </c:val>
          <c:extLst>
            <c:ext xmlns:c16="http://schemas.microsoft.com/office/drawing/2014/chart" uri="{C3380CC4-5D6E-409C-BE32-E72D297353CC}">
              <c16:uniqueId val="{00000002-F0C2-461A-9309-836F574FEADF}"/>
            </c:ext>
          </c:extLst>
        </c:ser>
        <c:dLbls>
          <c:showLegendKey val="0"/>
          <c:showVal val="0"/>
          <c:showCatName val="0"/>
          <c:showSerName val="0"/>
          <c:showPercent val="0"/>
          <c:showBubbleSize val="0"/>
        </c:dLbls>
        <c:gapWidth val="219"/>
        <c:overlap val="-27"/>
        <c:axId val="1177105456"/>
        <c:axId val="1546737248"/>
      </c:barChart>
      <c:catAx>
        <c:axId val="1177105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Branche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46737248"/>
        <c:crosses val="autoZero"/>
        <c:auto val="1"/>
        <c:lblAlgn val="ctr"/>
        <c:lblOffset val="100"/>
        <c:noMultiLvlLbl val="0"/>
      </c:catAx>
      <c:valAx>
        <c:axId val="1546737248"/>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Anteil der Branche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7710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[DAQ_K1_E05_data_solution.xlsx]Bewertung_Analyse!PivotTable1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Anteil der Quiznoten pro Bewertungssegment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Bewertung_Analyse!$B$10:$B$11</c:f>
              <c:strCache>
                <c:ptCount val="1"/>
                <c:pt idx="0">
                  <c:v>Nicht bestanden</c:v>
                </c:pt>
              </c:strCache>
            </c:strRef>
          </c:tx>
          <c:spPr>
            <a:solidFill>
              <a:schemeClr val="accent1"/>
            </a:solidFill>
            <a:ln>
              <a:noFill/>
            </a:ln>
            <a:effectLst/>
          </c:spPr>
          <c:invertIfNegative val="0"/>
          <c:cat>
            <c:strRef>
              <c:f>Bewertung_Analyse!$A$12:$A$15</c:f>
              <c:strCache>
                <c:ptCount val="3"/>
                <c:pt idx="0">
                  <c:v>Detraktor</c:v>
                </c:pt>
                <c:pt idx="1">
                  <c:v>Passiv</c:v>
                </c:pt>
                <c:pt idx="2">
                  <c:v>Promotor</c:v>
                </c:pt>
              </c:strCache>
            </c:strRef>
          </c:cat>
          <c:val>
            <c:numRef>
              <c:f>Bewertung_Analyse!$B$12:$B$15</c:f>
              <c:numCache>
                <c:formatCode>0.00%</c:formatCode>
                <c:ptCount val="3"/>
                <c:pt idx="0">
                  <c:v>0.1</c:v>
                </c:pt>
                <c:pt idx="1">
                  <c:v>9.0322580645161285E-2</c:v>
                </c:pt>
                <c:pt idx="2">
                  <c:v>7.0247933884297523E-2</c:v>
                </c:pt>
              </c:numCache>
            </c:numRef>
          </c:val>
          <c:extLst>
            <c:ext xmlns:c16="http://schemas.microsoft.com/office/drawing/2014/chart" uri="{C3380CC4-5D6E-409C-BE32-E72D297353CC}">
              <c16:uniqueId val="{00000000-AC55-4B49-B722-726244C92438}"/>
            </c:ext>
          </c:extLst>
        </c:ser>
        <c:ser>
          <c:idx val="1"/>
          <c:order val="1"/>
          <c:tx>
            <c:strRef>
              <c:f>Bewertung_Analyse!$C$10:$C$11</c:f>
              <c:strCache>
                <c:ptCount val="1"/>
                <c:pt idx="0">
                  <c:v>Bestanden</c:v>
                </c:pt>
              </c:strCache>
            </c:strRef>
          </c:tx>
          <c:spPr>
            <a:solidFill>
              <a:schemeClr val="accent2"/>
            </a:solidFill>
            <a:ln>
              <a:noFill/>
            </a:ln>
            <a:effectLst/>
          </c:spPr>
          <c:invertIfNegative val="0"/>
          <c:cat>
            <c:strRef>
              <c:f>Bewertung_Analyse!$A$12:$A$15</c:f>
              <c:strCache>
                <c:ptCount val="3"/>
                <c:pt idx="0">
                  <c:v>Detraktor</c:v>
                </c:pt>
                <c:pt idx="1">
                  <c:v>Passiv</c:v>
                </c:pt>
                <c:pt idx="2">
                  <c:v>Promotor</c:v>
                </c:pt>
              </c:strCache>
            </c:strRef>
          </c:cat>
          <c:val>
            <c:numRef>
              <c:f>Bewertung_Analyse!$C$12:$C$15</c:f>
              <c:numCache>
                <c:formatCode>0.00%</c:formatCode>
                <c:ptCount val="3"/>
                <c:pt idx="0">
                  <c:v>0.37777777777777777</c:v>
                </c:pt>
                <c:pt idx="1">
                  <c:v>0.30967741935483872</c:v>
                </c:pt>
                <c:pt idx="2">
                  <c:v>0.32231404958677684</c:v>
                </c:pt>
              </c:numCache>
            </c:numRef>
          </c:val>
          <c:extLst>
            <c:ext xmlns:c16="http://schemas.microsoft.com/office/drawing/2014/chart" uri="{C3380CC4-5D6E-409C-BE32-E72D297353CC}">
              <c16:uniqueId val="{00000001-AC55-4B49-B722-726244C92438}"/>
            </c:ext>
          </c:extLst>
        </c:ser>
        <c:ser>
          <c:idx val="2"/>
          <c:order val="2"/>
          <c:tx>
            <c:strRef>
              <c:f>Bewertung_Analyse!$D$10:$D$11</c:f>
              <c:strCache>
                <c:ptCount val="1"/>
                <c:pt idx="0">
                  <c:v>Gut bestanden</c:v>
                </c:pt>
              </c:strCache>
            </c:strRef>
          </c:tx>
          <c:spPr>
            <a:solidFill>
              <a:schemeClr val="accent3"/>
            </a:solidFill>
            <a:ln>
              <a:noFill/>
            </a:ln>
            <a:effectLst/>
          </c:spPr>
          <c:invertIfNegative val="0"/>
          <c:cat>
            <c:strRef>
              <c:f>Bewertung_Analyse!$A$12:$A$15</c:f>
              <c:strCache>
                <c:ptCount val="3"/>
                <c:pt idx="0">
                  <c:v>Detraktor</c:v>
                </c:pt>
                <c:pt idx="1">
                  <c:v>Passiv</c:v>
                </c:pt>
                <c:pt idx="2">
                  <c:v>Promotor</c:v>
                </c:pt>
              </c:strCache>
            </c:strRef>
          </c:cat>
          <c:val>
            <c:numRef>
              <c:f>Bewertung_Analyse!$D$12:$D$15</c:f>
              <c:numCache>
                <c:formatCode>0.00%</c:formatCode>
                <c:ptCount val="3"/>
                <c:pt idx="0">
                  <c:v>0.4777777777777778</c:v>
                </c:pt>
                <c:pt idx="1">
                  <c:v>0.50322580645161286</c:v>
                </c:pt>
                <c:pt idx="2">
                  <c:v>0.48347107438016529</c:v>
                </c:pt>
              </c:numCache>
            </c:numRef>
          </c:val>
          <c:extLst>
            <c:ext xmlns:c16="http://schemas.microsoft.com/office/drawing/2014/chart" uri="{C3380CC4-5D6E-409C-BE32-E72D297353CC}">
              <c16:uniqueId val="{00000002-AC55-4B49-B722-726244C92438}"/>
            </c:ext>
          </c:extLst>
        </c:ser>
        <c:ser>
          <c:idx val="3"/>
          <c:order val="3"/>
          <c:tx>
            <c:strRef>
              <c:f>Bewertung_Analyse!$E$10:$E$11</c:f>
              <c:strCache>
                <c:ptCount val="1"/>
                <c:pt idx="0">
                  <c:v>Sehr gut bestanden</c:v>
                </c:pt>
              </c:strCache>
            </c:strRef>
          </c:tx>
          <c:spPr>
            <a:solidFill>
              <a:schemeClr val="accent4"/>
            </a:solidFill>
            <a:ln>
              <a:noFill/>
            </a:ln>
            <a:effectLst/>
          </c:spPr>
          <c:invertIfNegative val="0"/>
          <c:cat>
            <c:strRef>
              <c:f>Bewertung_Analyse!$A$12:$A$15</c:f>
              <c:strCache>
                <c:ptCount val="3"/>
                <c:pt idx="0">
                  <c:v>Detraktor</c:v>
                </c:pt>
                <c:pt idx="1">
                  <c:v>Passiv</c:v>
                </c:pt>
                <c:pt idx="2">
                  <c:v>Promotor</c:v>
                </c:pt>
              </c:strCache>
            </c:strRef>
          </c:cat>
          <c:val>
            <c:numRef>
              <c:f>Bewertung_Analyse!$E$12:$E$15</c:f>
              <c:numCache>
                <c:formatCode>0.00%</c:formatCode>
                <c:ptCount val="3"/>
                <c:pt idx="0">
                  <c:v>4.4444444444444446E-2</c:v>
                </c:pt>
                <c:pt idx="1">
                  <c:v>9.6774193548387094E-2</c:v>
                </c:pt>
                <c:pt idx="2">
                  <c:v>0.12396694214876033</c:v>
                </c:pt>
              </c:numCache>
            </c:numRef>
          </c:val>
          <c:extLst>
            <c:ext xmlns:c16="http://schemas.microsoft.com/office/drawing/2014/chart" uri="{C3380CC4-5D6E-409C-BE32-E72D297353CC}">
              <c16:uniqueId val="{00000003-AC55-4B49-B722-726244C92438}"/>
            </c:ext>
          </c:extLst>
        </c:ser>
        <c:dLbls>
          <c:showLegendKey val="0"/>
          <c:showVal val="0"/>
          <c:showCatName val="0"/>
          <c:showSerName val="0"/>
          <c:showPercent val="0"/>
          <c:showBubbleSize val="0"/>
        </c:dLbls>
        <c:gapWidth val="150"/>
        <c:overlap val="100"/>
        <c:axId val="1001352336"/>
        <c:axId val="1001346576"/>
      </c:barChart>
      <c:catAx>
        <c:axId val="100135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Bewertungssegment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01346576"/>
        <c:crosses val="autoZero"/>
        <c:auto val="1"/>
        <c:lblAlgn val="ctr"/>
        <c:lblOffset val="100"/>
        <c:noMultiLvlLbl val="0"/>
      </c:catAx>
      <c:valAx>
        <c:axId val="1001346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Anteil der Quiznoten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0135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Häufigkeitsverteilung</a:t>
            </a:r>
            <a:r>
              <a:rPr lang="en-US" sz="1000" baseline="0">
                <a:solidFill>
                  <a:sysClr val="windowText" lastClr="000000"/>
                </a:solidFill>
              </a:rPr>
              <a:t> der angegebenen Schwierigkeiten für Abschlussquiz</a:t>
            </a:r>
            <a:endParaRPr lang="en-US" sz="1000">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Lektionen_Analyse!$C$16:$G$16</c:f>
              <c:strCache>
                <c:ptCount val="5"/>
                <c:pt idx="0">
                  <c:v>Schwierigkeit 1</c:v>
                </c:pt>
                <c:pt idx="1">
                  <c:v>Schwierigkeit 2</c:v>
                </c:pt>
                <c:pt idx="2">
                  <c:v>Schwierigkeit 3</c:v>
                </c:pt>
                <c:pt idx="3">
                  <c:v>Schwierigkeit 4</c:v>
                </c:pt>
                <c:pt idx="4">
                  <c:v>Schwierigkeit 5</c:v>
                </c:pt>
              </c:strCache>
            </c:strRef>
          </c:cat>
          <c:val>
            <c:numRef>
              <c:f>Lektionen_Analyse!$C$17:$G$17</c:f>
              <c:numCache>
                <c:formatCode>General</c:formatCode>
                <c:ptCount val="5"/>
                <c:pt idx="0">
                  <c:v>0</c:v>
                </c:pt>
                <c:pt idx="1">
                  <c:v>0</c:v>
                </c:pt>
                <c:pt idx="2">
                  <c:v>322</c:v>
                </c:pt>
                <c:pt idx="3">
                  <c:v>160</c:v>
                </c:pt>
                <c:pt idx="4">
                  <c:v>5</c:v>
                </c:pt>
              </c:numCache>
            </c:numRef>
          </c:val>
          <c:extLst>
            <c:ext xmlns:c16="http://schemas.microsoft.com/office/drawing/2014/chart" uri="{C3380CC4-5D6E-409C-BE32-E72D297353CC}">
              <c16:uniqueId val="{00000000-3E88-4911-8D6A-D4E3BC8D175B}"/>
            </c:ext>
          </c:extLst>
        </c:ser>
        <c:dLbls>
          <c:showLegendKey val="0"/>
          <c:showVal val="0"/>
          <c:showCatName val="0"/>
          <c:showSerName val="0"/>
          <c:showPercent val="0"/>
          <c:showBubbleSize val="0"/>
        </c:dLbls>
        <c:gapWidth val="219"/>
        <c:overlap val="-27"/>
        <c:axId val="553454880"/>
        <c:axId val="553456800"/>
      </c:barChart>
      <c:catAx>
        <c:axId val="553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53456800"/>
        <c:crosses val="autoZero"/>
        <c:auto val="1"/>
        <c:lblAlgn val="ctr"/>
        <c:lblOffset val="100"/>
        <c:noMultiLvlLbl val="0"/>
      </c:catAx>
      <c:valAx>
        <c:axId val="5534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Häufigkeit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345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Häufigkeitsverteilung</a:t>
            </a:r>
            <a:r>
              <a:rPr lang="en-US" sz="1000" baseline="0">
                <a:solidFill>
                  <a:sysClr val="windowText" lastClr="000000"/>
                </a:solidFill>
              </a:rPr>
              <a:t> der angegebenen Schwierigkeiten für Bilanz, Gewinn- und Verlustrechnung</a:t>
            </a:r>
            <a:endParaRPr lang="en-US" sz="1000">
              <a:solidFill>
                <a:sysClr val="windowText" lastClr="000000"/>
              </a:solidFill>
            </a:endParaRPr>
          </a:p>
        </c:rich>
      </c:tx>
      <c:overlay val="0"/>
      <c:spPr>
        <a:noFill/>
        <a:ln>
          <a:noFill/>
        </a:ln>
        <a:effectLst/>
      </c:spPr>
    </c:title>
    <c:autoTitleDeleted val="0"/>
    <c:plotArea>
      <c:layout/>
      <c:barChart>
        <c:barDir val="col"/>
        <c:grouping val="clustered"/>
        <c:varyColors val="0"/>
        <c:ser>
          <c:idx val="1"/>
          <c:order val="0"/>
          <c:spPr>
            <a:solidFill>
              <a:schemeClr val="bg2"/>
            </a:solidFill>
          </c:spPr>
          <c:invertIfNegative val="0"/>
          <c:cat>
            <c:strRef>
              <c:f>Lektionen_Analyse!$C$16:$G$16</c:f>
              <c:strCache>
                <c:ptCount val="5"/>
                <c:pt idx="0">
                  <c:v>Schwierigkeit 1</c:v>
                </c:pt>
                <c:pt idx="1">
                  <c:v>Schwierigkeit 2</c:v>
                </c:pt>
                <c:pt idx="2">
                  <c:v>Schwierigkeit 3</c:v>
                </c:pt>
                <c:pt idx="3">
                  <c:v>Schwierigkeit 4</c:v>
                </c:pt>
                <c:pt idx="4">
                  <c:v>Schwierigkeit 5</c:v>
                </c:pt>
              </c:strCache>
            </c:strRef>
          </c:cat>
          <c:val>
            <c:numRef>
              <c:f>Lektionen_Analyse!$C$18:$G$18</c:f>
              <c:numCache>
                <c:formatCode>General</c:formatCode>
                <c:ptCount val="5"/>
                <c:pt idx="0">
                  <c:v>0</c:v>
                </c:pt>
                <c:pt idx="1">
                  <c:v>240</c:v>
                </c:pt>
                <c:pt idx="2">
                  <c:v>233</c:v>
                </c:pt>
                <c:pt idx="3">
                  <c:v>14</c:v>
                </c:pt>
                <c:pt idx="4">
                  <c:v>0</c:v>
                </c:pt>
              </c:numCache>
            </c:numRef>
          </c:val>
          <c:extLst>
            <c:ext xmlns:c16="http://schemas.microsoft.com/office/drawing/2014/chart" uri="{C3380CC4-5D6E-409C-BE32-E72D297353CC}">
              <c16:uniqueId val="{00000000-B868-4EED-BE83-91D03FB967E0}"/>
            </c:ext>
          </c:extLst>
        </c:ser>
        <c:dLbls>
          <c:showLegendKey val="0"/>
          <c:showVal val="0"/>
          <c:showCatName val="0"/>
          <c:showSerName val="0"/>
          <c:showPercent val="0"/>
          <c:showBubbleSize val="0"/>
        </c:dLbls>
        <c:gapWidth val="219"/>
        <c:overlap val="-27"/>
        <c:axId val="553454880"/>
        <c:axId val="553456800"/>
      </c:barChart>
      <c:catAx>
        <c:axId val="553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53456800"/>
        <c:crosses val="autoZero"/>
        <c:auto val="1"/>
        <c:lblAlgn val="ctr"/>
        <c:lblOffset val="100"/>
        <c:noMultiLvlLbl val="0"/>
      </c:catAx>
      <c:valAx>
        <c:axId val="5534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lang="de-DE" sz="1000" b="0" i="0" u="none" strike="noStrike" kern="1200" baseline="0">
                    <a:solidFill>
                      <a:srgbClr val="000000">
                        <a:lumMod val="65000"/>
                        <a:lumOff val="35000"/>
                      </a:srgbClr>
                    </a:solidFill>
                    <a:latin typeface="+mn-lt"/>
                    <a:ea typeface="+mn-ea"/>
                    <a:cs typeface="+mn-cs"/>
                  </a:defRPr>
                </a:pPr>
                <a:r>
                  <a:rPr lang="de-DE" sz="1000" b="0" i="0" u="none" strike="noStrike" kern="1200" baseline="0">
                    <a:solidFill>
                      <a:srgbClr val="000000">
                        <a:lumMod val="65000"/>
                        <a:lumOff val="35000"/>
                      </a:srgbClr>
                    </a:solidFill>
                    <a:latin typeface="+mn-lt"/>
                    <a:ea typeface="+mn-ea"/>
                    <a:cs typeface="+mn-cs"/>
                  </a:rPr>
                  <a:t>Häufigkeit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3454880"/>
        <c:crosses val="autoZero"/>
        <c:crossBetween val="between"/>
      </c:valAx>
    </c:plotArea>
    <c:plotVisOnly val="1"/>
    <c:dispBlanksAs val="gap"/>
    <c:showDLblsOverMax val="0"/>
    <c:extLst/>
  </c:chart>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Häufigkeitsverteilung</a:t>
            </a:r>
            <a:r>
              <a:rPr lang="en-US" sz="1000" baseline="0">
                <a:solidFill>
                  <a:sysClr val="windowText" lastClr="000000"/>
                </a:solidFill>
              </a:rPr>
              <a:t> der angegebenen Schwierigkeiten für Aktienanalyse</a:t>
            </a:r>
            <a:endParaRPr lang="en-US" sz="1000">
              <a:solidFill>
                <a:sysClr val="windowText" lastClr="000000"/>
              </a:solidFill>
            </a:endParaRPr>
          </a:p>
        </c:rich>
      </c:tx>
      <c:overlay val="0"/>
      <c:spPr>
        <a:noFill/>
        <a:ln>
          <a:noFill/>
        </a:ln>
        <a:effectLst/>
      </c:spPr>
    </c:title>
    <c:autoTitleDeleted val="0"/>
    <c:plotArea>
      <c:layout/>
      <c:barChart>
        <c:barDir val="col"/>
        <c:grouping val="clustered"/>
        <c:varyColors val="0"/>
        <c:ser>
          <c:idx val="1"/>
          <c:order val="0"/>
          <c:spPr>
            <a:solidFill>
              <a:schemeClr val="bg2"/>
            </a:solidFill>
          </c:spPr>
          <c:invertIfNegative val="0"/>
          <c:cat>
            <c:strRef>
              <c:f>Lektionen_Analyse!$C$16:$G$16</c:f>
              <c:strCache>
                <c:ptCount val="5"/>
                <c:pt idx="0">
                  <c:v>Schwierigkeit 1</c:v>
                </c:pt>
                <c:pt idx="1">
                  <c:v>Schwierigkeit 2</c:v>
                </c:pt>
                <c:pt idx="2">
                  <c:v>Schwierigkeit 3</c:v>
                </c:pt>
                <c:pt idx="3">
                  <c:v>Schwierigkeit 4</c:v>
                </c:pt>
                <c:pt idx="4">
                  <c:v>Schwierigkeit 5</c:v>
                </c:pt>
              </c:strCache>
            </c:strRef>
          </c:cat>
          <c:val>
            <c:numRef>
              <c:f>Lektionen_Analyse!$C$19:$G$19</c:f>
              <c:numCache>
                <c:formatCode>General</c:formatCode>
                <c:ptCount val="5"/>
                <c:pt idx="0">
                  <c:v>0</c:v>
                </c:pt>
                <c:pt idx="1">
                  <c:v>88</c:v>
                </c:pt>
                <c:pt idx="2">
                  <c:v>327</c:v>
                </c:pt>
                <c:pt idx="3">
                  <c:v>64</c:v>
                </c:pt>
                <c:pt idx="4">
                  <c:v>8</c:v>
                </c:pt>
              </c:numCache>
            </c:numRef>
          </c:val>
          <c:extLst>
            <c:ext xmlns:c16="http://schemas.microsoft.com/office/drawing/2014/chart" uri="{C3380CC4-5D6E-409C-BE32-E72D297353CC}">
              <c16:uniqueId val="{00000000-2580-488B-A670-B2C18ECA5CD8}"/>
            </c:ext>
          </c:extLst>
        </c:ser>
        <c:dLbls>
          <c:showLegendKey val="0"/>
          <c:showVal val="0"/>
          <c:showCatName val="0"/>
          <c:showSerName val="0"/>
          <c:showPercent val="0"/>
          <c:showBubbleSize val="0"/>
        </c:dLbls>
        <c:gapWidth val="219"/>
        <c:overlap val="-27"/>
        <c:axId val="553454880"/>
        <c:axId val="553456800"/>
      </c:barChart>
      <c:catAx>
        <c:axId val="553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53456800"/>
        <c:crosses val="autoZero"/>
        <c:auto val="1"/>
        <c:lblAlgn val="ctr"/>
        <c:lblOffset val="100"/>
        <c:noMultiLvlLbl val="0"/>
      </c:catAx>
      <c:valAx>
        <c:axId val="5534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lang="de-DE" sz="1000" b="0" i="0" u="none" strike="noStrike" kern="1200" baseline="0">
                    <a:solidFill>
                      <a:srgbClr val="000000">
                        <a:lumMod val="65000"/>
                        <a:lumOff val="35000"/>
                      </a:srgbClr>
                    </a:solidFill>
                    <a:latin typeface="+mn-lt"/>
                    <a:ea typeface="+mn-ea"/>
                    <a:cs typeface="+mn-cs"/>
                  </a:defRPr>
                </a:pPr>
                <a:r>
                  <a:rPr lang="de-DE" sz="1000" b="0" i="0" u="none" strike="noStrike" kern="1200" baseline="0">
                    <a:solidFill>
                      <a:srgbClr val="000000">
                        <a:lumMod val="65000"/>
                        <a:lumOff val="35000"/>
                      </a:srgbClr>
                    </a:solidFill>
                    <a:latin typeface="+mn-lt"/>
                    <a:ea typeface="+mn-ea"/>
                    <a:cs typeface="+mn-cs"/>
                  </a:rPr>
                  <a:t>Häufigkeit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3454880"/>
        <c:crosses val="autoZero"/>
        <c:crossBetween val="between"/>
      </c:valAx>
    </c:plotArea>
    <c:plotVisOnly val="1"/>
    <c:dispBlanksAs val="gap"/>
    <c:showDLblsOverMax val="0"/>
    <c:extLst/>
  </c:chart>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Häufigkeitsverteilung</a:t>
            </a:r>
            <a:r>
              <a:rPr lang="en-US" sz="1000" baseline="0">
                <a:solidFill>
                  <a:sysClr val="windowText" lastClr="000000"/>
                </a:solidFill>
              </a:rPr>
              <a:t> der angegebenen Schwierigkeiten für Forecasting</a:t>
            </a:r>
            <a:endParaRPr lang="en-US" sz="1000">
              <a:solidFill>
                <a:sysClr val="windowText" lastClr="000000"/>
              </a:solidFill>
            </a:endParaRPr>
          </a:p>
        </c:rich>
      </c:tx>
      <c:overlay val="0"/>
      <c:spPr>
        <a:noFill/>
        <a:ln>
          <a:noFill/>
        </a:ln>
        <a:effectLst/>
      </c:spPr>
    </c:title>
    <c:autoTitleDeleted val="0"/>
    <c:plotArea>
      <c:layout/>
      <c:barChart>
        <c:barDir val="col"/>
        <c:grouping val="clustered"/>
        <c:varyColors val="0"/>
        <c:ser>
          <c:idx val="0"/>
          <c:order val="0"/>
          <c:invertIfNegative val="0"/>
          <c:cat>
            <c:strRef>
              <c:f>Lektionen_Analyse!$C$16:$G$16</c:f>
              <c:strCache>
                <c:ptCount val="5"/>
                <c:pt idx="0">
                  <c:v>Schwierigkeit 1</c:v>
                </c:pt>
                <c:pt idx="1">
                  <c:v>Schwierigkeit 2</c:v>
                </c:pt>
                <c:pt idx="2">
                  <c:v>Schwierigkeit 3</c:v>
                </c:pt>
                <c:pt idx="3">
                  <c:v>Schwierigkeit 4</c:v>
                </c:pt>
                <c:pt idx="4">
                  <c:v>Schwierigkeit 5</c:v>
                </c:pt>
              </c:strCache>
            </c:strRef>
          </c:cat>
          <c:val>
            <c:numRef>
              <c:f>Lektionen_Analyse!$C$20:$G$20</c:f>
              <c:numCache>
                <c:formatCode>General</c:formatCode>
                <c:ptCount val="5"/>
                <c:pt idx="0">
                  <c:v>0</c:v>
                </c:pt>
                <c:pt idx="1">
                  <c:v>0</c:v>
                </c:pt>
                <c:pt idx="2">
                  <c:v>157</c:v>
                </c:pt>
                <c:pt idx="3">
                  <c:v>294</c:v>
                </c:pt>
                <c:pt idx="4">
                  <c:v>36</c:v>
                </c:pt>
              </c:numCache>
            </c:numRef>
          </c:val>
          <c:extLst>
            <c:ext xmlns:c16="http://schemas.microsoft.com/office/drawing/2014/chart" uri="{C3380CC4-5D6E-409C-BE32-E72D297353CC}">
              <c16:uniqueId val="{00000000-BA56-46F5-9373-878501A6309E}"/>
            </c:ext>
          </c:extLst>
        </c:ser>
        <c:dLbls>
          <c:showLegendKey val="0"/>
          <c:showVal val="0"/>
          <c:showCatName val="0"/>
          <c:showSerName val="0"/>
          <c:showPercent val="0"/>
          <c:showBubbleSize val="0"/>
        </c:dLbls>
        <c:gapWidth val="219"/>
        <c:overlap val="-27"/>
        <c:axId val="553454880"/>
        <c:axId val="553456800"/>
      </c:barChart>
      <c:catAx>
        <c:axId val="5534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553456800"/>
        <c:crosses val="autoZero"/>
        <c:auto val="1"/>
        <c:lblAlgn val="ctr"/>
        <c:lblOffset val="100"/>
        <c:noMultiLvlLbl val="0"/>
      </c:catAx>
      <c:valAx>
        <c:axId val="55345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lang="de-DE" sz="1000" b="0" i="0" u="none" strike="noStrike" kern="1200" baseline="0">
                    <a:solidFill>
                      <a:srgbClr val="000000">
                        <a:lumMod val="65000"/>
                        <a:lumOff val="35000"/>
                      </a:srgbClr>
                    </a:solidFill>
                    <a:latin typeface="+mn-lt"/>
                    <a:ea typeface="+mn-ea"/>
                    <a:cs typeface="+mn-cs"/>
                  </a:defRPr>
                </a:pPr>
                <a:r>
                  <a:rPr lang="de-DE" sz="1000" b="0" i="0" u="none" strike="noStrike" kern="1200" baseline="0">
                    <a:solidFill>
                      <a:srgbClr val="000000">
                        <a:lumMod val="65000"/>
                        <a:lumOff val="35000"/>
                      </a:srgbClr>
                    </a:solidFill>
                    <a:latin typeface="+mn-lt"/>
                    <a:ea typeface="+mn-ea"/>
                    <a:cs typeface="+mn-cs"/>
                  </a:rPr>
                  <a:t>Häufigkeit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3454880"/>
        <c:crosses val="autoZero"/>
        <c:crossBetween val="between"/>
      </c:valAx>
    </c:plotArea>
    <c:plotVisOnly val="1"/>
    <c:dispBlanksAs val="gap"/>
    <c:showDLblsOverMax val="0"/>
    <c:extLst/>
  </c:chart>
  <c:txPr>
    <a:bodyPr/>
    <a:lstStyle/>
    <a:p>
      <a:pPr>
        <a:defRPr/>
      </a:pPr>
      <a:endParaRPr lang="de-DE"/>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[DAQ_K1_E05_data_solution.xlsx]Lektionen_Analyse!PivotTable1</c:name>
    <c:fmtId val="5"/>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a:solidFill>
                  <a:sysClr val="windowText" lastClr="000000"/>
                </a:solidFill>
              </a:rPr>
              <a:t>Mittelwerte und Standardabweichungen der Bearbeitungsdauern</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Lektionen_Analyse!$B$25</c:f>
              <c:strCache>
                <c:ptCount val="1"/>
                <c:pt idx="0">
                  <c:v>Mittelwert</c:v>
                </c:pt>
              </c:strCache>
            </c:strRef>
          </c:tx>
          <c:spPr>
            <a:solidFill>
              <a:schemeClr val="accent1"/>
            </a:solidFill>
            <a:ln>
              <a:noFill/>
            </a:ln>
            <a:effectLst/>
          </c:spPr>
          <c:invertIfNegative val="0"/>
          <c:cat>
            <c:strRef>
              <c:f>Lektionen_Analyse!$A$26:$A$30</c:f>
              <c:strCache>
                <c:ptCount val="4"/>
                <c:pt idx="0">
                  <c:v>Aktienanalyse</c:v>
                </c:pt>
                <c:pt idx="1">
                  <c:v>Bilanz, Gewinn und Verlustrechnung</c:v>
                </c:pt>
                <c:pt idx="2">
                  <c:v>Finanzkennzahlen</c:v>
                </c:pt>
                <c:pt idx="3">
                  <c:v>Forecasting</c:v>
                </c:pt>
              </c:strCache>
            </c:strRef>
          </c:cat>
          <c:val>
            <c:numRef>
              <c:f>Lektionen_Analyse!$B$26:$B$30</c:f>
              <c:numCache>
                <c:formatCode>General</c:formatCode>
                <c:ptCount val="4"/>
                <c:pt idx="0">
                  <c:v>26.078028747433265</c:v>
                </c:pt>
                <c:pt idx="1">
                  <c:v>28.817248459958932</c:v>
                </c:pt>
                <c:pt idx="2">
                  <c:v>17.747433264887064</c:v>
                </c:pt>
                <c:pt idx="3">
                  <c:v>45.737166324435321</c:v>
                </c:pt>
              </c:numCache>
            </c:numRef>
          </c:val>
          <c:extLst>
            <c:ext xmlns:c16="http://schemas.microsoft.com/office/drawing/2014/chart" uri="{C3380CC4-5D6E-409C-BE32-E72D297353CC}">
              <c16:uniqueId val="{00000000-CF80-4039-A5D1-C97D8BEB2266}"/>
            </c:ext>
          </c:extLst>
        </c:ser>
        <c:ser>
          <c:idx val="1"/>
          <c:order val="1"/>
          <c:tx>
            <c:strRef>
              <c:f>Lektionen_Analyse!$C$25</c:f>
              <c:strCache>
                <c:ptCount val="1"/>
                <c:pt idx="0">
                  <c:v>Standardabweichung (Grundgesamtheit)</c:v>
                </c:pt>
              </c:strCache>
            </c:strRef>
          </c:tx>
          <c:spPr>
            <a:solidFill>
              <a:schemeClr val="accent2"/>
            </a:solidFill>
            <a:ln>
              <a:noFill/>
            </a:ln>
            <a:effectLst/>
          </c:spPr>
          <c:invertIfNegative val="0"/>
          <c:cat>
            <c:strRef>
              <c:f>Lektionen_Analyse!$A$26:$A$30</c:f>
              <c:strCache>
                <c:ptCount val="4"/>
                <c:pt idx="0">
                  <c:v>Aktienanalyse</c:v>
                </c:pt>
                <c:pt idx="1">
                  <c:v>Bilanz, Gewinn und Verlustrechnung</c:v>
                </c:pt>
                <c:pt idx="2">
                  <c:v>Finanzkennzahlen</c:v>
                </c:pt>
                <c:pt idx="3">
                  <c:v>Forecasting</c:v>
                </c:pt>
              </c:strCache>
            </c:strRef>
          </c:cat>
          <c:val>
            <c:numRef>
              <c:f>Lektionen_Analyse!$C$26:$C$30</c:f>
              <c:numCache>
                <c:formatCode>General</c:formatCode>
                <c:ptCount val="4"/>
                <c:pt idx="0">
                  <c:v>4.9167682136261739</c:v>
                </c:pt>
                <c:pt idx="1">
                  <c:v>2.4573299448333827</c:v>
                </c:pt>
                <c:pt idx="2">
                  <c:v>1.8000309668686412</c:v>
                </c:pt>
                <c:pt idx="3">
                  <c:v>5.145592258527877</c:v>
                </c:pt>
              </c:numCache>
            </c:numRef>
          </c:val>
          <c:extLst>
            <c:ext xmlns:c16="http://schemas.microsoft.com/office/drawing/2014/chart" uri="{C3380CC4-5D6E-409C-BE32-E72D297353CC}">
              <c16:uniqueId val="{00000001-CF80-4039-A5D1-C97D8BEB2266}"/>
            </c:ext>
          </c:extLst>
        </c:ser>
        <c:dLbls>
          <c:showLegendKey val="0"/>
          <c:showVal val="0"/>
          <c:showCatName val="0"/>
          <c:showSerName val="0"/>
          <c:showPercent val="0"/>
          <c:showBubbleSize val="0"/>
        </c:dLbls>
        <c:gapWidth val="219"/>
        <c:overlap val="-27"/>
        <c:axId val="986687840"/>
        <c:axId val="986692160"/>
      </c:barChart>
      <c:catAx>
        <c:axId val="98668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86692160"/>
        <c:crosses val="autoZero"/>
        <c:auto val="1"/>
        <c:lblAlgn val="ctr"/>
        <c:lblOffset val="100"/>
        <c:noMultiLvlLbl val="0"/>
      </c:catAx>
      <c:valAx>
        <c:axId val="986692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Bearbeitungsdauer (Min)</a:t>
                </a:r>
              </a:p>
            </c:rich>
          </c:tx>
          <c:layout>
            <c:manualLayout>
              <c:xMode val="edge"/>
              <c:yMode val="edge"/>
              <c:x val="3.0178319955430272E-2"/>
              <c:y val="0.184756391702846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8668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[DAQ_K1_E05_data_solution.xlsx]Lektionen_Analyse!PivotTable3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Häufigkeitsverteilung der angegebenen Schwierigkeiten pro Lektion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Lektionen_Analyse!$B$59:$B$60</c:f>
              <c:strCache>
                <c:ptCount val="1"/>
                <c:pt idx="0">
                  <c:v>1</c:v>
                </c:pt>
              </c:strCache>
            </c:strRef>
          </c:tx>
          <c:spPr>
            <a:solidFill>
              <a:schemeClr val="accent1"/>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Lektionen_Analyse!$B$61:$B$65</c:f>
              <c:numCache>
                <c:formatCode>General</c:formatCode>
                <c:ptCount val="4"/>
              </c:numCache>
            </c:numRef>
          </c:val>
          <c:extLst>
            <c:ext xmlns:c16="http://schemas.microsoft.com/office/drawing/2014/chart" uri="{C3380CC4-5D6E-409C-BE32-E72D297353CC}">
              <c16:uniqueId val="{00000000-F47D-4D10-B3F9-F5B1B7282E5E}"/>
            </c:ext>
          </c:extLst>
        </c:ser>
        <c:ser>
          <c:idx val="1"/>
          <c:order val="1"/>
          <c:tx>
            <c:strRef>
              <c:f>Lektionen_Analyse!$C$59:$C$60</c:f>
              <c:strCache>
                <c:ptCount val="1"/>
                <c:pt idx="0">
                  <c:v>2</c:v>
                </c:pt>
              </c:strCache>
            </c:strRef>
          </c:tx>
          <c:spPr>
            <a:solidFill>
              <a:schemeClr val="accent2"/>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Lektionen_Analyse!$C$61:$C$65</c:f>
              <c:numCache>
                <c:formatCode>General</c:formatCode>
                <c:ptCount val="4"/>
                <c:pt idx="1">
                  <c:v>88</c:v>
                </c:pt>
                <c:pt idx="2">
                  <c:v>240</c:v>
                </c:pt>
              </c:numCache>
            </c:numRef>
          </c:val>
          <c:extLst>
            <c:ext xmlns:c16="http://schemas.microsoft.com/office/drawing/2014/chart" uri="{C3380CC4-5D6E-409C-BE32-E72D297353CC}">
              <c16:uniqueId val="{00000001-F47D-4D10-B3F9-F5B1B7282E5E}"/>
            </c:ext>
          </c:extLst>
        </c:ser>
        <c:ser>
          <c:idx val="2"/>
          <c:order val="2"/>
          <c:tx>
            <c:strRef>
              <c:f>Lektionen_Analyse!$D$59:$D$60</c:f>
              <c:strCache>
                <c:ptCount val="1"/>
                <c:pt idx="0">
                  <c:v>3</c:v>
                </c:pt>
              </c:strCache>
            </c:strRef>
          </c:tx>
          <c:spPr>
            <a:solidFill>
              <a:schemeClr val="accent3"/>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Lektionen_Analyse!$D$61:$D$65</c:f>
              <c:numCache>
                <c:formatCode>General</c:formatCode>
                <c:ptCount val="4"/>
                <c:pt idx="0">
                  <c:v>322</c:v>
                </c:pt>
                <c:pt idx="1">
                  <c:v>327</c:v>
                </c:pt>
                <c:pt idx="2">
                  <c:v>233</c:v>
                </c:pt>
                <c:pt idx="3">
                  <c:v>157</c:v>
                </c:pt>
              </c:numCache>
            </c:numRef>
          </c:val>
          <c:extLst>
            <c:ext xmlns:c16="http://schemas.microsoft.com/office/drawing/2014/chart" uri="{C3380CC4-5D6E-409C-BE32-E72D297353CC}">
              <c16:uniqueId val="{00000002-F47D-4D10-B3F9-F5B1B7282E5E}"/>
            </c:ext>
          </c:extLst>
        </c:ser>
        <c:ser>
          <c:idx val="3"/>
          <c:order val="3"/>
          <c:tx>
            <c:strRef>
              <c:f>Lektionen_Analyse!$E$59:$E$60</c:f>
              <c:strCache>
                <c:ptCount val="1"/>
                <c:pt idx="0">
                  <c:v>4</c:v>
                </c:pt>
              </c:strCache>
            </c:strRef>
          </c:tx>
          <c:spPr>
            <a:solidFill>
              <a:schemeClr val="accent4"/>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Lektionen_Analyse!$E$61:$E$65</c:f>
              <c:numCache>
                <c:formatCode>General</c:formatCode>
                <c:ptCount val="4"/>
                <c:pt idx="0">
                  <c:v>160</c:v>
                </c:pt>
                <c:pt idx="1">
                  <c:v>64</c:v>
                </c:pt>
                <c:pt idx="2">
                  <c:v>14</c:v>
                </c:pt>
                <c:pt idx="3">
                  <c:v>294</c:v>
                </c:pt>
              </c:numCache>
            </c:numRef>
          </c:val>
          <c:extLst>
            <c:ext xmlns:c16="http://schemas.microsoft.com/office/drawing/2014/chart" uri="{C3380CC4-5D6E-409C-BE32-E72D297353CC}">
              <c16:uniqueId val="{00000003-F47D-4D10-B3F9-F5B1B7282E5E}"/>
            </c:ext>
          </c:extLst>
        </c:ser>
        <c:ser>
          <c:idx val="4"/>
          <c:order val="4"/>
          <c:tx>
            <c:strRef>
              <c:f>Lektionen_Analyse!$F$59:$F$60</c:f>
              <c:strCache>
                <c:ptCount val="1"/>
                <c:pt idx="0">
                  <c:v>5</c:v>
                </c:pt>
              </c:strCache>
            </c:strRef>
          </c:tx>
          <c:spPr>
            <a:solidFill>
              <a:schemeClr val="accent5"/>
            </a:solidFill>
            <a:ln>
              <a:noFill/>
            </a:ln>
            <a:effectLst/>
          </c:spPr>
          <c:invertIfNegative val="0"/>
          <c:cat>
            <c:strRef>
              <c:f>Lektionen_Analyse!$A$61:$A$65</c:f>
              <c:strCache>
                <c:ptCount val="4"/>
                <c:pt idx="0">
                  <c:v>Abschlussquiz</c:v>
                </c:pt>
                <c:pt idx="1">
                  <c:v>Aktienanalyse</c:v>
                </c:pt>
                <c:pt idx="2">
                  <c:v>Bilanz, Gewinn und Verlustrechnung</c:v>
                </c:pt>
                <c:pt idx="3">
                  <c:v>Forecasting</c:v>
                </c:pt>
              </c:strCache>
            </c:strRef>
          </c:cat>
          <c:val>
            <c:numRef>
              <c:f>Lektionen_Analyse!$F$61:$F$65</c:f>
              <c:numCache>
                <c:formatCode>General</c:formatCode>
                <c:ptCount val="4"/>
                <c:pt idx="0">
                  <c:v>5</c:v>
                </c:pt>
                <c:pt idx="1">
                  <c:v>8</c:v>
                </c:pt>
                <c:pt idx="3">
                  <c:v>36</c:v>
                </c:pt>
              </c:numCache>
            </c:numRef>
          </c:val>
          <c:extLst>
            <c:ext xmlns:c16="http://schemas.microsoft.com/office/drawing/2014/chart" uri="{C3380CC4-5D6E-409C-BE32-E72D297353CC}">
              <c16:uniqueId val="{00000004-F47D-4D10-B3F9-F5B1B7282E5E}"/>
            </c:ext>
          </c:extLst>
        </c:ser>
        <c:dLbls>
          <c:showLegendKey val="0"/>
          <c:showVal val="0"/>
          <c:showCatName val="0"/>
          <c:showSerName val="0"/>
          <c:showPercent val="0"/>
          <c:showBubbleSize val="0"/>
        </c:dLbls>
        <c:gapWidth val="219"/>
        <c:overlap val="-27"/>
        <c:axId val="2065003280"/>
        <c:axId val="2065003760"/>
      </c:barChart>
      <c:catAx>
        <c:axId val="206500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5003760"/>
        <c:crosses val="autoZero"/>
        <c:auto val="1"/>
        <c:lblAlgn val="ctr"/>
        <c:lblOffset val="100"/>
        <c:noMultiLvlLbl val="0"/>
      </c:catAx>
      <c:valAx>
        <c:axId val="2065003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Häufigkeit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500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[DAQ_K1_E05_data_solution.xlsx]Lektionen_Analyse!PivotTable15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Bearbeitungsdauern im</a:t>
            </a:r>
            <a:r>
              <a:rPr lang="de-DE" baseline="0"/>
              <a:t> Vergleich zur Schätzung</a:t>
            </a:r>
            <a:endParaRPr lang="de-DE"/>
          </a:p>
        </c:rich>
      </c:tx>
      <c:layout>
        <c:manualLayout>
          <c:xMode val="edge"/>
          <c:yMode val="edge"/>
          <c:x val="0.20358662008338385"/>
          <c:y val="4.976697857366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A8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54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A8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B54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A8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B54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593311538804"/>
          <c:y val="0.18868664616368938"/>
          <c:w val="0.57075365579302595"/>
          <c:h val="0.55762972495474072"/>
        </c:manualLayout>
      </c:layout>
      <c:barChart>
        <c:barDir val="col"/>
        <c:grouping val="clustered"/>
        <c:varyColors val="0"/>
        <c:ser>
          <c:idx val="0"/>
          <c:order val="0"/>
          <c:tx>
            <c:strRef>
              <c:f>Lektionen_Analyse!$B$84:$B$85</c:f>
              <c:strCache>
                <c:ptCount val="1"/>
                <c:pt idx="0">
                  <c:v>kürzer</c:v>
                </c:pt>
              </c:strCache>
            </c:strRef>
          </c:tx>
          <c:spPr>
            <a:solidFill>
              <a:schemeClr val="accent4"/>
            </a:solidFill>
            <a:ln>
              <a:noFill/>
            </a:ln>
            <a:effectLst/>
          </c:spPr>
          <c:invertIfNegative val="0"/>
          <c:cat>
            <c:strRef>
              <c:f>Lektionen_Analyse!$A$86:$A$90</c:f>
              <c:strCache>
                <c:ptCount val="4"/>
                <c:pt idx="0">
                  <c:v>Abschlussquiz</c:v>
                </c:pt>
                <c:pt idx="1">
                  <c:v>Aktienanalyse</c:v>
                </c:pt>
                <c:pt idx="2">
                  <c:v>Bilanz, Gewinn und Verlustrechnung</c:v>
                </c:pt>
                <c:pt idx="3">
                  <c:v>Forecasting</c:v>
                </c:pt>
              </c:strCache>
            </c:strRef>
          </c:cat>
          <c:val>
            <c:numRef>
              <c:f>Lektionen_Analyse!$B$86:$B$90</c:f>
              <c:numCache>
                <c:formatCode>0.00%</c:formatCode>
                <c:ptCount val="4"/>
                <c:pt idx="0">
                  <c:v>0</c:v>
                </c:pt>
                <c:pt idx="1">
                  <c:v>0.12114989733059549</c:v>
                </c:pt>
                <c:pt idx="2">
                  <c:v>0</c:v>
                </c:pt>
                <c:pt idx="3">
                  <c:v>2.0533880903490761E-3</c:v>
                </c:pt>
              </c:numCache>
            </c:numRef>
          </c:val>
          <c:extLst>
            <c:ext xmlns:c16="http://schemas.microsoft.com/office/drawing/2014/chart" uri="{C3380CC4-5D6E-409C-BE32-E72D297353CC}">
              <c16:uniqueId val="{00000000-9012-4EC2-B794-494BFB847B95}"/>
            </c:ext>
          </c:extLst>
        </c:ser>
        <c:ser>
          <c:idx val="1"/>
          <c:order val="1"/>
          <c:tx>
            <c:strRef>
              <c:f>Lektionen_Analyse!$C$84:$C$85</c:f>
              <c:strCache>
                <c:ptCount val="1"/>
                <c:pt idx="0">
                  <c:v>keine Abweichung</c:v>
                </c:pt>
              </c:strCache>
            </c:strRef>
          </c:tx>
          <c:spPr>
            <a:solidFill>
              <a:schemeClr val="bg2"/>
            </a:solidFill>
            <a:ln>
              <a:noFill/>
            </a:ln>
            <a:effectLst/>
          </c:spPr>
          <c:invertIfNegative val="0"/>
          <c:cat>
            <c:strRef>
              <c:f>Lektionen_Analyse!$A$86:$A$90</c:f>
              <c:strCache>
                <c:ptCount val="4"/>
                <c:pt idx="0">
                  <c:v>Abschlussquiz</c:v>
                </c:pt>
                <c:pt idx="1">
                  <c:v>Aktienanalyse</c:v>
                </c:pt>
                <c:pt idx="2">
                  <c:v>Bilanz, Gewinn und Verlustrechnung</c:v>
                </c:pt>
                <c:pt idx="3">
                  <c:v>Forecasting</c:v>
                </c:pt>
              </c:strCache>
            </c:strRef>
          </c:cat>
          <c:val>
            <c:numRef>
              <c:f>Lektionen_Analyse!$C$86:$C$90</c:f>
              <c:numCache>
                <c:formatCode>0.00%</c:formatCode>
                <c:ptCount val="4"/>
                <c:pt idx="0">
                  <c:v>1</c:v>
                </c:pt>
                <c:pt idx="1">
                  <c:v>0.87063655030800824</c:v>
                </c:pt>
                <c:pt idx="2">
                  <c:v>0.98767967145790558</c:v>
                </c:pt>
                <c:pt idx="3">
                  <c:v>9.856262833675565E-2</c:v>
                </c:pt>
              </c:numCache>
            </c:numRef>
          </c:val>
          <c:extLst>
            <c:ext xmlns:c16="http://schemas.microsoft.com/office/drawing/2014/chart" uri="{C3380CC4-5D6E-409C-BE32-E72D297353CC}">
              <c16:uniqueId val="{00000001-9012-4EC2-B794-494BFB847B95}"/>
            </c:ext>
          </c:extLst>
        </c:ser>
        <c:ser>
          <c:idx val="2"/>
          <c:order val="2"/>
          <c:tx>
            <c:strRef>
              <c:f>Lektionen_Analyse!$D$84:$D$85</c:f>
              <c:strCache>
                <c:ptCount val="1"/>
                <c:pt idx="0">
                  <c:v>länger</c:v>
                </c:pt>
              </c:strCache>
            </c:strRef>
          </c:tx>
          <c:spPr>
            <a:solidFill>
              <a:srgbClr val="FFA8A1"/>
            </a:solidFill>
            <a:ln>
              <a:noFill/>
            </a:ln>
            <a:effectLst/>
          </c:spPr>
          <c:invertIfNegative val="0"/>
          <c:cat>
            <c:strRef>
              <c:f>Lektionen_Analyse!$A$86:$A$90</c:f>
              <c:strCache>
                <c:ptCount val="4"/>
                <c:pt idx="0">
                  <c:v>Abschlussquiz</c:v>
                </c:pt>
                <c:pt idx="1">
                  <c:v>Aktienanalyse</c:v>
                </c:pt>
                <c:pt idx="2">
                  <c:v>Bilanz, Gewinn und Verlustrechnung</c:v>
                </c:pt>
                <c:pt idx="3">
                  <c:v>Forecasting</c:v>
                </c:pt>
              </c:strCache>
            </c:strRef>
          </c:cat>
          <c:val>
            <c:numRef>
              <c:f>Lektionen_Analyse!$D$86:$D$90</c:f>
              <c:numCache>
                <c:formatCode>0.00%</c:formatCode>
                <c:ptCount val="4"/>
                <c:pt idx="0">
                  <c:v>0</c:v>
                </c:pt>
                <c:pt idx="1">
                  <c:v>8.2135523613963042E-3</c:v>
                </c:pt>
                <c:pt idx="2">
                  <c:v>1.2320328542094456E-2</c:v>
                </c:pt>
                <c:pt idx="3">
                  <c:v>0.58932238193018482</c:v>
                </c:pt>
              </c:numCache>
            </c:numRef>
          </c:val>
          <c:extLst>
            <c:ext xmlns:c16="http://schemas.microsoft.com/office/drawing/2014/chart" uri="{C3380CC4-5D6E-409C-BE32-E72D297353CC}">
              <c16:uniqueId val="{00000002-9012-4EC2-B794-494BFB847B95}"/>
            </c:ext>
          </c:extLst>
        </c:ser>
        <c:ser>
          <c:idx val="3"/>
          <c:order val="3"/>
          <c:tx>
            <c:strRef>
              <c:f>Lektionen_Analyse!$E$84:$E$85</c:f>
              <c:strCache>
                <c:ptCount val="1"/>
                <c:pt idx="0">
                  <c:v>viel länger</c:v>
                </c:pt>
              </c:strCache>
            </c:strRef>
          </c:tx>
          <c:spPr>
            <a:solidFill>
              <a:srgbClr val="EB5474"/>
            </a:solidFill>
            <a:ln>
              <a:noFill/>
            </a:ln>
            <a:effectLst/>
          </c:spPr>
          <c:invertIfNegative val="0"/>
          <c:cat>
            <c:strRef>
              <c:f>Lektionen_Analyse!$A$86:$A$90</c:f>
              <c:strCache>
                <c:ptCount val="4"/>
                <c:pt idx="0">
                  <c:v>Abschlussquiz</c:v>
                </c:pt>
                <c:pt idx="1">
                  <c:v>Aktienanalyse</c:v>
                </c:pt>
                <c:pt idx="2">
                  <c:v>Bilanz, Gewinn und Verlustrechnung</c:v>
                </c:pt>
                <c:pt idx="3">
                  <c:v>Forecasting</c:v>
                </c:pt>
              </c:strCache>
            </c:strRef>
          </c:cat>
          <c:val>
            <c:numRef>
              <c:f>Lektionen_Analyse!$E$86:$E$90</c:f>
              <c:numCache>
                <c:formatCode>0.00%</c:formatCode>
                <c:ptCount val="4"/>
                <c:pt idx="0">
                  <c:v>0</c:v>
                </c:pt>
                <c:pt idx="1">
                  <c:v>0</c:v>
                </c:pt>
                <c:pt idx="2">
                  <c:v>0</c:v>
                </c:pt>
                <c:pt idx="3">
                  <c:v>0.31006160164271046</c:v>
                </c:pt>
              </c:numCache>
            </c:numRef>
          </c:val>
          <c:extLst>
            <c:ext xmlns:c16="http://schemas.microsoft.com/office/drawing/2014/chart" uri="{C3380CC4-5D6E-409C-BE32-E72D297353CC}">
              <c16:uniqueId val="{00000003-9012-4EC2-B794-494BFB847B95}"/>
            </c:ext>
          </c:extLst>
        </c:ser>
        <c:dLbls>
          <c:showLegendKey val="0"/>
          <c:showVal val="0"/>
          <c:showCatName val="0"/>
          <c:showSerName val="0"/>
          <c:showPercent val="0"/>
          <c:showBubbleSize val="0"/>
        </c:dLbls>
        <c:gapWidth val="219"/>
        <c:overlap val="-27"/>
        <c:axId val="1757974896"/>
        <c:axId val="1757976336"/>
      </c:barChart>
      <c:catAx>
        <c:axId val="17579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57976336"/>
        <c:crosses val="autoZero"/>
        <c:auto val="1"/>
        <c:lblAlgn val="ctr"/>
        <c:lblOffset val="100"/>
        <c:noMultiLvlLbl val="0"/>
      </c:catAx>
      <c:valAx>
        <c:axId val="1757976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Anteil der Lektion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57974896"/>
        <c:crosses val="autoZero"/>
        <c:crossBetween val="between"/>
      </c:valAx>
      <c:spPr>
        <a:noFill/>
        <a:ln>
          <a:noFill/>
        </a:ln>
        <a:effectLst/>
      </c:spPr>
    </c:plotArea>
    <c:legend>
      <c:legendPos val="r"/>
      <c:layout>
        <c:manualLayout>
          <c:xMode val="edge"/>
          <c:yMode val="edge"/>
          <c:x val="0.73529207144195974"/>
          <c:y val="0.37086795937211448"/>
          <c:w val="0.25184067571652191"/>
          <c:h val="0.37871652816251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Verteilung der Quizergebnisse</cx:v>
        </cx:txData>
      </cx:tx>
      <cx:txPr>
        <a:bodyPr spcFirstLastPara="1" vertOverflow="ellipsis" horzOverflow="overflow" wrap="square" lIns="0" tIns="0" rIns="0" bIns="0" anchor="ctr" anchorCtr="1"/>
        <a:lstStyle/>
        <a:p>
          <a:pPr algn="ctr" rtl="0">
            <a:defRPr/>
          </a:pPr>
          <a:r>
            <a:rPr lang="de-DE" sz="1400" b="0" i="0" u="none" strike="noStrike" baseline="0">
              <a:solidFill>
                <a:srgbClr val="000000">
                  <a:lumMod val="65000"/>
                  <a:lumOff val="35000"/>
                </a:srgbClr>
              </a:solidFill>
              <a:latin typeface="Calibri" panose="020F0502020204030204"/>
            </a:rPr>
            <a:t>Verteilung der Quizergebnisse</a:t>
          </a:r>
        </a:p>
      </cx:txPr>
    </cx:title>
    <cx:plotArea>
      <cx:plotAreaRegion>
        <cx:series layoutId="clusteredColumn" uniqueId="{14D28948-63C9-4667-9C56-771049FAC4B3}">
          <cx:tx>
            <cx:txData>
              <cx:f>_xlchart.v1.5</cx:f>
              <cx:v>Quizergebnis_Prozent</cx:v>
            </cx:txData>
          </cx:tx>
          <cx:dataId val="0"/>
          <cx:layoutPr>
            <cx:binning intervalClosed="r"/>
          </cx:layoutPr>
        </cx:series>
      </cx:plotAreaRegion>
      <cx:axis id="0">
        <cx:catScaling gapWidth="0"/>
        <cx:title>
          <cx:tx>
            <cx:txData>
              <cx:v>Quizergebnis</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Quizergebnis</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Anzahl</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Anzahl</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data id="2">
      <cx:numDim type="val">
        <cx:f>_xlchart.v1.2</cx:f>
      </cx:numDim>
    </cx:data>
    <cx:data id="3">
      <cx:numDim type="val">
        <cx:f>_xlchart.v1.3</cx:f>
      </cx:numDim>
    </cx:data>
    <cx:data id="4">
      <cx:numDim type="val">
        <cx:f>_xlchart.v1.4</cx:f>
      </cx:numDim>
    </cx:data>
  </cx:chartData>
  <cx:chart>
    <cx:title pos="t" align="ctr" overlay="0">
      <cx:tx>
        <cx:txData>
          <cx:v>Verteilung der Quizergebnisse nach Fragen</cx:v>
        </cx:txData>
      </cx:tx>
      <cx:txPr>
        <a:bodyPr spcFirstLastPara="1" vertOverflow="ellipsis" horzOverflow="overflow" wrap="square" lIns="0" tIns="0" rIns="0" bIns="0" anchor="ctr" anchorCtr="1"/>
        <a:lstStyle/>
        <a:p>
          <a:pPr algn="ctr" rtl="0">
            <a:defRPr/>
          </a:pPr>
          <a:r>
            <a:rPr lang="de-DE" sz="1400" b="0" i="0" u="none" strike="noStrike" baseline="0">
              <a:solidFill>
                <a:srgbClr val="000000">
                  <a:lumMod val="65000"/>
                  <a:lumOff val="35000"/>
                </a:srgbClr>
              </a:solidFill>
              <a:latin typeface="Calibri" panose="020F0502020204030204"/>
            </a:rPr>
            <a:t>Verteilung der Quizergebnisse nach Fragen</a:t>
          </a:r>
        </a:p>
      </cx:txPr>
    </cx:title>
    <cx:plotArea>
      <cx:plotAreaRegion>
        <cx:series layoutId="boxWhisker" uniqueId="{C60F9132-BF13-476D-8394-FF2353A85EBA}" formatIdx="0">
          <cx:tx>
            <cx:txData>
              <cx:f/>
              <cx:v>Frage 1</cx:v>
            </cx:txData>
          </cx:tx>
          <cx:dataId val="0"/>
          <cx:layoutPr>
            <cx:visibility meanLine="0" meanMarker="1" nonoutliers="0" outliers="1"/>
            <cx:statistics quartileMethod="exclusive"/>
          </cx:layoutPr>
        </cx:series>
        <cx:series layoutId="boxWhisker" uniqueId="{C9E5266D-86D5-4A1E-A04E-E72F6CD14B39}" formatIdx="1">
          <cx:tx>
            <cx:txData>
              <cx:f/>
              <cx:v>Frage 2</cx:v>
            </cx:txData>
          </cx:tx>
          <cx:dataId val="1"/>
          <cx:layoutPr>
            <cx:visibility meanLine="0" meanMarker="1" nonoutliers="0" outliers="1"/>
            <cx:statistics quartileMethod="exclusive"/>
          </cx:layoutPr>
        </cx:series>
        <cx:series layoutId="boxWhisker" uniqueId="{FA988A64-71CE-40E1-AC49-38336A933F44}" formatIdx="2">
          <cx:tx>
            <cx:txData>
              <cx:f/>
              <cx:v>Frage 3</cx:v>
            </cx:txData>
          </cx:tx>
          <cx:dataId val="2"/>
          <cx:layoutPr>
            <cx:visibility meanLine="0" meanMarker="1" nonoutliers="0" outliers="1"/>
            <cx:statistics quartileMethod="exclusive"/>
          </cx:layoutPr>
        </cx:series>
        <cx:series layoutId="boxWhisker" uniqueId="{A644FC0B-2B00-497A-A739-D2EA5904A6BF}" formatIdx="3">
          <cx:tx>
            <cx:txData>
              <cx:f/>
              <cx:v>Frage 4</cx:v>
            </cx:txData>
          </cx:tx>
          <cx:dataId val="3"/>
          <cx:layoutPr>
            <cx:visibility meanLine="0" meanMarker="1" nonoutliers="0" outliers="1"/>
            <cx:statistics quartileMethod="exclusive"/>
          </cx:layoutPr>
        </cx:series>
        <cx:series layoutId="boxWhisker" uniqueId="{FB1608C0-8860-40AF-A4B5-39BAF4C900AF}" formatIdx="4">
          <cx:tx>
            <cx:txData>
              <cx:f/>
              <cx:v>Frage 5</cx:v>
            </cx:txData>
          </cx:tx>
          <cx:dataId val="4"/>
          <cx:layoutPr>
            <cx:visibility meanLine="0" meanMarker="1" nonoutliers="0" outliers="1"/>
            <cx:statistics quartileMethod="exclusive"/>
          </cx:layoutPr>
        </cx:series>
      </cx:plotAreaRegion>
      <cx:axis id="0" hidden="1">
        <cx:catScaling gapWidth="1"/>
        <cx:title>
          <cx:tx>
            <cx:txData>
              <cx:v>Frage</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Frage</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ax="1"/>
        <cx:title>
          <cx:tx>
            <cx:txData>
              <cx:v>Ergebnis</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Ergebnis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r" align="ctr" overlay="0">
      <cx:txPr>
        <a:bodyPr spcFirstLastPara="1" vertOverflow="ellipsis" horzOverflow="overflow" wrap="square" lIns="0" tIns="0" rIns="0" bIns="0" anchor="ctr" anchorCtr="1"/>
        <a:lstStyle/>
        <a:p>
          <a:pPr algn="ctr" rtl="0">
            <a:defRPr/>
          </a:pPr>
          <a:endParaRPr lang="de-DE" sz="900" b="0" i="0" u="none" strike="noStrike" baseline="0">
            <a:solidFill>
              <a:srgbClr val="000000">
                <a:lumMod val="65000"/>
                <a:lumOff val="35000"/>
              </a:srgb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Häufigkeitsverteilung der realen Bearbeitungsdauern in Minuten</cx:v>
        </cx:txData>
      </cx:tx>
      <cx:txPr>
        <a:bodyPr spcFirstLastPara="1" vertOverflow="ellipsis" horzOverflow="overflow" wrap="square" lIns="0" tIns="0" rIns="0" bIns="0" anchor="ctr" anchorCtr="1"/>
        <a:lstStyle/>
        <a:p>
          <a:pPr algn="ctr" rtl="0">
            <a:defRPr sz="1200">
              <a:solidFill>
                <a:sysClr val="windowText" lastClr="000000"/>
              </a:solidFill>
            </a:defRPr>
          </a:pPr>
          <a:r>
            <a:rPr lang="de-DE" sz="1200" b="0" i="0" u="none" strike="noStrike" baseline="0">
              <a:solidFill>
                <a:sysClr val="windowText" lastClr="000000"/>
              </a:solidFill>
              <a:latin typeface="Calibri" panose="020F0502020204030204"/>
            </a:rPr>
            <a:t>Häufigkeitsverteilung der realen Bearbeitungsdauern in Minuten</a:t>
          </a:r>
        </a:p>
      </cx:txPr>
    </cx:title>
    <cx:plotArea>
      <cx:plotAreaRegion>
        <cx:series layoutId="clusteredColumn" uniqueId="{03B5E733-CD4A-47A5-9410-C954DFAA6943}">
          <cx:dataId val="0"/>
          <cx:layoutPr>
            <cx:binning intervalClosed="r">
              <cx:binSize val="2"/>
            </cx:binning>
          </cx:layoutPr>
        </cx:series>
      </cx:plotAreaRegion>
      <cx:axis id="0">
        <cx:catScaling gapWidth="0"/>
        <cx:title>
          <cx:tx>
            <cx:txData>
              <cx:v>Bearbeitungsdauer (Minuten)</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Bearbeitungsdauer (Minuten)</a:t>
              </a:r>
            </a:p>
          </cx:txPr>
        </cx:title>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de-DE" sz="1000">
              <a:solidFill>
                <a:sysClr val="windowText" lastClr="000000"/>
              </a:solidFill>
            </a:endParaRPr>
          </a:p>
        </cx:txPr>
      </cx:axis>
      <cx:axis id="1">
        <cx:valScaling/>
        <cx:title>
          <cx:tx>
            <cx:txData>
              <cx:v>Häufigkeit</cx:v>
            </cx:txData>
          </cx:tx>
          <cx:txPr>
            <a:bodyPr spcFirstLastPara="1" vertOverflow="ellipsis" horzOverflow="overflow" wrap="square" lIns="0" tIns="0" rIns="0" bIns="0" anchor="ctr" anchorCtr="1"/>
            <a:lstStyle/>
            <a:p>
              <a:pPr algn="ctr" rtl="0">
                <a:defRPr/>
              </a:pPr>
              <a:r>
                <a:rPr lang="de-DE" sz="900" b="0" i="0" u="none" strike="noStrike" baseline="0">
                  <a:solidFill>
                    <a:srgbClr val="000000">
                      <a:lumMod val="65000"/>
                      <a:lumOff val="35000"/>
                    </a:srgbClr>
                  </a:solidFill>
                  <a:latin typeface="Calibri" panose="020F0502020204030204"/>
                </a:rPr>
                <a:t>Häufigkeit</a:t>
              </a:r>
            </a:p>
          </cx:txPr>
        </cx:title>
        <cx:majorGridlines/>
        <cx:tickLabels/>
        <cx:txPr>
          <a:bodyPr vertOverflow="overflow" horzOverflow="overflow" wrap="square" lIns="0" tIns="0" rIns="0" bIns="0"/>
          <a:lstStyle/>
          <a:p>
            <a:pPr algn="ctr" rtl="0">
              <a:defRPr sz="105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de-DE" sz="1050">
              <a:solidFill>
                <a:sysClr val="windowText" lastClr="000000"/>
              </a:solidFill>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microsoft.com/office/2014/relationships/chartEx" Target="../charts/chartEx3.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11</xdr:col>
      <xdr:colOff>435349</xdr:colOff>
      <xdr:row>0</xdr:row>
      <xdr:rowOff>72950</xdr:rowOff>
    </xdr:from>
    <xdr:to>
      <xdr:col>13</xdr:col>
      <xdr:colOff>664845</xdr:colOff>
      <xdr:row>109</xdr:row>
      <xdr:rowOff>74183</xdr:rowOff>
    </xdr:to>
    <mc:AlternateContent xmlns:mc="http://schemas.openxmlformats.org/markup-compatibility/2006" xmlns:sle15="http://schemas.microsoft.com/office/drawing/2012/slicer">
      <mc:Choice Requires="sle15">
        <xdr:graphicFrame macro="">
          <xdr:nvGraphicFramePr>
            <xdr:cNvPr id="6" name="Lektionstitel">
              <a:extLst>
                <a:ext uri="{FF2B5EF4-FFF2-40B4-BE49-F238E27FC236}">
                  <a16:creationId xmlns:a16="http://schemas.microsoft.com/office/drawing/2014/main" id="{140C4717-100F-9B4F-57AD-ADD62F048DF7}"/>
                </a:ext>
              </a:extLst>
            </xdr:cNvPr>
            <xdr:cNvGraphicFramePr/>
          </xdr:nvGraphicFramePr>
          <xdr:xfrm>
            <a:off x="0" y="0"/>
            <a:ext cx="0" cy="0"/>
          </xdr:xfrm>
          <a:graphic>
            <a:graphicData uri="http://schemas.microsoft.com/office/drawing/2010/slicer">
              <sle:slicer xmlns:sle="http://schemas.microsoft.com/office/drawing/2010/slicer" name="Lektionstitel"/>
            </a:graphicData>
          </a:graphic>
        </xdr:graphicFrame>
      </mc:Choice>
      <mc:Fallback xmlns="">
        <xdr:sp macro="" textlink="">
          <xdr:nvSpPr>
            <xdr:cNvPr id="0" name=""/>
            <xdr:cNvSpPr>
              <a:spLocks noTextEdit="1"/>
            </xdr:cNvSpPr>
          </xdr:nvSpPr>
          <xdr:spPr>
            <a:xfrm>
              <a:off x="16037747" y="72950"/>
              <a:ext cx="1798320" cy="2511351"/>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9</xdr:col>
      <xdr:colOff>95474</xdr:colOff>
      <xdr:row>0</xdr:row>
      <xdr:rowOff>77433</xdr:rowOff>
    </xdr:from>
    <xdr:to>
      <xdr:col>11</xdr:col>
      <xdr:colOff>361166</xdr:colOff>
      <xdr:row>109</xdr:row>
      <xdr:rowOff>38100</xdr:rowOff>
    </xdr:to>
    <mc:AlternateContent xmlns:mc="http://schemas.openxmlformats.org/markup-compatibility/2006" xmlns:sle15="http://schemas.microsoft.com/office/drawing/2012/slicer">
      <mc:Choice Requires="sle15">
        <xdr:graphicFrame macro="">
          <xdr:nvGraphicFramePr>
            <xdr:cNvPr id="7" name="Bewertung_Schwierigkeit">
              <a:extLst>
                <a:ext uri="{FF2B5EF4-FFF2-40B4-BE49-F238E27FC236}">
                  <a16:creationId xmlns:a16="http://schemas.microsoft.com/office/drawing/2014/main" id="{4740E150-2B39-5EA2-292E-CE5763C0415B}"/>
                </a:ext>
              </a:extLst>
            </xdr:cNvPr>
            <xdr:cNvGraphicFramePr/>
          </xdr:nvGraphicFramePr>
          <xdr:xfrm>
            <a:off x="0" y="0"/>
            <a:ext cx="0" cy="0"/>
          </xdr:xfrm>
          <a:graphic>
            <a:graphicData uri="http://schemas.microsoft.com/office/drawing/2010/slicer">
              <sle:slicer xmlns:sle="http://schemas.microsoft.com/office/drawing/2010/slicer" name="Bewertung_Schwierigkeit"/>
            </a:graphicData>
          </a:graphic>
        </xdr:graphicFrame>
      </mc:Choice>
      <mc:Fallback xmlns="">
        <xdr:sp macro="" textlink="">
          <xdr:nvSpPr>
            <xdr:cNvPr id="0" name=""/>
            <xdr:cNvSpPr>
              <a:spLocks noTextEdit="1"/>
            </xdr:cNvSpPr>
          </xdr:nvSpPr>
          <xdr:spPr>
            <a:xfrm>
              <a:off x="14121429" y="77433"/>
              <a:ext cx="1842135" cy="2470785"/>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79375</xdr:colOff>
      <xdr:row>0</xdr:row>
      <xdr:rowOff>38100</xdr:rowOff>
    </xdr:from>
    <xdr:to>
      <xdr:col>11</xdr:col>
      <xdr:colOff>79375</xdr:colOff>
      <xdr:row>13</xdr:row>
      <xdr:rowOff>19050</xdr:rowOff>
    </xdr:to>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6E05EACD-9EDB-FF3E-4FDA-B76DB183D7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97395" y="38100"/>
              <a:ext cx="4709160" cy="254127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11</xdr:col>
      <xdr:colOff>427037</xdr:colOff>
      <xdr:row>0</xdr:row>
      <xdr:rowOff>39687</xdr:rowOff>
    </xdr:from>
    <xdr:to>
      <xdr:col>17</xdr:col>
      <xdr:colOff>439737</xdr:colOff>
      <xdr:row>13</xdr:row>
      <xdr:rowOff>65087</xdr:rowOff>
    </xdr:to>
    <mc:AlternateContent xmlns:mc="http://schemas.openxmlformats.org/markup-compatibility/2006">
      <mc:Choice xmlns:cx1="http://schemas.microsoft.com/office/drawing/2015/9/8/chartex" Requires="cx1">
        <xdr:graphicFrame macro="">
          <xdr:nvGraphicFramePr>
            <xdr:cNvPr id="4" name="Diagramm 4">
              <a:extLst>
                <a:ext uri="{FF2B5EF4-FFF2-40B4-BE49-F238E27FC236}">
                  <a16:creationId xmlns:a16="http://schemas.microsoft.com/office/drawing/2014/main" id="{EAF0E5D9-5C61-A02B-55E6-97458602E4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154217" y="39687"/>
              <a:ext cx="4721860" cy="258572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483552</xdr:colOff>
      <xdr:row>0</xdr:row>
      <xdr:rowOff>140652</xdr:rowOff>
    </xdr:from>
    <xdr:to>
      <xdr:col>16</xdr:col>
      <xdr:colOff>178752</xdr:colOff>
      <xdr:row>16</xdr:row>
      <xdr:rowOff>57150</xdr:rowOff>
    </xdr:to>
    <xdr:graphicFrame macro="">
      <xdr:nvGraphicFramePr>
        <xdr:cNvPr id="3" name="Diagramm 2">
          <a:extLst>
            <a:ext uri="{FF2B5EF4-FFF2-40B4-BE49-F238E27FC236}">
              <a16:creationId xmlns:a16="http://schemas.microsoft.com/office/drawing/2014/main" id="{8A22E073-F224-08EA-D6E5-6B52D3F90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28257</xdr:colOff>
      <xdr:row>16</xdr:row>
      <xdr:rowOff>180657</xdr:rowOff>
    </xdr:from>
    <xdr:to>
      <xdr:col>7</xdr:col>
      <xdr:colOff>635952</xdr:colOff>
      <xdr:row>31</xdr:row>
      <xdr:rowOff>66357</xdr:rowOff>
    </xdr:to>
    <xdr:graphicFrame macro="">
      <xdr:nvGraphicFramePr>
        <xdr:cNvPr id="4" name="Diagramm 3">
          <a:extLst>
            <a:ext uri="{FF2B5EF4-FFF2-40B4-BE49-F238E27FC236}">
              <a16:creationId xmlns:a16="http://schemas.microsoft.com/office/drawing/2014/main" id="{E58A5A97-EDDC-1E23-122B-A667F166F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31</xdr:row>
      <xdr:rowOff>174625</xdr:rowOff>
    </xdr:from>
    <xdr:to>
      <xdr:col>7</xdr:col>
      <xdr:colOff>546100</xdr:colOff>
      <xdr:row>46</xdr:row>
      <xdr:rowOff>155575</xdr:rowOff>
    </xdr:to>
    <xdr:graphicFrame macro="">
      <xdr:nvGraphicFramePr>
        <xdr:cNvPr id="5" name="Diagramm 4">
          <a:extLst>
            <a:ext uri="{FF2B5EF4-FFF2-40B4-BE49-F238E27FC236}">
              <a16:creationId xmlns:a16="http://schemas.microsoft.com/office/drawing/2014/main" id="{D863F47F-0CB0-7C3A-BC5F-A28374A1F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266872</xdr:colOff>
      <xdr:row>47</xdr:row>
      <xdr:rowOff>117218</xdr:rowOff>
    </xdr:from>
    <xdr:to>
      <xdr:col>13</xdr:col>
      <xdr:colOff>273737</xdr:colOff>
      <xdr:row>62</xdr:row>
      <xdr:rowOff>157377</xdr:rowOff>
    </xdr:to>
    <xdr:graphicFrame macro="">
      <xdr:nvGraphicFramePr>
        <xdr:cNvPr id="7" name="Diagramm 6">
          <a:extLst>
            <a:ext uri="{FF2B5EF4-FFF2-40B4-BE49-F238E27FC236}">
              <a16:creationId xmlns:a16="http://schemas.microsoft.com/office/drawing/2014/main" id="{D4F1A390-D759-3A5F-9D1C-C87EA4E4D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784860</xdr:colOff>
      <xdr:row>64</xdr:row>
      <xdr:rowOff>32334</xdr:rowOff>
    </xdr:from>
    <xdr:to>
      <xdr:col>15</xdr:col>
      <xdr:colOff>118110</xdr:colOff>
      <xdr:row>79</xdr:row>
      <xdr:rowOff>72493</xdr:rowOff>
    </xdr:to>
    <xdr:graphicFrame macro="">
      <xdr:nvGraphicFramePr>
        <xdr:cNvPr id="9" name="Diagramm 8">
          <a:extLst>
            <a:ext uri="{FF2B5EF4-FFF2-40B4-BE49-F238E27FC236}">
              <a16:creationId xmlns:a16="http://schemas.microsoft.com/office/drawing/2014/main" id="{6E950B30-AF47-92A0-31FF-ADFED4D48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161530</xdr:colOff>
      <xdr:row>80</xdr:row>
      <xdr:rowOff>59004</xdr:rowOff>
    </xdr:from>
    <xdr:to>
      <xdr:col>15</xdr:col>
      <xdr:colOff>219074</xdr:colOff>
      <xdr:row>95</xdr:row>
      <xdr:rowOff>91543</xdr:rowOff>
    </xdr:to>
    <xdr:graphicFrame macro="">
      <xdr:nvGraphicFramePr>
        <xdr:cNvPr id="10" name="Diagramm 9">
          <a:extLst>
            <a:ext uri="{FF2B5EF4-FFF2-40B4-BE49-F238E27FC236}">
              <a16:creationId xmlns:a16="http://schemas.microsoft.com/office/drawing/2014/main" id="{7669E74A-1EAB-61FB-17A9-3AE7EDDFC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116205</xdr:colOff>
      <xdr:row>0</xdr:row>
      <xdr:rowOff>154305</xdr:rowOff>
    </xdr:from>
    <xdr:to>
      <xdr:col>11</xdr:col>
      <xdr:colOff>100965</xdr:colOff>
      <xdr:row>16</xdr:row>
      <xdr:rowOff>28575</xdr:rowOff>
    </xdr:to>
    <xdr:graphicFrame macro="">
      <xdr:nvGraphicFramePr>
        <xdr:cNvPr id="6" name="Diagramm 5">
          <a:extLst>
            <a:ext uri="{FF2B5EF4-FFF2-40B4-BE49-F238E27FC236}">
              <a16:creationId xmlns:a16="http://schemas.microsoft.com/office/drawing/2014/main" id="{605FEAAB-D694-1AB2-4125-F6E08869B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175258</xdr:colOff>
      <xdr:row>0</xdr:row>
      <xdr:rowOff>52706</xdr:rowOff>
    </xdr:from>
    <xdr:to>
      <xdr:col>7</xdr:col>
      <xdr:colOff>1085850</xdr:colOff>
      <xdr:row>13</xdr:row>
      <xdr:rowOff>13970</xdr:rowOff>
    </xdr:to>
    <mc:AlternateContent xmlns:mc="http://schemas.openxmlformats.org/markup-compatibility/2006">
      <mc:Choice xmlns:cx1="http://schemas.microsoft.com/office/drawing/2015/9/8/chartex" Requires="cx1">
        <xdr:graphicFrame macro="">
          <xdr:nvGraphicFramePr>
            <xdr:cNvPr id="18" name="Diagramm 1">
              <a:extLst>
                <a:ext uri="{FF2B5EF4-FFF2-40B4-BE49-F238E27FC236}">
                  <a16:creationId xmlns:a16="http://schemas.microsoft.com/office/drawing/2014/main" id="{CA6929B3-F592-46D3-B22F-076A7E115B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50918" y="52706"/>
              <a:ext cx="5322572" cy="2704464"/>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7</xdr:col>
      <xdr:colOff>398780</xdr:colOff>
      <xdr:row>14</xdr:row>
      <xdr:rowOff>56197</xdr:rowOff>
    </xdr:from>
    <xdr:to>
      <xdr:col>11</xdr:col>
      <xdr:colOff>273027</xdr:colOff>
      <xdr:row>23</xdr:row>
      <xdr:rowOff>88265</xdr:rowOff>
    </xdr:to>
    <xdr:graphicFrame macro="">
      <xdr:nvGraphicFramePr>
        <xdr:cNvPr id="4" name="Diagramm 4">
          <a:extLst>
            <a:ext uri="{FF2B5EF4-FFF2-40B4-BE49-F238E27FC236}">
              <a16:creationId xmlns:a16="http://schemas.microsoft.com/office/drawing/2014/main" id="{3405949F-06EE-4D39-804C-9E7C159BD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402274</xdr:colOff>
      <xdr:row>23</xdr:row>
      <xdr:rowOff>94614</xdr:rowOff>
    </xdr:from>
    <xdr:to>
      <xdr:col>11</xdr:col>
      <xdr:colOff>266700</xdr:colOff>
      <xdr:row>32</xdr:row>
      <xdr:rowOff>141286</xdr:rowOff>
    </xdr:to>
    <xdr:graphicFrame macro="">
      <xdr:nvGraphicFramePr>
        <xdr:cNvPr id="5" name="Diagramm 6">
          <a:extLst>
            <a:ext uri="{FF2B5EF4-FFF2-40B4-BE49-F238E27FC236}">
              <a16:creationId xmlns:a16="http://schemas.microsoft.com/office/drawing/2014/main" id="{A168D62B-3E7D-4854-92CB-56D177212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285749</xdr:colOff>
      <xdr:row>14</xdr:row>
      <xdr:rowOff>57785</xdr:rowOff>
    </xdr:from>
    <xdr:to>
      <xdr:col>16</xdr:col>
      <xdr:colOff>200024</xdr:colOff>
      <xdr:row>23</xdr:row>
      <xdr:rowOff>93980</xdr:rowOff>
    </xdr:to>
    <xdr:graphicFrame macro="">
      <xdr:nvGraphicFramePr>
        <xdr:cNvPr id="6" name="Diagramm 7">
          <a:extLst>
            <a:ext uri="{FF2B5EF4-FFF2-40B4-BE49-F238E27FC236}">
              <a16:creationId xmlns:a16="http://schemas.microsoft.com/office/drawing/2014/main" id="{D6752FC4-DE6D-4485-A197-4BFF01A7C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287846</xdr:colOff>
      <xdr:row>23</xdr:row>
      <xdr:rowOff>99059</xdr:rowOff>
    </xdr:from>
    <xdr:to>
      <xdr:col>16</xdr:col>
      <xdr:colOff>209550</xdr:colOff>
      <xdr:row>32</xdr:row>
      <xdr:rowOff>154621</xdr:rowOff>
    </xdr:to>
    <xdr:graphicFrame macro="">
      <xdr:nvGraphicFramePr>
        <xdr:cNvPr id="7" name="Diagramm 8">
          <a:extLst>
            <a:ext uri="{FF2B5EF4-FFF2-40B4-BE49-F238E27FC236}">
              <a16:creationId xmlns:a16="http://schemas.microsoft.com/office/drawing/2014/main" id="{4CE85CBE-C0D0-4653-A923-128A2BEF4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19685</xdr:colOff>
      <xdr:row>30</xdr:row>
      <xdr:rowOff>21590</xdr:rowOff>
    </xdr:from>
    <xdr:to>
      <xdr:col>4</xdr:col>
      <xdr:colOff>361950</xdr:colOff>
      <xdr:row>44</xdr:row>
      <xdr:rowOff>59055</xdr:rowOff>
    </xdr:to>
    <xdr:graphicFrame macro="">
      <xdr:nvGraphicFramePr>
        <xdr:cNvPr id="8" name="Diagramm 3">
          <a:extLst>
            <a:ext uri="{FF2B5EF4-FFF2-40B4-BE49-F238E27FC236}">
              <a16:creationId xmlns:a16="http://schemas.microsoft.com/office/drawing/2014/main" id="{C7493AC5-6A2B-4116-A853-EDDCB9DAD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389890</xdr:colOff>
      <xdr:row>24</xdr:row>
      <xdr:rowOff>9526</xdr:rowOff>
    </xdr:from>
    <xdr:to>
      <xdr:col>6</xdr:col>
      <xdr:colOff>606425</xdr:colOff>
      <xdr:row>36</xdr:row>
      <xdr:rowOff>173355</xdr:rowOff>
    </xdr:to>
    <mc:AlternateContent xmlns:mc="http://schemas.openxmlformats.org/markup-compatibility/2006" xmlns:a14="http://schemas.microsoft.com/office/drawing/2010/main">
      <mc:Choice Requires="a14">
        <xdr:graphicFrame macro="">
          <xdr:nvGraphicFramePr>
            <xdr:cNvPr id="9" name="Lektionstitel 2">
              <a:extLst>
                <a:ext uri="{FF2B5EF4-FFF2-40B4-BE49-F238E27FC236}">
                  <a16:creationId xmlns:a16="http://schemas.microsoft.com/office/drawing/2014/main" id="{5C4D8787-24F0-494A-ABCE-03038012F4B0}"/>
                </a:ext>
              </a:extLst>
            </xdr:cNvPr>
            <xdr:cNvGraphicFramePr/>
          </xdr:nvGraphicFramePr>
          <xdr:xfrm>
            <a:off x="0" y="0"/>
            <a:ext cx="0" cy="0"/>
          </xdr:xfrm>
          <a:graphic>
            <a:graphicData uri="http://schemas.microsoft.com/office/drawing/2010/slicer">
              <sle:slicer xmlns:sle="http://schemas.microsoft.com/office/drawing/2010/slicer" name="Lektionstitel 2"/>
            </a:graphicData>
          </a:graphic>
        </xdr:graphicFrame>
      </mc:Choice>
      <mc:Fallback xmlns="">
        <xdr:sp macro="" textlink="">
          <xdr:nvSpPr>
            <xdr:cNvPr id="0" name=""/>
            <xdr:cNvSpPr>
              <a:spLocks noTextEdit="1"/>
            </xdr:cNvSpPr>
          </xdr:nvSpPr>
          <xdr:spPr>
            <a:xfrm>
              <a:off x="5687695" y="5640706"/>
              <a:ext cx="1934845" cy="2510789"/>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3</xdr:col>
      <xdr:colOff>133350</xdr:colOff>
      <xdr:row>46</xdr:row>
      <xdr:rowOff>15240</xdr:rowOff>
    </xdr:from>
    <xdr:to>
      <xdr:col>5</xdr:col>
      <xdr:colOff>929640</xdr:colOff>
      <xdr:row>55</xdr:row>
      <xdr:rowOff>150495</xdr:rowOff>
    </xdr:to>
    <mc:AlternateContent xmlns:mc="http://schemas.openxmlformats.org/markup-compatibility/2006" xmlns:a14="http://schemas.microsoft.com/office/drawing/2010/main">
      <mc:Choice Requires="a14">
        <xdr:graphicFrame macro="">
          <xdr:nvGraphicFramePr>
            <xdr:cNvPr id="10" name="Lektionstitel 3">
              <a:extLst>
                <a:ext uri="{FF2B5EF4-FFF2-40B4-BE49-F238E27FC236}">
                  <a16:creationId xmlns:a16="http://schemas.microsoft.com/office/drawing/2014/main" id="{2D927BDB-F1E6-4353-B868-592A0ADBB8B2}"/>
                </a:ext>
              </a:extLst>
            </xdr:cNvPr>
            <xdr:cNvGraphicFramePr/>
          </xdr:nvGraphicFramePr>
          <xdr:xfrm>
            <a:off x="0" y="0"/>
            <a:ext cx="0" cy="0"/>
          </xdr:xfrm>
          <a:graphic>
            <a:graphicData uri="http://schemas.microsoft.com/office/drawing/2010/slicer">
              <sle:slicer xmlns:sle="http://schemas.microsoft.com/office/drawing/2010/slicer" name="Lektionstitel 3"/>
            </a:graphicData>
          </a:graphic>
        </xdr:graphicFrame>
      </mc:Choice>
      <mc:Fallback xmlns="">
        <xdr:sp macro="" textlink="">
          <xdr:nvSpPr>
            <xdr:cNvPr id="0" name=""/>
            <xdr:cNvSpPr>
              <a:spLocks noTextEdit="1"/>
            </xdr:cNvSpPr>
          </xdr:nvSpPr>
          <xdr:spPr>
            <a:xfrm>
              <a:off x="4320540" y="9810750"/>
              <a:ext cx="1965960" cy="249174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0</xdr:col>
      <xdr:colOff>342900</xdr:colOff>
      <xdr:row>65</xdr:row>
      <xdr:rowOff>76200</xdr:rowOff>
    </xdr:from>
    <xdr:to>
      <xdr:col>6</xdr:col>
      <xdr:colOff>899160</xdr:colOff>
      <xdr:row>81</xdr:row>
      <xdr:rowOff>104775</xdr:rowOff>
    </xdr:to>
    <xdr:graphicFrame macro="">
      <xdr:nvGraphicFramePr>
        <xdr:cNvPr id="11" name="Diagramm 11">
          <a:extLst>
            <a:ext uri="{FF2B5EF4-FFF2-40B4-BE49-F238E27FC236}">
              <a16:creationId xmlns:a16="http://schemas.microsoft.com/office/drawing/2014/main" id="{B4B8588A-9795-405C-84D7-380258C2A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53340</xdr:colOff>
      <xdr:row>57</xdr:row>
      <xdr:rowOff>171450</xdr:rowOff>
    </xdr:from>
    <xdr:to>
      <xdr:col>8</xdr:col>
      <xdr:colOff>741045</xdr:colOff>
      <xdr:row>71</xdr:row>
      <xdr:rowOff>154306</xdr:rowOff>
    </xdr:to>
    <mc:AlternateContent xmlns:mc="http://schemas.openxmlformats.org/markup-compatibility/2006" xmlns:a14="http://schemas.microsoft.com/office/drawing/2010/main">
      <mc:Choice Requires="a14">
        <xdr:graphicFrame macro="">
          <xdr:nvGraphicFramePr>
            <xdr:cNvPr id="12" name="Lektionstitel 4">
              <a:extLst>
                <a:ext uri="{FF2B5EF4-FFF2-40B4-BE49-F238E27FC236}">
                  <a16:creationId xmlns:a16="http://schemas.microsoft.com/office/drawing/2014/main" id="{B2FBC38C-5A03-4E0E-91FD-D67F2F1288C6}"/>
                </a:ext>
              </a:extLst>
            </xdr:cNvPr>
            <xdr:cNvGraphicFramePr/>
          </xdr:nvGraphicFramePr>
          <xdr:xfrm>
            <a:off x="0" y="0"/>
            <a:ext cx="0" cy="0"/>
          </xdr:xfrm>
          <a:graphic>
            <a:graphicData uri="http://schemas.microsoft.com/office/drawing/2010/slicer">
              <sle:slicer xmlns:sle="http://schemas.microsoft.com/office/drawing/2010/slicer" name="Lektionstitel 4"/>
            </a:graphicData>
          </a:graphic>
        </xdr:graphicFrame>
      </mc:Choice>
      <mc:Fallback xmlns="">
        <xdr:sp macro="" textlink="">
          <xdr:nvSpPr>
            <xdr:cNvPr id="0" name=""/>
            <xdr:cNvSpPr>
              <a:spLocks noTextEdit="1"/>
            </xdr:cNvSpPr>
          </xdr:nvSpPr>
          <xdr:spPr>
            <a:xfrm>
              <a:off x="8153400" y="12683490"/>
              <a:ext cx="1811655" cy="2520316"/>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6</xdr:col>
      <xdr:colOff>121920</xdr:colOff>
      <xdr:row>83</xdr:row>
      <xdr:rowOff>26670</xdr:rowOff>
    </xdr:from>
    <xdr:to>
      <xdr:col>7</xdr:col>
      <xdr:colOff>933450</xdr:colOff>
      <xdr:row>97</xdr:row>
      <xdr:rowOff>53340</xdr:rowOff>
    </xdr:to>
    <mc:AlternateContent xmlns:mc="http://schemas.openxmlformats.org/markup-compatibility/2006" xmlns:a14="http://schemas.microsoft.com/office/drawing/2010/main">
      <mc:Choice Requires="a14">
        <xdr:graphicFrame macro="">
          <xdr:nvGraphicFramePr>
            <xdr:cNvPr id="13" name="Lektionstitel 5">
              <a:extLst>
                <a:ext uri="{FF2B5EF4-FFF2-40B4-BE49-F238E27FC236}">
                  <a16:creationId xmlns:a16="http://schemas.microsoft.com/office/drawing/2014/main" id="{AA428227-17EE-4EEF-B9AB-836BEAA005C6}"/>
                </a:ext>
              </a:extLst>
            </xdr:cNvPr>
            <xdr:cNvGraphicFramePr/>
          </xdr:nvGraphicFramePr>
          <xdr:xfrm>
            <a:off x="0" y="0"/>
            <a:ext cx="0" cy="0"/>
          </xdr:xfrm>
          <a:graphic>
            <a:graphicData uri="http://schemas.microsoft.com/office/drawing/2010/slicer">
              <sle:slicer xmlns:sle="http://schemas.microsoft.com/office/drawing/2010/slicer" name="Lektionstitel 5"/>
            </a:graphicData>
          </a:graphic>
        </xdr:graphicFrame>
      </mc:Choice>
      <mc:Fallback xmlns="">
        <xdr:sp macro="" textlink="">
          <xdr:nvSpPr>
            <xdr:cNvPr id="0" name=""/>
            <xdr:cNvSpPr>
              <a:spLocks noTextEdit="1"/>
            </xdr:cNvSpPr>
          </xdr:nvSpPr>
          <xdr:spPr>
            <a:xfrm>
              <a:off x="7229475" y="17245965"/>
              <a:ext cx="1834515" cy="256603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0</xdr:col>
      <xdr:colOff>254000</xdr:colOff>
      <xdr:row>91</xdr:row>
      <xdr:rowOff>114935</xdr:rowOff>
    </xdr:from>
    <xdr:to>
      <xdr:col>5</xdr:col>
      <xdr:colOff>838200</xdr:colOff>
      <xdr:row>106</xdr:row>
      <xdr:rowOff>104775</xdr:rowOff>
    </xdr:to>
    <xdr:graphicFrame macro="">
      <xdr:nvGraphicFramePr>
        <xdr:cNvPr id="14" name="Diagramm 14">
          <a:extLst>
            <a:ext uri="{FF2B5EF4-FFF2-40B4-BE49-F238E27FC236}">
              <a16:creationId xmlns:a16="http://schemas.microsoft.com/office/drawing/2014/main" id="{7CFF5EBD-D9F3-425B-AA45-2B25874BC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8</xdr:col>
      <xdr:colOff>474345</xdr:colOff>
      <xdr:row>0</xdr:row>
      <xdr:rowOff>15240</xdr:rowOff>
    </xdr:from>
    <xdr:to>
      <xdr:col>9</xdr:col>
      <xdr:colOff>1076325</xdr:colOff>
      <xdr:row>11</xdr:row>
      <xdr:rowOff>172011</xdr:rowOff>
    </xdr:to>
    <mc:AlternateContent xmlns:mc="http://schemas.openxmlformats.org/markup-compatibility/2006" xmlns:sle15="http://schemas.microsoft.com/office/drawing/2012/slicer">
      <mc:Choice Requires="sle15">
        <xdr:graphicFrame macro="">
          <xdr:nvGraphicFramePr>
            <xdr:cNvPr id="15" name="Lektionstitel 1">
              <a:extLst>
                <a:ext uri="{FF2B5EF4-FFF2-40B4-BE49-F238E27FC236}">
                  <a16:creationId xmlns:a16="http://schemas.microsoft.com/office/drawing/2014/main" id="{1B5C05C5-D167-4AE6-BFA8-0F5DDA34F39A}"/>
                </a:ext>
              </a:extLst>
            </xdr:cNvPr>
            <xdr:cNvGraphicFramePr/>
          </xdr:nvGraphicFramePr>
          <xdr:xfrm>
            <a:off x="0" y="0"/>
            <a:ext cx="0" cy="0"/>
          </xdr:xfrm>
          <a:graphic>
            <a:graphicData uri="http://schemas.microsoft.com/office/drawing/2010/slicer">
              <sle:slicer xmlns:sle="http://schemas.microsoft.com/office/drawing/2010/slicer" name="Lektionstitel 1"/>
            </a:graphicData>
          </a:graphic>
        </xdr:graphicFrame>
      </mc:Choice>
      <mc:Fallback xmlns="">
        <xdr:sp macro="" textlink="">
          <xdr:nvSpPr>
            <xdr:cNvPr id="0" name=""/>
            <xdr:cNvSpPr>
              <a:spLocks noTextEdit="1"/>
            </xdr:cNvSpPr>
          </xdr:nvSpPr>
          <xdr:spPr>
            <a:xfrm>
              <a:off x="9382125" y="15240"/>
              <a:ext cx="1796415" cy="2507541"/>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bert" refreshedDate="45770.717604861115" createdVersion="8" refreshedVersion="8" minRefreshableVersion="3" recordCount="487" xr:uid="{125C9996-CE63-4AC3-BFE8-0687E8CA9B7D}">
  <cacheSource type="worksheet">
    <worksheetSource name="Trainingsabschluss"/>
  </cacheSource>
  <cacheFields count="20">
    <cacheField name="UserID" numFmtId="165">
      <sharedItems/>
    </cacheField>
    <cacheField name="Quiz_Frage1_Punkte" numFmtId="164">
      <sharedItems containsSemiMixedTypes="0" containsString="0" containsNumber="1" minValue="0" maxValue="5"/>
    </cacheField>
    <cacheField name="Quiz_Frage2_Punkte" numFmtId="164">
      <sharedItems containsSemiMixedTypes="0" containsString="0" containsNumber="1" minValue="0" maxValue="5"/>
    </cacheField>
    <cacheField name="Quiz_Frage3_Punkte" numFmtId="164">
      <sharedItems containsSemiMixedTypes="0" containsString="0" containsNumber="1" minValue="0" maxValue="5"/>
    </cacheField>
    <cacheField name="Quiz_Frage4_Punkte" numFmtId="164">
      <sharedItems containsSemiMixedTypes="0" containsString="0" containsNumber="1" minValue="0" maxValue="4"/>
    </cacheField>
    <cacheField name="Quiz_Frage5_Punkte" numFmtId="164">
      <sharedItems containsSemiMixedTypes="0" containsString="0" containsNumber="1" minValue="0" maxValue="3"/>
    </cacheField>
    <cacheField name="Branche" numFmtId="164">
      <sharedItems count="12">
        <s v="Beratung"/>
        <s v="E-Commerce"/>
        <s v="Einzelhandel"/>
        <s v="Großhandel"/>
        <s v="IT und Technologie"/>
        <s v="Bildung"/>
        <s v="Energieversorgung"/>
        <s v="Finanzdienstleistung"/>
        <s v="Gesundheitswesen"/>
        <s v="Immobilien"/>
        <s v="Bauwesen"/>
        <s v="Öffentlicher Dienst"/>
      </sharedItems>
    </cacheField>
    <cacheField name="Bildungsabschluss" numFmtId="0">
      <sharedItems containsMixedTypes="1" containsNumber="1" containsInteger="1" minValue="0" maxValue="0" count="4">
        <n v="0"/>
        <s v="Bachelor"/>
        <s v="Master"/>
        <s v="Promotion"/>
      </sharedItems>
    </cacheField>
    <cacheField name="Berufserfahrung" numFmtId="1">
      <sharedItems containsSemiMixedTypes="0" containsString="0" containsNumber="1" containsInteger="1" minValue="1" maxValue="24"/>
    </cacheField>
    <cacheField name="Erfahrungsstufe" numFmtId="1">
      <sharedItems count="5">
        <s v="wenig"/>
        <s v="mittel"/>
        <s v="fortgeschritten"/>
        <s v="sehr viel"/>
        <s v="viel"/>
      </sharedItems>
    </cacheField>
    <cacheField name="Frage1_Prozent" numFmtId="9">
      <sharedItems containsSemiMixedTypes="0" containsString="0" containsNumber="1" minValue="0" maxValue="1"/>
    </cacheField>
    <cacheField name="Frage2_Prozent" numFmtId="9">
      <sharedItems containsSemiMixedTypes="0" containsString="0" containsNumber="1" minValue="0" maxValue="1"/>
    </cacheField>
    <cacheField name="Frage3_Prozent" numFmtId="9">
      <sharedItems containsSemiMixedTypes="0" containsString="0" containsNumber="1" minValue="0" maxValue="1"/>
    </cacheField>
    <cacheField name="Frage4_Prozent" numFmtId="9">
      <sharedItems containsSemiMixedTypes="0" containsString="0" containsNumber="1" minValue="0" maxValue="1"/>
    </cacheField>
    <cacheField name="Frage5_Prozent" numFmtId="9">
      <sharedItems containsSemiMixedTypes="0" containsString="0" containsNumber="1" minValue="0" maxValue="1"/>
    </cacheField>
    <cacheField name="Quizergebnis" numFmtId="164">
      <sharedItems containsSemiMixedTypes="0" containsString="0" containsNumber="1" minValue="1" maxValue="20.5"/>
    </cacheField>
    <cacheField name="Quizergebnis_Prozent" numFmtId="9">
      <sharedItems containsSemiMixedTypes="0" containsString="0" containsNumber="1" minValue="4.5454545454545456E-2" maxValue="0.93181818181818177"/>
    </cacheField>
    <cacheField name="Quizergebnis_Note" numFmtId="0">
      <sharedItems count="4">
        <s v="Gut bestanden"/>
        <s v="Bestanden"/>
        <s v="Nicht bestanden"/>
        <s v="Sehr gut bestanden"/>
      </sharedItems>
    </cacheField>
    <cacheField name="Training_Bewertung" numFmtId="1">
      <sharedItems containsSemiMixedTypes="0" containsString="0" containsNumber="1" containsInteger="1" minValue="1" maxValue="10"/>
    </cacheField>
    <cacheField name="Bewertungssegment" numFmtId="1">
      <sharedItems count="3">
        <s v="Detraktor"/>
        <s v="Passiv"/>
        <s v="Promoto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bert" refreshedDate="45770.71957361111" createdVersion="8" refreshedVersion="8" minRefreshableVersion="3" recordCount="3896" xr:uid="{AE678352-E513-4EC2-B866-82F8B93658C4}">
  <cacheSource type="worksheet">
    <worksheetSource name="Lektionen"/>
  </cacheSource>
  <cacheFields count="9">
    <cacheField name="UserID" numFmtId="165">
      <sharedItems containsSemiMixedTypes="0" containsString="0" containsNumber="1" containsInteger="1" minValue="2" maxValue="600"/>
    </cacheField>
    <cacheField name="Lektionsnummer" numFmtId="49">
      <sharedItems containsSemiMixedTypes="0" containsString="0" containsNumber="1" containsInteger="1" minValue="1" maxValue="8"/>
    </cacheField>
    <cacheField name="Lektionstitel" numFmtId="0">
      <sharedItems count="8">
        <s v="Einführung"/>
        <s v="Finanzkennzahlen"/>
        <s v="Bilanz, Gewinn und Verlustrechnung"/>
        <s v="Aktienanalyse"/>
        <s v="Forecasting"/>
        <s v="Zusammenfassung Finanzdatenanalyse"/>
        <s v="Abschlussquiz"/>
        <s v="Abschluss"/>
      </sharedItems>
    </cacheField>
    <cacheField name="Lektionstyp" numFmtId="0">
      <sharedItems/>
    </cacheField>
    <cacheField name="Bearbeitungsdauer_geschätzt" numFmtId="0">
      <sharedItems containsSemiMixedTypes="0" containsString="0" containsNumber="1" containsInteger="1" minValue="4" maxValue="30"/>
    </cacheField>
    <cacheField name="Bearbeitungsdauer_real" numFmtId="0">
      <sharedItems containsSemiMixedTypes="0" containsString="0" containsNumber="1" containsInteger="1" minValue="1" maxValue="55"/>
    </cacheField>
    <cacheField name="Bearbeitungsdauer_abgewichen" numFmtId="9">
      <sharedItems containsSemiMixedTypes="0" containsString="0" containsNumber="1" minValue="-0.8" maxValue="0.83333333333333326"/>
    </cacheField>
    <cacheField name="Bearbeitungsdauer_Abweichungskategorie" numFmtId="9">
      <sharedItems count="4">
        <s v="keine Abweichung"/>
        <s v="länger"/>
        <s v="kürzer"/>
        <s v="viel länger"/>
      </sharedItems>
    </cacheField>
    <cacheField name="Bewertung_Schwierigkeit" numFmtId="0">
      <sharedItems containsSemiMixedTypes="0" containsString="0" containsNumber="1" containsInteger="1" minValue="1" maxValue="5" count="5">
        <n v="1"/>
        <n v="2"/>
        <n v="4"/>
        <n v="3"/>
        <n v="5"/>
      </sharedItems>
    </cacheField>
  </cacheFields>
  <extLst>
    <ext xmlns:x14="http://schemas.microsoft.com/office/spreadsheetml/2009/9/main" uri="{725AE2AE-9491-48be-B2B4-4EB974FC3084}">
      <x14:pivotCacheDefinition pivotCacheId="108158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s v="00524"/>
    <n v="5"/>
    <n v="4.5"/>
    <n v="2.5"/>
    <n v="1.5"/>
    <n v="1"/>
    <x v="0"/>
    <x v="0"/>
    <n v="3"/>
    <x v="0"/>
    <n v="1"/>
    <n v="0.9"/>
    <n v="0.5"/>
    <n v="0.375"/>
    <n v="0.33333333333333331"/>
    <n v="14.5"/>
    <n v="0.65909090909090906"/>
    <x v="0"/>
    <n v="2"/>
    <x v="0"/>
  </r>
  <r>
    <s v="00224"/>
    <n v="4.5"/>
    <n v="2.5"/>
    <n v="3"/>
    <n v="3"/>
    <n v="0"/>
    <x v="0"/>
    <x v="0"/>
    <n v="9"/>
    <x v="1"/>
    <n v="0.9"/>
    <n v="0.5"/>
    <n v="0.6"/>
    <n v="0.75"/>
    <n v="0"/>
    <n v="13"/>
    <n v="0.59090909090909094"/>
    <x v="1"/>
    <n v="5"/>
    <x v="0"/>
  </r>
  <r>
    <s v="00276"/>
    <n v="5"/>
    <n v="2.5"/>
    <n v="2"/>
    <n v="4"/>
    <n v="2"/>
    <x v="0"/>
    <x v="0"/>
    <n v="6"/>
    <x v="1"/>
    <n v="1"/>
    <n v="0.5"/>
    <n v="0.4"/>
    <n v="1"/>
    <n v="0.66666666666666663"/>
    <n v="15.5"/>
    <n v="0.70454545454545459"/>
    <x v="0"/>
    <n v="5"/>
    <x v="0"/>
  </r>
  <r>
    <s v="00280"/>
    <n v="1.5"/>
    <n v="0"/>
    <n v="0"/>
    <n v="1.5"/>
    <n v="0"/>
    <x v="0"/>
    <x v="0"/>
    <n v="3"/>
    <x v="0"/>
    <n v="0.3"/>
    <n v="0"/>
    <n v="0"/>
    <n v="0.375"/>
    <n v="0"/>
    <n v="3"/>
    <n v="0.13636363636363635"/>
    <x v="2"/>
    <n v="8"/>
    <x v="1"/>
  </r>
  <r>
    <s v="00057"/>
    <n v="5"/>
    <n v="5"/>
    <n v="1"/>
    <n v="2"/>
    <n v="0.5"/>
    <x v="0"/>
    <x v="0"/>
    <n v="4"/>
    <x v="0"/>
    <n v="1"/>
    <n v="1"/>
    <n v="0.2"/>
    <n v="0.5"/>
    <n v="0.16666666666666666"/>
    <n v="13.5"/>
    <n v="0.61363636363636365"/>
    <x v="1"/>
    <n v="7"/>
    <x v="1"/>
  </r>
  <r>
    <s v="00461"/>
    <n v="5"/>
    <n v="4"/>
    <n v="5"/>
    <n v="3"/>
    <n v="1.5"/>
    <x v="0"/>
    <x v="0"/>
    <n v="11"/>
    <x v="2"/>
    <n v="1"/>
    <n v="0.8"/>
    <n v="1"/>
    <n v="0.75"/>
    <n v="0.5"/>
    <n v="18.5"/>
    <n v="0.84090909090909094"/>
    <x v="3"/>
    <n v="7"/>
    <x v="1"/>
  </r>
  <r>
    <s v="00474"/>
    <n v="4"/>
    <n v="2.5"/>
    <n v="1"/>
    <n v="2.5"/>
    <n v="0"/>
    <x v="0"/>
    <x v="0"/>
    <n v="6"/>
    <x v="1"/>
    <n v="0.8"/>
    <n v="0.5"/>
    <n v="0.2"/>
    <n v="0.625"/>
    <n v="0"/>
    <n v="10"/>
    <n v="0.45454545454545453"/>
    <x v="2"/>
    <n v="7"/>
    <x v="1"/>
  </r>
  <r>
    <s v="00027"/>
    <n v="5"/>
    <n v="1.5"/>
    <n v="3"/>
    <n v="3"/>
    <n v="2"/>
    <x v="0"/>
    <x v="0"/>
    <n v="4"/>
    <x v="0"/>
    <n v="1"/>
    <n v="0.3"/>
    <n v="0.6"/>
    <n v="0.75"/>
    <n v="0.66666666666666663"/>
    <n v="14.5"/>
    <n v="0.65909090909090906"/>
    <x v="0"/>
    <n v="7"/>
    <x v="1"/>
  </r>
  <r>
    <s v="00482"/>
    <n v="5"/>
    <n v="3"/>
    <n v="3"/>
    <n v="2"/>
    <n v="2.5"/>
    <x v="0"/>
    <x v="0"/>
    <n v="9"/>
    <x v="1"/>
    <n v="1"/>
    <n v="0.6"/>
    <n v="0.6"/>
    <n v="0.5"/>
    <n v="0.83333333333333337"/>
    <n v="15.5"/>
    <n v="0.70454545454545459"/>
    <x v="0"/>
    <n v="8"/>
    <x v="1"/>
  </r>
  <r>
    <s v="00383"/>
    <n v="5"/>
    <n v="3"/>
    <n v="0"/>
    <n v="2.5"/>
    <n v="1"/>
    <x v="0"/>
    <x v="0"/>
    <n v="2"/>
    <x v="0"/>
    <n v="1"/>
    <n v="0.6"/>
    <n v="0"/>
    <n v="0.625"/>
    <n v="0.33333333333333331"/>
    <n v="11.5"/>
    <n v="0.52272727272727271"/>
    <x v="1"/>
    <n v="9"/>
    <x v="2"/>
  </r>
  <r>
    <s v="00365"/>
    <n v="5"/>
    <n v="3"/>
    <n v="3.5"/>
    <n v="3"/>
    <n v="1"/>
    <x v="0"/>
    <x v="0"/>
    <n v="12"/>
    <x v="2"/>
    <n v="1"/>
    <n v="0.6"/>
    <n v="0.7"/>
    <n v="0.75"/>
    <n v="0.33333333333333331"/>
    <n v="15.5"/>
    <n v="0.70454545454545459"/>
    <x v="0"/>
    <n v="9"/>
    <x v="2"/>
  </r>
  <r>
    <s v="00359"/>
    <n v="4"/>
    <n v="4"/>
    <n v="0.5"/>
    <n v="4"/>
    <n v="2.5"/>
    <x v="0"/>
    <x v="0"/>
    <n v="5"/>
    <x v="1"/>
    <n v="0.8"/>
    <n v="0.8"/>
    <n v="0.1"/>
    <n v="1"/>
    <n v="0.83333333333333337"/>
    <n v="15"/>
    <n v="0.68181818181818177"/>
    <x v="0"/>
    <n v="9"/>
    <x v="2"/>
  </r>
  <r>
    <s v="00576"/>
    <n v="5"/>
    <n v="3"/>
    <n v="5"/>
    <n v="4"/>
    <n v="2"/>
    <x v="0"/>
    <x v="0"/>
    <n v="3"/>
    <x v="0"/>
    <n v="1"/>
    <n v="0.6"/>
    <n v="1"/>
    <n v="1"/>
    <n v="0.66666666666666663"/>
    <n v="19"/>
    <n v="0.86363636363636365"/>
    <x v="3"/>
    <n v="9"/>
    <x v="2"/>
  </r>
  <r>
    <s v="00110"/>
    <n v="4"/>
    <n v="4.5"/>
    <n v="2.5"/>
    <n v="3"/>
    <n v="3"/>
    <x v="0"/>
    <x v="0"/>
    <n v="6"/>
    <x v="1"/>
    <n v="0.8"/>
    <n v="0.9"/>
    <n v="0.5"/>
    <n v="0.75"/>
    <n v="1"/>
    <n v="17"/>
    <n v="0.77272727272727271"/>
    <x v="0"/>
    <n v="9"/>
    <x v="2"/>
  </r>
  <r>
    <s v="00198"/>
    <n v="4.5"/>
    <n v="1.5"/>
    <n v="3.5"/>
    <n v="1.5"/>
    <n v="3"/>
    <x v="0"/>
    <x v="0"/>
    <n v="14"/>
    <x v="2"/>
    <n v="0.9"/>
    <n v="0.3"/>
    <n v="0.7"/>
    <n v="0.375"/>
    <n v="1"/>
    <n v="14"/>
    <n v="0.63636363636363635"/>
    <x v="1"/>
    <n v="10"/>
    <x v="2"/>
  </r>
  <r>
    <s v="00066"/>
    <n v="4.5"/>
    <n v="4.5"/>
    <n v="3"/>
    <n v="3.5"/>
    <n v="1.5"/>
    <x v="0"/>
    <x v="0"/>
    <n v="4"/>
    <x v="0"/>
    <n v="0.9"/>
    <n v="0.9"/>
    <n v="0.6"/>
    <n v="0.875"/>
    <n v="0.5"/>
    <n v="17"/>
    <n v="0.77272727272727271"/>
    <x v="0"/>
    <n v="9"/>
    <x v="2"/>
  </r>
  <r>
    <s v="00220"/>
    <n v="5"/>
    <n v="4"/>
    <n v="0.5"/>
    <n v="2.5"/>
    <n v="3"/>
    <x v="0"/>
    <x v="0"/>
    <n v="12"/>
    <x v="2"/>
    <n v="1"/>
    <n v="0.8"/>
    <n v="0.1"/>
    <n v="0.625"/>
    <n v="1"/>
    <n v="15"/>
    <n v="0.68181818181818177"/>
    <x v="0"/>
    <n v="9"/>
    <x v="2"/>
  </r>
  <r>
    <s v="00473"/>
    <n v="5"/>
    <n v="4.5"/>
    <n v="3"/>
    <n v="0"/>
    <n v="0.5"/>
    <x v="0"/>
    <x v="0"/>
    <n v="1"/>
    <x v="0"/>
    <n v="1"/>
    <n v="0.9"/>
    <n v="0.6"/>
    <n v="0"/>
    <n v="0.16666666666666666"/>
    <n v="13"/>
    <n v="0.59090909090909094"/>
    <x v="1"/>
    <n v="10"/>
    <x v="2"/>
  </r>
  <r>
    <s v="00137"/>
    <n v="5"/>
    <n v="3.5"/>
    <n v="2.5"/>
    <n v="0.5"/>
    <n v="2.5"/>
    <x v="0"/>
    <x v="0"/>
    <n v="4"/>
    <x v="0"/>
    <n v="1"/>
    <n v="0.7"/>
    <n v="0.5"/>
    <n v="0.125"/>
    <n v="0.83333333333333337"/>
    <n v="14"/>
    <n v="0.63636363636363635"/>
    <x v="1"/>
    <n v="10"/>
    <x v="2"/>
  </r>
  <r>
    <s v="00120"/>
    <n v="4.5"/>
    <n v="1.5"/>
    <n v="1"/>
    <n v="4"/>
    <n v="3"/>
    <x v="1"/>
    <x v="0"/>
    <n v="5"/>
    <x v="1"/>
    <n v="0.9"/>
    <n v="0.3"/>
    <n v="0.2"/>
    <n v="1"/>
    <n v="1"/>
    <n v="14"/>
    <n v="0.63636363636363635"/>
    <x v="1"/>
    <n v="7"/>
    <x v="1"/>
  </r>
  <r>
    <s v="00448"/>
    <n v="2"/>
    <n v="0"/>
    <n v="0.5"/>
    <n v="0.5"/>
    <n v="0"/>
    <x v="2"/>
    <x v="0"/>
    <n v="11"/>
    <x v="2"/>
    <n v="0.4"/>
    <n v="0"/>
    <n v="0.1"/>
    <n v="0.125"/>
    <n v="0"/>
    <n v="3"/>
    <n v="0.13636363636363635"/>
    <x v="2"/>
    <n v="8"/>
    <x v="1"/>
  </r>
  <r>
    <s v="00108"/>
    <n v="3.5"/>
    <n v="5"/>
    <n v="3.5"/>
    <n v="2"/>
    <n v="1.5"/>
    <x v="1"/>
    <x v="0"/>
    <n v="5"/>
    <x v="1"/>
    <n v="0.7"/>
    <n v="1"/>
    <n v="0.7"/>
    <n v="0.5"/>
    <n v="0.5"/>
    <n v="15.5"/>
    <n v="0.70454545454545459"/>
    <x v="0"/>
    <n v="8"/>
    <x v="1"/>
  </r>
  <r>
    <s v="00380"/>
    <n v="5"/>
    <n v="4"/>
    <n v="1.5"/>
    <n v="1.5"/>
    <n v="0"/>
    <x v="2"/>
    <x v="0"/>
    <n v="7"/>
    <x v="1"/>
    <n v="1"/>
    <n v="0.8"/>
    <n v="0.3"/>
    <n v="0.375"/>
    <n v="0"/>
    <n v="12"/>
    <n v="0.54545454545454541"/>
    <x v="1"/>
    <n v="8"/>
    <x v="1"/>
  </r>
  <r>
    <s v="00593"/>
    <n v="4"/>
    <n v="5"/>
    <n v="3.5"/>
    <n v="3"/>
    <n v="3"/>
    <x v="3"/>
    <x v="0"/>
    <n v="7"/>
    <x v="1"/>
    <n v="0.8"/>
    <n v="1"/>
    <n v="0.7"/>
    <n v="0.75"/>
    <n v="1"/>
    <n v="18.5"/>
    <n v="0.84090909090909094"/>
    <x v="3"/>
    <n v="8"/>
    <x v="1"/>
  </r>
  <r>
    <s v="00183"/>
    <n v="5"/>
    <n v="2.5"/>
    <n v="3.5"/>
    <n v="3"/>
    <n v="1.5"/>
    <x v="1"/>
    <x v="0"/>
    <n v="20"/>
    <x v="3"/>
    <n v="1"/>
    <n v="0.5"/>
    <n v="0.7"/>
    <n v="0.75"/>
    <n v="0.5"/>
    <n v="15.5"/>
    <n v="0.70454545454545459"/>
    <x v="0"/>
    <n v="5"/>
    <x v="0"/>
  </r>
  <r>
    <s v="00073"/>
    <n v="5"/>
    <n v="3"/>
    <n v="1"/>
    <n v="4"/>
    <n v="3"/>
    <x v="2"/>
    <x v="0"/>
    <n v="1"/>
    <x v="0"/>
    <n v="1"/>
    <n v="0.6"/>
    <n v="0.2"/>
    <n v="1"/>
    <n v="1"/>
    <n v="16"/>
    <n v="0.72727272727272729"/>
    <x v="0"/>
    <n v="4"/>
    <x v="0"/>
  </r>
  <r>
    <s v="00289"/>
    <n v="5"/>
    <n v="3.5"/>
    <n v="0"/>
    <n v="3"/>
    <n v="1.5"/>
    <x v="3"/>
    <x v="0"/>
    <n v="12"/>
    <x v="2"/>
    <n v="1"/>
    <n v="0.7"/>
    <n v="0"/>
    <n v="0.75"/>
    <n v="0.5"/>
    <n v="13"/>
    <n v="0.59090909090909094"/>
    <x v="1"/>
    <n v="6"/>
    <x v="0"/>
  </r>
  <r>
    <s v="00286"/>
    <n v="5"/>
    <n v="3.5"/>
    <n v="2.5"/>
    <n v="2.5"/>
    <n v="1.5"/>
    <x v="1"/>
    <x v="0"/>
    <n v="12"/>
    <x v="2"/>
    <n v="1"/>
    <n v="0.7"/>
    <n v="0.5"/>
    <n v="0.625"/>
    <n v="0.5"/>
    <n v="15"/>
    <n v="0.68181818181818177"/>
    <x v="0"/>
    <n v="9"/>
    <x v="2"/>
  </r>
  <r>
    <s v="00554"/>
    <n v="5"/>
    <n v="5"/>
    <n v="2.5"/>
    <n v="2"/>
    <n v="2.5"/>
    <x v="2"/>
    <x v="0"/>
    <n v="9"/>
    <x v="1"/>
    <n v="1"/>
    <n v="1"/>
    <n v="0.5"/>
    <n v="0.5"/>
    <n v="0.83333333333333337"/>
    <n v="17"/>
    <n v="0.77272727272727271"/>
    <x v="0"/>
    <n v="9"/>
    <x v="2"/>
  </r>
  <r>
    <s v="00464"/>
    <n v="5"/>
    <n v="2.5"/>
    <n v="3"/>
    <n v="3.5"/>
    <n v="1.5"/>
    <x v="1"/>
    <x v="0"/>
    <n v="5"/>
    <x v="1"/>
    <n v="1"/>
    <n v="0.5"/>
    <n v="0.6"/>
    <n v="0.875"/>
    <n v="0.5"/>
    <n v="15.5"/>
    <n v="0.70454545454545459"/>
    <x v="0"/>
    <n v="9"/>
    <x v="2"/>
  </r>
  <r>
    <s v="00405"/>
    <n v="5"/>
    <n v="4"/>
    <n v="2.5"/>
    <n v="3"/>
    <n v="1.5"/>
    <x v="3"/>
    <x v="0"/>
    <n v="9"/>
    <x v="1"/>
    <n v="1"/>
    <n v="0.8"/>
    <n v="0.5"/>
    <n v="0.75"/>
    <n v="0.5"/>
    <n v="16"/>
    <n v="0.72727272727272729"/>
    <x v="0"/>
    <n v="9"/>
    <x v="2"/>
  </r>
  <r>
    <s v="00105"/>
    <n v="4.5"/>
    <n v="4"/>
    <n v="3.5"/>
    <n v="2.5"/>
    <n v="1.5"/>
    <x v="3"/>
    <x v="0"/>
    <n v="15"/>
    <x v="4"/>
    <n v="0.9"/>
    <n v="0.8"/>
    <n v="0.7"/>
    <n v="0.625"/>
    <n v="0.5"/>
    <n v="16"/>
    <n v="0.72727272727272729"/>
    <x v="0"/>
    <n v="9"/>
    <x v="2"/>
  </r>
  <r>
    <s v="00527"/>
    <n v="5"/>
    <n v="5"/>
    <n v="3.5"/>
    <n v="1.5"/>
    <n v="1"/>
    <x v="2"/>
    <x v="0"/>
    <n v="12"/>
    <x v="2"/>
    <n v="1"/>
    <n v="1"/>
    <n v="0.7"/>
    <n v="0.375"/>
    <n v="0.33333333333333331"/>
    <n v="16"/>
    <n v="0.72727272727272729"/>
    <x v="0"/>
    <n v="9"/>
    <x v="2"/>
  </r>
  <r>
    <s v="00357"/>
    <n v="4"/>
    <n v="4"/>
    <n v="4"/>
    <n v="4"/>
    <n v="0.5"/>
    <x v="3"/>
    <x v="0"/>
    <n v="1"/>
    <x v="0"/>
    <n v="0.8"/>
    <n v="0.8"/>
    <n v="0.8"/>
    <n v="1"/>
    <n v="0.16666666666666666"/>
    <n v="16.5"/>
    <n v="0.75"/>
    <x v="0"/>
    <n v="5"/>
    <x v="0"/>
  </r>
  <r>
    <s v="00540"/>
    <n v="5"/>
    <n v="4.5"/>
    <n v="1"/>
    <n v="0.5"/>
    <n v="2"/>
    <x v="3"/>
    <x v="0"/>
    <n v="4"/>
    <x v="0"/>
    <n v="1"/>
    <n v="0.9"/>
    <n v="0.2"/>
    <n v="0.125"/>
    <n v="0.66666666666666663"/>
    <n v="13"/>
    <n v="0.59090909090909094"/>
    <x v="1"/>
    <n v="4"/>
    <x v="0"/>
  </r>
  <r>
    <s v="00178"/>
    <n v="5"/>
    <n v="5"/>
    <n v="0"/>
    <n v="3.5"/>
    <n v="1"/>
    <x v="1"/>
    <x v="0"/>
    <n v="10"/>
    <x v="2"/>
    <n v="1"/>
    <n v="1"/>
    <n v="0"/>
    <n v="0.875"/>
    <n v="0.33333333333333331"/>
    <n v="14.5"/>
    <n v="0.65909090909090906"/>
    <x v="0"/>
    <n v="6"/>
    <x v="0"/>
  </r>
  <r>
    <s v="00046"/>
    <n v="5"/>
    <n v="5"/>
    <n v="0"/>
    <n v="0.5"/>
    <n v="2"/>
    <x v="2"/>
    <x v="0"/>
    <n v="14"/>
    <x v="2"/>
    <n v="1"/>
    <n v="1"/>
    <n v="0"/>
    <n v="0.125"/>
    <n v="0.66666666666666663"/>
    <n v="12.5"/>
    <n v="0.56818181818181823"/>
    <x v="1"/>
    <n v="6"/>
    <x v="0"/>
  </r>
  <r>
    <s v="00011"/>
    <n v="5"/>
    <n v="5"/>
    <n v="0.5"/>
    <n v="4"/>
    <n v="1"/>
    <x v="3"/>
    <x v="0"/>
    <n v="12"/>
    <x v="2"/>
    <n v="1"/>
    <n v="1"/>
    <n v="0.1"/>
    <n v="1"/>
    <n v="0.33333333333333331"/>
    <n v="15.5"/>
    <n v="0.70454545454545459"/>
    <x v="0"/>
    <n v="10"/>
    <x v="2"/>
  </r>
  <r>
    <s v="00251"/>
    <n v="5"/>
    <n v="2"/>
    <n v="1.5"/>
    <n v="3.5"/>
    <n v="2.5"/>
    <x v="1"/>
    <x v="0"/>
    <n v="11"/>
    <x v="2"/>
    <n v="1"/>
    <n v="0.4"/>
    <n v="0.3"/>
    <n v="0.875"/>
    <n v="0.83333333333333337"/>
    <n v="14.5"/>
    <n v="0.65909090909090906"/>
    <x v="0"/>
    <n v="9"/>
    <x v="2"/>
  </r>
  <r>
    <s v="00077"/>
    <n v="1.5"/>
    <n v="5"/>
    <n v="4"/>
    <n v="0.5"/>
    <n v="1"/>
    <x v="4"/>
    <x v="0"/>
    <n v="15"/>
    <x v="4"/>
    <n v="0.3"/>
    <n v="1"/>
    <n v="0.8"/>
    <n v="0.125"/>
    <n v="0.33333333333333331"/>
    <n v="12"/>
    <n v="0.54545454545454541"/>
    <x v="1"/>
    <n v="4"/>
    <x v="0"/>
  </r>
  <r>
    <s v="00520"/>
    <n v="5"/>
    <n v="3.5"/>
    <n v="0"/>
    <n v="3.5"/>
    <n v="3"/>
    <x v="4"/>
    <x v="0"/>
    <n v="5"/>
    <x v="1"/>
    <n v="1"/>
    <n v="0.7"/>
    <n v="0"/>
    <n v="0.875"/>
    <n v="1"/>
    <n v="15"/>
    <n v="0.68181818181818177"/>
    <x v="0"/>
    <n v="4"/>
    <x v="0"/>
  </r>
  <r>
    <s v="00467"/>
    <n v="3.5"/>
    <n v="2"/>
    <n v="1.5"/>
    <n v="2"/>
    <n v="0"/>
    <x v="4"/>
    <x v="0"/>
    <n v="1"/>
    <x v="0"/>
    <n v="0.7"/>
    <n v="0.4"/>
    <n v="0.3"/>
    <n v="0.5"/>
    <n v="0"/>
    <n v="9"/>
    <n v="0.40909090909090912"/>
    <x v="2"/>
    <n v="8"/>
    <x v="1"/>
  </r>
  <r>
    <s v="00443"/>
    <n v="5"/>
    <n v="4.5"/>
    <n v="2.5"/>
    <n v="3"/>
    <n v="3"/>
    <x v="4"/>
    <x v="0"/>
    <n v="4"/>
    <x v="0"/>
    <n v="1"/>
    <n v="0.9"/>
    <n v="0.5"/>
    <n v="0.75"/>
    <n v="1"/>
    <n v="18"/>
    <n v="0.81818181818181823"/>
    <x v="3"/>
    <n v="8"/>
    <x v="1"/>
  </r>
  <r>
    <s v="00223"/>
    <n v="2"/>
    <n v="1.5"/>
    <n v="0.5"/>
    <n v="0.5"/>
    <n v="1"/>
    <x v="4"/>
    <x v="0"/>
    <n v="7"/>
    <x v="1"/>
    <n v="0.4"/>
    <n v="0.3"/>
    <n v="0.1"/>
    <n v="0.125"/>
    <n v="0.33333333333333331"/>
    <n v="5.5"/>
    <n v="0.25"/>
    <x v="2"/>
    <n v="8"/>
    <x v="1"/>
  </r>
  <r>
    <s v="00528"/>
    <n v="5"/>
    <n v="4"/>
    <n v="0.5"/>
    <n v="1"/>
    <n v="2"/>
    <x v="4"/>
    <x v="0"/>
    <n v="19"/>
    <x v="4"/>
    <n v="1"/>
    <n v="0.8"/>
    <n v="0.1"/>
    <n v="0.25"/>
    <n v="0.66666666666666663"/>
    <n v="12.5"/>
    <n v="0.56818181818181823"/>
    <x v="1"/>
    <n v="6"/>
    <x v="0"/>
  </r>
  <r>
    <s v="00578"/>
    <n v="4.5"/>
    <n v="5"/>
    <n v="2"/>
    <n v="2"/>
    <n v="0.5"/>
    <x v="4"/>
    <x v="0"/>
    <n v="2"/>
    <x v="0"/>
    <n v="0.9"/>
    <n v="1"/>
    <n v="0.4"/>
    <n v="0.5"/>
    <n v="0.16666666666666666"/>
    <n v="14"/>
    <n v="0.63636363636363635"/>
    <x v="1"/>
    <n v="6"/>
    <x v="0"/>
  </r>
  <r>
    <s v="00599"/>
    <n v="5"/>
    <n v="3.5"/>
    <n v="1.5"/>
    <n v="3"/>
    <n v="2.5"/>
    <x v="4"/>
    <x v="0"/>
    <n v="8"/>
    <x v="1"/>
    <n v="1"/>
    <n v="0.7"/>
    <n v="0.3"/>
    <n v="0.75"/>
    <n v="0.83333333333333337"/>
    <n v="15.5"/>
    <n v="0.70454545454545459"/>
    <x v="0"/>
    <n v="8"/>
    <x v="1"/>
  </r>
  <r>
    <s v="00174"/>
    <n v="4.5"/>
    <n v="3.5"/>
    <n v="2.5"/>
    <n v="4"/>
    <n v="0.5"/>
    <x v="4"/>
    <x v="0"/>
    <n v="16"/>
    <x v="4"/>
    <n v="0.9"/>
    <n v="0.7"/>
    <n v="0.5"/>
    <n v="1"/>
    <n v="0.16666666666666666"/>
    <n v="15"/>
    <n v="0.68181818181818177"/>
    <x v="0"/>
    <n v="7"/>
    <x v="1"/>
  </r>
  <r>
    <s v="00295"/>
    <n v="5"/>
    <n v="5"/>
    <n v="1"/>
    <n v="1.5"/>
    <n v="2.5"/>
    <x v="4"/>
    <x v="0"/>
    <n v="6"/>
    <x v="1"/>
    <n v="1"/>
    <n v="1"/>
    <n v="0.2"/>
    <n v="0.375"/>
    <n v="0.83333333333333337"/>
    <n v="15"/>
    <n v="0.68181818181818177"/>
    <x v="0"/>
    <n v="8"/>
    <x v="1"/>
  </r>
  <r>
    <s v="00336"/>
    <n v="5"/>
    <n v="3.5"/>
    <n v="3"/>
    <n v="2.5"/>
    <n v="1.5"/>
    <x v="4"/>
    <x v="0"/>
    <n v="5"/>
    <x v="1"/>
    <n v="1"/>
    <n v="0.7"/>
    <n v="0.6"/>
    <n v="0.625"/>
    <n v="0.5"/>
    <n v="15.5"/>
    <n v="0.70454545454545459"/>
    <x v="0"/>
    <n v="7"/>
    <x v="1"/>
  </r>
  <r>
    <s v="00422"/>
    <n v="5"/>
    <n v="4.5"/>
    <n v="2.5"/>
    <n v="3.5"/>
    <n v="0"/>
    <x v="4"/>
    <x v="0"/>
    <n v="17"/>
    <x v="4"/>
    <n v="1"/>
    <n v="0.9"/>
    <n v="0.5"/>
    <n v="0.875"/>
    <n v="0"/>
    <n v="15.5"/>
    <n v="0.70454545454545459"/>
    <x v="0"/>
    <n v="9"/>
    <x v="2"/>
  </r>
  <r>
    <s v="00074"/>
    <n v="2"/>
    <n v="4"/>
    <n v="1.5"/>
    <n v="3.5"/>
    <n v="2"/>
    <x v="4"/>
    <x v="0"/>
    <n v="15"/>
    <x v="4"/>
    <n v="0.4"/>
    <n v="0.8"/>
    <n v="0.3"/>
    <n v="0.875"/>
    <n v="0.66666666666666663"/>
    <n v="13"/>
    <n v="0.59090909090909094"/>
    <x v="1"/>
    <n v="9"/>
    <x v="2"/>
  </r>
  <r>
    <s v="00263"/>
    <n v="5"/>
    <n v="4"/>
    <n v="3.5"/>
    <n v="3"/>
    <n v="2"/>
    <x v="4"/>
    <x v="0"/>
    <n v="13"/>
    <x v="2"/>
    <n v="1"/>
    <n v="0.8"/>
    <n v="0.7"/>
    <n v="0.75"/>
    <n v="0.66666666666666663"/>
    <n v="17.5"/>
    <n v="0.79545454545454541"/>
    <x v="0"/>
    <n v="9"/>
    <x v="2"/>
  </r>
  <r>
    <s v="00264"/>
    <n v="5"/>
    <n v="5"/>
    <n v="2.5"/>
    <n v="4"/>
    <n v="1.5"/>
    <x v="4"/>
    <x v="0"/>
    <n v="4"/>
    <x v="0"/>
    <n v="1"/>
    <n v="1"/>
    <n v="0.5"/>
    <n v="1"/>
    <n v="0.5"/>
    <n v="18"/>
    <n v="0.81818181818181823"/>
    <x v="3"/>
    <n v="9"/>
    <x v="2"/>
  </r>
  <r>
    <s v="00252"/>
    <n v="5"/>
    <n v="4"/>
    <n v="3.5"/>
    <n v="2"/>
    <n v="2"/>
    <x v="4"/>
    <x v="0"/>
    <n v="10"/>
    <x v="2"/>
    <n v="1"/>
    <n v="0.8"/>
    <n v="0.7"/>
    <n v="0.5"/>
    <n v="0.66666666666666663"/>
    <n v="16.5"/>
    <n v="0.75"/>
    <x v="0"/>
    <n v="9"/>
    <x v="2"/>
  </r>
  <r>
    <s v="00481"/>
    <n v="5"/>
    <n v="5"/>
    <n v="4"/>
    <n v="4"/>
    <n v="2"/>
    <x v="4"/>
    <x v="0"/>
    <n v="23"/>
    <x v="3"/>
    <n v="1"/>
    <n v="1"/>
    <n v="0.8"/>
    <n v="1"/>
    <n v="0.66666666666666663"/>
    <n v="20"/>
    <n v="0.90909090909090906"/>
    <x v="3"/>
    <n v="9"/>
    <x v="2"/>
  </r>
  <r>
    <s v="00362"/>
    <n v="3"/>
    <n v="3.5"/>
    <n v="3.5"/>
    <n v="2.5"/>
    <n v="2"/>
    <x v="4"/>
    <x v="0"/>
    <n v="5"/>
    <x v="1"/>
    <n v="0.6"/>
    <n v="0.7"/>
    <n v="0.7"/>
    <n v="0.625"/>
    <n v="0.66666666666666663"/>
    <n v="14.5"/>
    <n v="0.65909090909090906"/>
    <x v="0"/>
    <n v="9"/>
    <x v="2"/>
  </r>
  <r>
    <s v="00334"/>
    <n v="4.5"/>
    <n v="2.5"/>
    <n v="3"/>
    <n v="3"/>
    <n v="1"/>
    <x v="4"/>
    <x v="0"/>
    <n v="9"/>
    <x v="1"/>
    <n v="0.9"/>
    <n v="0.5"/>
    <n v="0.6"/>
    <n v="0.75"/>
    <n v="0.33333333333333331"/>
    <n v="14"/>
    <n v="0.63636363636363635"/>
    <x v="1"/>
    <n v="10"/>
    <x v="2"/>
  </r>
  <r>
    <s v="00014"/>
    <n v="5"/>
    <n v="4.5"/>
    <n v="1"/>
    <n v="2"/>
    <n v="1.5"/>
    <x v="4"/>
    <x v="0"/>
    <n v="4"/>
    <x v="0"/>
    <n v="1"/>
    <n v="0.9"/>
    <n v="0.2"/>
    <n v="0.5"/>
    <n v="0.5"/>
    <n v="14"/>
    <n v="0.63636363636363635"/>
    <x v="1"/>
    <n v="10"/>
    <x v="2"/>
  </r>
  <r>
    <s v="00149"/>
    <n v="5"/>
    <n v="4.5"/>
    <n v="2.5"/>
    <n v="3"/>
    <n v="1"/>
    <x v="4"/>
    <x v="0"/>
    <n v="14"/>
    <x v="2"/>
    <n v="1"/>
    <n v="0.9"/>
    <n v="0.5"/>
    <n v="0.75"/>
    <n v="0.33333333333333331"/>
    <n v="16"/>
    <n v="0.72727272727272729"/>
    <x v="0"/>
    <n v="10"/>
    <x v="2"/>
  </r>
  <r>
    <s v="00465"/>
    <n v="3.5"/>
    <n v="4.5"/>
    <n v="4"/>
    <n v="1"/>
    <n v="1.5"/>
    <x v="4"/>
    <x v="0"/>
    <n v="13"/>
    <x v="2"/>
    <n v="0.7"/>
    <n v="0.9"/>
    <n v="0.8"/>
    <n v="0.25"/>
    <n v="0.5"/>
    <n v="14.5"/>
    <n v="0.65909090909090906"/>
    <x v="0"/>
    <n v="10"/>
    <x v="2"/>
  </r>
  <r>
    <s v="00592"/>
    <n v="5"/>
    <n v="4.5"/>
    <n v="4.5"/>
    <n v="1"/>
    <n v="0"/>
    <x v="4"/>
    <x v="0"/>
    <n v="7"/>
    <x v="1"/>
    <n v="1"/>
    <n v="0.9"/>
    <n v="0.9"/>
    <n v="0.25"/>
    <n v="0"/>
    <n v="15"/>
    <n v="0.68181818181818177"/>
    <x v="0"/>
    <n v="10"/>
    <x v="2"/>
  </r>
  <r>
    <s v="00294"/>
    <n v="4.5"/>
    <n v="3.5"/>
    <n v="1"/>
    <n v="0.5"/>
    <n v="3"/>
    <x v="4"/>
    <x v="0"/>
    <n v="18"/>
    <x v="4"/>
    <n v="0.9"/>
    <n v="0.7"/>
    <n v="0.2"/>
    <n v="0.125"/>
    <n v="1"/>
    <n v="12.5"/>
    <n v="0.56818181818181823"/>
    <x v="1"/>
    <n v="10"/>
    <x v="2"/>
  </r>
  <r>
    <s v="00375"/>
    <n v="4"/>
    <n v="4"/>
    <n v="2.5"/>
    <n v="1"/>
    <n v="0.5"/>
    <x v="4"/>
    <x v="0"/>
    <n v="21"/>
    <x v="3"/>
    <n v="0.8"/>
    <n v="0.8"/>
    <n v="0.5"/>
    <n v="0.25"/>
    <n v="0.16666666666666666"/>
    <n v="12"/>
    <n v="0.54545454545454541"/>
    <x v="1"/>
    <n v="10"/>
    <x v="2"/>
  </r>
  <r>
    <s v="00310"/>
    <n v="5"/>
    <n v="3.5"/>
    <n v="2"/>
    <n v="4"/>
    <n v="2.5"/>
    <x v="5"/>
    <x v="0"/>
    <n v="7"/>
    <x v="1"/>
    <n v="1"/>
    <n v="0.7"/>
    <n v="0.4"/>
    <n v="1"/>
    <n v="0.83333333333333337"/>
    <n v="17"/>
    <n v="0.77272727272727271"/>
    <x v="0"/>
    <n v="5"/>
    <x v="0"/>
  </r>
  <r>
    <s v="00018"/>
    <n v="5"/>
    <n v="4"/>
    <n v="1.5"/>
    <n v="3.5"/>
    <n v="2.5"/>
    <x v="5"/>
    <x v="0"/>
    <n v="2"/>
    <x v="0"/>
    <n v="1"/>
    <n v="0.8"/>
    <n v="0.3"/>
    <n v="0.875"/>
    <n v="0.83333333333333337"/>
    <n v="16.5"/>
    <n v="0.75"/>
    <x v="0"/>
    <n v="4"/>
    <x v="0"/>
  </r>
  <r>
    <s v="00395"/>
    <n v="3.5"/>
    <n v="2"/>
    <n v="4"/>
    <n v="4"/>
    <n v="0"/>
    <x v="5"/>
    <x v="0"/>
    <n v="4"/>
    <x v="0"/>
    <n v="0.7"/>
    <n v="0.4"/>
    <n v="0.8"/>
    <n v="1"/>
    <n v="0"/>
    <n v="13.5"/>
    <n v="0.61363636363636365"/>
    <x v="1"/>
    <n v="5"/>
    <x v="0"/>
  </r>
  <r>
    <s v="00012"/>
    <n v="5"/>
    <n v="4"/>
    <n v="3.5"/>
    <n v="0.5"/>
    <n v="2"/>
    <x v="6"/>
    <x v="0"/>
    <n v="2"/>
    <x v="0"/>
    <n v="1"/>
    <n v="0.8"/>
    <n v="0.7"/>
    <n v="0.125"/>
    <n v="0.66666666666666663"/>
    <n v="15"/>
    <n v="0.68181818181818177"/>
    <x v="0"/>
    <n v="10"/>
    <x v="2"/>
  </r>
  <r>
    <s v="00367"/>
    <n v="2"/>
    <n v="0"/>
    <n v="1.5"/>
    <n v="0"/>
    <n v="0"/>
    <x v="6"/>
    <x v="0"/>
    <n v="3"/>
    <x v="0"/>
    <n v="0.4"/>
    <n v="0"/>
    <n v="0.3"/>
    <n v="0"/>
    <n v="0"/>
    <n v="3.5"/>
    <n v="0.15909090909090909"/>
    <x v="2"/>
    <n v="9"/>
    <x v="2"/>
  </r>
  <r>
    <s v="00331"/>
    <n v="4"/>
    <n v="4"/>
    <n v="0.5"/>
    <n v="4"/>
    <n v="1"/>
    <x v="6"/>
    <x v="0"/>
    <n v="6"/>
    <x v="1"/>
    <n v="0.8"/>
    <n v="0.8"/>
    <n v="0.1"/>
    <n v="1"/>
    <n v="0.33333333333333331"/>
    <n v="13.5"/>
    <n v="0.61363636363636365"/>
    <x v="1"/>
    <n v="9"/>
    <x v="2"/>
  </r>
  <r>
    <s v="00095"/>
    <n v="5"/>
    <n v="4.5"/>
    <n v="3"/>
    <n v="3"/>
    <n v="2.5"/>
    <x v="6"/>
    <x v="0"/>
    <n v="6"/>
    <x v="1"/>
    <n v="1"/>
    <n v="0.9"/>
    <n v="0.6"/>
    <n v="0.75"/>
    <n v="0.83333333333333337"/>
    <n v="18"/>
    <n v="0.81818181818181823"/>
    <x v="3"/>
    <n v="10"/>
    <x v="2"/>
  </r>
  <r>
    <s v="00313"/>
    <n v="5"/>
    <n v="3.5"/>
    <n v="0"/>
    <n v="4"/>
    <n v="0"/>
    <x v="6"/>
    <x v="0"/>
    <n v="6"/>
    <x v="1"/>
    <n v="1"/>
    <n v="0.7"/>
    <n v="0"/>
    <n v="1"/>
    <n v="0"/>
    <n v="12.5"/>
    <n v="0.56818181818181823"/>
    <x v="1"/>
    <n v="9"/>
    <x v="2"/>
  </r>
  <r>
    <s v="00396"/>
    <n v="5"/>
    <n v="4"/>
    <n v="1.5"/>
    <n v="4"/>
    <n v="2.5"/>
    <x v="7"/>
    <x v="0"/>
    <n v="12"/>
    <x v="2"/>
    <n v="1"/>
    <n v="0.8"/>
    <n v="0.3"/>
    <n v="1"/>
    <n v="0.83333333333333337"/>
    <n v="17"/>
    <n v="0.77272727272727271"/>
    <x v="0"/>
    <n v="9"/>
    <x v="2"/>
  </r>
  <r>
    <s v="00236"/>
    <n v="5"/>
    <n v="5"/>
    <n v="3.5"/>
    <n v="2.5"/>
    <n v="0.5"/>
    <x v="7"/>
    <x v="0"/>
    <n v="19"/>
    <x v="4"/>
    <n v="1"/>
    <n v="1"/>
    <n v="0.7"/>
    <n v="0.625"/>
    <n v="0.16666666666666666"/>
    <n v="16.5"/>
    <n v="0.75"/>
    <x v="0"/>
    <n v="9"/>
    <x v="2"/>
  </r>
  <r>
    <s v="00232"/>
    <n v="3"/>
    <n v="2"/>
    <n v="4.5"/>
    <n v="2"/>
    <n v="1"/>
    <x v="7"/>
    <x v="0"/>
    <n v="12"/>
    <x v="2"/>
    <n v="0.6"/>
    <n v="0.4"/>
    <n v="0.9"/>
    <n v="0.5"/>
    <n v="0.33333333333333331"/>
    <n v="12.5"/>
    <n v="0.56818181818181823"/>
    <x v="1"/>
    <n v="7"/>
    <x v="1"/>
  </r>
  <r>
    <s v="00424"/>
    <n v="2"/>
    <n v="3"/>
    <n v="2.5"/>
    <n v="2.5"/>
    <n v="0.5"/>
    <x v="7"/>
    <x v="0"/>
    <n v="21"/>
    <x v="3"/>
    <n v="0.4"/>
    <n v="0.6"/>
    <n v="0.5"/>
    <n v="0.625"/>
    <n v="0.16666666666666666"/>
    <n v="10.5"/>
    <n v="0.47727272727272729"/>
    <x v="2"/>
    <n v="7"/>
    <x v="1"/>
  </r>
  <r>
    <s v="00553"/>
    <n v="1.5"/>
    <n v="1"/>
    <n v="0"/>
    <n v="2"/>
    <n v="1"/>
    <x v="7"/>
    <x v="0"/>
    <n v="20"/>
    <x v="3"/>
    <n v="0.3"/>
    <n v="0.2"/>
    <n v="0"/>
    <n v="0.5"/>
    <n v="0.33333333333333331"/>
    <n v="5.5"/>
    <n v="0.25"/>
    <x v="2"/>
    <n v="8"/>
    <x v="1"/>
  </r>
  <r>
    <s v="00111"/>
    <n v="3.5"/>
    <n v="5"/>
    <n v="1.5"/>
    <n v="3"/>
    <n v="2"/>
    <x v="7"/>
    <x v="0"/>
    <n v="7"/>
    <x v="1"/>
    <n v="0.7"/>
    <n v="1"/>
    <n v="0.3"/>
    <n v="0.75"/>
    <n v="0.66666666666666663"/>
    <n v="15"/>
    <n v="0.68181818181818177"/>
    <x v="0"/>
    <n v="8"/>
    <x v="1"/>
  </r>
  <r>
    <s v="00594"/>
    <n v="5"/>
    <n v="3.5"/>
    <n v="1.5"/>
    <n v="3"/>
    <n v="0"/>
    <x v="7"/>
    <x v="0"/>
    <n v="3"/>
    <x v="0"/>
    <n v="1"/>
    <n v="0.7"/>
    <n v="0.3"/>
    <n v="0.75"/>
    <n v="0"/>
    <n v="13"/>
    <n v="0.59090909090909094"/>
    <x v="1"/>
    <n v="8"/>
    <x v="1"/>
  </r>
  <r>
    <s v="00265"/>
    <n v="5"/>
    <n v="4"/>
    <n v="2"/>
    <n v="4"/>
    <n v="1.5"/>
    <x v="7"/>
    <x v="0"/>
    <n v="2"/>
    <x v="0"/>
    <n v="1"/>
    <n v="0.8"/>
    <n v="0.4"/>
    <n v="1"/>
    <n v="0.5"/>
    <n v="16.5"/>
    <n v="0.75"/>
    <x v="0"/>
    <n v="8"/>
    <x v="1"/>
  </r>
  <r>
    <s v="00184"/>
    <n v="5"/>
    <n v="4.5"/>
    <n v="4"/>
    <n v="0.5"/>
    <n v="2"/>
    <x v="7"/>
    <x v="0"/>
    <n v="8"/>
    <x v="1"/>
    <n v="1"/>
    <n v="0.9"/>
    <n v="0.8"/>
    <n v="0.125"/>
    <n v="0.66666666666666663"/>
    <n v="16"/>
    <n v="0.72727272727272729"/>
    <x v="0"/>
    <n v="8"/>
    <x v="1"/>
  </r>
  <r>
    <s v="00142"/>
    <n v="3.5"/>
    <n v="3"/>
    <n v="3"/>
    <n v="0.5"/>
    <n v="0"/>
    <x v="8"/>
    <x v="0"/>
    <n v="5"/>
    <x v="1"/>
    <n v="0.7"/>
    <n v="0.6"/>
    <n v="0.6"/>
    <n v="0.125"/>
    <n v="0"/>
    <n v="10"/>
    <n v="0.45454545454545453"/>
    <x v="2"/>
    <n v="8"/>
    <x v="1"/>
  </r>
  <r>
    <s v="00030"/>
    <n v="4.5"/>
    <n v="3"/>
    <n v="2.5"/>
    <n v="3"/>
    <n v="2"/>
    <x v="8"/>
    <x v="0"/>
    <n v="9"/>
    <x v="1"/>
    <n v="0.9"/>
    <n v="0.6"/>
    <n v="0.5"/>
    <n v="0.75"/>
    <n v="0.66666666666666663"/>
    <n v="15"/>
    <n v="0.68181818181818177"/>
    <x v="0"/>
    <n v="8"/>
    <x v="1"/>
  </r>
  <r>
    <s v="00101"/>
    <n v="5"/>
    <n v="4.5"/>
    <n v="5"/>
    <n v="0.5"/>
    <n v="2.5"/>
    <x v="8"/>
    <x v="0"/>
    <n v="5"/>
    <x v="1"/>
    <n v="1"/>
    <n v="0.9"/>
    <n v="1"/>
    <n v="0.125"/>
    <n v="0.83333333333333337"/>
    <n v="17.5"/>
    <n v="0.79545454545454541"/>
    <x v="0"/>
    <n v="8"/>
    <x v="1"/>
  </r>
  <r>
    <s v="00484"/>
    <n v="5"/>
    <n v="4"/>
    <n v="3"/>
    <n v="2.5"/>
    <n v="2.5"/>
    <x v="9"/>
    <x v="0"/>
    <n v="1"/>
    <x v="0"/>
    <n v="1"/>
    <n v="0.8"/>
    <n v="0.6"/>
    <n v="0.625"/>
    <n v="0.83333333333333337"/>
    <n v="17"/>
    <n v="0.77272727272727271"/>
    <x v="0"/>
    <n v="8"/>
    <x v="1"/>
  </r>
  <r>
    <s v="00500"/>
    <n v="5"/>
    <n v="4"/>
    <n v="4.5"/>
    <n v="2.5"/>
    <n v="2"/>
    <x v="9"/>
    <x v="0"/>
    <n v="8"/>
    <x v="1"/>
    <n v="1"/>
    <n v="0.8"/>
    <n v="0.9"/>
    <n v="0.625"/>
    <n v="0.66666666666666663"/>
    <n v="18"/>
    <n v="0.81818181818181823"/>
    <x v="3"/>
    <n v="8"/>
    <x v="1"/>
  </r>
  <r>
    <s v="00010"/>
    <n v="5"/>
    <n v="1"/>
    <n v="0.5"/>
    <n v="3.5"/>
    <n v="3"/>
    <x v="9"/>
    <x v="0"/>
    <n v="10"/>
    <x v="2"/>
    <n v="1"/>
    <n v="0.2"/>
    <n v="0.1"/>
    <n v="0.875"/>
    <n v="1"/>
    <n v="13"/>
    <n v="0.59090909090909094"/>
    <x v="1"/>
    <n v="8"/>
    <x v="1"/>
  </r>
  <r>
    <s v="00353"/>
    <n v="5"/>
    <n v="4"/>
    <n v="2"/>
    <n v="3.5"/>
    <n v="1.5"/>
    <x v="9"/>
    <x v="0"/>
    <n v="2"/>
    <x v="0"/>
    <n v="1"/>
    <n v="0.8"/>
    <n v="0.4"/>
    <n v="0.875"/>
    <n v="0.5"/>
    <n v="16"/>
    <n v="0.72727272727272729"/>
    <x v="0"/>
    <n v="8"/>
    <x v="1"/>
  </r>
  <r>
    <s v="00131"/>
    <n v="2"/>
    <n v="1.5"/>
    <n v="0"/>
    <n v="0"/>
    <n v="0"/>
    <x v="9"/>
    <x v="0"/>
    <n v="22"/>
    <x v="3"/>
    <n v="0.4"/>
    <n v="0.3"/>
    <n v="0"/>
    <n v="0"/>
    <n v="0"/>
    <n v="3.5"/>
    <n v="0.15909090909090909"/>
    <x v="2"/>
    <n v="8"/>
    <x v="1"/>
  </r>
  <r>
    <s v="00207"/>
    <n v="5"/>
    <n v="5"/>
    <n v="3"/>
    <n v="1"/>
    <n v="3"/>
    <x v="9"/>
    <x v="0"/>
    <n v="19"/>
    <x v="4"/>
    <n v="1"/>
    <n v="1"/>
    <n v="0.6"/>
    <n v="0.25"/>
    <n v="1"/>
    <n v="17"/>
    <n v="0.77272727272727271"/>
    <x v="0"/>
    <n v="9"/>
    <x v="2"/>
  </r>
  <r>
    <s v="00008"/>
    <n v="5"/>
    <n v="3.5"/>
    <n v="2"/>
    <n v="2"/>
    <n v="3"/>
    <x v="10"/>
    <x v="0"/>
    <n v="2"/>
    <x v="0"/>
    <n v="1"/>
    <n v="0.7"/>
    <n v="0.4"/>
    <n v="0.5"/>
    <n v="1"/>
    <n v="15.5"/>
    <n v="0.70454545454545459"/>
    <x v="0"/>
    <n v="10"/>
    <x v="2"/>
  </r>
  <r>
    <s v="00076"/>
    <n v="4.5"/>
    <n v="5"/>
    <n v="1.5"/>
    <n v="2.5"/>
    <n v="2.5"/>
    <x v="10"/>
    <x v="0"/>
    <n v="4"/>
    <x v="0"/>
    <n v="0.9"/>
    <n v="1"/>
    <n v="0.3"/>
    <n v="0.625"/>
    <n v="0.83333333333333337"/>
    <n v="16"/>
    <n v="0.72727272727272729"/>
    <x v="0"/>
    <n v="10"/>
    <x v="2"/>
  </r>
  <r>
    <s v="00416"/>
    <n v="5"/>
    <n v="4.5"/>
    <n v="2.5"/>
    <n v="2.5"/>
    <n v="1"/>
    <x v="5"/>
    <x v="0"/>
    <n v="2"/>
    <x v="0"/>
    <n v="1"/>
    <n v="0.9"/>
    <n v="0.5"/>
    <n v="0.625"/>
    <n v="0.33333333333333331"/>
    <n v="15.5"/>
    <n v="0.70454545454545459"/>
    <x v="0"/>
    <n v="10"/>
    <x v="2"/>
  </r>
  <r>
    <s v="00363"/>
    <n v="5"/>
    <n v="4"/>
    <n v="2.5"/>
    <n v="3.5"/>
    <n v="0.5"/>
    <x v="5"/>
    <x v="0"/>
    <n v="5"/>
    <x v="1"/>
    <n v="1"/>
    <n v="0.8"/>
    <n v="0.5"/>
    <n v="0.875"/>
    <n v="0.16666666666666666"/>
    <n v="15.5"/>
    <n v="0.70454545454545459"/>
    <x v="0"/>
    <n v="10"/>
    <x v="2"/>
  </r>
  <r>
    <s v="00282"/>
    <n v="3"/>
    <n v="4"/>
    <n v="4"/>
    <n v="4"/>
    <n v="2.5"/>
    <x v="5"/>
    <x v="0"/>
    <n v="6"/>
    <x v="1"/>
    <n v="0.6"/>
    <n v="0.8"/>
    <n v="0.8"/>
    <n v="1"/>
    <n v="0.83333333333333337"/>
    <n v="17.5"/>
    <n v="0.79545454545454541"/>
    <x v="0"/>
    <n v="9"/>
    <x v="2"/>
  </r>
  <r>
    <s v="00489"/>
    <n v="5"/>
    <n v="3.5"/>
    <n v="0.5"/>
    <n v="2"/>
    <n v="1.5"/>
    <x v="11"/>
    <x v="0"/>
    <n v="5"/>
    <x v="1"/>
    <n v="1"/>
    <n v="0.7"/>
    <n v="0.1"/>
    <n v="0.5"/>
    <n v="0.5"/>
    <n v="12.5"/>
    <n v="0.56818181818181823"/>
    <x v="1"/>
    <n v="10"/>
    <x v="2"/>
  </r>
  <r>
    <s v="00509"/>
    <n v="5"/>
    <n v="4.5"/>
    <n v="2"/>
    <n v="3"/>
    <n v="0"/>
    <x v="11"/>
    <x v="0"/>
    <n v="12"/>
    <x v="2"/>
    <n v="1"/>
    <n v="0.9"/>
    <n v="0.4"/>
    <n v="0.75"/>
    <n v="0"/>
    <n v="14.5"/>
    <n v="0.65909090909090906"/>
    <x v="0"/>
    <n v="10"/>
    <x v="2"/>
  </r>
  <r>
    <s v="00350"/>
    <n v="5"/>
    <n v="4"/>
    <n v="3"/>
    <n v="1.5"/>
    <n v="2"/>
    <x v="0"/>
    <x v="1"/>
    <n v="5"/>
    <x v="1"/>
    <n v="1"/>
    <n v="0.8"/>
    <n v="0.6"/>
    <n v="0.375"/>
    <n v="0.66666666666666663"/>
    <n v="15.5"/>
    <n v="0.70454545454545459"/>
    <x v="0"/>
    <n v="1"/>
    <x v="0"/>
  </r>
  <r>
    <s v="00285"/>
    <n v="3"/>
    <n v="1"/>
    <n v="0.5"/>
    <n v="1"/>
    <n v="0"/>
    <x v="0"/>
    <x v="1"/>
    <n v="10"/>
    <x v="2"/>
    <n v="0.6"/>
    <n v="0.2"/>
    <n v="0.1"/>
    <n v="0.25"/>
    <n v="0"/>
    <n v="5.5"/>
    <n v="0.25"/>
    <x v="2"/>
    <n v="3"/>
    <x v="0"/>
  </r>
  <r>
    <s v="00566"/>
    <n v="5"/>
    <n v="5"/>
    <n v="3.5"/>
    <n v="3"/>
    <n v="1.5"/>
    <x v="0"/>
    <x v="1"/>
    <n v="16"/>
    <x v="4"/>
    <n v="1"/>
    <n v="1"/>
    <n v="0.7"/>
    <n v="0.75"/>
    <n v="0.5"/>
    <n v="18"/>
    <n v="0.81818181818181823"/>
    <x v="3"/>
    <n v="1"/>
    <x v="0"/>
  </r>
  <r>
    <s v="00007"/>
    <n v="4.5"/>
    <n v="4"/>
    <n v="0.5"/>
    <n v="3.5"/>
    <n v="1"/>
    <x v="0"/>
    <x v="1"/>
    <n v="7"/>
    <x v="1"/>
    <n v="0.9"/>
    <n v="0.8"/>
    <n v="0.1"/>
    <n v="0.875"/>
    <n v="0.33333333333333331"/>
    <n v="13.5"/>
    <n v="0.61363636363636365"/>
    <x v="1"/>
    <n v="2"/>
    <x v="0"/>
  </r>
  <r>
    <s v="00517"/>
    <n v="5"/>
    <n v="2.5"/>
    <n v="2"/>
    <n v="2.5"/>
    <n v="2.5"/>
    <x v="0"/>
    <x v="1"/>
    <n v="19"/>
    <x v="4"/>
    <n v="1"/>
    <n v="0.5"/>
    <n v="0.4"/>
    <n v="0.625"/>
    <n v="0.83333333333333337"/>
    <n v="14.5"/>
    <n v="0.65909090909090906"/>
    <x v="0"/>
    <n v="3"/>
    <x v="0"/>
  </r>
  <r>
    <s v="00425"/>
    <n v="4"/>
    <n v="1.5"/>
    <n v="3.5"/>
    <n v="2.5"/>
    <n v="3"/>
    <x v="0"/>
    <x v="1"/>
    <n v="3"/>
    <x v="0"/>
    <n v="0.8"/>
    <n v="0.3"/>
    <n v="0.7"/>
    <n v="0.625"/>
    <n v="1"/>
    <n v="14.5"/>
    <n v="0.65909090909090906"/>
    <x v="0"/>
    <n v="4"/>
    <x v="0"/>
  </r>
  <r>
    <s v="00128"/>
    <n v="4.5"/>
    <n v="4.5"/>
    <n v="2.5"/>
    <n v="2.5"/>
    <n v="2"/>
    <x v="0"/>
    <x v="1"/>
    <n v="5"/>
    <x v="1"/>
    <n v="0.9"/>
    <n v="0.9"/>
    <n v="0.5"/>
    <n v="0.625"/>
    <n v="0.66666666666666663"/>
    <n v="16"/>
    <n v="0.72727272727272729"/>
    <x v="0"/>
    <n v="5"/>
    <x v="0"/>
  </r>
  <r>
    <s v="00374"/>
    <n v="5"/>
    <n v="3"/>
    <n v="0.5"/>
    <n v="3.5"/>
    <n v="0"/>
    <x v="0"/>
    <x v="1"/>
    <n v="4"/>
    <x v="0"/>
    <n v="1"/>
    <n v="0.6"/>
    <n v="0.1"/>
    <n v="0.875"/>
    <n v="0"/>
    <n v="12"/>
    <n v="0.54545454545454541"/>
    <x v="1"/>
    <n v="5"/>
    <x v="0"/>
  </r>
  <r>
    <s v="00480"/>
    <n v="5"/>
    <n v="5"/>
    <n v="0"/>
    <n v="2.5"/>
    <n v="0"/>
    <x v="0"/>
    <x v="1"/>
    <n v="6"/>
    <x v="1"/>
    <n v="1"/>
    <n v="1"/>
    <n v="0"/>
    <n v="0.625"/>
    <n v="0"/>
    <n v="12.5"/>
    <n v="0.56818181818181823"/>
    <x v="1"/>
    <n v="8"/>
    <x v="1"/>
  </r>
  <r>
    <s v="00099"/>
    <n v="5"/>
    <n v="4"/>
    <n v="3"/>
    <n v="4"/>
    <n v="3"/>
    <x v="0"/>
    <x v="1"/>
    <n v="16"/>
    <x v="4"/>
    <n v="1"/>
    <n v="0.8"/>
    <n v="0.6"/>
    <n v="1"/>
    <n v="1"/>
    <n v="19"/>
    <n v="0.86363636363636365"/>
    <x v="3"/>
    <n v="7"/>
    <x v="1"/>
  </r>
  <r>
    <s v="00470"/>
    <n v="2"/>
    <n v="1.5"/>
    <n v="1"/>
    <n v="1.5"/>
    <n v="0"/>
    <x v="0"/>
    <x v="1"/>
    <n v="7"/>
    <x v="1"/>
    <n v="0.4"/>
    <n v="0.3"/>
    <n v="0.2"/>
    <n v="0.375"/>
    <n v="0"/>
    <n v="6"/>
    <n v="0.27272727272727271"/>
    <x v="2"/>
    <n v="7"/>
    <x v="1"/>
  </r>
  <r>
    <s v="00591"/>
    <n v="2"/>
    <n v="0.5"/>
    <n v="0"/>
    <n v="0"/>
    <n v="0"/>
    <x v="0"/>
    <x v="1"/>
    <n v="16"/>
    <x v="4"/>
    <n v="0.4"/>
    <n v="0.1"/>
    <n v="0"/>
    <n v="0"/>
    <n v="0"/>
    <n v="2.5"/>
    <n v="0.11363636363636363"/>
    <x v="2"/>
    <n v="7"/>
    <x v="1"/>
  </r>
  <r>
    <s v="00429"/>
    <n v="4.5"/>
    <n v="3.5"/>
    <n v="2"/>
    <n v="1.5"/>
    <n v="2.5"/>
    <x v="0"/>
    <x v="1"/>
    <n v="11"/>
    <x v="2"/>
    <n v="0.9"/>
    <n v="0.7"/>
    <n v="0.4"/>
    <n v="0.375"/>
    <n v="0.83333333333333337"/>
    <n v="14"/>
    <n v="0.63636363636363635"/>
    <x v="1"/>
    <n v="7"/>
    <x v="1"/>
  </r>
  <r>
    <s v="00304"/>
    <n v="5"/>
    <n v="3"/>
    <n v="3.5"/>
    <n v="3.5"/>
    <n v="3"/>
    <x v="0"/>
    <x v="1"/>
    <n v="8"/>
    <x v="1"/>
    <n v="1"/>
    <n v="0.6"/>
    <n v="0.7"/>
    <n v="0.875"/>
    <n v="1"/>
    <n v="18"/>
    <n v="0.81818181818181823"/>
    <x v="3"/>
    <n v="7"/>
    <x v="1"/>
  </r>
  <r>
    <s v="00218"/>
    <n v="5"/>
    <n v="3"/>
    <n v="1.5"/>
    <n v="2.5"/>
    <n v="2"/>
    <x v="0"/>
    <x v="1"/>
    <n v="5"/>
    <x v="1"/>
    <n v="1"/>
    <n v="0.6"/>
    <n v="0.3"/>
    <n v="0.625"/>
    <n v="0.66666666666666663"/>
    <n v="14"/>
    <n v="0.63636363636363635"/>
    <x v="1"/>
    <n v="7"/>
    <x v="1"/>
  </r>
  <r>
    <s v="00275"/>
    <n v="5"/>
    <n v="4"/>
    <n v="2"/>
    <n v="2"/>
    <n v="1.5"/>
    <x v="0"/>
    <x v="1"/>
    <n v="6"/>
    <x v="1"/>
    <n v="1"/>
    <n v="0.8"/>
    <n v="0.4"/>
    <n v="0.5"/>
    <n v="0.5"/>
    <n v="14.5"/>
    <n v="0.65909090909090906"/>
    <x v="0"/>
    <n v="7"/>
    <x v="1"/>
  </r>
  <r>
    <s v="00237"/>
    <n v="5"/>
    <n v="2.5"/>
    <n v="3"/>
    <n v="3"/>
    <n v="2"/>
    <x v="0"/>
    <x v="1"/>
    <n v="5"/>
    <x v="1"/>
    <n v="1"/>
    <n v="0.5"/>
    <n v="0.6"/>
    <n v="0.75"/>
    <n v="0.66666666666666663"/>
    <n v="15.5"/>
    <n v="0.70454545454545459"/>
    <x v="0"/>
    <n v="8"/>
    <x v="1"/>
  </r>
  <r>
    <s v="00117"/>
    <n v="5"/>
    <n v="4.5"/>
    <n v="2.5"/>
    <n v="4"/>
    <n v="3"/>
    <x v="0"/>
    <x v="1"/>
    <n v="7"/>
    <x v="1"/>
    <n v="1"/>
    <n v="0.9"/>
    <n v="0.5"/>
    <n v="1"/>
    <n v="1"/>
    <n v="19"/>
    <n v="0.86363636363636365"/>
    <x v="3"/>
    <n v="8"/>
    <x v="1"/>
  </r>
  <r>
    <s v="00598"/>
    <n v="3"/>
    <n v="3"/>
    <n v="2.5"/>
    <n v="2"/>
    <n v="1.5"/>
    <x v="0"/>
    <x v="1"/>
    <n v="6"/>
    <x v="1"/>
    <n v="0.6"/>
    <n v="0.6"/>
    <n v="0.5"/>
    <n v="0.5"/>
    <n v="0.5"/>
    <n v="12"/>
    <n v="0.54545454545454541"/>
    <x v="1"/>
    <n v="8"/>
    <x v="1"/>
  </r>
  <r>
    <s v="00458"/>
    <n v="3.5"/>
    <n v="5"/>
    <n v="0"/>
    <n v="1.5"/>
    <n v="1"/>
    <x v="0"/>
    <x v="1"/>
    <n v="4"/>
    <x v="0"/>
    <n v="0.7"/>
    <n v="1"/>
    <n v="0"/>
    <n v="0.375"/>
    <n v="0.33333333333333331"/>
    <n v="11"/>
    <n v="0.5"/>
    <x v="1"/>
    <n v="8"/>
    <x v="1"/>
  </r>
  <r>
    <s v="00134"/>
    <n v="4"/>
    <n v="4.5"/>
    <n v="3"/>
    <n v="3"/>
    <n v="0"/>
    <x v="0"/>
    <x v="1"/>
    <n v="6"/>
    <x v="1"/>
    <n v="0.8"/>
    <n v="0.9"/>
    <n v="0.6"/>
    <n v="0.75"/>
    <n v="0"/>
    <n v="14.5"/>
    <n v="0.65909090909090906"/>
    <x v="0"/>
    <n v="8"/>
    <x v="1"/>
  </r>
  <r>
    <s v="00119"/>
    <n v="5"/>
    <n v="5"/>
    <n v="3"/>
    <n v="2"/>
    <n v="1"/>
    <x v="0"/>
    <x v="1"/>
    <n v="3"/>
    <x v="0"/>
    <n v="1"/>
    <n v="1"/>
    <n v="0.6"/>
    <n v="0.5"/>
    <n v="0.33333333333333331"/>
    <n v="16"/>
    <n v="0.72727272727272729"/>
    <x v="0"/>
    <n v="8"/>
    <x v="1"/>
  </r>
  <r>
    <s v="00002"/>
    <n v="5"/>
    <n v="4.5"/>
    <n v="0.5"/>
    <n v="3.5"/>
    <n v="0"/>
    <x v="0"/>
    <x v="1"/>
    <n v="14"/>
    <x v="2"/>
    <n v="1"/>
    <n v="0.9"/>
    <n v="0.1"/>
    <n v="0.875"/>
    <n v="0"/>
    <n v="13.5"/>
    <n v="0.61363636363636365"/>
    <x v="1"/>
    <n v="8"/>
    <x v="1"/>
  </r>
  <r>
    <s v="00440"/>
    <n v="2.5"/>
    <n v="4"/>
    <n v="0.5"/>
    <n v="3.5"/>
    <n v="1"/>
    <x v="0"/>
    <x v="1"/>
    <n v="3"/>
    <x v="0"/>
    <n v="0.5"/>
    <n v="0.8"/>
    <n v="0.1"/>
    <n v="0.875"/>
    <n v="0.33333333333333331"/>
    <n v="11.5"/>
    <n v="0.52272727272727271"/>
    <x v="1"/>
    <n v="8"/>
    <x v="1"/>
  </r>
  <r>
    <s v="00287"/>
    <n v="5"/>
    <n v="2"/>
    <n v="4.5"/>
    <n v="2.5"/>
    <n v="0"/>
    <x v="0"/>
    <x v="1"/>
    <n v="6"/>
    <x v="1"/>
    <n v="1"/>
    <n v="0.4"/>
    <n v="0.9"/>
    <n v="0.625"/>
    <n v="0"/>
    <n v="14"/>
    <n v="0.63636363636363635"/>
    <x v="1"/>
    <n v="8"/>
    <x v="1"/>
  </r>
  <r>
    <s v="00309"/>
    <n v="4.5"/>
    <n v="4.5"/>
    <n v="3.5"/>
    <n v="2.5"/>
    <n v="3"/>
    <x v="0"/>
    <x v="1"/>
    <n v="10"/>
    <x v="2"/>
    <n v="0.9"/>
    <n v="0.9"/>
    <n v="0.7"/>
    <n v="0.625"/>
    <n v="1"/>
    <n v="18"/>
    <n v="0.81818181818181823"/>
    <x v="3"/>
    <n v="8"/>
    <x v="1"/>
  </r>
  <r>
    <s v="00543"/>
    <n v="4.5"/>
    <n v="4.5"/>
    <n v="2.5"/>
    <n v="2.5"/>
    <n v="2"/>
    <x v="0"/>
    <x v="1"/>
    <n v="9"/>
    <x v="1"/>
    <n v="0.9"/>
    <n v="0.9"/>
    <n v="0.5"/>
    <n v="0.625"/>
    <n v="0.66666666666666663"/>
    <n v="16"/>
    <n v="0.72727272727272729"/>
    <x v="0"/>
    <n v="9"/>
    <x v="2"/>
  </r>
  <r>
    <s v="00078"/>
    <n v="5"/>
    <n v="4"/>
    <n v="0"/>
    <n v="1"/>
    <n v="2"/>
    <x v="0"/>
    <x v="1"/>
    <n v="8"/>
    <x v="1"/>
    <n v="1"/>
    <n v="0.8"/>
    <n v="0"/>
    <n v="0.25"/>
    <n v="0.66666666666666663"/>
    <n v="12"/>
    <n v="0.54545454545454541"/>
    <x v="1"/>
    <n v="9"/>
    <x v="2"/>
  </r>
  <r>
    <s v="00321"/>
    <n v="3.5"/>
    <n v="2.5"/>
    <n v="2"/>
    <n v="3.5"/>
    <n v="3"/>
    <x v="0"/>
    <x v="1"/>
    <n v="3"/>
    <x v="0"/>
    <n v="0.7"/>
    <n v="0.5"/>
    <n v="0.4"/>
    <n v="0.875"/>
    <n v="1"/>
    <n v="14.5"/>
    <n v="0.65909090909090906"/>
    <x v="0"/>
    <n v="9"/>
    <x v="2"/>
  </r>
  <r>
    <s v="00597"/>
    <n v="3.5"/>
    <n v="5"/>
    <n v="3.5"/>
    <n v="1.5"/>
    <n v="3"/>
    <x v="0"/>
    <x v="1"/>
    <n v="24"/>
    <x v="3"/>
    <n v="0.7"/>
    <n v="1"/>
    <n v="0.7"/>
    <n v="0.375"/>
    <n v="1"/>
    <n v="16.5"/>
    <n v="0.75"/>
    <x v="0"/>
    <n v="9"/>
    <x v="2"/>
  </r>
  <r>
    <s v="00476"/>
    <n v="5"/>
    <n v="3"/>
    <n v="2.5"/>
    <n v="4"/>
    <n v="0"/>
    <x v="0"/>
    <x v="1"/>
    <n v="13"/>
    <x v="2"/>
    <n v="1"/>
    <n v="0.6"/>
    <n v="0.5"/>
    <n v="1"/>
    <n v="0"/>
    <n v="14.5"/>
    <n v="0.65909090909090906"/>
    <x v="0"/>
    <n v="9"/>
    <x v="2"/>
  </r>
  <r>
    <s v="00021"/>
    <n v="3.5"/>
    <n v="4.5"/>
    <n v="1"/>
    <n v="2.5"/>
    <n v="2"/>
    <x v="0"/>
    <x v="1"/>
    <n v="16"/>
    <x v="4"/>
    <n v="0.7"/>
    <n v="0.9"/>
    <n v="0.2"/>
    <n v="0.625"/>
    <n v="0.66666666666666663"/>
    <n v="13.5"/>
    <n v="0.61363636363636365"/>
    <x v="1"/>
    <n v="9"/>
    <x v="2"/>
  </r>
  <r>
    <s v="00581"/>
    <n v="5"/>
    <n v="3.5"/>
    <n v="0.5"/>
    <n v="1.5"/>
    <n v="1.5"/>
    <x v="0"/>
    <x v="1"/>
    <n v="6"/>
    <x v="1"/>
    <n v="1"/>
    <n v="0.7"/>
    <n v="0.1"/>
    <n v="0.375"/>
    <n v="0.5"/>
    <n v="12"/>
    <n v="0.54545454545454541"/>
    <x v="1"/>
    <n v="9"/>
    <x v="2"/>
  </r>
  <r>
    <s v="00571"/>
    <n v="4"/>
    <n v="4"/>
    <n v="1"/>
    <n v="2.5"/>
    <n v="3"/>
    <x v="0"/>
    <x v="1"/>
    <n v="11"/>
    <x v="2"/>
    <n v="0.8"/>
    <n v="0.8"/>
    <n v="0.2"/>
    <n v="0.625"/>
    <n v="1"/>
    <n v="14.5"/>
    <n v="0.65909090909090906"/>
    <x v="0"/>
    <n v="9"/>
    <x v="2"/>
  </r>
  <r>
    <s v="00562"/>
    <n v="4"/>
    <n v="4.5"/>
    <n v="4"/>
    <n v="1.5"/>
    <n v="3"/>
    <x v="0"/>
    <x v="1"/>
    <n v="12"/>
    <x v="2"/>
    <n v="0.8"/>
    <n v="0.9"/>
    <n v="0.8"/>
    <n v="0.375"/>
    <n v="1"/>
    <n v="17"/>
    <n v="0.77272727272727271"/>
    <x v="0"/>
    <n v="9"/>
    <x v="2"/>
  </r>
  <r>
    <s v="00544"/>
    <n v="5"/>
    <n v="5"/>
    <n v="3"/>
    <n v="4"/>
    <n v="3"/>
    <x v="0"/>
    <x v="1"/>
    <n v="8"/>
    <x v="1"/>
    <n v="1"/>
    <n v="1"/>
    <n v="0.6"/>
    <n v="1"/>
    <n v="1"/>
    <n v="20"/>
    <n v="0.90909090909090906"/>
    <x v="3"/>
    <n v="9"/>
    <x v="2"/>
  </r>
  <r>
    <s v="00563"/>
    <n v="3.5"/>
    <n v="1"/>
    <n v="1.5"/>
    <n v="1"/>
    <n v="0"/>
    <x v="0"/>
    <x v="1"/>
    <n v="10"/>
    <x v="2"/>
    <n v="0.7"/>
    <n v="0.2"/>
    <n v="0.3"/>
    <n v="0.25"/>
    <n v="0"/>
    <n v="7"/>
    <n v="0.31818181818181818"/>
    <x v="2"/>
    <n v="9"/>
    <x v="2"/>
  </r>
  <r>
    <s v="00575"/>
    <n v="5"/>
    <n v="1.5"/>
    <n v="2.5"/>
    <n v="4"/>
    <n v="0"/>
    <x v="0"/>
    <x v="1"/>
    <n v="11"/>
    <x v="2"/>
    <n v="1"/>
    <n v="0.3"/>
    <n v="0.5"/>
    <n v="1"/>
    <n v="0"/>
    <n v="13"/>
    <n v="0.59090909090909094"/>
    <x v="1"/>
    <n v="9"/>
    <x v="2"/>
  </r>
  <r>
    <s v="00418"/>
    <n v="5"/>
    <n v="4.5"/>
    <n v="1.5"/>
    <n v="1.5"/>
    <n v="0.5"/>
    <x v="0"/>
    <x v="1"/>
    <n v="3"/>
    <x v="0"/>
    <n v="1"/>
    <n v="0.9"/>
    <n v="0.3"/>
    <n v="0.375"/>
    <n v="0.16666666666666666"/>
    <n v="13"/>
    <n v="0.59090909090909094"/>
    <x v="1"/>
    <n v="9"/>
    <x v="2"/>
  </r>
  <r>
    <s v="00329"/>
    <n v="2.5"/>
    <n v="4.5"/>
    <n v="2"/>
    <n v="3.5"/>
    <n v="1.5"/>
    <x v="0"/>
    <x v="1"/>
    <n v="18"/>
    <x v="4"/>
    <n v="0.5"/>
    <n v="0.9"/>
    <n v="0.4"/>
    <n v="0.875"/>
    <n v="0.5"/>
    <n v="14"/>
    <n v="0.63636363636363635"/>
    <x v="1"/>
    <n v="9"/>
    <x v="2"/>
  </r>
  <r>
    <s v="00197"/>
    <n v="5"/>
    <n v="3"/>
    <n v="0.5"/>
    <n v="2"/>
    <n v="1.5"/>
    <x v="0"/>
    <x v="1"/>
    <n v="9"/>
    <x v="1"/>
    <n v="1"/>
    <n v="0.6"/>
    <n v="0.1"/>
    <n v="0.5"/>
    <n v="0.5"/>
    <n v="12"/>
    <n v="0.54545454545454541"/>
    <x v="1"/>
    <n v="9"/>
    <x v="2"/>
  </r>
  <r>
    <s v="00094"/>
    <n v="5"/>
    <n v="3.5"/>
    <n v="4.5"/>
    <n v="2"/>
    <n v="1"/>
    <x v="0"/>
    <x v="1"/>
    <n v="3"/>
    <x v="0"/>
    <n v="1"/>
    <n v="0.7"/>
    <n v="0.9"/>
    <n v="0.5"/>
    <n v="0.33333333333333331"/>
    <n v="16"/>
    <n v="0.72727272727272729"/>
    <x v="0"/>
    <n v="9"/>
    <x v="2"/>
  </r>
  <r>
    <s v="00364"/>
    <n v="5"/>
    <n v="2.5"/>
    <n v="3.5"/>
    <n v="3"/>
    <n v="1"/>
    <x v="0"/>
    <x v="1"/>
    <n v="5"/>
    <x v="1"/>
    <n v="1"/>
    <n v="0.5"/>
    <n v="0.7"/>
    <n v="0.75"/>
    <n v="0.33333333333333331"/>
    <n v="15"/>
    <n v="0.68181818181818177"/>
    <x v="0"/>
    <n v="9"/>
    <x v="2"/>
  </r>
  <r>
    <s v="00106"/>
    <n v="4"/>
    <n v="3"/>
    <n v="2.5"/>
    <n v="4"/>
    <n v="1.5"/>
    <x v="0"/>
    <x v="1"/>
    <n v="2"/>
    <x v="0"/>
    <n v="0.8"/>
    <n v="0.6"/>
    <n v="0.5"/>
    <n v="1"/>
    <n v="0.5"/>
    <n v="15"/>
    <n v="0.68181818181818177"/>
    <x v="0"/>
    <n v="9"/>
    <x v="2"/>
  </r>
  <r>
    <s v="00229"/>
    <n v="5"/>
    <n v="3"/>
    <n v="3.5"/>
    <n v="4"/>
    <n v="1"/>
    <x v="0"/>
    <x v="1"/>
    <n v="5"/>
    <x v="1"/>
    <n v="1"/>
    <n v="0.6"/>
    <n v="0.7"/>
    <n v="1"/>
    <n v="0.33333333333333331"/>
    <n v="16.5"/>
    <n v="0.75"/>
    <x v="0"/>
    <n v="9"/>
    <x v="2"/>
  </r>
  <r>
    <s v="00062"/>
    <n v="4.5"/>
    <n v="5"/>
    <n v="1.5"/>
    <n v="3.5"/>
    <n v="3"/>
    <x v="0"/>
    <x v="1"/>
    <n v="5"/>
    <x v="1"/>
    <n v="0.9"/>
    <n v="1"/>
    <n v="0.3"/>
    <n v="0.875"/>
    <n v="1"/>
    <n v="17.5"/>
    <n v="0.79545454545454541"/>
    <x v="0"/>
    <n v="9"/>
    <x v="2"/>
  </r>
  <r>
    <s v="00366"/>
    <n v="4"/>
    <n v="5"/>
    <n v="2.5"/>
    <n v="3"/>
    <n v="2"/>
    <x v="0"/>
    <x v="1"/>
    <n v="16"/>
    <x v="4"/>
    <n v="0.8"/>
    <n v="1"/>
    <n v="0.5"/>
    <n v="0.75"/>
    <n v="0.66666666666666663"/>
    <n v="16.5"/>
    <n v="0.75"/>
    <x v="0"/>
    <n v="9"/>
    <x v="2"/>
  </r>
  <r>
    <s v="00506"/>
    <n v="4"/>
    <n v="2"/>
    <n v="0"/>
    <n v="2.5"/>
    <n v="3"/>
    <x v="0"/>
    <x v="1"/>
    <n v="6"/>
    <x v="1"/>
    <n v="0.8"/>
    <n v="0.4"/>
    <n v="0"/>
    <n v="0.625"/>
    <n v="1"/>
    <n v="11.5"/>
    <n v="0.52272727272727271"/>
    <x v="1"/>
    <n v="9"/>
    <x v="2"/>
  </r>
  <r>
    <s v="00343"/>
    <n v="5"/>
    <n v="3"/>
    <n v="1"/>
    <n v="4"/>
    <n v="0"/>
    <x v="0"/>
    <x v="1"/>
    <n v="10"/>
    <x v="2"/>
    <n v="1"/>
    <n v="0.6"/>
    <n v="0.2"/>
    <n v="1"/>
    <n v="0"/>
    <n v="13"/>
    <n v="0.59090909090909094"/>
    <x v="1"/>
    <n v="9"/>
    <x v="2"/>
  </r>
  <r>
    <s v="00187"/>
    <n v="5"/>
    <n v="2.5"/>
    <n v="5"/>
    <n v="3.5"/>
    <n v="2.5"/>
    <x v="0"/>
    <x v="1"/>
    <n v="6"/>
    <x v="1"/>
    <n v="1"/>
    <n v="0.5"/>
    <n v="1"/>
    <n v="0.875"/>
    <n v="0.83333333333333337"/>
    <n v="18.5"/>
    <n v="0.84090909090909094"/>
    <x v="3"/>
    <n v="10"/>
    <x v="2"/>
  </r>
  <r>
    <s v="00005"/>
    <n v="5"/>
    <n v="3.5"/>
    <n v="2"/>
    <n v="3.5"/>
    <n v="2"/>
    <x v="0"/>
    <x v="1"/>
    <n v="6"/>
    <x v="1"/>
    <n v="1"/>
    <n v="0.7"/>
    <n v="0.4"/>
    <n v="0.875"/>
    <n v="0.66666666666666663"/>
    <n v="16"/>
    <n v="0.72727272727272729"/>
    <x v="0"/>
    <n v="10"/>
    <x v="2"/>
  </r>
  <r>
    <s v="00031"/>
    <n v="1"/>
    <n v="0"/>
    <n v="0"/>
    <n v="0"/>
    <n v="0"/>
    <x v="0"/>
    <x v="1"/>
    <n v="8"/>
    <x v="1"/>
    <n v="0.2"/>
    <n v="0"/>
    <n v="0"/>
    <n v="0"/>
    <n v="0"/>
    <n v="1"/>
    <n v="4.5454545454545456E-2"/>
    <x v="2"/>
    <n v="9"/>
    <x v="2"/>
  </r>
  <r>
    <s v="00518"/>
    <n v="3"/>
    <n v="3.5"/>
    <n v="2.5"/>
    <n v="3.5"/>
    <n v="2.5"/>
    <x v="0"/>
    <x v="1"/>
    <n v="5"/>
    <x v="1"/>
    <n v="0.6"/>
    <n v="0.7"/>
    <n v="0.5"/>
    <n v="0.875"/>
    <n v="0.83333333333333337"/>
    <n v="15"/>
    <n v="0.68181818181818177"/>
    <x v="0"/>
    <n v="10"/>
    <x v="2"/>
  </r>
  <r>
    <s v="00090"/>
    <n v="4"/>
    <n v="3.5"/>
    <n v="4.5"/>
    <n v="2"/>
    <n v="1.5"/>
    <x v="0"/>
    <x v="1"/>
    <n v="2"/>
    <x v="0"/>
    <n v="0.8"/>
    <n v="0.7"/>
    <n v="0.9"/>
    <n v="0.5"/>
    <n v="0.5"/>
    <n v="15.5"/>
    <n v="0.70454545454545459"/>
    <x v="0"/>
    <n v="10"/>
    <x v="2"/>
  </r>
  <r>
    <s v="00568"/>
    <n v="5"/>
    <n v="5"/>
    <n v="4"/>
    <n v="3.5"/>
    <n v="3"/>
    <x v="0"/>
    <x v="1"/>
    <n v="12"/>
    <x v="2"/>
    <n v="1"/>
    <n v="1"/>
    <n v="0.8"/>
    <n v="0.875"/>
    <n v="1"/>
    <n v="20.5"/>
    <n v="0.93181818181818177"/>
    <x v="3"/>
    <n v="10"/>
    <x v="2"/>
  </r>
  <r>
    <s v="00214"/>
    <n v="4.5"/>
    <n v="3.5"/>
    <n v="2.5"/>
    <n v="3.5"/>
    <n v="1.5"/>
    <x v="1"/>
    <x v="1"/>
    <n v="9"/>
    <x v="1"/>
    <n v="0.9"/>
    <n v="0.7"/>
    <n v="0.5"/>
    <n v="0.875"/>
    <n v="0.5"/>
    <n v="15.5"/>
    <n v="0.70454545454545459"/>
    <x v="0"/>
    <n v="2"/>
    <x v="0"/>
  </r>
  <r>
    <s v="00233"/>
    <n v="4"/>
    <n v="3.5"/>
    <n v="4"/>
    <n v="3"/>
    <n v="1.5"/>
    <x v="3"/>
    <x v="1"/>
    <n v="9"/>
    <x v="1"/>
    <n v="0.8"/>
    <n v="0.7"/>
    <n v="0.8"/>
    <n v="0.75"/>
    <n v="0.5"/>
    <n v="16"/>
    <n v="0.72727272727272729"/>
    <x v="0"/>
    <n v="3"/>
    <x v="0"/>
  </r>
  <r>
    <s v="00211"/>
    <n v="4"/>
    <n v="5"/>
    <n v="1.5"/>
    <n v="2.5"/>
    <n v="3"/>
    <x v="2"/>
    <x v="1"/>
    <n v="2"/>
    <x v="0"/>
    <n v="0.8"/>
    <n v="1"/>
    <n v="0.3"/>
    <n v="0.625"/>
    <n v="1"/>
    <n v="16"/>
    <n v="0.72727272727272729"/>
    <x v="0"/>
    <n v="4"/>
    <x v="0"/>
  </r>
  <r>
    <s v="00579"/>
    <n v="5"/>
    <n v="5"/>
    <n v="1.5"/>
    <n v="1.5"/>
    <n v="1.5"/>
    <x v="1"/>
    <x v="1"/>
    <n v="2"/>
    <x v="0"/>
    <n v="1"/>
    <n v="1"/>
    <n v="0.3"/>
    <n v="0.375"/>
    <n v="0.5"/>
    <n v="14.5"/>
    <n v="0.65909090909090906"/>
    <x v="0"/>
    <n v="4"/>
    <x v="0"/>
  </r>
  <r>
    <s v="00439"/>
    <n v="5"/>
    <n v="2"/>
    <n v="4"/>
    <n v="4"/>
    <n v="2"/>
    <x v="2"/>
    <x v="1"/>
    <n v="2"/>
    <x v="0"/>
    <n v="1"/>
    <n v="0.4"/>
    <n v="0.8"/>
    <n v="1"/>
    <n v="0.66666666666666663"/>
    <n v="17"/>
    <n v="0.77272727272727271"/>
    <x v="0"/>
    <n v="5"/>
    <x v="0"/>
  </r>
  <r>
    <s v="00454"/>
    <n v="5"/>
    <n v="4"/>
    <n v="3"/>
    <n v="1.5"/>
    <n v="0.5"/>
    <x v="2"/>
    <x v="1"/>
    <n v="12"/>
    <x v="2"/>
    <n v="1"/>
    <n v="0.8"/>
    <n v="0.6"/>
    <n v="0.375"/>
    <n v="0.16666666666666666"/>
    <n v="14"/>
    <n v="0.63636363636363635"/>
    <x v="1"/>
    <n v="6"/>
    <x v="0"/>
  </r>
  <r>
    <s v="00188"/>
    <n v="4.5"/>
    <n v="2.5"/>
    <n v="4"/>
    <n v="1.5"/>
    <n v="2.5"/>
    <x v="3"/>
    <x v="1"/>
    <n v="3"/>
    <x v="0"/>
    <n v="0.9"/>
    <n v="0.5"/>
    <n v="0.8"/>
    <n v="0.375"/>
    <n v="0.83333333333333337"/>
    <n v="15"/>
    <n v="0.68181818181818177"/>
    <x v="0"/>
    <n v="2"/>
    <x v="0"/>
  </r>
  <r>
    <s v="00307"/>
    <n v="2"/>
    <n v="1"/>
    <n v="0"/>
    <n v="2"/>
    <n v="0"/>
    <x v="2"/>
    <x v="1"/>
    <n v="2"/>
    <x v="0"/>
    <n v="0.4"/>
    <n v="0.2"/>
    <n v="0"/>
    <n v="0.5"/>
    <n v="0"/>
    <n v="5"/>
    <n v="0.22727272727272727"/>
    <x v="2"/>
    <n v="3"/>
    <x v="0"/>
  </r>
  <r>
    <s v="00089"/>
    <n v="4"/>
    <n v="3"/>
    <n v="0.5"/>
    <n v="4"/>
    <n v="0"/>
    <x v="1"/>
    <x v="1"/>
    <n v="8"/>
    <x v="1"/>
    <n v="0.8"/>
    <n v="0.6"/>
    <n v="0.1"/>
    <n v="1"/>
    <n v="0"/>
    <n v="11.5"/>
    <n v="0.52272727272727271"/>
    <x v="1"/>
    <n v="7"/>
    <x v="1"/>
  </r>
  <r>
    <s v="00511"/>
    <n v="4"/>
    <n v="3"/>
    <n v="0"/>
    <n v="3.5"/>
    <n v="0.5"/>
    <x v="2"/>
    <x v="1"/>
    <n v="4"/>
    <x v="0"/>
    <n v="0.8"/>
    <n v="0.6"/>
    <n v="0"/>
    <n v="0.875"/>
    <n v="0.16666666666666666"/>
    <n v="11"/>
    <n v="0.5"/>
    <x v="1"/>
    <n v="7"/>
    <x v="1"/>
  </r>
  <r>
    <s v="00147"/>
    <n v="5"/>
    <n v="4.5"/>
    <n v="0"/>
    <n v="1.5"/>
    <n v="3"/>
    <x v="3"/>
    <x v="1"/>
    <n v="21"/>
    <x v="3"/>
    <n v="1"/>
    <n v="0.9"/>
    <n v="0"/>
    <n v="0.375"/>
    <n v="1"/>
    <n v="14"/>
    <n v="0.63636363636363635"/>
    <x v="1"/>
    <n v="7"/>
    <x v="1"/>
  </r>
  <r>
    <s v="00175"/>
    <n v="5"/>
    <n v="4"/>
    <n v="2.5"/>
    <n v="1"/>
    <n v="0.5"/>
    <x v="1"/>
    <x v="1"/>
    <n v="4"/>
    <x v="0"/>
    <n v="1"/>
    <n v="0.8"/>
    <n v="0.5"/>
    <n v="0.25"/>
    <n v="0.16666666666666666"/>
    <n v="13"/>
    <n v="0.59090909090909094"/>
    <x v="1"/>
    <n v="7"/>
    <x v="1"/>
  </r>
  <r>
    <s v="00314"/>
    <n v="4"/>
    <n v="4"/>
    <n v="2.5"/>
    <n v="1"/>
    <n v="2.5"/>
    <x v="2"/>
    <x v="1"/>
    <n v="6"/>
    <x v="1"/>
    <n v="0.8"/>
    <n v="0.8"/>
    <n v="0.5"/>
    <n v="0.25"/>
    <n v="0.83333333333333337"/>
    <n v="14"/>
    <n v="0.63636363636363635"/>
    <x v="1"/>
    <n v="7"/>
    <x v="1"/>
  </r>
  <r>
    <s v="00370"/>
    <n v="5"/>
    <n v="4"/>
    <n v="2"/>
    <n v="2.5"/>
    <n v="2.5"/>
    <x v="1"/>
    <x v="1"/>
    <n v="5"/>
    <x v="1"/>
    <n v="1"/>
    <n v="0.8"/>
    <n v="0.4"/>
    <n v="0.625"/>
    <n v="0.83333333333333337"/>
    <n v="16"/>
    <n v="0.72727272727272729"/>
    <x v="0"/>
    <n v="7"/>
    <x v="1"/>
  </r>
  <r>
    <s v="00300"/>
    <n v="5"/>
    <n v="3.5"/>
    <n v="3.5"/>
    <n v="2"/>
    <n v="0"/>
    <x v="1"/>
    <x v="1"/>
    <n v="14"/>
    <x v="2"/>
    <n v="1"/>
    <n v="0.7"/>
    <n v="0.7"/>
    <n v="0.5"/>
    <n v="0"/>
    <n v="14"/>
    <n v="0.63636363636363635"/>
    <x v="1"/>
    <n v="3"/>
    <x v="0"/>
  </r>
  <r>
    <s v="00003"/>
    <n v="1"/>
    <n v="2"/>
    <n v="0.5"/>
    <n v="0.5"/>
    <n v="0"/>
    <x v="1"/>
    <x v="1"/>
    <n v="18"/>
    <x v="4"/>
    <n v="0.2"/>
    <n v="0.4"/>
    <n v="0.1"/>
    <n v="0.125"/>
    <n v="0"/>
    <n v="4"/>
    <n v="0.18181818181818182"/>
    <x v="2"/>
    <n v="4"/>
    <x v="0"/>
  </r>
  <r>
    <s v="00360"/>
    <n v="5"/>
    <n v="3"/>
    <n v="3"/>
    <n v="4"/>
    <n v="1.5"/>
    <x v="3"/>
    <x v="1"/>
    <n v="14"/>
    <x v="2"/>
    <n v="1"/>
    <n v="0.6"/>
    <n v="0.6"/>
    <n v="1"/>
    <n v="0.5"/>
    <n v="16.5"/>
    <n v="0.75"/>
    <x v="0"/>
    <n v="5"/>
    <x v="0"/>
  </r>
  <r>
    <s v="00530"/>
    <n v="4.5"/>
    <n v="5"/>
    <n v="1"/>
    <n v="2"/>
    <n v="2"/>
    <x v="1"/>
    <x v="1"/>
    <n v="7"/>
    <x v="1"/>
    <n v="0.9"/>
    <n v="1"/>
    <n v="0.2"/>
    <n v="0.5"/>
    <n v="0.66666666666666663"/>
    <n v="14.5"/>
    <n v="0.65909090909090906"/>
    <x v="0"/>
    <n v="8"/>
    <x v="1"/>
  </r>
  <r>
    <s v="00345"/>
    <n v="5"/>
    <n v="5"/>
    <n v="2.5"/>
    <n v="3.5"/>
    <n v="1.5"/>
    <x v="3"/>
    <x v="1"/>
    <n v="12"/>
    <x v="2"/>
    <n v="1"/>
    <n v="1"/>
    <n v="0.5"/>
    <n v="0.875"/>
    <n v="0.5"/>
    <n v="17.5"/>
    <n v="0.79545454545454541"/>
    <x v="0"/>
    <n v="8"/>
    <x v="1"/>
  </r>
  <r>
    <s v="00100"/>
    <n v="5"/>
    <n v="2.5"/>
    <n v="0"/>
    <n v="3"/>
    <n v="2"/>
    <x v="1"/>
    <x v="1"/>
    <n v="10"/>
    <x v="2"/>
    <n v="1"/>
    <n v="0.5"/>
    <n v="0"/>
    <n v="0.75"/>
    <n v="0.66666666666666663"/>
    <n v="12.5"/>
    <n v="0.56818181818181823"/>
    <x v="1"/>
    <n v="8"/>
    <x v="1"/>
  </r>
  <r>
    <s v="00410"/>
    <n v="5"/>
    <n v="5"/>
    <n v="3.5"/>
    <n v="2.5"/>
    <n v="1"/>
    <x v="1"/>
    <x v="1"/>
    <n v="7"/>
    <x v="1"/>
    <n v="1"/>
    <n v="1"/>
    <n v="0.7"/>
    <n v="0.625"/>
    <n v="0.33333333333333331"/>
    <n v="17"/>
    <n v="0.77272727272727271"/>
    <x v="0"/>
    <n v="8"/>
    <x v="1"/>
  </r>
  <r>
    <s v="00469"/>
    <n v="5"/>
    <n v="4"/>
    <n v="4"/>
    <n v="1"/>
    <n v="1"/>
    <x v="2"/>
    <x v="1"/>
    <n v="4"/>
    <x v="0"/>
    <n v="1"/>
    <n v="0.8"/>
    <n v="0.8"/>
    <n v="0.25"/>
    <n v="0.33333333333333331"/>
    <n v="15"/>
    <n v="0.68181818181818177"/>
    <x v="0"/>
    <n v="8"/>
    <x v="1"/>
  </r>
  <r>
    <s v="00589"/>
    <n v="4"/>
    <n v="4.5"/>
    <n v="2.5"/>
    <n v="0"/>
    <n v="2.5"/>
    <x v="2"/>
    <x v="1"/>
    <n v="7"/>
    <x v="1"/>
    <n v="0.8"/>
    <n v="0.9"/>
    <n v="0.5"/>
    <n v="0"/>
    <n v="0.83333333333333337"/>
    <n v="13.5"/>
    <n v="0.61363636363636365"/>
    <x v="1"/>
    <n v="8"/>
    <x v="1"/>
  </r>
  <r>
    <s v="00558"/>
    <n v="5"/>
    <n v="4"/>
    <n v="3.5"/>
    <n v="4"/>
    <n v="1"/>
    <x v="3"/>
    <x v="1"/>
    <n v="10"/>
    <x v="2"/>
    <n v="1"/>
    <n v="0.8"/>
    <n v="0.7"/>
    <n v="1"/>
    <n v="0.33333333333333331"/>
    <n v="17.5"/>
    <n v="0.79545454545454541"/>
    <x v="0"/>
    <n v="8"/>
    <x v="1"/>
  </r>
  <r>
    <s v="00210"/>
    <n v="5"/>
    <n v="3.5"/>
    <n v="4.5"/>
    <n v="4"/>
    <n v="1.5"/>
    <x v="2"/>
    <x v="1"/>
    <n v="8"/>
    <x v="1"/>
    <n v="1"/>
    <n v="0.7"/>
    <n v="0.9"/>
    <n v="1"/>
    <n v="0.5"/>
    <n v="18.5"/>
    <n v="0.84090909090909094"/>
    <x v="3"/>
    <n v="8"/>
    <x v="1"/>
  </r>
  <r>
    <s v="00450"/>
    <n v="5"/>
    <n v="3"/>
    <n v="3"/>
    <n v="3"/>
    <n v="3"/>
    <x v="1"/>
    <x v="1"/>
    <n v="14"/>
    <x v="2"/>
    <n v="1"/>
    <n v="0.6"/>
    <n v="0.6"/>
    <n v="0.75"/>
    <n v="1"/>
    <n v="17"/>
    <n v="0.77272727272727271"/>
    <x v="0"/>
    <n v="8"/>
    <x v="1"/>
  </r>
  <r>
    <s v="00253"/>
    <n v="5"/>
    <n v="5"/>
    <n v="1.5"/>
    <n v="0.5"/>
    <n v="1.5"/>
    <x v="3"/>
    <x v="1"/>
    <n v="10"/>
    <x v="2"/>
    <n v="1"/>
    <n v="1"/>
    <n v="0.3"/>
    <n v="0.125"/>
    <n v="0.5"/>
    <n v="13.5"/>
    <n v="0.61363636363636365"/>
    <x v="1"/>
    <n v="8"/>
    <x v="1"/>
  </r>
  <r>
    <s v="00296"/>
    <n v="5"/>
    <n v="4"/>
    <n v="2.5"/>
    <n v="4"/>
    <n v="1.5"/>
    <x v="1"/>
    <x v="1"/>
    <n v="3"/>
    <x v="0"/>
    <n v="1"/>
    <n v="0.8"/>
    <n v="0.5"/>
    <n v="1"/>
    <n v="0.5"/>
    <n v="17"/>
    <n v="0.77272727272727271"/>
    <x v="0"/>
    <n v="8"/>
    <x v="1"/>
  </r>
  <r>
    <s v="00522"/>
    <n v="5"/>
    <n v="1.5"/>
    <n v="0"/>
    <n v="3.5"/>
    <n v="2"/>
    <x v="2"/>
    <x v="1"/>
    <n v="6"/>
    <x v="1"/>
    <n v="1"/>
    <n v="0.3"/>
    <n v="0"/>
    <n v="0.875"/>
    <n v="0.66666666666666663"/>
    <n v="12"/>
    <n v="0.54545454545454541"/>
    <x v="1"/>
    <n v="8"/>
    <x v="1"/>
  </r>
  <r>
    <s v="00255"/>
    <n v="5"/>
    <n v="3"/>
    <n v="3"/>
    <n v="4"/>
    <n v="1.5"/>
    <x v="1"/>
    <x v="1"/>
    <n v="9"/>
    <x v="1"/>
    <n v="1"/>
    <n v="0.6"/>
    <n v="0.6"/>
    <n v="1"/>
    <n v="0.5"/>
    <n v="16.5"/>
    <n v="0.75"/>
    <x v="0"/>
    <n v="8"/>
    <x v="1"/>
  </r>
  <r>
    <s v="00228"/>
    <n v="2.5"/>
    <n v="5"/>
    <n v="3"/>
    <n v="2.5"/>
    <n v="0.5"/>
    <x v="3"/>
    <x v="1"/>
    <n v="8"/>
    <x v="1"/>
    <n v="0.5"/>
    <n v="1"/>
    <n v="0.6"/>
    <n v="0.625"/>
    <n v="0.16666666666666666"/>
    <n v="13.5"/>
    <n v="0.61363636363636365"/>
    <x v="1"/>
    <n v="8"/>
    <x v="1"/>
  </r>
  <r>
    <s v="00315"/>
    <n v="5"/>
    <n v="4.5"/>
    <n v="4.5"/>
    <n v="3.5"/>
    <n v="1.5"/>
    <x v="1"/>
    <x v="1"/>
    <n v="10"/>
    <x v="2"/>
    <n v="1"/>
    <n v="0.9"/>
    <n v="0.9"/>
    <n v="0.875"/>
    <n v="0.5"/>
    <n v="19"/>
    <n v="0.86363636363636365"/>
    <x v="3"/>
    <n v="8"/>
    <x v="1"/>
  </r>
  <r>
    <s v="00378"/>
    <n v="4.5"/>
    <n v="3.5"/>
    <n v="4"/>
    <n v="3.5"/>
    <n v="2.5"/>
    <x v="3"/>
    <x v="1"/>
    <n v="20"/>
    <x v="3"/>
    <n v="0.9"/>
    <n v="0.7"/>
    <n v="0.8"/>
    <n v="0.875"/>
    <n v="0.83333333333333337"/>
    <n v="18"/>
    <n v="0.81818181818181823"/>
    <x v="3"/>
    <n v="6"/>
    <x v="0"/>
  </r>
  <r>
    <s v="00058"/>
    <n v="5"/>
    <n v="1.5"/>
    <n v="1"/>
    <n v="3"/>
    <n v="1"/>
    <x v="2"/>
    <x v="1"/>
    <n v="5"/>
    <x v="1"/>
    <n v="1"/>
    <n v="0.3"/>
    <n v="0.2"/>
    <n v="0.75"/>
    <n v="0.33333333333333331"/>
    <n v="11.5"/>
    <n v="0.52272727272727271"/>
    <x v="1"/>
    <n v="5"/>
    <x v="0"/>
  </r>
  <r>
    <s v="00555"/>
    <n v="4"/>
    <n v="4.5"/>
    <n v="1.5"/>
    <n v="3.5"/>
    <n v="1"/>
    <x v="1"/>
    <x v="1"/>
    <n v="3"/>
    <x v="0"/>
    <n v="0.8"/>
    <n v="0.9"/>
    <n v="0.3"/>
    <n v="0.875"/>
    <n v="0.33333333333333331"/>
    <n v="14.5"/>
    <n v="0.65909090909090906"/>
    <x v="0"/>
    <n v="5"/>
    <x v="0"/>
  </r>
  <r>
    <s v="00330"/>
    <n v="1"/>
    <n v="2"/>
    <n v="0"/>
    <n v="0"/>
    <n v="0.5"/>
    <x v="2"/>
    <x v="1"/>
    <n v="17"/>
    <x v="4"/>
    <n v="0.2"/>
    <n v="0.4"/>
    <n v="0"/>
    <n v="0"/>
    <n v="0.16666666666666666"/>
    <n v="3.5"/>
    <n v="0.15909090909090909"/>
    <x v="2"/>
    <n v="5"/>
    <x v="0"/>
  </r>
  <r>
    <s v="00320"/>
    <n v="5"/>
    <n v="3.5"/>
    <n v="2.5"/>
    <n v="4"/>
    <n v="0"/>
    <x v="3"/>
    <x v="1"/>
    <n v="2"/>
    <x v="0"/>
    <n v="1"/>
    <n v="0.7"/>
    <n v="0.5"/>
    <n v="1"/>
    <n v="0"/>
    <n v="15"/>
    <n v="0.68181818181818177"/>
    <x v="0"/>
    <n v="4"/>
    <x v="0"/>
  </r>
  <r>
    <s v="00091"/>
    <n v="5"/>
    <n v="5"/>
    <n v="2.5"/>
    <n v="0"/>
    <n v="1"/>
    <x v="1"/>
    <x v="1"/>
    <n v="13"/>
    <x v="2"/>
    <n v="1"/>
    <n v="1"/>
    <n v="0.5"/>
    <n v="0"/>
    <n v="0.33333333333333331"/>
    <n v="13.5"/>
    <n v="0.61363636363636365"/>
    <x v="1"/>
    <n v="3"/>
    <x v="0"/>
  </r>
  <r>
    <s v="00434"/>
    <n v="3.5"/>
    <n v="4.5"/>
    <n v="2"/>
    <n v="3"/>
    <n v="1"/>
    <x v="3"/>
    <x v="1"/>
    <n v="20"/>
    <x v="3"/>
    <n v="0.7"/>
    <n v="0.9"/>
    <n v="0.4"/>
    <n v="0.75"/>
    <n v="0.33333333333333331"/>
    <n v="14"/>
    <n v="0.63636363636363635"/>
    <x v="1"/>
    <n v="6"/>
    <x v="0"/>
  </r>
  <r>
    <s v="00516"/>
    <n v="5"/>
    <n v="4"/>
    <n v="3.5"/>
    <n v="2"/>
    <n v="2"/>
    <x v="2"/>
    <x v="1"/>
    <n v="5"/>
    <x v="1"/>
    <n v="1"/>
    <n v="0.8"/>
    <n v="0.7"/>
    <n v="0.5"/>
    <n v="0.66666666666666663"/>
    <n v="16.5"/>
    <n v="0.75"/>
    <x v="0"/>
    <n v="6"/>
    <x v="0"/>
  </r>
  <r>
    <s v="00219"/>
    <n v="2"/>
    <n v="0"/>
    <n v="0"/>
    <n v="0"/>
    <n v="0.5"/>
    <x v="1"/>
    <x v="1"/>
    <n v="11"/>
    <x v="2"/>
    <n v="0.4"/>
    <n v="0"/>
    <n v="0"/>
    <n v="0"/>
    <n v="0.16666666666666666"/>
    <n v="2.5"/>
    <n v="0.11363636363636363"/>
    <x v="2"/>
    <n v="9"/>
    <x v="2"/>
  </r>
  <r>
    <s v="00212"/>
    <n v="4.5"/>
    <n v="4"/>
    <n v="2.5"/>
    <n v="2.5"/>
    <n v="0.5"/>
    <x v="3"/>
    <x v="1"/>
    <n v="2"/>
    <x v="0"/>
    <n v="0.9"/>
    <n v="0.8"/>
    <n v="0.5"/>
    <n v="0.625"/>
    <n v="0.16666666666666666"/>
    <n v="14"/>
    <n v="0.63636363636363635"/>
    <x v="1"/>
    <n v="9"/>
    <x v="2"/>
  </r>
  <r>
    <s v="00093"/>
    <n v="4"/>
    <n v="3"/>
    <n v="3.5"/>
    <n v="4"/>
    <n v="2.5"/>
    <x v="1"/>
    <x v="1"/>
    <n v="6"/>
    <x v="1"/>
    <n v="0.8"/>
    <n v="0.6"/>
    <n v="0.7"/>
    <n v="1"/>
    <n v="0.83333333333333337"/>
    <n v="17"/>
    <n v="0.77272727272727271"/>
    <x v="0"/>
    <n v="9"/>
    <x v="2"/>
  </r>
  <r>
    <s v="00515"/>
    <n v="4"/>
    <n v="4"/>
    <n v="3.5"/>
    <n v="2"/>
    <n v="1"/>
    <x v="2"/>
    <x v="1"/>
    <n v="12"/>
    <x v="2"/>
    <n v="0.8"/>
    <n v="0.8"/>
    <n v="0.7"/>
    <n v="0.5"/>
    <n v="0.33333333333333331"/>
    <n v="14.5"/>
    <n v="0.65909090909090906"/>
    <x v="0"/>
    <n v="9"/>
    <x v="2"/>
  </r>
  <r>
    <s v="00141"/>
    <n v="5"/>
    <n v="4"/>
    <n v="3"/>
    <n v="3"/>
    <n v="0"/>
    <x v="3"/>
    <x v="1"/>
    <n v="8"/>
    <x v="1"/>
    <n v="1"/>
    <n v="0.8"/>
    <n v="0.6"/>
    <n v="0.75"/>
    <n v="0"/>
    <n v="15"/>
    <n v="0.68181818181818177"/>
    <x v="0"/>
    <n v="9"/>
    <x v="2"/>
  </r>
  <r>
    <s v="00533"/>
    <n v="4.5"/>
    <n v="3.5"/>
    <n v="2.5"/>
    <n v="4"/>
    <n v="3"/>
    <x v="3"/>
    <x v="1"/>
    <n v="10"/>
    <x v="2"/>
    <n v="0.9"/>
    <n v="0.7"/>
    <n v="0.5"/>
    <n v="1"/>
    <n v="1"/>
    <n v="17.5"/>
    <n v="0.79545454545454541"/>
    <x v="0"/>
    <n v="9"/>
    <x v="2"/>
  </r>
  <r>
    <s v="00507"/>
    <n v="4.5"/>
    <n v="4"/>
    <n v="3.5"/>
    <n v="3.5"/>
    <n v="2.5"/>
    <x v="3"/>
    <x v="1"/>
    <n v="19"/>
    <x v="4"/>
    <n v="0.9"/>
    <n v="0.8"/>
    <n v="0.7"/>
    <n v="0.875"/>
    <n v="0.83333333333333337"/>
    <n v="18"/>
    <n v="0.81818181818181823"/>
    <x v="3"/>
    <n v="9"/>
    <x v="2"/>
  </r>
  <r>
    <s v="00193"/>
    <n v="4.5"/>
    <n v="5"/>
    <n v="2.5"/>
    <n v="4"/>
    <n v="1.5"/>
    <x v="1"/>
    <x v="1"/>
    <n v="4"/>
    <x v="0"/>
    <n v="0.9"/>
    <n v="1"/>
    <n v="0.5"/>
    <n v="1"/>
    <n v="0.5"/>
    <n v="17.5"/>
    <n v="0.79545454545454541"/>
    <x v="0"/>
    <n v="9"/>
    <x v="2"/>
  </r>
  <r>
    <s v="00586"/>
    <n v="5"/>
    <n v="3.5"/>
    <n v="2"/>
    <n v="3"/>
    <n v="1.5"/>
    <x v="2"/>
    <x v="1"/>
    <n v="6"/>
    <x v="1"/>
    <n v="1"/>
    <n v="0.7"/>
    <n v="0.4"/>
    <n v="0.75"/>
    <n v="0.5"/>
    <n v="15"/>
    <n v="0.68181818181818177"/>
    <x v="0"/>
    <n v="9"/>
    <x v="2"/>
  </r>
  <r>
    <s v="00080"/>
    <n v="4"/>
    <n v="4"/>
    <n v="3"/>
    <n v="2.5"/>
    <n v="1"/>
    <x v="1"/>
    <x v="1"/>
    <n v="15"/>
    <x v="4"/>
    <n v="0.8"/>
    <n v="0.8"/>
    <n v="0.6"/>
    <n v="0.625"/>
    <n v="0.33333333333333331"/>
    <n v="14.5"/>
    <n v="0.65909090909090906"/>
    <x v="0"/>
    <n v="9"/>
    <x v="2"/>
  </r>
  <r>
    <s v="00023"/>
    <n v="2"/>
    <n v="4.5"/>
    <n v="2.5"/>
    <n v="3.5"/>
    <n v="1"/>
    <x v="2"/>
    <x v="1"/>
    <n v="18"/>
    <x v="4"/>
    <n v="0.4"/>
    <n v="0.9"/>
    <n v="0.5"/>
    <n v="0.875"/>
    <n v="0.33333333333333331"/>
    <n v="13.5"/>
    <n v="0.61363636363636365"/>
    <x v="1"/>
    <n v="9"/>
    <x v="2"/>
  </r>
  <r>
    <s v="00460"/>
    <n v="5"/>
    <n v="0.5"/>
    <n v="3.5"/>
    <n v="0"/>
    <n v="2.5"/>
    <x v="3"/>
    <x v="1"/>
    <n v="4"/>
    <x v="0"/>
    <n v="1"/>
    <n v="0.1"/>
    <n v="0.7"/>
    <n v="0"/>
    <n v="0.83333333333333337"/>
    <n v="11.5"/>
    <n v="0.52272727272727271"/>
    <x v="1"/>
    <n v="9"/>
    <x v="2"/>
  </r>
  <r>
    <s v="00041"/>
    <n v="4"/>
    <n v="2.5"/>
    <n v="2.5"/>
    <n v="2.5"/>
    <n v="0"/>
    <x v="3"/>
    <x v="1"/>
    <n v="10"/>
    <x v="2"/>
    <n v="0.8"/>
    <n v="0.5"/>
    <n v="0.5"/>
    <n v="0.625"/>
    <n v="0"/>
    <n v="11.5"/>
    <n v="0.52272727272727271"/>
    <x v="1"/>
    <n v="9"/>
    <x v="2"/>
  </r>
  <r>
    <s v="00247"/>
    <n v="5"/>
    <n v="3"/>
    <n v="3"/>
    <n v="3"/>
    <n v="2.5"/>
    <x v="3"/>
    <x v="1"/>
    <n v="7"/>
    <x v="1"/>
    <n v="1"/>
    <n v="0.6"/>
    <n v="0.6"/>
    <n v="0.75"/>
    <n v="0.83333333333333337"/>
    <n v="16.5"/>
    <n v="0.75"/>
    <x v="0"/>
    <n v="9"/>
    <x v="2"/>
  </r>
  <r>
    <s v="00497"/>
    <n v="5"/>
    <n v="4"/>
    <n v="2.5"/>
    <n v="0.5"/>
    <n v="0.5"/>
    <x v="1"/>
    <x v="1"/>
    <n v="9"/>
    <x v="1"/>
    <n v="1"/>
    <n v="0.8"/>
    <n v="0.5"/>
    <n v="0.125"/>
    <n v="0.16666666666666666"/>
    <n v="12.5"/>
    <n v="0.56818181818181823"/>
    <x v="1"/>
    <n v="9"/>
    <x v="2"/>
  </r>
  <r>
    <s v="00324"/>
    <n v="5"/>
    <n v="3.5"/>
    <n v="4"/>
    <n v="4"/>
    <n v="0.5"/>
    <x v="3"/>
    <x v="1"/>
    <n v="7"/>
    <x v="1"/>
    <n v="1"/>
    <n v="0.7"/>
    <n v="0.8"/>
    <n v="1"/>
    <n v="0.16666666666666666"/>
    <n v="17"/>
    <n v="0.77272727272727271"/>
    <x v="0"/>
    <n v="9"/>
    <x v="2"/>
  </r>
  <r>
    <s v="00447"/>
    <n v="5"/>
    <n v="5"/>
    <n v="1.5"/>
    <n v="0.5"/>
    <n v="2"/>
    <x v="3"/>
    <x v="1"/>
    <n v="22"/>
    <x v="3"/>
    <n v="1"/>
    <n v="1"/>
    <n v="0.3"/>
    <n v="0.125"/>
    <n v="0.66666666666666663"/>
    <n v="14"/>
    <n v="0.63636363636363635"/>
    <x v="1"/>
    <n v="6"/>
    <x v="0"/>
  </r>
  <r>
    <s v="00471"/>
    <n v="5"/>
    <n v="4"/>
    <n v="1"/>
    <n v="2"/>
    <n v="2.5"/>
    <x v="2"/>
    <x v="1"/>
    <n v="9"/>
    <x v="1"/>
    <n v="1"/>
    <n v="0.8"/>
    <n v="0.2"/>
    <n v="0.5"/>
    <n v="0.83333333333333337"/>
    <n v="14.5"/>
    <n v="0.65909090909090906"/>
    <x v="0"/>
    <n v="5"/>
    <x v="0"/>
  </r>
  <r>
    <s v="00385"/>
    <n v="4.5"/>
    <n v="3"/>
    <n v="4.5"/>
    <n v="3"/>
    <n v="0.5"/>
    <x v="2"/>
    <x v="1"/>
    <n v="12"/>
    <x v="2"/>
    <n v="0.9"/>
    <n v="0.6"/>
    <n v="0.9"/>
    <n v="0.75"/>
    <n v="0.16666666666666666"/>
    <n v="15.5"/>
    <n v="0.70454545454545459"/>
    <x v="0"/>
    <n v="9"/>
    <x v="2"/>
  </r>
  <r>
    <s v="00483"/>
    <n v="4"/>
    <n v="3.5"/>
    <n v="2.5"/>
    <n v="4"/>
    <n v="3"/>
    <x v="3"/>
    <x v="1"/>
    <n v="15"/>
    <x v="4"/>
    <n v="0.8"/>
    <n v="0.7"/>
    <n v="0.5"/>
    <n v="1"/>
    <n v="1"/>
    <n v="17"/>
    <n v="0.77272727272727271"/>
    <x v="0"/>
    <n v="9"/>
    <x v="2"/>
  </r>
  <r>
    <s v="00491"/>
    <n v="5"/>
    <n v="4"/>
    <n v="3"/>
    <n v="2"/>
    <n v="1.5"/>
    <x v="2"/>
    <x v="1"/>
    <n v="3"/>
    <x v="0"/>
    <n v="1"/>
    <n v="0.8"/>
    <n v="0.6"/>
    <n v="0.5"/>
    <n v="0.5"/>
    <n v="15.5"/>
    <n v="0.70454545454545459"/>
    <x v="0"/>
    <n v="10"/>
    <x v="2"/>
  </r>
  <r>
    <s v="00428"/>
    <n v="5"/>
    <n v="4.5"/>
    <n v="3.5"/>
    <n v="4"/>
    <n v="1"/>
    <x v="3"/>
    <x v="1"/>
    <n v="2"/>
    <x v="0"/>
    <n v="1"/>
    <n v="0.9"/>
    <n v="0.7"/>
    <n v="1"/>
    <n v="0.33333333333333331"/>
    <n v="18"/>
    <n v="0.81818181818181823"/>
    <x v="3"/>
    <n v="10"/>
    <x v="2"/>
  </r>
  <r>
    <s v="00444"/>
    <n v="5"/>
    <n v="5"/>
    <n v="3"/>
    <n v="1.5"/>
    <n v="2.5"/>
    <x v="3"/>
    <x v="1"/>
    <n v="7"/>
    <x v="1"/>
    <n v="1"/>
    <n v="1"/>
    <n v="0.6"/>
    <n v="0.375"/>
    <n v="0.83333333333333337"/>
    <n v="17"/>
    <n v="0.77272727272727271"/>
    <x v="0"/>
    <n v="10"/>
    <x v="2"/>
  </r>
  <r>
    <s v="00017"/>
    <n v="5"/>
    <n v="2.5"/>
    <n v="4"/>
    <n v="4"/>
    <n v="2"/>
    <x v="4"/>
    <x v="1"/>
    <n v="7"/>
    <x v="1"/>
    <n v="1"/>
    <n v="0.5"/>
    <n v="0.8"/>
    <n v="1"/>
    <n v="0.66666666666666663"/>
    <n v="17.5"/>
    <n v="0.79545454545454541"/>
    <x v="0"/>
    <n v="2"/>
    <x v="0"/>
  </r>
  <r>
    <s v="00436"/>
    <n v="3"/>
    <n v="5"/>
    <n v="4.5"/>
    <n v="3"/>
    <n v="2"/>
    <x v="4"/>
    <x v="1"/>
    <n v="6"/>
    <x v="1"/>
    <n v="0.6"/>
    <n v="1"/>
    <n v="0.9"/>
    <n v="0.75"/>
    <n v="0.66666666666666663"/>
    <n v="17.5"/>
    <n v="0.79545454545454541"/>
    <x v="0"/>
    <n v="6"/>
    <x v="0"/>
  </r>
  <r>
    <s v="00151"/>
    <n v="5"/>
    <n v="1.5"/>
    <n v="1.5"/>
    <n v="3.5"/>
    <n v="1.5"/>
    <x v="4"/>
    <x v="1"/>
    <n v="14"/>
    <x v="2"/>
    <n v="1"/>
    <n v="0.3"/>
    <n v="0.3"/>
    <n v="0.875"/>
    <n v="0.5"/>
    <n v="13"/>
    <n v="0.59090909090909094"/>
    <x v="1"/>
    <n v="7"/>
    <x v="1"/>
  </r>
  <r>
    <s v="00501"/>
    <n v="4"/>
    <n v="2.5"/>
    <n v="2"/>
    <n v="3.5"/>
    <n v="0.5"/>
    <x v="4"/>
    <x v="1"/>
    <n v="9"/>
    <x v="1"/>
    <n v="0.8"/>
    <n v="0.5"/>
    <n v="0.4"/>
    <n v="0.875"/>
    <n v="0.16666666666666666"/>
    <n v="12.5"/>
    <n v="0.56818181818181823"/>
    <x v="1"/>
    <n v="7"/>
    <x v="1"/>
  </r>
  <r>
    <s v="00261"/>
    <n v="5"/>
    <n v="1.5"/>
    <n v="2.5"/>
    <n v="1.5"/>
    <n v="2.5"/>
    <x v="4"/>
    <x v="1"/>
    <n v="4"/>
    <x v="0"/>
    <n v="1"/>
    <n v="0.3"/>
    <n v="0.5"/>
    <n v="0.375"/>
    <n v="0.83333333333333337"/>
    <n v="13"/>
    <n v="0.59090909090909094"/>
    <x v="1"/>
    <n v="7"/>
    <x v="1"/>
  </r>
  <r>
    <s v="00146"/>
    <n v="5"/>
    <n v="3.5"/>
    <n v="4.5"/>
    <n v="3.5"/>
    <n v="1.5"/>
    <x v="4"/>
    <x v="1"/>
    <n v="10"/>
    <x v="2"/>
    <n v="1"/>
    <n v="0.7"/>
    <n v="0.9"/>
    <n v="0.875"/>
    <n v="0.5"/>
    <n v="18"/>
    <n v="0.81818181818181823"/>
    <x v="3"/>
    <n v="7"/>
    <x v="1"/>
  </r>
  <r>
    <s v="00152"/>
    <n v="4.5"/>
    <n v="3.5"/>
    <n v="1.5"/>
    <n v="3.5"/>
    <n v="1"/>
    <x v="4"/>
    <x v="1"/>
    <n v="10"/>
    <x v="2"/>
    <n v="0.9"/>
    <n v="0.7"/>
    <n v="0.3"/>
    <n v="0.875"/>
    <n v="0.33333333333333331"/>
    <n v="14"/>
    <n v="0.63636363636363635"/>
    <x v="1"/>
    <n v="8"/>
    <x v="1"/>
  </r>
  <r>
    <s v="00259"/>
    <n v="5"/>
    <n v="3.5"/>
    <n v="4"/>
    <n v="2"/>
    <n v="1.5"/>
    <x v="4"/>
    <x v="1"/>
    <n v="6"/>
    <x v="1"/>
    <n v="1"/>
    <n v="0.7"/>
    <n v="0.8"/>
    <n v="0.5"/>
    <n v="0.5"/>
    <n v="16"/>
    <n v="0.72727272727272729"/>
    <x v="0"/>
    <n v="8"/>
    <x v="1"/>
  </r>
  <r>
    <s v="00266"/>
    <n v="4"/>
    <n v="5"/>
    <n v="3"/>
    <n v="3.5"/>
    <n v="3"/>
    <x v="4"/>
    <x v="1"/>
    <n v="14"/>
    <x v="2"/>
    <n v="0.8"/>
    <n v="1"/>
    <n v="0.6"/>
    <n v="0.875"/>
    <n v="1"/>
    <n v="18.5"/>
    <n v="0.84090909090909094"/>
    <x v="3"/>
    <n v="8"/>
    <x v="1"/>
  </r>
  <r>
    <s v="00371"/>
    <n v="2.5"/>
    <n v="3.5"/>
    <n v="1.5"/>
    <n v="3"/>
    <n v="3"/>
    <x v="4"/>
    <x v="1"/>
    <n v="9"/>
    <x v="1"/>
    <n v="0.5"/>
    <n v="0.7"/>
    <n v="0.3"/>
    <n v="0.75"/>
    <n v="1"/>
    <n v="13.5"/>
    <n v="0.61363636363636365"/>
    <x v="1"/>
    <n v="8"/>
    <x v="1"/>
  </r>
  <r>
    <s v="00490"/>
    <n v="5"/>
    <n v="1"/>
    <n v="1.5"/>
    <n v="3"/>
    <n v="1.5"/>
    <x v="4"/>
    <x v="1"/>
    <n v="12"/>
    <x v="2"/>
    <n v="1"/>
    <n v="0.2"/>
    <n v="0.3"/>
    <n v="0.75"/>
    <n v="0.5"/>
    <n v="12"/>
    <n v="0.54545454545454541"/>
    <x v="1"/>
    <n v="8"/>
    <x v="1"/>
  </r>
  <r>
    <s v="00417"/>
    <n v="5"/>
    <n v="3"/>
    <n v="0.5"/>
    <n v="3.5"/>
    <n v="1.5"/>
    <x v="4"/>
    <x v="1"/>
    <n v="8"/>
    <x v="1"/>
    <n v="1"/>
    <n v="0.6"/>
    <n v="0.1"/>
    <n v="0.875"/>
    <n v="0.5"/>
    <n v="13.5"/>
    <n v="0.61363636363636365"/>
    <x v="1"/>
    <n v="6"/>
    <x v="0"/>
  </r>
  <r>
    <s v="00573"/>
    <n v="3.5"/>
    <n v="1"/>
    <n v="1"/>
    <n v="3"/>
    <n v="2"/>
    <x v="4"/>
    <x v="1"/>
    <n v="3"/>
    <x v="0"/>
    <n v="0.7"/>
    <n v="0.2"/>
    <n v="0.2"/>
    <n v="0.75"/>
    <n v="0.66666666666666663"/>
    <n v="10.5"/>
    <n v="0.47727272727272729"/>
    <x v="2"/>
    <n v="4"/>
    <x v="0"/>
  </r>
  <r>
    <s v="00508"/>
    <n v="5"/>
    <n v="3"/>
    <n v="0"/>
    <n v="1"/>
    <n v="2"/>
    <x v="4"/>
    <x v="1"/>
    <n v="15"/>
    <x v="4"/>
    <n v="1"/>
    <n v="0.6"/>
    <n v="0"/>
    <n v="0.25"/>
    <n v="0.66666666666666663"/>
    <n v="11"/>
    <n v="0.5"/>
    <x v="1"/>
    <n v="6"/>
    <x v="0"/>
  </r>
  <r>
    <s v="00092"/>
    <n v="5"/>
    <n v="3"/>
    <n v="1.5"/>
    <n v="2.5"/>
    <n v="0"/>
    <x v="4"/>
    <x v="1"/>
    <n v="13"/>
    <x v="2"/>
    <n v="1"/>
    <n v="0.6"/>
    <n v="0.3"/>
    <n v="0.625"/>
    <n v="0"/>
    <n v="12"/>
    <n v="0.54545454545454541"/>
    <x v="1"/>
    <n v="2"/>
    <x v="0"/>
  </r>
  <r>
    <s v="00421"/>
    <n v="5"/>
    <n v="4"/>
    <n v="1"/>
    <n v="3.5"/>
    <n v="0.5"/>
    <x v="4"/>
    <x v="1"/>
    <n v="12"/>
    <x v="2"/>
    <n v="1"/>
    <n v="0.8"/>
    <n v="0.2"/>
    <n v="0.875"/>
    <n v="0.16666666666666666"/>
    <n v="14"/>
    <n v="0.63636363636363635"/>
    <x v="1"/>
    <n v="3"/>
    <x v="0"/>
  </r>
  <r>
    <s v="00037"/>
    <n v="5"/>
    <n v="4"/>
    <n v="1.5"/>
    <n v="3.5"/>
    <n v="1"/>
    <x v="4"/>
    <x v="1"/>
    <n v="11"/>
    <x v="2"/>
    <n v="1"/>
    <n v="0.8"/>
    <n v="0.3"/>
    <n v="0.875"/>
    <n v="0.33333333333333331"/>
    <n v="15"/>
    <n v="0.68181818181818177"/>
    <x v="0"/>
    <n v="6"/>
    <x v="0"/>
  </r>
  <r>
    <s v="00139"/>
    <n v="5"/>
    <n v="5"/>
    <n v="2.5"/>
    <n v="1.5"/>
    <n v="0"/>
    <x v="4"/>
    <x v="1"/>
    <n v="3"/>
    <x v="0"/>
    <n v="1"/>
    <n v="1"/>
    <n v="0.5"/>
    <n v="0.375"/>
    <n v="0"/>
    <n v="14"/>
    <n v="0.63636363636363635"/>
    <x v="1"/>
    <n v="7"/>
    <x v="1"/>
  </r>
  <r>
    <s v="00052"/>
    <n v="5"/>
    <n v="5"/>
    <n v="5"/>
    <n v="1"/>
    <n v="0.5"/>
    <x v="4"/>
    <x v="1"/>
    <n v="8"/>
    <x v="1"/>
    <n v="1"/>
    <n v="1"/>
    <n v="1"/>
    <n v="0.25"/>
    <n v="0.16666666666666666"/>
    <n v="16.5"/>
    <n v="0.75"/>
    <x v="0"/>
    <n v="7"/>
    <x v="1"/>
  </r>
  <r>
    <s v="00274"/>
    <n v="4.5"/>
    <n v="4.5"/>
    <n v="3"/>
    <n v="4"/>
    <n v="3"/>
    <x v="4"/>
    <x v="1"/>
    <n v="8"/>
    <x v="1"/>
    <n v="0.9"/>
    <n v="0.9"/>
    <n v="0.6"/>
    <n v="1"/>
    <n v="1"/>
    <n v="19"/>
    <n v="0.86363636363636365"/>
    <x v="3"/>
    <n v="8"/>
    <x v="1"/>
  </r>
  <r>
    <s v="00124"/>
    <n v="5"/>
    <n v="4.5"/>
    <n v="1.5"/>
    <n v="4"/>
    <n v="2"/>
    <x v="4"/>
    <x v="1"/>
    <n v="7"/>
    <x v="1"/>
    <n v="1"/>
    <n v="0.9"/>
    <n v="0.3"/>
    <n v="1"/>
    <n v="0.66666666666666663"/>
    <n v="17"/>
    <n v="0.77272727272727271"/>
    <x v="0"/>
    <n v="8"/>
    <x v="1"/>
  </r>
  <r>
    <s v="00317"/>
    <n v="4.5"/>
    <n v="4"/>
    <n v="2.5"/>
    <n v="0"/>
    <n v="1"/>
    <x v="4"/>
    <x v="1"/>
    <n v="2"/>
    <x v="0"/>
    <n v="0.9"/>
    <n v="0.8"/>
    <n v="0.5"/>
    <n v="0"/>
    <n v="0.33333333333333331"/>
    <n v="12"/>
    <n v="0.54545454545454541"/>
    <x v="1"/>
    <n v="8"/>
    <x v="1"/>
  </r>
  <r>
    <s v="00333"/>
    <n v="5"/>
    <n v="4.5"/>
    <n v="3"/>
    <n v="3"/>
    <n v="0"/>
    <x v="4"/>
    <x v="1"/>
    <n v="2"/>
    <x v="0"/>
    <n v="1"/>
    <n v="0.9"/>
    <n v="0.6"/>
    <n v="0.75"/>
    <n v="0"/>
    <n v="15.5"/>
    <n v="0.70454545454545459"/>
    <x v="0"/>
    <n v="7"/>
    <x v="1"/>
  </r>
  <r>
    <s v="00240"/>
    <n v="4.5"/>
    <n v="4"/>
    <n v="3.5"/>
    <n v="4"/>
    <n v="0.5"/>
    <x v="4"/>
    <x v="1"/>
    <n v="10"/>
    <x v="2"/>
    <n v="0.9"/>
    <n v="0.8"/>
    <n v="0.7"/>
    <n v="1"/>
    <n v="0.16666666666666666"/>
    <n v="16.5"/>
    <n v="0.75"/>
    <x v="0"/>
    <n v="7"/>
    <x v="1"/>
  </r>
  <r>
    <s v="00213"/>
    <n v="5"/>
    <n v="2.5"/>
    <n v="2"/>
    <n v="4"/>
    <n v="1"/>
    <x v="4"/>
    <x v="1"/>
    <n v="6"/>
    <x v="1"/>
    <n v="1"/>
    <n v="0.5"/>
    <n v="0.4"/>
    <n v="1"/>
    <n v="0.33333333333333331"/>
    <n v="14.5"/>
    <n v="0.65909090909090906"/>
    <x v="0"/>
    <n v="7"/>
    <x v="1"/>
  </r>
  <r>
    <s v="00496"/>
    <n v="3.5"/>
    <n v="4.5"/>
    <n v="2.5"/>
    <n v="4"/>
    <n v="2"/>
    <x v="4"/>
    <x v="1"/>
    <n v="17"/>
    <x v="4"/>
    <n v="0.7"/>
    <n v="0.9"/>
    <n v="0.5"/>
    <n v="1"/>
    <n v="0.66666666666666663"/>
    <n v="16.5"/>
    <n v="0.75"/>
    <x v="0"/>
    <n v="8"/>
    <x v="1"/>
  </r>
  <r>
    <s v="00054"/>
    <n v="4"/>
    <n v="3"/>
    <n v="4"/>
    <n v="2.5"/>
    <n v="2.5"/>
    <x v="4"/>
    <x v="1"/>
    <n v="10"/>
    <x v="2"/>
    <n v="0.8"/>
    <n v="0.6"/>
    <n v="0.8"/>
    <n v="0.625"/>
    <n v="0.83333333333333337"/>
    <n v="16"/>
    <n v="0.72727272727272729"/>
    <x v="0"/>
    <n v="9"/>
    <x v="2"/>
  </r>
  <r>
    <s v="00590"/>
    <n v="5"/>
    <n v="3.5"/>
    <n v="3"/>
    <n v="0"/>
    <n v="2.5"/>
    <x v="4"/>
    <x v="1"/>
    <n v="9"/>
    <x v="1"/>
    <n v="1"/>
    <n v="0.7"/>
    <n v="0.6"/>
    <n v="0"/>
    <n v="0.83333333333333337"/>
    <n v="14"/>
    <n v="0.63636363636363635"/>
    <x v="1"/>
    <n v="9"/>
    <x v="2"/>
  </r>
  <r>
    <s v="00199"/>
    <n v="0"/>
    <n v="2"/>
    <n v="0"/>
    <n v="0"/>
    <n v="0.5"/>
    <x v="4"/>
    <x v="1"/>
    <n v="9"/>
    <x v="1"/>
    <n v="0"/>
    <n v="0.4"/>
    <n v="0"/>
    <n v="0"/>
    <n v="0.16666666666666666"/>
    <n v="2.5"/>
    <n v="0.11363636363636363"/>
    <x v="2"/>
    <n v="9"/>
    <x v="2"/>
  </r>
  <r>
    <s v="00059"/>
    <n v="5"/>
    <n v="3.5"/>
    <n v="2"/>
    <n v="3"/>
    <n v="0.5"/>
    <x v="4"/>
    <x v="1"/>
    <n v="8"/>
    <x v="1"/>
    <n v="1"/>
    <n v="0.7"/>
    <n v="0.4"/>
    <n v="0.75"/>
    <n v="0.16666666666666666"/>
    <n v="14"/>
    <n v="0.63636363636363635"/>
    <x v="1"/>
    <n v="9"/>
    <x v="2"/>
  </r>
  <r>
    <s v="00194"/>
    <n v="5"/>
    <n v="5"/>
    <n v="4.5"/>
    <n v="4"/>
    <n v="0.5"/>
    <x v="4"/>
    <x v="1"/>
    <n v="4"/>
    <x v="0"/>
    <n v="1"/>
    <n v="1"/>
    <n v="0.9"/>
    <n v="1"/>
    <n v="0.16666666666666666"/>
    <n v="19"/>
    <n v="0.86363636363636365"/>
    <x v="3"/>
    <n v="9"/>
    <x v="2"/>
  </r>
  <r>
    <s v="00204"/>
    <n v="5"/>
    <n v="4"/>
    <n v="3"/>
    <n v="0.5"/>
    <n v="1.5"/>
    <x v="4"/>
    <x v="1"/>
    <n v="17"/>
    <x v="4"/>
    <n v="1"/>
    <n v="0.8"/>
    <n v="0.6"/>
    <n v="0.125"/>
    <n v="0.5"/>
    <n v="14"/>
    <n v="0.63636363636363635"/>
    <x v="1"/>
    <n v="9"/>
    <x v="2"/>
  </r>
  <r>
    <s v="00494"/>
    <n v="5"/>
    <n v="3"/>
    <n v="2.5"/>
    <n v="1.5"/>
    <n v="0.5"/>
    <x v="4"/>
    <x v="1"/>
    <n v="13"/>
    <x v="2"/>
    <n v="1"/>
    <n v="0.6"/>
    <n v="0.5"/>
    <n v="0.375"/>
    <n v="0.16666666666666666"/>
    <n v="12.5"/>
    <n v="0.56818181818181823"/>
    <x v="1"/>
    <n v="9"/>
    <x v="2"/>
  </r>
  <r>
    <s v="00039"/>
    <n v="5"/>
    <n v="4"/>
    <n v="2"/>
    <n v="2"/>
    <n v="1.5"/>
    <x v="4"/>
    <x v="1"/>
    <n v="2"/>
    <x v="0"/>
    <n v="1"/>
    <n v="0.8"/>
    <n v="0.4"/>
    <n v="0.5"/>
    <n v="0.5"/>
    <n v="14.5"/>
    <n v="0.65909090909090906"/>
    <x v="0"/>
    <n v="9"/>
    <x v="2"/>
  </r>
  <r>
    <s v="00068"/>
    <n v="4.5"/>
    <n v="4.5"/>
    <n v="0.5"/>
    <n v="3.5"/>
    <n v="2.5"/>
    <x v="4"/>
    <x v="1"/>
    <n v="16"/>
    <x v="4"/>
    <n v="0.9"/>
    <n v="0.9"/>
    <n v="0.1"/>
    <n v="0.875"/>
    <n v="0.83333333333333337"/>
    <n v="15.5"/>
    <n v="0.70454545454545459"/>
    <x v="0"/>
    <n v="9"/>
    <x v="2"/>
  </r>
  <r>
    <s v="00453"/>
    <n v="4.5"/>
    <n v="4.5"/>
    <n v="4.5"/>
    <n v="2"/>
    <n v="3"/>
    <x v="4"/>
    <x v="1"/>
    <n v="8"/>
    <x v="1"/>
    <n v="0.9"/>
    <n v="0.9"/>
    <n v="0.9"/>
    <n v="0.5"/>
    <n v="1"/>
    <n v="18.5"/>
    <n v="0.84090909090909094"/>
    <x v="3"/>
    <n v="9"/>
    <x v="2"/>
  </r>
  <r>
    <s v="00269"/>
    <n v="4"/>
    <n v="5"/>
    <n v="2.5"/>
    <n v="3.5"/>
    <n v="2"/>
    <x v="4"/>
    <x v="1"/>
    <n v="14"/>
    <x v="2"/>
    <n v="0.8"/>
    <n v="1"/>
    <n v="0.5"/>
    <n v="0.875"/>
    <n v="0.66666666666666663"/>
    <n v="17"/>
    <n v="0.77272727272727271"/>
    <x v="0"/>
    <n v="9"/>
    <x v="2"/>
  </r>
  <r>
    <s v="00584"/>
    <n v="3.5"/>
    <n v="2.5"/>
    <n v="1"/>
    <n v="1.5"/>
    <n v="2"/>
    <x v="4"/>
    <x v="1"/>
    <n v="11"/>
    <x v="2"/>
    <n v="0.7"/>
    <n v="0.5"/>
    <n v="0.2"/>
    <n v="0.375"/>
    <n v="0.66666666666666663"/>
    <n v="10.5"/>
    <n v="0.47727272727272729"/>
    <x v="2"/>
    <n v="9"/>
    <x v="2"/>
  </r>
  <r>
    <s v="00303"/>
    <n v="5"/>
    <n v="5"/>
    <n v="1.5"/>
    <n v="1.5"/>
    <n v="2"/>
    <x v="4"/>
    <x v="1"/>
    <n v="8"/>
    <x v="1"/>
    <n v="1"/>
    <n v="1"/>
    <n v="0.3"/>
    <n v="0.375"/>
    <n v="0.66666666666666663"/>
    <n v="15"/>
    <n v="0.68181818181818177"/>
    <x v="0"/>
    <n v="9"/>
    <x v="2"/>
  </r>
  <r>
    <s v="00399"/>
    <n v="4"/>
    <n v="3"/>
    <n v="1.5"/>
    <n v="3"/>
    <n v="2"/>
    <x v="4"/>
    <x v="1"/>
    <n v="7"/>
    <x v="1"/>
    <n v="0.8"/>
    <n v="0.6"/>
    <n v="0.3"/>
    <n v="0.75"/>
    <n v="0.66666666666666663"/>
    <n v="13.5"/>
    <n v="0.61363636363636365"/>
    <x v="1"/>
    <n v="9"/>
    <x v="2"/>
  </r>
  <r>
    <s v="00203"/>
    <n v="5"/>
    <n v="4"/>
    <n v="4"/>
    <n v="3.5"/>
    <n v="2"/>
    <x v="4"/>
    <x v="1"/>
    <n v="18"/>
    <x v="4"/>
    <n v="1"/>
    <n v="0.8"/>
    <n v="0.8"/>
    <n v="0.875"/>
    <n v="0.66666666666666663"/>
    <n v="18.5"/>
    <n v="0.84090909090909094"/>
    <x v="3"/>
    <n v="9"/>
    <x v="2"/>
  </r>
  <r>
    <s v="00377"/>
    <n v="4.5"/>
    <n v="2"/>
    <n v="4"/>
    <n v="2.5"/>
    <n v="1.5"/>
    <x v="4"/>
    <x v="1"/>
    <n v="21"/>
    <x v="3"/>
    <n v="0.9"/>
    <n v="0.4"/>
    <n v="0.8"/>
    <n v="0.625"/>
    <n v="0.5"/>
    <n v="14.5"/>
    <n v="0.65909090909090906"/>
    <x v="0"/>
    <n v="9"/>
    <x v="2"/>
  </r>
  <r>
    <s v="00024"/>
    <n v="4"/>
    <n v="4"/>
    <n v="3.5"/>
    <n v="4"/>
    <n v="1"/>
    <x v="4"/>
    <x v="1"/>
    <n v="11"/>
    <x v="2"/>
    <n v="0.8"/>
    <n v="0.8"/>
    <n v="0.7"/>
    <n v="1"/>
    <n v="0.33333333333333331"/>
    <n v="16.5"/>
    <n v="0.75"/>
    <x v="0"/>
    <n v="9"/>
    <x v="2"/>
  </r>
  <r>
    <s v="00130"/>
    <n v="4.5"/>
    <n v="5"/>
    <n v="0.5"/>
    <n v="2.5"/>
    <n v="2.5"/>
    <x v="4"/>
    <x v="1"/>
    <n v="6"/>
    <x v="1"/>
    <n v="0.9"/>
    <n v="1"/>
    <n v="0.1"/>
    <n v="0.625"/>
    <n v="0.83333333333333337"/>
    <n v="15"/>
    <n v="0.68181818181818177"/>
    <x v="0"/>
    <n v="9"/>
    <x v="2"/>
  </r>
  <r>
    <s v="00257"/>
    <n v="4"/>
    <n v="2.5"/>
    <n v="0.5"/>
    <n v="3"/>
    <n v="3"/>
    <x v="4"/>
    <x v="1"/>
    <n v="6"/>
    <x v="1"/>
    <n v="0.8"/>
    <n v="0.5"/>
    <n v="0.1"/>
    <n v="0.75"/>
    <n v="1"/>
    <n v="13"/>
    <n v="0.59090909090909094"/>
    <x v="1"/>
    <n v="9"/>
    <x v="2"/>
  </r>
  <r>
    <s v="00556"/>
    <n v="4.5"/>
    <n v="4"/>
    <n v="2"/>
    <n v="2.5"/>
    <n v="0"/>
    <x v="4"/>
    <x v="1"/>
    <n v="13"/>
    <x v="2"/>
    <n v="0.9"/>
    <n v="0.8"/>
    <n v="0.4"/>
    <n v="0.625"/>
    <n v="0"/>
    <n v="13"/>
    <n v="0.59090909090909094"/>
    <x v="1"/>
    <n v="10"/>
    <x v="2"/>
  </r>
  <r>
    <s v="00273"/>
    <n v="5"/>
    <n v="3.5"/>
    <n v="0.5"/>
    <n v="2"/>
    <n v="1"/>
    <x v="4"/>
    <x v="1"/>
    <n v="2"/>
    <x v="0"/>
    <n v="1"/>
    <n v="0.7"/>
    <n v="0.1"/>
    <n v="0.5"/>
    <n v="0.33333333333333331"/>
    <n v="12"/>
    <n v="0.54545454545454541"/>
    <x v="1"/>
    <n v="10"/>
    <x v="2"/>
  </r>
  <r>
    <s v="00085"/>
    <n v="5"/>
    <n v="5"/>
    <n v="1.5"/>
    <n v="0.5"/>
    <n v="3"/>
    <x v="4"/>
    <x v="1"/>
    <n v="3"/>
    <x v="0"/>
    <n v="1"/>
    <n v="1"/>
    <n v="0.3"/>
    <n v="0.125"/>
    <n v="1"/>
    <n v="15"/>
    <n v="0.68181818181818177"/>
    <x v="0"/>
    <n v="10"/>
    <x v="2"/>
  </r>
  <r>
    <s v="00043"/>
    <n v="5"/>
    <n v="2.5"/>
    <n v="3"/>
    <n v="2.5"/>
    <n v="0.5"/>
    <x v="4"/>
    <x v="1"/>
    <n v="9"/>
    <x v="1"/>
    <n v="1"/>
    <n v="0.5"/>
    <n v="0.6"/>
    <n v="0.625"/>
    <n v="0.16666666666666666"/>
    <n v="13.5"/>
    <n v="0.61363636363636365"/>
    <x v="1"/>
    <n v="10"/>
    <x v="2"/>
  </r>
  <r>
    <s v="00145"/>
    <n v="5"/>
    <n v="4"/>
    <n v="3.5"/>
    <n v="1.5"/>
    <n v="1.5"/>
    <x v="4"/>
    <x v="1"/>
    <n v="13"/>
    <x v="2"/>
    <n v="1"/>
    <n v="0.8"/>
    <n v="0.7"/>
    <n v="0.375"/>
    <n v="0.5"/>
    <n v="15.5"/>
    <n v="0.70454545454545459"/>
    <x v="0"/>
    <n v="10"/>
    <x v="2"/>
  </r>
  <r>
    <s v="00341"/>
    <n v="2.5"/>
    <n v="5"/>
    <n v="3"/>
    <n v="0"/>
    <n v="2.5"/>
    <x v="4"/>
    <x v="1"/>
    <n v="17"/>
    <x v="4"/>
    <n v="0.5"/>
    <n v="1"/>
    <n v="0.6"/>
    <n v="0"/>
    <n v="0.83333333333333337"/>
    <n v="13"/>
    <n v="0.59090909090909094"/>
    <x v="1"/>
    <n v="10"/>
    <x v="2"/>
  </r>
  <r>
    <s v="00004"/>
    <n v="5"/>
    <n v="3.5"/>
    <n v="2.5"/>
    <n v="4"/>
    <n v="2.5"/>
    <x v="4"/>
    <x v="1"/>
    <n v="5"/>
    <x v="1"/>
    <n v="1"/>
    <n v="0.7"/>
    <n v="0.5"/>
    <n v="1"/>
    <n v="0.83333333333333337"/>
    <n v="17.5"/>
    <n v="0.79545454545454541"/>
    <x v="0"/>
    <n v="10"/>
    <x v="2"/>
  </r>
  <r>
    <s v="00498"/>
    <n v="5"/>
    <n v="4"/>
    <n v="1.5"/>
    <n v="1"/>
    <n v="3"/>
    <x v="4"/>
    <x v="1"/>
    <n v="10"/>
    <x v="2"/>
    <n v="1"/>
    <n v="0.8"/>
    <n v="0.3"/>
    <n v="0.25"/>
    <n v="1"/>
    <n v="14.5"/>
    <n v="0.65909090909090906"/>
    <x v="0"/>
    <n v="10"/>
    <x v="2"/>
  </r>
  <r>
    <s v="00036"/>
    <n v="5"/>
    <n v="4"/>
    <n v="4"/>
    <n v="3"/>
    <n v="3"/>
    <x v="4"/>
    <x v="1"/>
    <n v="5"/>
    <x v="1"/>
    <n v="1"/>
    <n v="0.8"/>
    <n v="0.8"/>
    <n v="0.75"/>
    <n v="1"/>
    <n v="19"/>
    <n v="0.86363636363636365"/>
    <x v="3"/>
    <n v="10"/>
    <x v="2"/>
  </r>
  <r>
    <s v="00475"/>
    <n v="5"/>
    <n v="4.5"/>
    <n v="3"/>
    <n v="4"/>
    <n v="2.5"/>
    <x v="4"/>
    <x v="1"/>
    <n v="2"/>
    <x v="0"/>
    <n v="1"/>
    <n v="0.9"/>
    <n v="0.6"/>
    <n v="1"/>
    <n v="0.83333333333333337"/>
    <n v="19"/>
    <n v="0.86363636363636365"/>
    <x v="3"/>
    <n v="10"/>
    <x v="2"/>
  </r>
  <r>
    <s v="00532"/>
    <n v="4"/>
    <n v="5"/>
    <n v="1.5"/>
    <n v="2.5"/>
    <n v="2"/>
    <x v="4"/>
    <x v="1"/>
    <n v="4"/>
    <x v="0"/>
    <n v="0.8"/>
    <n v="1"/>
    <n v="0.3"/>
    <n v="0.625"/>
    <n v="0.66666666666666663"/>
    <n v="15"/>
    <n v="0.68181818181818177"/>
    <x v="0"/>
    <n v="10"/>
    <x v="2"/>
  </r>
  <r>
    <s v="00572"/>
    <n v="1"/>
    <n v="0.5"/>
    <n v="0"/>
    <n v="1"/>
    <n v="0"/>
    <x v="4"/>
    <x v="1"/>
    <n v="5"/>
    <x v="1"/>
    <n v="0.2"/>
    <n v="0.1"/>
    <n v="0"/>
    <n v="0.25"/>
    <n v="0"/>
    <n v="2.5"/>
    <n v="0.11363636363636363"/>
    <x v="2"/>
    <n v="10"/>
    <x v="2"/>
  </r>
  <r>
    <s v="00034"/>
    <n v="5"/>
    <n v="2.5"/>
    <n v="0"/>
    <n v="0.5"/>
    <n v="2"/>
    <x v="4"/>
    <x v="1"/>
    <n v="6"/>
    <x v="1"/>
    <n v="1"/>
    <n v="0.5"/>
    <n v="0"/>
    <n v="0.125"/>
    <n v="0.66666666666666663"/>
    <n v="10"/>
    <n v="0.45454545454545453"/>
    <x v="2"/>
    <n v="10"/>
    <x v="2"/>
  </r>
  <r>
    <s v="00299"/>
    <n v="3"/>
    <n v="2"/>
    <n v="2.5"/>
    <n v="1.5"/>
    <n v="2.5"/>
    <x v="4"/>
    <x v="1"/>
    <n v="12"/>
    <x v="2"/>
    <n v="0.6"/>
    <n v="0.4"/>
    <n v="0.5"/>
    <n v="0.375"/>
    <n v="0.83333333333333337"/>
    <n v="11.5"/>
    <n v="0.52272727272727271"/>
    <x v="1"/>
    <n v="10"/>
    <x v="2"/>
  </r>
  <r>
    <s v="00169"/>
    <n v="5"/>
    <n v="3.5"/>
    <n v="0.5"/>
    <n v="4"/>
    <n v="2.5"/>
    <x v="4"/>
    <x v="1"/>
    <n v="2"/>
    <x v="0"/>
    <n v="1"/>
    <n v="0.7"/>
    <n v="0.1"/>
    <n v="1"/>
    <n v="0.83333333333333337"/>
    <n v="15.5"/>
    <n v="0.70454545454545459"/>
    <x v="0"/>
    <n v="10"/>
    <x v="2"/>
  </r>
  <r>
    <s v="00441"/>
    <n v="4.5"/>
    <n v="2"/>
    <n v="3"/>
    <n v="1.5"/>
    <n v="1"/>
    <x v="5"/>
    <x v="1"/>
    <n v="3"/>
    <x v="0"/>
    <n v="0.9"/>
    <n v="0.4"/>
    <n v="0.6"/>
    <n v="0.375"/>
    <n v="0.33333333333333331"/>
    <n v="12"/>
    <n v="0.54545454545454541"/>
    <x v="1"/>
    <n v="6"/>
    <x v="0"/>
  </r>
  <r>
    <s v="00225"/>
    <n v="5"/>
    <n v="5"/>
    <n v="3"/>
    <n v="1.5"/>
    <n v="3"/>
    <x v="5"/>
    <x v="1"/>
    <n v="3"/>
    <x v="0"/>
    <n v="1"/>
    <n v="1"/>
    <n v="0.6"/>
    <n v="0.375"/>
    <n v="1"/>
    <n v="17.5"/>
    <n v="0.79545454545454541"/>
    <x v="0"/>
    <n v="4"/>
    <x v="0"/>
  </r>
  <r>
    <s v="00523"/>
    <n v="5"/>
    <n v="4.5"/>
    <n v="4.5"/>
    <n v="2"/>
    <n v="0.5"/>
    <x v="5"/>
    <x v="1"/>
    <n v="14"/>
    <x v="2"/>
    <n v="1"/>
    <n v="0.9"/>
    <n v="0.9"/>
    <n v="0.5"/>
    <n v="0.16666666666666666"/>
    <n v="16.5"/>
    <n v="0.75"/>
    <x v="0"/>
    <n v="4"/>
    <x v="0"/>
  </r>
  <r>
    <s v="00029"/>
    <n v="5"/>
    <n v="3"/>
    <n v="3.5"/>
    <n v="4"/>
    <n v="1.5"/>
    <x v="5"/>
    <x v="1"/>
    <n v="5"/>
    <x v="1"/>
    <n v="1"/>
    <n v="0.6"/>
    <n v="0.7"/>
    <n v="1"/>
    <n v="0.5"/>
    <n v="17"/>
    <n v="0.77272727272727271"/>
    <x v="0"/>
    <n v="4"/>
    <x v="0"/>
  </r>
  <r>
    <s v="00595"/>
    <n v="3.5"/>
    <n v="2.5"/>
    <n v="3.5"/>
    <n v="4"/>
    <n v="0.5"/>
    <x v="5"/>
    <x v="1"/>
    <n v="10"/>
    <x v="2"/>
    <n v="0.7"/>
    <n v="0.5"/>
    <n v="0.7"/>
    <n v="1"/>
    <n v="0.16666666666666666"/>
    <n v="14"/>
    <n v="0.63636363636363635"/>
    <x v="1"/>
    <n v="6"/>
    <x v="0"/>
  </r>
  <r>
    <s v="00125"/>
    <n v="5"/>
    <n v="5"/>
    <n v="0"/>
    <n v="4"/>
    <n v="2.5"/>
    <x v="6"/>
    <x v="1"/>
    <n v="2"/>
    <x v="0"/>
    <n v="1"/>
    <n v="1"/>
    <n v="0"/>
    <n v="1"/>
    <n v="0.83333333333333337"/>
    <n v="16.5"/>
    <n v="0.75"/>
    <x v="0"/>
    <n v="6"/>
    <x v="0"/>
  </r>
  <r>
    <s v="00088"/>
    <n v="2.5"/>
    <n v="5"/>
    <n v="4"/>
    <n v="1"/>
    <n v="1.5"/>
    <x v="6"/>
    <x v="1"/>
    <n v="15"/>
    <x v="4"/>
    <n v="0.5"/>
    <n v="1"/>
    <n v="0.8"/>
    <n v="0.25"/>
    <n v="0.5"/>
    <n v="14"/>
    <n v="0.63636363636363635"/>
    <x v="1"/>
    <n v="6"/>
    <x v="0"/>
  </r>
  <r>
    <s v="00379"/>
    <n v="5"/>
    <n v="0.5"/>
    <n v="1.5"/>
    <n v="2.5"/>
    <n v="1.5"/>
    <x v="6"/>
    <x v="1"/>
    <n v="3"/>
    <x v="0"/>
    <n v="1"/>
    <n v="0.1"/>
    <n v="0.3"/>
    <n v="0.625"/>
    <n v="0.5"/>
    <n v="11"/>
    <n v="0.5"/>
    <x v="1"/>
    <n v="6"/>
    <x v="0"/>
  </r>
  <r>
    <s v="00407"/>
    <n v="5"/>
    <n v="4.5"/>
    <n v="1"/>
    <n v="2.5"/>
    <n v="0.5"/>
    <x v="6"/>
    <x v="1"/>
    <n v="10"/>
    <x v="2"/>
    <n v="1"/>
    <n v="0.9"/>
    <n v="0.2"/>
    <n v="0.625"/>
    <n v="0.16666666666666666"/>
    <n v="13.5"/>
    <n v="0.61363636363636365"/>
    <x v="1"/>
    <n v="10"/>
    <x v="2"/>
  </r>
  <r>
    <s v="00154"/>
    <n v="4"/>
    <n v="4.5"/>
    <n v="3.5"/>
    <n v="3"/>
    <n v="2"/>
    <x v="6"/>
    <x v="1"/>
    <n v="13"/>
    <x v="2"/>
    <n v="0.8"/>
    <n v="0.9"/>
    <n v="0.7"/>
    <n v="0.75"/>
    <n v="0.66666666666666663"/>
    <n v="17"/>
    <n v="0.77272727272727271"/>
    <x v="0"/>
    <n v="10"/>
    <x v="2"/>
  </r>
  <r>
    <s v="00048"/>
    <n v="4.5"/>
    <n v="3.5"/>
    <n v="1.5"/>
    <n v="0"/>
    <n v="0"/>
    <x v="6"/>
    <x v="1"/>
    <n v="20"/>
    <x v="3"/>
    <n v="0.9"/>
    <n v="0.7"/>
    <n v="0.3"/>
    <n v="0"/>
    <n v="0"/>
    <n v="9.5"/>
    <n v="0.43181818181818182"/>
    <x v="2"/>
    <n v="10"/>
    <x v="2"/>
  </r>
  <r>
    <s v="00403"/>
    <n v="4.5"/>
    <n v="4"/>
    <n v="2.5"/>
    <n v="1.5"/>
    <n v="3"/>
    <x v="6"/>
    <x v="1"/>
    <n v="8"/>
    <x v="1"/>
    <n v="0.9"/>
    <n v="0.8"/>
    <n v="0.5"/>
    <n v="0.375"/>
    <n v="1"/>
    <n v="15.5"/>
    <n v="0.70454545454545459"/>
    <x v="0"/>
    <n v="9"/>
    <x v="2"/>
  </r>
  <r>
    <s v="00084"/>
    <n v="5"/>
    <n v="4"/>
    <n v="0"/>
    <n v="3.5"/>
    <n v="2"/>
    <x v="6"/>
    <x v="1"/>
    <n v="10"/>
    <x v="2"/>
    <n v="1"/>
    <n v="0.8"/>
    <n v="0"/>
    <n v="0.875"/>
    <n v="0.66666666666666663"/>
    <n v="14.5"/>
    <n v="0.65909090909090906"/>
    <x v="0"/>
    <n v="9"/>
    <x v="2"/>
  </r>
  <r>
    <s v="00349"/>
    <n v="5"/>
    <n v="3.5"/>
    <n v="4.5"/>
    <n v="3"/>
    <n v="0.5"/>
    <x v="6"/>
    <x v="1"/>
    <n v="8"/>
    <x v="1"/>
    <n v="1"/>
    <n v="0.7"/>
    <n v="0.9"/>
    <n v="0.75"/>
    <n v="0.16666666666666666"/>
    <n v="16.5"/>
    <n v="0.75"/>
    <x v="0"/>
    <n v="10"/>
    <x v="2"/>
  </r>
  <r>
    <s v="00400"/>
    <n v="4.5"/>
    <n v="2.5"/>
    <n v="0"/>
    <n v="0.5"/>
    <n v="2"/>
    <x v="6"/>
    <x v="1"/>
    <n v="23"/>
    <x v="3"/>
    <n v="0.9"/>
    <n v="0.5"/>
    <n v="0"/>
    <n v="0.125"/>
    <n v="0.66666666666666663"/>
    <n v="9.5"/>
    <n v="0.43181818181818182"/>
    <x v="2"/>
    <n v="9"/>
    <x v="2"/>
  </r>
  <r>
    <s v="00526"/>
    <n v="4"/>
    <n v="5"/>
    <n v="4.5"/>
    <n v="1"/>
    <n v="1.5"/>
    <x v="7"/>
    <x v="1"/>
    <n v="19"/>
    <x v="4"/>
    <n v="0.8"/>
    <n v="1"/>
    <n v="0.9"/>
    <n v="0.25"/>
    <n v="0.5"/>
    <n v="16"/>
    <n v="0.72727272727272729"/>
    <x v="0"/>
    <n v="9"/>
    <x v="2"/>
  </r>
  <r>
    <s v="00102"/>
    <n v="4.5"/>
    <n v="2.5"/>
    <n v="4"/>
    <n v="2"/>
    <n v="0.5"/>
    <x v="7"/>
    <x v="1"/>
    <n v="16"/>
    <x v="4"/>
    <n v="0.9"/>
    <n v="0.5"/>
    <n v="0.8"/>
    <n v="0.5"/>
    <n v="0.16666666666666666"/>
    <n v="13.5"/>
    <n v="0.61363636363636365"/>
    <x v="1"/>
    <n v="9"/>
    <x v="2"/>
  </r>
  <r>
    <s v="00256"/>
    <n v="4.5"/>
    <n v="2.5"/>
    <n v="3"/>
    <n v="4"/>
    <n v="1.5"/>
    <x v="7"/>
    <x v="1"/>
    <n v="9"/>
    <x v="1"/>
    <n v="0.9"/>
    <n v="0.5"/>
    <n v="0.6"/>
    <n v="1"/>
    <n v="0.5"/>
    <n v="15.5"/>
    <n v="0.70454545454545459"/>
    <x v="0"/>
    <n v="7"/>
    <x v="1"/>
  </r>
  <r>
    <s v="00445"/>
    <n v="5"/>
    <n v="2"/>
    <n v="2"/>
    <n v="2.5"/>
    <n v="3"/>
    <x v="7"/>
    <x v="1"/>
    <n v="7"/>
    <x v="1"/>
    <n v="1"/>
    <n v="0.4"/>
    <n v="0.4"/>
    <n v="0.625"/>
    <n v="1"/>
    <n v="14.5"/>
    <n v="0.65909090909090906"/>
    <x v="0"/>
    <n v="7"/>
    <x v="1"/>
  </r>
  <r>
    <s v="00368"/>
    <n v="4.5"/>
    <n v="4"/>
    <n v="2.5"/>
    <n v="2.5"/>
    <n v="1.5"/>
    <x v="7"/>
    <x v="1"/>
    <n v="17"/>
    <x v="4"/>
    <n v="0.9"/>
    <n v="0.8"/>
    <n v="0.5"/>
    <n v="0.625"/>
    <n v="0.5"/>
    <n v="15"/>
    <n v="0.68181818181818177"/>
    <x v="0"/>
    <n v="7"/>
    <x v="1"/>
  </r>
  <r>
    <s v="00438"/>
    <n v="5"/>
    <n v="2"/>
    <n v="1.5"/>
    <n v="3"/>
    <n v="0.5"/>
    <x v="7"/>
    <x v="1"/>
    <n v="8"/>
    <x v="1"/>
    <n v="1"/>
    <n v="0.4"/>
    <n v="0.3"/>
    <n v="0.75"/>
    <n v="0.16666666666666666"/>
    <n v="12"/>
    <n v="0.54545454545454541"/>
    <x v="1"/>
    <n v="7"/>
    <x v="1"/>
  </r>
  <r>
    <s v="00492"/>
    <n v="4.5"/>
    <n v="3.5"/>
    <n v="4"/>
    <n v="3.5"/>
    <n v="1"/>
    <x v="7"/>
    <x v="1"/>
    <n v="6"/>
    <x v="1"/>
    <n v="0.9"/>
    <n v="0.7"/>
    <n v="0.8"/>
    <n v="0.875"/>
    <n v="0.33333333333333331"/>
    <n v="16.5"/>
    <n v="0.75"/>
    <x v="0"/>
    <n v="8"/>
    <x v="1"/>
  </r>
  <r>
    <s v="00191"/>
    <n v="5"/>
    <n v="4"/>
    <n v="3.5"/>
    <n v="4"/>
    <n v="0.5"/>
    <x v="7"/>
    <x v="1"/>
    <n v="2"/>
    <x v="0"/>
    <n v="1"/>
    <n v="0.8"/>
    <n v="0.7"/>
    <n v="1"/>
    <n v="0.16666666666666666"/>
    <n v="17"/>
    <n v="0.77272727272727271"/>
    <x v="0"/>
    <n v="8"/>
    <x v="1"/>
  </r>
  <r>
    <s v="00332"/>
    <n v="4"/>
    <n v="4"/>
    <n v="1"/>
    <n v="4"/>
    <n v="2.5"/>
    <x v="7"/>
    <x v="1"/>
    <n v="22"/>
    <x v="3"/>
    <n v="0.8"/>
    <n v="0.8"/>
    <n v="0.2"/>
    <n v="1"/>
    <n v="0.83333333333333337"/>
    <n v="15.5"/>
    <n v="0.70454545454545459"/>
    <x v="0"/>
    <n v="8"/>
    <x v="1"/>
  </r>
  <r>
    <s v="00072"/>
    <n v="0"/>
    <n v="2"/>
    <n v="1.5"/>
    <n v="0"/>
    <n v="0"/>
    <x v="7"/>
    <x v="1"/>
    <n v="8"/>
    <x v="1"/>
    <n v="0"/>
    <n v="0.4"/>
    <n v="0.3"/>
    <n v="0"/>
    <n v="0"/>
    <n v="3.5"/>
    <n v="0.15909090909090909"/>
    <x v="2"/>
    <n v="8"/>
    <x v="1"/>
  </r>
  <r>
    <s v="00013"/>
    <n v="2.5"/>
    <n v="4"/>
    <n v="1"/>
    <n v="4"/>
    <n v="3"/>
    <x v="7"/>
    <x v="1"/>
    <n v="11"/>
    <x v="2"/>
    <n v="0.5"/>
    <n v="0.8"/>
    <n v="0.2"/>
    <n v="1"/>
    <n v="1"/>
    <n v="14.5"/>
    <n v="0.65909090909090906"/>
    <x v="0"/>
    <n v="8"/>
    <x v="1"/>
  </r>
  <r>
    <s v="00202"/>
    <n v="4.5"/>
    <n v="3"/>
    <n v="4.5"/>
    <n v="3"/>
    <n v="3"/>
    <x v="8"/>
    <x v="1"/>
    <n v="13"/>
    <x v="2"/>
    <n v="0.9"/>
    <n v="0.6"/>
    <n v="0.9"/>
    <n v="0.75"/>
    <n v="1"/>
    <n v="18"/>
    <n v="0.81818181818181823"/>
    <x v="3"/>
    <n v="8"/>
    <x v="1"/>
  </r>
  <r>
    <s v="00577"/>
    <n v="4"/>
    <n v="3"/>
    <n v="4.5"/>
    <n v="3"/>
    <n v="2.5"/>
    <x v="8"/>
    <x v="1"/>
    <n v="2"/>
    <x v="0"/>
    <n v="0.8"/>
    <n v="0.6"/>
    <n v="0.9"/>
    <n v="0.75"/>
    <n v="0.83333333333333337"/>
    <n v="17"/>
    <n v="0.77272727272727271"/>
    <x v="0"/>
    <n v="8"/>
    <x v="1"/>
  </r>
  <r>
    <s v="00113"/>
    <n v="5"/>
    <n v="3.5"/>
    <n v="1"/>
    <n v="1"/>
    <n v="1.5"/>
    <x v="8"/>
    <x v="1"/>
    <n v="3"/>
    <x v="0"/>
    <n v="1"/>
    <n v="0.7"/>
    <n v="0.2"/>
    <n v="0.25"/>
    <n v="0.5"/>
    <n v="12"/>
    <n v="0.54545454545454541"/>
    <x v="1"/>
    <n v="8"/>
    <x v="1"/>
  </r>
  <r>
    <s v="00190"/>
    <n v="5"/>
    <n v="2"/>
    <n v="0"/>
    <n v="2.5"/>
    <n v="3"/>
    <x v="8"/>
    <x v="1"/>
    <n v="12"/>
    <x v="2"/>
    <n v="1"/>
    <n v="0.4"/>
    <n v="0"/>
    <n v="0.625"/>
    <n v="1"/>
    <n v="12.5"/>
    <n v="0.56818181818181823"/>
    <x v="1"/>
    <n v="8"/>
    <x v="1"/>
  </r>
  <r>
    <s v="00323"/>
    <n v="3"/>
    <n v="3.5"/>
    <n v="3.5"/>
    <n v="2.5"/>
    <n v="0"/>
    <x v="8"/>
    <x v="1"/>
    <n v="4"/>
    <x v="0"/>
    <n v="0.6"/>
    <n v="0.7"/>
    <n v="0.7"/>
    <n v="0.625"/>
    <n v="0"/>
    <n v="12.5"/>
    <n v="0.56818181818181823"/>
    <x v="1"/>
    <n v="8"/>
    <x v="1"/>
  </r>
  <r>
    <s v="00361"/>
    <n v="3.5"/>
    <n v="2.5"/>
    <n v="2"/>
    <n v="3.5"/>
    <n v="2"/>
    <x v="8"/>
    <x v="1"/>
    <n v="3"/>
    <x v="0"/>
    <n v="0.7"/>
    <n v="0.5"/>
    <n v="0.4"/>
    <n v="0.875"/>
    <n v="0.66666666666666663"/>
    <n v="13.5"/>
    <n v="0.61363636363636365"/>
    <x v="1"/>
    <n v="8"/>
    <x v="1"/>
  </r>
  <r>
    <s v="00288"/>
    <n v="5"/>
    <n v="1"/>
    <n v="2"/>
    <n v="3"/>
    <n v="2.5"/>
    <x v="8"/>
    <x v="1"/>
    <n v="6"/>
    <x v="1"/>
    <n v="1"/>
    <n v="0.2"/>
    <n v="0.4"/>
    <n v="0.75"/>
    <n v="0.83333333333333337"/>
    <n v="13.5"/>
    <n v="0.61363636363636365"/>
    <x v="1"/>
    <n v="8"/>
    <x v="1"/>
  </r>
  <r>
    <s v="00393"/>
    <n v="5"/>
    <n v="5"/>
    <n v="0"/>
    <n v="3"/>
    <n v="2"/>
    <x v="8"/>
    <x v="1"/>
    <n v="6"/>
    <x v="1"/>
    <n v="1"/>
    <n v="1"/>
    <n v="0"/>
    <n v="0.75"/>
    <n v="0.66666666666666663"/>
    <n v="15"/>
    <n v="0.68181818181818177"/>
    <x v="0"/>
    <n v="8"/>
    <x v="1"/>
  </r>
  <r>
    <s v="00354"/>
    <n v="5"/>
    <n v="3"/>
    <n v="0.5"/>
    <n v="2"/>
    <n v="1.5"/>
    <x v="8"/>
    <x v="1"/>
    <n v="7"/>
    <x v="1"/>
    <n v="1"/>
    <n v="0.6"/>
    <n v="0.1"/>
    <n v="0.5"/>
    <n v="0.5"/>
    <n v="12"/>
    <n v="0.54545454545454541"/>
    <x v="1"/>
    <n v="8"/>
    <x v="1"/>
  </r>
  <r>
    <s v="00215"/>
    <n v="5"/>
    <n v="3.5"/>
    <n v="3"/>
    <n v="2.5"/>
    <n v="0"/>
    <x v="8"/>
    <x v="1"/>
    <n v="3"/>
    <x v="0"/>
    <n v="1"/>
    <n v="0.7"/>
    <n v="0.6"/>
    <n v="0.625"/>
    <n v="0"/>
    <n v="14"/>
    <n v="0.63636363636363635"/>
    <x v="1"/>
    <n v="8"/>
    <x v="1"/>
  </r>
  <r>
    <s v="00318"/>
    <n v="4"/>
    <n v="3.5"/>
    <n v="2.5"/>
    <n v="2.5"/>
    <n v="1.5"/>
    <x v="8"/>
    <x v="1"/>
    <n v="5"/>
    <x v="1"/>
    <n v="0.8"/>
    <n v="0.7"/>
    <n v="0.5"/>
    <n v="0.625"/>
    <n v="0.5"/>
    <n v="14"/>
    <n v="0.63636363636363635"/>
    <x v="1"/>
    <n v="8"/>
    <x v="1"/>
  </r>
  <r>
    <s v="00243"/>
    <n v="5"/>
    <n v="3"/>
    <n v="1.5"/>
    <n v="3.5"/>
    <n v="1.5"/>
    <x v="8"/>
    <x v="1"/>
    <n v="24"/>
    <x v="3"/>
    <n v="1"/>
    <n v="0.6"/>
    <n v="0.3"/>
    <n v="0.875"/>
    <n v="0.5"/>
    <n v="14.5"/>
    <n v="0.65909090909090906"/>
    <x v="0"/>
    <n v="8"/>
    <x v="1"/>
  </r>
  <r>
    <s v="00234"/>
    <n v="5"/>
    <n v="3"/>
    <n v="2.5"/>
    <n v="2.5"/>
    <n v="1.5"/>
    <x v="8"/>
    <x v="1"/>
    <n v="16"/>
    <x v="4"/>
    <n v="1"/>
    <n v="0.6"/>
    <n v="0.5"/>
    <n v="0.625"/>
    <n v="0.5"/>
    <n v="14.5"/>
    <n v="0.65909090909090906"/>
    <x v="0"/>
    <n v="8"/>
    <x v="1"/>
  </r>
  <r>
    <s v="00022"/>
    <n v="3.5"/>
    <n v="3"/>
    <n v="4"/>
    <n v="4"/>
    <n v="2"/>
    <x v="9"/>
    <x v="1"/>
    <n v="2"/>
    <x v="0"/>
    <n v="0.7"/>
    <n v="0.6"/>
    <n v="0.8"/>
    <n v="1"/>
    <n v="0.66666666666666663"/>
    <n v="16.5"/>
    <n v="0.75"/>
    <x v="0"/>
    <n v="8"/>
    <x v="1"/>
  </r>
  <r>
    <s v="00182"/>
    <n v="5"/>
    <n v="4.5"/>
    <n v="1.5"/>
    <n v="3"/>
    <n v="0.5"/>
    <x v="9"/>
    <x v="1"/>
    <n v="18"/>
    <x v="4"/>
    <n v="1"/>
    <n v="0.9"/>
    <n v="0.3"/>
    <n v="0.75"/>
    <n v="0.16666666666666666"/>
    <n v="14.5"/>
    <n v="0.65909090909090906"/>
    <x v="0"/>
    <n v="8"/>
    <x v="1"/>
  </r>
  <r>
    <s v="00495"/>
    <n v="3"/>
    <n v="4.5"/>
    <n v="1"/>
    <n v="3"/>
    <n v="3"/>
    <x v="9"/>
    <x v="1"/>
    <n v="15"/>
    <x v="4"/>
    <n v="0.6"/>
    <n v="0.9"/>
    <n v="0.2"/>
    <n v="0.75"/>
    <n v="1"/>
    <n v="14.5"/>
    <n v="0.65909090909090906"/>
    <x v="0"/>
    <n v="8"/>
    <x v="1"/>
  </r>
  <r>
    <s v="00079"/>
    <n v="4.5"/>
    <n v="2"/>
    <n v="5"/>
    <n v="4"/>
    <n v="1.5"/>
    <x v="9"/>
    <x v="1"/>
    <n v="4"/>
    <x v="0"/>
    <n v="0.9"/>
    <n v="0.4"/>
    <n v="1"/>
    <n v="1"/>
    <n v="0.5"/>
    <n v="17"/>
    <n v="0.77272727272727271"/>
    <x v="0"/>
    <n v="8"/>
    <x v="1"/>
  </r>
  <r>
    <s v="00087"/>
    <n v="5"/>
    <n v="4"/>
    <n v="2"/>
    <n v="4"/>
    <n v="2"/>
    <x v="9"/>
    <x v="1"/>
    <n v="20"/>
    <x v="3"/>
    <n v="1"/>
    <n v="0.8"/>
    <n v="0.4"/>
    <n v="1"/>
    <n v="0.66666666666666663"/>
    <n v="17"/>
    <n v="0.77272727272727271"/>
    <x v="0"/>
    <n v="8"/>
    <x v="1"/>
  </r>
  <r>
    <s v="00561"/>
    <n v="5"/>
    <n v="3.5"/>
    <n v="1"/>
    <n v="2.5"/>
    <n v="2"/>
    <x v="9"/>
    <x v="1"/>
    <n v="13"/>
    <x v="2"/>
    <n v="1"/>
    <n v="0.7"/>
    <n v="0.2"/>
    <n v="0.625"/>
    <n v="0.66666666666666663"/>
    <n v="14"/>
    <n v="0.63636363636363635"/>
    <x v="1"/>
    <n v="9"/>
    <x v="2"/>
  </r>
  <r>
    <s v="00016"/>
    <n v="1"/>
    <n v="1"/>
    <n v="0"/>
    <n v="2"/>
    <n v="1.5"/>
    <x v="9"/>
    <x v="1"/>
    <n v="16"/>
    <x v="4"/>
    <n v="0.2"/>
    <n v="0.2"/>
    <n v="0"/>
    <n v="0.5"/>
    <n v="0.5"/>
    <n v="5.5"/>
    <n v="0.25"/>
    <x v="2"/>
    <n v="9"/>
    <x v="2"/>
  </r>
  <r>
    <s v="00412"/>
    <n v="3.5"/>
    <n v="0"/>
    <n v="3.5"/>
    <n v="3"/>
    <n v="1.5"/>
    <x v="10"/>
    <x v="1"/>
    <n v="14"/>
    <x v="2"/>
    <n v="0.7"/>
    <n v="0"/>
    <n v="0.7"/>
    <n v="0.75"/>
    <n v="0.5"/>
    <n v="11.5"/>
    <n v="0.52272727272727271"/>
    <x v="1"/>
    <n v="9"/>
    <x v="2"/>
  </r>
  <r>
    <s v="00487"/>
    <n v="4.5"/>
    <n v="5"/>
    <n v="1.5"/>
    <n v="3.5"/>
    <n v="2.5"/>
    <x v="10"/>
    <x v="1"/>
    <n v="7"/>
    <x v="1"/>
    <n v="0.9"/>
    <n v="1"/>
    <n v="0.3"/>
    <n v="0.875"/>
    <n v="0.83333333333333337"/>
    <n v="17"/>
    <n v="0.77272727272727271"/>
    <x v="0"/>
    <n v="9"/>
    <x v="2"/>
  </r>
  <r>
    <s v="00384"/>
    <n v="2.5"/>
    <n v="2.5"/>
    <n v="1.5"/>
    <n v="2"/>
    <n v="3"/>
    <x v="10"/>
    <x v="1"/>
    <n v="12"/>
    <x v="2"/>
    <n v="0.5"/>
    <n v="0.5"/>
    <n v="0.3"/>
    <n v="0.5"/>
    <n v="1"/>
    <n v="11.5"/>
    <n v="0.52272727272727271"/>
    <x v="1"/>
    <n v="9"/>
    <x v="2"/>
  </r>
  <r>
    <s v="00529"/>
    <n v="4.5"/>
    <n v="3.5"/>
    <n v="4"/>
    <n v="2.5"/>
    <n v="1.5"/>
    <x v="10"/>
    <x v="1"/>
    <n v="7"/>
    <x v="1"/>
    <n v="0.9"/>
    <n v="0.7"/>
    <n v="0.8"/>
    <n v="0.625"/>
    <n v="0.5"/>
    <n v="16"/>
    <n v="0.72727272727272729"/>
    <x v="0"/>
    <n v="9"/>
    <x v="2"/>
  </r>
  <r>
    <s v="00335"/>
    <n v="5"/>
    <n v="4"/>
    <n v="0"/>
    <n v="4"/>
    <n v="1.5"/>
    <x v="10"/>
    <x v="1"/>
    <n v="6"/>
    <x v="1"/>
    <n v="1"/>
    <n v="0.8"/>
    <n v="0"/>
    <n v="1"/>
    <n v="0.5"/>
    <n v="14.5"/>
    <n v="0.65909090909090906"/>
    <x v="0"/>
    <n v="9"/>
    <x v="2"/>
  </r>
  <r>
    <s v="00097"/>
    <n v="5"/>
    <n v="5"/>
    <n v="4.5"/>
    <n v="3"/>
    <n v="0.5"/>
    <x v="10"/>
    <x v="1"/>
    <n v="23"/>
    <x v="3"/>
    <n v="1"/>
    <n v="1"/>
    <n v="0.9"/>
    <n v="0.75"/>
    <n v="0.16666666666666666"/>
    <n v="18"/>
    <n v="0.81818181818181823"/>
    <x v="3"/>
    <n v="10"/>
    <x v="2"/>
  </r>
  <r>
    <s v="00419"/>
    <n v="5"/>
    <n v="3.5"/>
    <n v="2"/>
    <n v="4"/>
    <n v="0.5"/>
    <x v="10"/>
    <x v="1"/>
    <n v="18"/>
    <x v="4"/>
    <n v="1"/>
    <n v="0.7"/>
    <n v="0.4"/>
    <n v="1"/>
    <n v="0.16666666666666666"/>
    <n v="15"/>
    <n v="0.68181818181818177"/>
    <x v="0"/>
    <n v="10"/>
    <x v="2"/>
  </r>
  <r>
    <s v="00051"/>
    <n v="5"/>
    <n v="4"/>
    <n v="2"/>
    <n v="3.5"/>
    <n v="1"/>
    <x v="5"/>
    <x v="1"/>
    <n v="3"/>
    <x v="0"/>
    <n v="1"/>
    <n v="0.8"/>
    <n v="0.4"/>
    <n v="0.875"/>
    <n v="0.33333333333333331"/>
    <n v="15.5"/>
    <n v="0.70454545454545459"/>
    <x v="0"/>
    <n v="9"/>
    <x v="2"/>
  </r>
  <r>
    <s v="00388"/>
    <n v="4"/>
    <n v="5"/>
    <n v="1"/>
    <n v="3.5"/>
    <n v="2"/>
    <x v="5"/>
    <x v="1"/>
    <n v="10"/>
    <x v="2"/>
    <n v="0.8"/>
    <n v="1"/>
    <n v="0.2"/>
    <n v="0.875"/>
    <n v="0.66666666666666663"/>
    <n v="15.5"/>
    <n v="0.70454545454545459"/>
    <x v="0"/>
    <n v="10"/>
    <x v="2"/>
  </r>
  <r>
    <s v="00567"/>
    <n v="5"/>
    <n v="5"/>
    <n v="3.5"/>
    <n v="3.5"/>
    <n v="0.5"/>
    <x v="11"/>
    <x v="1"/>
    <n v="2"/>
    <x v="0"/>
    <n v="1"/>
    <n v="1"/>
    <n v="0.7"/>
    <n v="0.875"/>
    <n v="0.16666666666666666"/>
    <n v="17.5"/>
    <n v="0.79545454545454541"/>
    <x v="0"/>
    <n v="9"/>
    <x v="2"/>
  </r>
  <r>
    <s v="00173"/>
    <n v="4"/>
    <n v="2.5"/>
    <n v="1.5"/>
    <n v="3"/>
    <n v="2.5"/>
    <x v="11"/>
    <x v="1"/>
    <n v="4"/>
    <x v="0"/>
    <n v="0.8"/>
    <n v="0.5"/>
    <n v="0.3"/>
    <n v="0.75"/>
    <n v="0.83333333333333337"/>
    <n v="13.5"/>
    <n v="0.61363636363636365"/>
    <x v="1"/>
    <n v="9"/>
    <x v="2"/>
  </r>
  <r>
    <s v="00565"/>
    <n v="4"/>
    <n v="3.5"/>
    <n v="2.5"/>
    <n v="2"/>
    <n v="1.5"/>
    <x v="11"/>
    <x v="1"/>
    <n v="3"/>
    <x v="0"/>
    <n v="0.8"/>
    <n v="0.7"/>
    <n v="0.5"/>
    <n v="0.5"/>
    <n v="0.5"/>
    <n v="13.5"/>
    <n v="0.61363636363636365"/>
    <x v="1"/>
    <n v="10"/>
    <x v="2"/>
  </r>
  <r>
    <s v="00391"/>
    <n v="3.5"/>
    <n v="3"/>
    <n v="4"/>
    <n v="3.5"/>
    <n v="1.5"/>
    <x v="11"/>
    <x v="1"/>
    <n v="10"/>
    <x v="2"/>
    <n v="0.7"/>
    <n v="0.6"/>
    <n v="0.8"/>
    <n v="0.875"/>
    <n v="0.5"/>
    <n v="15.5"/>
    <n v="0.70454545454545459"/>
    <x v="0"/>
    <n v="10"/>
    <x v="2"/>
  </r>
  <r>
    <s v="00390"/>
    <n v="4"/>
    <n v="1.5"/>
    <n v="4"/>
    <n v="4"/>
    <n v="2"/>
    <x v="11"/>
    <x v="1"/>
    <n v="18"/>
    <x v="4"/>
    <n v="0.8"/>
    <n v="0.3"/>
    <n v="0.8"/>
    <n v="1"/>
    <n v="0.66666666666666663"/>
    <n v="15.5"/>
    <n v="0.70454545454545459"/>
    <x v="0"/>
    <n v="10"/>
    <x v="2"/>
  </r>
  <r>
    <s v="00249"/>
    <n v="4.5"/>
    <n v="2.5"/>
    <n v="1"/>
    <n v="3"/>
    <n v="1"/>
    <x v="11"/>
    <x v="1"/>
    <n v="18"/>
    <x v="4"/>
    <n v="0.9"/>
    <n v="0.5"/>
    <n v="0.2"/>
    <n v="0.75"/>
    <n v="0.33333333333333331"/>
    <n v="12"/>
    <n v="0.54545454545454541"/>
    <x v="1"/>
    <n v="10"/>
    <x v="2"/>
  </r>
  <r>
    <s v="00348"/>
    <n v="4.5"/>
    <n v="2.5"/>
    <n v="2"/>
    <n v="2.5"/>
    <n v="2"/>
    <x v="11"/>
    <x v="1"/>
    <n v="8"/>
    <x v="1"/>
    <n v="0.9"/>
    <n v="0.5"/>
    <n v="0.4"/>
    <n v="0.625"/>
    <n v="0.66666666666666663"/>
    <n v="13.5"/>
    <n v="0.61363636363636365"/>
    <x v="1"/>
    <n v="10"/>
    <x v="2"/>
  </r>
  <r>
    <s v="00505"/>
    <n v="4.5"/>
    <n v="2.5"/>
    <n v="1"/>
    <n v="2.5"/>
    <n v="0.5"/>
    <x v="11"/>
    <x v="1"/>
    <n v="10"/>
    <x v="2"/>
    <n v="0.9"/>
    <n v="0.5"/>
    <n v="0.2"/>
    <n v="0.625"/>
    <n v="0.16666666666666666"/>
    <n v="11"/>
    <n v="0.5"/>
    <x v="1"/>
    <n v="10"/>
    <x v="2"/>
  </r>
  <r>
    <s v="00114"/>
    <n v="5"/>
    <n v="3"/>
    <n v="0"/>
    <n v="2"/>
    <n v="0"/>
    <x v="11"/>
    <x v="1"/>
    <n v="15"/>
    <x v="4"/>
    <n v="1"/>
    <n v="0.6"/>
    <n v="0"/>
    <n v="0.5"/>
    <n v="0"/>
    <n v="10"/>
    <n v="0.45454545454545453"/>
    <x v="2"/>
    <n v="10"/>
    <x v="2"/>
  </r>
  <r>
    <s v="00157"/>
    <n v="5"/>
    <n v="4.5"/>
    <n v="3"/>
    <n v="1.5"/>
    <n v="1"/>
    <x v="0"/>
    <x v="2"/>
    <n v="8"/>
    <x v="1"/>
    <n v="1"/>
    <n v="0.9"/>
    <n v="0.6"/>
    <n v="0.375"/>
    <n v="0.33333333333333331"/>
    <n v="15"/>
    <n v="0.68181818181818177"/>
    <x v="0"/>
    <n v="4"/>
    <x v="0"/>
  </r>
  <r>
    <s v="00338"/>
    <n v="5"/>
    <n v="5"/>
    <n v="4"/>
    <n v="4"/>
    <n v="0.5"/>
    <x v="0"/>
    <x v="2"/>
    <n v="8"/>
    <x v="1"/>
    <n v="1"/>
    <n v="1"/>
    <n v="0.8"/>
    <n v="1"/>
    <n v="0.16666666666666666"/>
    <n v="18.5"/>
    <n v="0.84090909090909094"/>
    <x v="3"/>
    <n v="5"/>
    <x v="0"/>
  </r>
  <r>
    <s v="00009"/>
    <n v="5"/>
    <n v="3"/>
    <n v="5"/>
    <n v="0"/>
    <n v="1.5"/>
    <x v="0"/>
    <x v="2"/>
    <n v="10"/>
    <x v="2"/>
    <n v="1"/>
    <n v="0.6"/>
    <n v="1"/>
    <n v="0"/>
    <n v="0.5"/>
    <n v="14.5"/>
    <n v="0.65909090909090906"/>
    <x v="0"/>
    <n v="5"/>
    <x v="0"/>
  </r>
  <r>
    <s v="00167"/>
    <n v="5"/>
    <n v="3"/>
    <n v="1.5"/>
    <n v="3"/>
    <n v="0"/>
    <x v="0"/>
    <x v="2"/>
    <n v="9"/>
    <x v="1"/>
    <n v="1"/>
    <n v="0.6"/>
    <n v="0.3"/>
    <n v="0.75"/>
    <n v="0"/>
    <n v="12.5"/>
    <n v="0.56818181818181823"/>
    <x v="1"/>
    <n v="5"/>
    <x v="0"/>
  </r>
  <r>
    <s v="00098"/>
    <n v="5"/>
    <n v="3"/>
    <n v="1"/>
    <n v="3.5"/>
    <n v="3"/>
    <x v="0"/>
    <x v="2"/>
    <n v="4"/>
    <x v="0"/>
    <n v="1"/>
    <n v="0.6"/>
    <n v="0.2"/>
    <n v="0.875"/>
    <n v="1"/>
    <n v="15.5"/>
    <n v="0.70454545454545459"/>
    <x v="0"/>
    <n v="7"/>
    <x v="1"/>
  </r>
  <r>
    <s v="00177"/>
    <n v="4"/>
    <n v="5"/>
    <n v="4.5"/>
    <n v="3.5"/>
    <n v="0.5"/>
    <x v="0"/>
    <x v="2"/>
    <n v="11"/>
    <x v="2"/>
    <n v="0.8"/>
    <n v="1"/>
    <n v="0.9"/>
    <n v="0.875"/>
    <n v="0.16666666666666666"/>
    <n v="17.5"/>
    <n v="0.79545454545454541"/>
    <x v="0"/>
    <n v="7"/>
    <x v="1"/>
  </r>
  <r>
    <s v="00503"/>
    <n v="5"/>
    <n v="5"/>
    <n v="2"/>
    <n v="1"/>
    <n v="2"/>
    <x v="0"/>
    <x v="2"/>
    <n v="7"/>
    <x v="1"/>
    <n v="1"/>
    <n v="1"/>
    <n v="0.4"/>
    <n v="0.25"/>
    <n v="0.66666666666666663"/>
    <n v="15"/>
    <n v="0.68181818181818177"/>
    <x v="0"/>
    <n v="7"/>
    <x v="1"/>
  </r>
  <r>
    <s v="00033"/>
    <n v="5"/>
    <n v="3.5"/>
    <n v="1.5"/>
    <n v="3"/>
    <n v="2"/>
    <x v="0"/>
    <x v="2"/>
    <n v="10"/>
    <x v="2"/>
    <n v="1"/>
    <n v="0.7"/>
    <n v="0.3"/>
    <n v="0.75"/>
    <n v="0.66666666666666663"/>
    <n v="15"/>
    <n v="0.68181818181818177"/>
    <x v="0"/>
    <n v="8"/>
    <x v="1"/>
  </r>
  <r>
    <s v="00373"/>
    <n v="4.5"/>
    <n v="3.5"/>
    <n v="2.5"/>
    <n v="2.5"/>
    <n v="0.5"/>
    <x v="0"/>
    <x v="2"/>
    <n v="4"/>
    <x v="0"/>
    <n v="0.9"/>
    <n v="0.7"/>
    <n v="0.5"/>
    <n v="0.625"/>
    <n v="0.16666666666666666"/>
    <n v="13.5"/>
    <n v="0.61363636363636365"/>
    <x v="1"/>
    <n v="8"/>
    <x v="1"/>
  </r>
  <r>
    <s v="00226"/>
    <n v="5"/>
    <n v="4"/>
    <n v="1.5"/>
    <n v="4"/>
    <n v="1.5"/>
    <x v="0"/>
    <x v="2"/>
    <n v="4"/>
    <x v="0"/>
    <n v="1"/>
    <n v="0.8"/>
    <n v="0.3"/>
    <n v="1"/>
    <n v="0.5"/>
    <n v="16"/>
    <n v="0.72727272727272729"/>
    <x v="0"/>
    <n v="8"/>
    <x v="1"/>
  </r>
  <r>
    <s v="00452"/>
    <n v="5"/>
    <n v="5"/>
    <n v="1"/>
    <n v="3.5"/>
    <n v="2"/>
    <x v="0"/>
    <x v="2"/>
    <n v="13"/>
    <x v="2"/>
    <n v="1"/>
    <n v="1"/>
    <n v="0.2"/>
    <n v="0.875"/>
    <n v="0.66666666666666663"/>
    <n v="16.5"/>
    <n v="0.75"/>
    <x v="0"/>
    <n v="8"/>
    <x v="1"/>
  </r>
  <r>
    <s v="00271"/>
    <n v="1.5"/>
    <n v="2"/>
    <n v="0"/>
    <n v="1"/>
    <n v="0"/>
    <x v="0"/>
    <x v="2"/>
    <n v="8"/>
    <x v="1"/>
    <n v="0.3"/>
    <n v="0.4"/>
    <n v="0"/>
    <n v="0.25"/>
    <n v="0"/>
    <n v="4.5"/>
    <n v="0.20454545454545456"/>
    <x v="2"/>
    <n v="8"/>
    <x v="1"/>
  </r>
  <r>
    <s v="00180"/>
    <n v="5"/>
    <n v="3"/>
    <n v="3.5"/>
    <n v="2.5"/>
    <n v="3"/>
    <x v="0"/>
    <x v="2"/>
    <n v="21"/>
    <x v="3"/>
    <n v="1"/>
    <n v="0.6"/>
    <n v="0.7"/>
    <n v="0.625"/>
    <n v="1"/>
    <n v="17"/>
    <n v="0.77272727272727271"/>
    <x v="0"/>
    <n v="8"/>
    <x v="1"/>
  </r>
  <r>
    <s v="00290"/>
    <n v="5"/>
    <n v="4"/>
    <n v="3"/>
    <n v="4"/>
    <n v="2"/>
    <x v="0"/>
    <x v="2"/>
    <n v="7"/>
    <x v="1"/>
    <n v="1"/>
    <n v="0.8"/>
    <n v="0.6"/>
    <n v="1"/>
    <n v="0.66666666666666663"/>
    <n v="18"/>
    <n v="0.81818181818181823"/>
    <x v="3"/>
    <n v="8"/>
    <x v="1"/>
  </r>
  <r>
    <s v="00493"/>
    <n v="4"/>
    <n v="3.5"/>
    <n v="2.5"/>
    <n v="3.5"/>
    <n v="2"/>
    <x v="0"/>
    <x v="2"/>
    <n v="4"/>
    <x v="0"/>
    <n v="0.8"/>
    <n v="0.7"/>
    <n v="0.5"/>
    <n v="0.875"/>
    <n v="0.66666666666666663"/>
    <n v="15.5"/>
    <n v="0.70454545454545459"/>
    <x v="0"/>
    <n v="8"/>
    <x v="1"/>
  </r>
  <r>
    <s v="00159"/>
    <n v="5"/>
    <n v="4"/>
    <n v="4"/>
    <n v="3"/>
    <n v="3"/>
    <x v="0"/>
    <x v="2"/>
    <n v="13"/>
    <x v="2"/>
    <n v="1"/>
    <n v="0.8"/>
    <n v="0.8"/>
    <n v="0.75"/>
    <n v="1"/>
    <n v="19"/>
    <n v="0.86363636363636365"/>
    <x v="3"/>
    <n v="9"/>
    <x v="2"/>
  </r>
  <r>
    <s v="00535"/>
    <n v="5"/>
    <n v="4"/>
    <n v="2"/>
    <n v="4"/>
    <n v="3"/>
    <x v="0"/>
    <x v="2"/>
    <n v="11"/>
    <x v="2"/>
    <n v="1"/>
    <n v="0.8"/>
    <n v="0.4"/>
    <n v="1"/>
    <n v="1"/>
    <n v="18"/>
    <n v="0.81818181818181823"/>
    <x v="3"/>
    <n v="9"/>
    <x v="2"/>
  </r>
  <r>
    <s v="00109"/>
    <n v="4.5"/>
    <n v="2.5"/>
    <n v="3.5"/>
    <n v="2"/>
    <n v="1.5"/>
    <x v="0"/>
    <x v="2"/>
    <n v="4"/>
    <x v="0"/>
    <n v="0.9"/>
    <n v="0.5"/>
    <n v="0.7"/>
    <n v="0.5"/>
    <n v="0.5"/>
    <n v="14"/>
    <n v="0.63636363636363635"/>
    <x v="1"/>
    <n v="9"/>
    <x v="2"/>
  </r>
  <r>
    <s v="00301"/>
    <n v="5"/>
    <n v="3.5"/>
    <n v="1"/>
    <n v="2.5"/>
    <n v="1.5"/>
    <x v="0"/>
    <x v="2"/>
    <n v="6"/>
    <x v="1"/>
    <n v="1"/>
    <n v="0.7"/>
    <n v="0.2"/>
    <n v="0.625"/>
    <n v="0.5"/>
    <n v="13.5"/>
    <n v="0.61363636363636365"/>
    <x v="1"/>
    <n v="9"/>
    <x v="2"/>
  </r>
  <r>
    <s v="00423"/>
    <n v="5"/>
    <n v="5"/>
    <n v="3.5"/>
    <n v="3.5"/>
    <n v="2"/>
    <x v="0"/>
    <x v="2"/>
    <n v="13"/>
    <x v="2"/>
    <n v="1"/>
    <n v="1"/>
    <n v="0.7"/>
    <n v="0.875"/>
    <n v="0.66666666666666663"/>
    <n v="19"/>
    <n v="0.86363636363636365"/>
    <x v="3"/>
    <n v="9"/>
    <x v="2"/>
  </r>
  <r>
    <s v="00596"/>
    <n v="5"/>
    <n v="5"/>
    <n v="3.5"/>
    <n v="3"/>
    <n v="2"/>
    <x v="0"/>
    <x v="2"/>
    <n v="5"/>
    <x v="1"/>
    <n v="1"/>
    <n v="1"/>
    <n v="0.7"/>
    <n v="0.75"/>
    <n v="0.66666666666666663"/>
    <n v="18.5"/>
    <n v="0.84090909090909094"/>
    <x v="3"/>
    <n v="9"/>
    <x v="2"/>
  </r>
  <r>
    <s v="00588"/>
    <n v="5"/>
    <n v="2"/>
    <n v="1"/>
    <n v="2.5"/>
    <n v="2.5"/>
    <x v="0"/>
    <x v="2"/>
    <n v="4"/>
    <x v="0"/>
    <n v="1"/>
    <n v="0.4"/>
    <n v="0.2"/>
    <n v="0.625"/>
    <n v="0.83333333333333337"/>
    <n v="13"/>
    <n v="0.59090909090909094"/>
    <x v="1"/>
    <n v="9"/>
    <x v="2"/>
  </r>
  <r>
    <s v="00050"/>
    <n v="5"/>
    <n v="3.5"/>
    <n v="2"/>
    <n v="1"/>
    <n v="0"/>
    <x v="0"/>
    <x v="2"/>
    <n v="7"/>
    <x v="1"/>
    <n v="1"/>
    <n v="0.7"/>
    <n v="0.4"/>
    <n v="0.25"/>
    <n v="0"/>
    <n v="11.5"/>
    <n v="0.52272727272727271"/>
    <x v="1"/>
    <n v="9"/>
    <x v="2"/>
  </r>
  <r>
    <s v="00582"/>
    <n v="3.5"/>
    <n v="4"/>
    <n v="1.5"/>
    <n v="4"/>
    <n v="2"/>
    <x v="0"/>
    <x v="2"/>
    <n v="13"/>
    <x v="2"/>
    <n v="0.7"/>
    <n v="0.8"/>
    <n v="0.3"/>
    <n v="1"/>
    <n v="0.66666666666666663"/>
    <n v="15"/>
    <n v="0.68181818181818177"/>
    <x v="0"/>
    <n v="9"/>
    <x v="2"/>
  </r>
  <r>
    <s v="00195"/>
    <n v="5"/>
    <n v="5"/>
    <n v="4.5"/>
    <n v="2.5"/>
    <n v="0"/>
    <x v="0"/>
    <x v="2"/>
    <n v="4"/>
    <x v="0"/>
    <n v="1"/>
    <n v="1"/>
    <n v="0.9"/>
    <n v="0.625"/>
    <n v="0"/>
    <n v="17"/>
    <n v="0.77272727272727271"/>
    <x v="0"/>
    <n v="9"/>
    <x v="2"/>
  </r>
  <r>
    <s v="00115"/>
    <n v="5"/>
    <n v="3"/>
    <n v="3.5"/>
    <n v="3"/>
    <n v="0"/>
    <x v="0"/>
    <x v="2"/>
    <n v="4"/>
    <x v="0"/>
    <n v="1"/>
    <n v="0.6"/>
    <n v="0.7"/>
    <n v="0.75"/>
    <n v="0"/>
    <n v="14.5"/>
    <n v="0.65909090909090906"/>
    <x v="0"/>
    <n v="9"/>
    <x v="2"/>
  </r>
  <r>
    <s v="00381"/>
    <n v="3.5"/>
    <n v="4"/>
    <n v="4.5"/>
    <n v="4"/>
    <n v="2.5"/>
    <x v="0"/>
    <x v="2"/>
    <n v="4"/>
    <x v="0"/>
    <n v="0.7"/>
    <n v="0.8"/>
    <n v="0.9"/>
    <n v="1"/>
    <n v="0.83333333333333337"/>
    <n v="18.5"/>
    <n v="0.84090909090909094"/>
    <x v="3"/>
    <n v="9"/>
    <x v="2"/>
  </r>
  <r>
    <s v="00369"/>
    <n v="4.5"/>
    <n v="4.5"/>
    <n v="3.5"/>
    <n v="3.5"/>
    <n v="2"/>
    <x v="0"/>
    <x v="2"/>
    <n v="10"/>
    <x v="2"/>
    <n v="0.9"/>
    <n v="0.9"/>
    <n v="0.7"/>
    <n v="0.875"/>
    <n v="0.66666666666666663"/>
    <n v="18"/>
    <n v="0.81818181818181823"/>
    <x v="3"/>
    <n v="9"/>
    <x v="2"/>
  </r>
  <r>
    <s v="00070"/>
    <n v="3.5"/>
    <n v="2"/>
    <n v="0"/>
    <n v="2"/>
    <n v="0"/>
    <x v="0"/>
    <x v="2"/>
    <n v="10"/>
    <x v="2"/>
    <n v="0.7"/>
    <n v="0.4"/>
    <n v="0"/>
    <n v="0.5"/>
    <n v="0"/>
    <n v="7.5"/>
    <n v="0.34090909090909088"/>
    <x v="2"/>
    <n v="10"/>
    <x v="2"/>
  </r>
  <r>
    <s v="00044"/>
    <n v="3"/>
    <n v="4"/>
    <n v="4"/>
    <n v="1.5"/>
    <n v="1.5"/>
    <x v="3"/>
    <x v="2"/>
    <n v="6"/>
    <x v="1"/>
    <n v="0.6"/>
    <n v="0.8"/>
    <n v="0.8"/>
    <n v="0.375"/>
    <n v="0.5"/>
    <n v="14"/>
    <n v="0.63636363636363635"/>
    <x v="1"/>
    <n v="3"/>
    <x v="0"/>
  </r>
  <r>
    <s v="00316"/>
    <n v="5"/>
    <n v="5"/>
    <n v="2"/>
    <n v="2.5"/>
    <n v="3"/>
    <x v="2"/>
    <x v="2"/>
    <n v="13"/>
    <x v="2"/>
    <n v="1"/>
    <n v="1"/>
    <n v="0.4"/>
    <n v="0.625"/>
    <n v="1"/>
    <n v="17.5"/>
    <n v="0.79545454545454541"/>
    <x v="0"/>
    <n v="5"/>
    <x v="0"/>
  </r>
  <r>
    <s v="00258"/>
    <n v="5"/>
    <n v="4"/>
    <n v="1"/>
    <n v="2"/>
    <n v="1"/>
    <x v="1"/>
    <x v="2"/>
    <n v="4"/>
    <x v="0"/>
    <n v="1"/>
    <n v="0.8"/>
    <n v="0.2"/>
    <n v="0.5"/>
    <n v="0.33333333333333331"/>
    <n v="13"/>
    <n v="0.59090909090909094"/>
    <x v="1"/>
    <n v="6"/>
    <x v="0"/>
  </r>
  <r>
    <s v="00328"/>
    <n v="5"/>
    <n v="2.5"/>
    <n v="5"/>
    <n v="3.5"/>
    <n v="1"/>
    <x v="3"/>
    <x v="2"/>
    <n v="7"/>
    <x v="1"/>
    <n v="1"/>
    <n v="0.5"/>
    <n v="1"/>
    <n v="0.875"/>
    <n v="0.33333333333333331"/>
    <n v="17"/>
    <n v="0.77272727272727271"/>
    <x v="0"/>
    <n v="3"/>
    <x v="0"/>
  </r>
  <r>
    <s v="00260"/>
    <n v="5"/>
    <n v="3.5"/>
    <n v="2.5"/>
    <n v="2.5"/>
    <n v="1.5"/>
    <x v="1"/>
    <x v="2"/>
    <n v="4"/>
    <x v="0"/>
    <n v="1"/>
    <n v="0.7"/>
    <n v="0.5"/>
    <n v="0.625"/>
    <n v="0.5"/>
    <n v="15"/>
    <n v="0.68181818181818177"/>
    <x v="0"/>
    <n v="6"/>
    <x v="0"/>
  </r>
  <r>
    <s v="00455"/>
    <n v="3.5"/>
    <n v="4.5"/>
    <n v="4.5"/>
    <n v="4"/>
    <n v="1"/>
    <x v="1"/>
    <x v="2"/>
    <n v="11"/>
    <x v="2"/>
    <n v="0.7"/>
    <n v="0.9"/>
    <n v="0.9"/>
    <n v="1"/>
    <n v="0.33333333333333331"/>
    <n v="17.5"/>
    <n v="0.79545454545454541"/>
    <x v="0"/>
    <n v="7"/>
    <x v="1"/>
  </r>
  <r>
    <s v="00277"/>
    <n v="2"/>
    <n v="0"/>
    <n v="0"/>
    <n v="1"/>
    <n v="1"/>
    <x v="1"/>
    <x v="2"/>
    <n v="4"/>
    <x v="0"/>
    <n v="0.4"/>
    <n v="0"/>
    <n v="0"/>
    <n v="0.25"/>
    <n v="0.33333333333333331"/>
    <n v="4"/>
    <n v="0.18181818181818182"/>
    <x v="2"/>
    <n v="7"/>
    <x v="1"/>
  </r>
  <r>
    <s v="00107"/>
    <n v="5"/>
    <n v="3.5"/>
    <n v="0.5"/>
    <n v="2"/>
    <n v="3"/>
    <x v="1"/>
    <x v="2"/>
    <n v="4"/>
    <x v="0"/>
    <n v="1"/>
    <n v="0.7"/>
    <n v="0.1"/>
    <n v="0.5"/>
    <n v="1"/>
    <n v="14"/>
    <n v="0.63636363636363635"/>
    <x v="1"/>
    <n v="7"/>
    <x v="1"/>
  </r>
  <r>
    <s v="00541"/>
    <n v="5"/>
    <n v="3"/>
    <n v="2"/>
    <n v="4"/>
    <n v="3"/>
    <x v="3"/>
    <x v="2"/>
    <n v="4"/>
    <x v="0"/>
    <n v="1"/>
    <n v="0.6"/>
    <n v="0.4"/>
    <n v="1"/>
    <n v="1"/>
    <n v="17"/>
    <n v="0.77272727272727271"/>
    <x v="0"/>
    <n v="7"/>
    <x v="1"/>
  </r>
  <r>
    <s v="00430"/>
    <n v="5"/>
    <n v="4.5"/>
    <n v="3.5"/>
    <n v="2"/>
    <n v="0.5"/>
    <x v="1"/>
    <x v="2"/>
    <n v="16"/>
    <x v="4"/>
    <n v="1"/>
    <n v="0.9"/>
    <n v="0.7"/>
    <n v="0.5"/>
    <n v="0.16666666666666666"/>
    <n v="15.5"/>
    <n v="0.70454545454545459"/>
    <x v="0"/>
    <n v="7"/>
    <x v="1"/>
  </r>
  <r>
    <s v="00248"/>
    <n v="5"/>
    <n v="3.5"/>
    <n v="3"/>
    <n v="3.5"/>
    <n v="2.5"/>
    <x v="2"/>
    <x v="2"/>
    <n v="16"/>
    <x v="4"/>
    <n v="1"/>
    <n v="0.7"/>
    <n v="0.6"/>
    <n v="0.875"/>
    <n v="0.83333333333333337"/>
    <n v="17.5"/>
    <n v="0.79545454545454541"/>
    <x v="0"/>
    <n v="7"/>
    <x v="1"/>
  </r>
  <r>
    <s v="00557"/>
    <n v="5"/>
    <n v="4"/>
    <n v="3"/>
    <n v="0.5"/>
    <n v="3"/>
    <x v="1"/>
    <x v="2"/>
    <n v="4"/>
    <x v="0"/>
    <n v="1"/>
    <n v="0.8"/>
    <n v="0.6"/>
    <n v="0.125"/>
    <n v="1"/>
    <n v="15.5"/>
    <n v="0.70454545454545459"/>
    <x v="0"/>
    <n v="4"/>
    <x v="0"/>
  </r>
  <r>
    <s v="00020"/>
    <n v="5"/>
    <n v="2"/>
    <n v="3.5"/>
    <n v="3.5"/>
    <n v="2.5"/>
    <x v="3"/>
    <x v="2"/>
    <n v="7"/>
    <x v="1"/>
    <n v="1"/>
    <n v="0.4"/>
    <n v="0.7"/>
    <n v="0.875"/>
    <n v="0.83333333333333337"/>
    <n v="16.5"/>
    <n v="0.75"/>
    <x v="0"/>
    <n v="6"/>
    <x v="0"/>
  </r>
  <r>
    <s v="00063"/>
    <n v="5"/>
    <n v="4"/>
    <n v="0.5"/>
    <n v="4"/>
    <n v="0.5"/>
    <x v="3"/>
    <x v="2"/>
    <n v="8"/>
    <x v="1"/>
    <n v="1"/>
    <n v="0.8"/>
    <n v="0.1"/>
    <n v="1"/>
    <n v="0.16666666666666666"/>
    <n v="14"/>
    <n v="0.63636363636363635"/>
    <x v="1"/>
    <n v="6"/>
    <x v="0"/>
  </r>
  <r>
    <s v="00539"/>
    <n v="4.5"/>
    <n v="3"/>
    <n v="1"/>
    <n v="0.5"/>
    <n v="2"/>
    <x v="3"/>
    <x v="2"/>
    <n v="4"/>
    <x v="0"/>
    <n v="0.9"/>
    <n v="0.6"/>
    <n v="0.2"/>
    <n v="0.125"/>
    <n v="0.66666666666666663"/>
    <n v="11"/>
    <n v="0.5"/>
    <x v="1"/>
    <n v="8"/>
    <x v="1"/>
  </r>
  <r>
    <s v="00504"/>
    <n v="4"/>
    <n v="2"/>
    <n v="4"/>
    <n v="1.5"/>
    <n v="3"/>
    <x v="3"/>
    <x v="2"/>
    <n v="15"/>
    <x v="4"/>
    <n v="0.8"/>
    <n v="0.4"/>
    <n v="0.8"/>
    <n v="0.375"/>
    <n v="1"/>
    <n v="14.5"/>
    <n v="0.65909090909090906"/>
    <x v="0"/>
    <n v="8"/>
    <x v="1"/>
  </r>
  <r>
    <s v="00531"/>
    <n v="4"/>
    <n v="3.5"/>
    <n v="3"/>
    <n v="2"/>
    <n v="1.5"/>
    <x v="1"/>
    <x v="2"/>
    <n v="4"/>
    <x v="0"/>
    <n v="0.8"/>
    <n v="0.7"/>
    <n v="0.6"/>
    <n v="0.5"/>
    <n v="0.5"/>
    <n v="14"/>
    <n v="0.63636363636363635"/>
    <x v="1"/>
    <n v="8"/>
    <x v="1"/>
  </r>
  <r>
    <s v="00096"/>
    <n v="3.5"/>
    <n v="4.5"/>
    <n v="2"/>
    <n v="3.5"/>
    <n v="2"/>
    <x v="1"/>
    <x v="2"/>
    <n v="8"/>
    <x v="1"/>
    <n v="0.7"/>
    <n v="0.9"/>
    <n v="0.4"/>
    <n v="0.875"/>
    <n v="0.66666666666666663"/>
    <n v="15.5"/>
    <n v="0.70454545454545459"/>
    <x v="0"/>
    <n v="8"/>
    <x v="1"/>
  </r>
  <r>
    <s v="00446"/>
    <n v="4"/>
    <n v="3.5"/>
    <n v="2.5"/>
    <n v="1.5"/>
    <n v="2"/>
    <x v="3"/>
    <x v="2"/>
    <n v="10"/>
    <x v="2"/>
    <n v="0.8"/>
    <n v="0.7"/>
    <n v="0.5"/>
    <n v="0.375"/>
    <n v="0.66666666666666663"/>
    <n v="13.5"/>
    <n v="0.61363636363636365"/>
    <x v="1"/>
    <n v="6"/>
    <x v="0"/>
  </r>
  <r>
    <s v="00486"/>
    <n v="5"/>
    <n v="3.5"/>
    <n v="4.5"/>
    <n v="2.5"/>
    <n v="2.5"/>
    <x v="1"/>
    <x v="2"/>
    <n v="5"/>
    <x v="1"/>
    <n v="1"/>
    <n v="0.7"/>
    <n v="0.9"/>
    <n v="0.625"/>
    <n v="0.83333333333333337"/>
    <n v="18"/>
    <n v="0.81818181818181823"/>
    <x v="3"/>
    <n v="5"/>
    <x v="0"/>
  </r>
  <r>
    <s v="00432"/>
    <n v="5"/>
    <n v="3.5"/>
    <n v="1.5"/>
    <n v="1"/>
    <n v="1"/>
    <x v="3"/>
    <x v="2"/>
    <n v="4"/>
    <x v="0"/>
    <n v="1"/>
    <n v="0.7"/>
    <n v="0.3"/>
    <n v="0.25"/>
    <n v="0.33333333333333331"/>
    <n v="12"/>
    <n v="0.54545454545454541"/>
    <x v="1"/>
    <n v="4"/>
    <x v="0"/>
  </r>
  <r>
    <s v="00216"/>
    <n v="2.5"/>
    <n v="1.5"/>
    <n v="0.5"/>
    <n v="0"/>
    <n v="1"/>
    <x v="2"/>
    <x v="2"/>
    <n v="4"/>
    <x v="0"/>
    <n v="0.5"/>
    <n v="0.3"/>
    <n v="0.1"/>
    <n v="0"/>
    <n v="0.33333333333333331"/>
    <n v="5.5"/>
    <n v="0.25"/>
    <x v="2"/>
    <n v="4"/>
    <x v="0"/>
  </r>
  <r>
    <s v="00325"/>
    <n v="5"/>
    <n v="2.5"/>
    <n v="2.5"/>
    <n v="2"/>
    <n v="2"/>
    <x v="2"/>
    <x v="2"/>
    <n v="6"/>
    <x v="1"/>
    <n v="1"/>
    <n v="0.5"/>
    <n v="0.5"/>
    <n v="0.5"/>
    <n v="0.66666666666666663"/>
    <n v="14"/>
    <n v="0.63636363636363635"/>
    <x v="1"/>
    <n v="4"/>
    <x v="0"/>
  </r>
  <r>
    <s v="00196"/>
    <n v="5"/>
    <n v="4.5"/>
    <n v="1.5"/>
    <n v="0.5"/>
    <n v="3"/>
    <x v="1"/>
    <x v="2"/>
    <n v="7"/>
    <x v="1"/>
    <n v="1"/>
    <n v="0.9"/>
    <n v="0.3"/>
    <n v="0.125"/>
    <n v="1"/>
    <n v="14.5"/>
    <n v="0.65909090909090906"/>
    <x v="0"/>
    <n v="9"/>
    <x v="2"/>
  </r>
  <r>
    <s v="00342"/>
    <n v="5"/>
    <n v="2"/>
    <n v="2"/>
    <n v="3.5"/>
    <n v="1"/>
    <x v="3"/>
    <x v="2"/>
    <n v="11"/>
    <x v="2"/>
    <n v="1"/>
    <n v="0.4"/>
    <n v="0.4"/>
    <n v="0.875"/>
    <n v="0.33333333333333331"/>
    <n v="13.5"/>
    <n v="0.61363636363636365"/>
    <x v="1"/>
    <n v="9"/>
    <x v="2"/>
  </r>
  <r>
    <s v="00426"/>
    <n v="5"/>
    <n v="2.5"/>
    <n v="3"/>
    <n v="2.5"/>
    <n v="1"/>
    <x v="2"/>
    <x v="2"/>
    <n v="13"/>
    <x v="2"/>
    <n v="1"/>
    <n v="0.5"/>
    <n v="0.6"/>
    <n v="0.625"/>
    <n v="0.33333333333333331"/>
    <n v="14"/>
    <n v="0.63636363636363635"/>
    <x v="1"/>
    <n v="9"/>
    <x v="2"/>
  </r>
  <r>
    <s v="00449"/>
    <n v="0"/>
    <n v="2"/>
    <n v="1"/>
    <n v="1.5"/>
    <n v="0"/>
    <x v="1"/>
    <x v="2"/>
    <n v="5"/>
    <x v="1"/>
    <n v="0"/>
    <n v="0.4"/>
    <n v="0.2"/>
    <n v="0.375"/>
    <n v="0"/>
    <n v="4.5"/>
    <n v="0.20454545454545456"/>
    <x v="2"/>
    <n v="9"/>
    <x v="2"/>
  </r>
  <r>
    <s v="00278"/>
    <n v="4"/>
    <n v="4.5"/>
    <n v="2"/>
    <n v="0.5"/>
    <n v="2"/>
    <x v="2"/>
    <x v="2"/>
    <n v="12"/>
    <x v="2"/>
    <n v="0.8"/>
    <n v="0.9"/>
    <n v="0.4"/>
    <n v="0.125"/>
    <n v="0.66666666666666663"/>
    <n v="13"/>
    <n v="0.59090909090909094"/>
    <x v="1"/>
    <n v="9"/>
    <x v="2"/>
  </r>
  <r>
    <s v="00433"/>
    <n v="5"/>
    <n v="4.5"/>
    <n v="2"/>
    <n v="2.5"/>
    <n v="1.5"/>
    <x v="2"/>
    <x v="2"/>
    <n v="17"/>
    <x v="4"/>
    <n v="1"/>
    <n v="0.9"/>
    <n v="0.4"/>
    <n v="0.625"/>
    <n v="0.5"/>
    <n v="15.5"/>
    <n v="0.70454545454545459"/>
    <x v="0"/>
    <n v="9"/>
    <x v="2"/>
  </r>
  <r>
    <s v="00298"/>
    <n v="5"/>
    <n v="2"/>
    <n v="3"/>
    <n v="3"/>
    <n v="2"/>
    <x v="3"/>
    <x v="2"/>
    <n v="5"/>
    <x v="1"/>
    <n v="1"/>
    <n v="0.4"/>
    <n v="0.6"/>
    <n v="0.75"/>
    <n v="0.66666666666666663"/>
    <n v="15"/>
    <n v="0.68181818181818177"/>
    <x v="0"/>
    <n v="9"/>
    <x v="2"/>
  </r>
  <r>
    <s v="00241"/>
    <n v="4"/>
    <n v="5"/>
    <n v="0.5"/>
    <n v="3"/>
    <n v="0.5"/>
    <x v="3"/>
    <x v="2"/>
    <n v="7"/>
    <x v="1"/>
    <n v="0.8"/>
    <n v="1"/>
    <n v="0.1"/>
    <n v="0.75"/>
    <n v="0.16666666666666666"/>
    <n v="13"/>
    <n v="0.59090909090909094"/>
    <x v="1"/>
    <n v="9"/>
    <x v="2"/>
  </r>
  <r>
    <s v="00144"/>
    <n v="4.5"/>
    <n v="2.5"/>
    <n v="3"/>
    <n v="3.5"/>
    <n v="1.5"/>
    <x v="2"/>
    <x v="2"/>
    <n v="23"/>
    <x v="3"/>
    <n v="0.9"/>
    <n v="0.5"/>
    <n v="0.6"/>
    <n v="0.875"/>
    <n v="0.5"/>
    <n v="15"/>
    <n v="0.68181818181818177"/>
    <x v="0"/>
    <n v="6"/>
    <x v="0"/>
  </r>
  <r>
    <s v="00083"/>
    <n v="5"/>
    <n v="4.5"/>
    <n v="4"/>
    <n v="2"/>
    <n v="0.5"/>
    <x v="3"/>
    <x v="2"/>
    <n v="4"/>
    <x v="0"/>
    <n v="1"/>
    <n v="0.9"/>
    <n v="0.8"/>
    <n v="0.5"/>
    <n v="0.16666666666666666"/>
    <n v="16"/>
    <n v="0.72727272727272729"/>
    <x v="0"/>
    <n v="10"/>
    <x v="2"/>
  </r>
  <r>
    <s v="00459"/>
    <n v="2"/>
    <n v="0"/>
    <n v="0"/>
    <n v="2"/>
    <n v="0"/>
    <x v="2"/>
    <x v="2"/>
    <n v="6"/>
    <x v="1"/>
    <n v="0.4"/>
    <n v="0"/>
    <n v="0"/>
    <n v="0.5"/>
    <n v="0"/>
    <n v="4"/>
    <n v="0.18181818181818182"/>
    <x v="2"/>
    <n v="10"/>
    <x v="2"/>
  </r>
  <r>
    <s v="00138"/>
    <n v="3"/>
    <n v="4.5"/>
    <n v="2.5"/>
    <n v="2"/>
    <n v="0.5"/>
    <x v="3"/>
    <x v="2"/>
    <n v="9"/>
    <x v="1"/>
    <n v="0.6"/>
    <n v="0.9"/>
    <n v="0.5"/>
    <n v="0.5"/>
    <n v="0.16666666666666666"/>
    <n v="12.5"/>
    <n v="0.56818181818181823"/>
    <x v="1"/>
    <n v="10"/>
    <x v="2"/>
  </r>
  <r>
    <s v="00245"/>
    <n v="5"/>
    <n v="3.5"/>
    <n v="3"/>
    <n v="3.5"/>
    <n v="3"/>
    <x v="1"/>
    <x v="2"/>
    <n v="6"/>
    <x v="1"/>
    <n v="1"/>
    <n v="0.7"/>
    <n v="0.6"/>
    <n v="0.875"/>
    <n v="1"/>
    <n v="18"/>
    <n v="0.81818181818181823"/>
    <x v="3"/>
    <n v="10"/>
    <x v="2"/>
  </r>
  <r>
    <s v="00472"/>
    <n v="2"/>
    <n v="2"/>
    <n v="0"/>
    <n v="0"/>
    <n v="0"/>
    <x v="4"/>
    <x v="2"/>
    <n v="5"/>
    <x v="1"/>
    <n v="0.4"/>
    <n v="0.4"/>
    <n v="0"/>
    <n v="0"/>
    <n v="0"/>
    <n v="4"/>
    <n v="0.18181818181818182"/>
    <x v="2"/>
    <n v="3"/>
    <x v="0"/>
  </r>
  <r>
    <s v="00372"/>
    <n v="5"/>
    <n v="2.5"/>
    <n v="3"/>
    <n v="4"/>
    <n v="1.5"/>
    <x v="4"/>
    <x v="2"/>
    <n v="7"/>
    <x v="1"/>
    <n v="1"/>
    <n v="0.5"/>
    <n v="0.6"/>
    <n v="1"/>
    <n v="0.5"/>
    <n v="16"/>
    <n v="0.72727272727272729"/>
    <x v="0"/>
    <n v="8"/>
    <x v="1"/>
  </r>
  <r>
    <s v="00116"/>
    <n v="5"/>
    <n v="4.5"/>
    <n v="4"/>
    <n v="1"/>
    <n v="2.5"/>
    <x v="4"/>
    <x v="2"/>
    <n v="13"/>
    <x v="2"/>
    <n v="1"/>
    <n v="0.9"/>
    <n v="0.8"/>
    <n v="0.25"/>
    <n v="0.83333333333333337"/>
    <n v="17"/>
    <n v="0.77272727272727271"/>
    <x v="0"/>
    <n v="5"/>
    <x v="0"/>
  </r>
  <r>
    <s v="00053"/>
    <n v="5"/>
    <n v="3.5"/>
    <n v="2"/>
    <n v="2.5"/>
    <n v="1.5"/>
    <x v="4"/>
    <x v="2"/>
    <n v="12"/>
    <x v="2"/>
    <n v="1"/>
    <n v="0.7"/>
    <n v="0.4"/>
    <n v="0.625"/>
    <n v="0.5"/>
    <n v="14.5"/>
    <n v="0.65909090909090906"/>
    <x v="0"/>
    <n v="6"/>
    <x v="0"/>
  </r>
  <r>
    <s v="00382"/>
    <n v="2"/>
    <n v="1"/>
    <n v="1"/>
    <n v="0"/>
    <n v="0.5"/>
    <x v="4"/>
    <x v="2"/>
    <n v="7"/>
    <x v="1"/>
    <n v="0.4"/>
    <n v="0.2"/>
    <n v="0.2"/>
    <n v="0"/>
    <n v="0.16666666666666666"/>
    <n v="4.5"/>
    <n v="0.20454545454545456"/>
    <x v="2"/>
    <n v="4"/>
    <x v="0"/>
  </r>
  <r>
    <s v="00165"/>
    <n v="0"/>
    <n v="0.5"/>
    <n v="0"/>
    <n v="0.5"/>
    <n v="0"/>
    <x v="4"/>
    <x v="2"/>
    <n v="7"/>
    <x v="1"/>
    <n v="0"/>
    <n v="0.1"/>
    <n v="0"/>
    <n v="0.125"/>
    <n v="0"/>
    <n v="1"/>
    <n v="4.5454545454545456E-2"/>
    <x v="2"/>
    <n v="6"/>
    <x v="0"/>
  </r>
  <r>
    <s v="00222"/>
    <n v="5"/>
    <n v="4"/>
    <n v="0"/>
    <n v="3"/>
    <n v="1"/>
    <x v="4"/>
    <x v="2"/>
    <n v="5"/>
    <x v="1"/>
    <n v="1"/>
    <n v="0.8"/>
    <n v="0"/>
    <n v="0.75"/>
    <n v="0.33333333333333331"/>
    <n v="13"/>
    <n v="0.59090909090909094"/>
    <x v="1"/>
    <n v="8"/>
    <x v="1"/>
  </r>
  <r>
    <s v="00038"/>
    <n v="4"/>
    <n v="3.5"/>
    <n v="0"/>
    <n v="3.5"/>
    <n v="2"/>
    <x v="4"/>
    <x v="2"/>
    <n v="4"/>
    <x v="0"/>
    <n v="0.8"/>
    <n v="0.7"/>
    <n v="0"/>
    <n v="0.875"/>
    <n v="0.66666666666666663"/>
    <n v="13"/>
    <n v="0.59090909090909094"/>
    <x v="1"/>
    <n v="8"/>
    <x v="1"/>
  </r>
  <r>
    <s v="00401"/>
    <n v="5"/>
    <n v="3"/>
    <n v="2.5"/>
    <n v="4"/>
    <n v="0.5"/>
    <x v="4"/>
    <x v="2"/>
    <n v="6"/>
    <x v="1"/>
    <n v="1"/>
    <n v="0.6"/>
    <n v="0.5"/>
    <n v="1"/>
    <n v="0.16666666666666666"/>
    <n v="15"/>
    <n v="0.68181818181818177"/>
    <x v="0"/>
    <n v="8"/>
    <x v="1"/>
  </r>
  <r>
    <s v="00548"/>
    <n v="4"/>
    <n v="3.5"/>
    <n v="3"/>
    <n v="2"/>
    <n v="2.5"/>
    <x v="4"/>
    <x v="2"/>
    <n v="16"/>
    <x v="4"/>
    <n v="0.8"/>
    <n v="0.7"/>
    <n v="0.6"/>
    <n v="0.5"/>
    <n v="0.83333333333333337"/>
    <n v="15"/>
    <n v="0.68181818181818177"/>
    <x v="0"/>
    <n v="7"/>
    <x v="1"/>
  </r>
  <r>
    <s v="00442"/>
    <n v="4"/>
    <n v="3.5"/>
    <n v="2.5"/>
    <n v="4"/>
    <n v="1.5"/>
    <x v="4"/>
    <x v="2"/>
    <n v="4"/>
    <x v="0"/>
    <n v="0.8"/>
    <n v="0.7"/>
    <n v="0.5"/>
    <n v="1"/>
    <n v="0.5"/>
    <n v="15.5"/>
    <n v="0.70454545454545459"/>
    <x v="0"/>
    <n v="8"/>
    <x v="1"/>
  </r>
  <r>
    <s v="00047"/>
    <n v="5"/>
    <n v="4.5"/>
    <n v="3"/>
    <n v="3"/>
    <n v="2.5"/>
    <x v="4"/>
    <x v="2"/>
    <n v="9"/>
    <x v="1"/>
    <n v="1"/>
    <n v="0.9"/>
    <n v="0.6"/>
    <n v="0.75"/>
    <n v="0.83333333333333337"/>
    <n v="18"/>
    <n v="0.81818181818181823"/>
    <x v="3"/>
    <n v="9"/>
    <x v="2"/>
  </r>
  <r>
    <s v="00404"/>
    <n v="4"/>
    <n v="4"/>
    <n v="4"/>
    <n v="4"/>
    <n v="2"/>
    <x v="4"/>
    <x v="2"/>
    <n v="13"/>
    <x v="2"/>
    <n v="0.8"/>
    <n v="0.8"/>
    <n v="0.8"/>
    <n v="1"/>
    <n v="0.66666666666666663"/>
    <n v="18"/>
    <n v="0.81818181818181823"/>
    <x v="3"/>
    <n v="9"/>
    <x v="2"/>
  </r>
  <r>
    <s v="00153"/>
    <n v="5"/>
    <n v="3"/>
    <n v="1.5"/>
    <n v="3"/>
    <n v="1.5"/>
    <x v="4"/>
    <x v="2"/>
    <n v="16"/>
    <x v="4"/>
    <n v="1"/>
    <n v="0.6"/>
    <n v="0.3"/>
    <n v="0.75"/>
    <n v="0.5"/>
    <n v="14"/>
    <n v="0.63636363636363635"/>
    <x v="1"/>
    <n v="9"/>
    <x v="2"/>
  </r>
  <r>
    <s v="00279"/>
    <n v="2.5"/>
    <n v="4.5"/>
    <n v="1.5"/>
    <n v="2"/>
    <n v="2"/>
    <x v="4"/>
    <x v="2"/>
    <n v="18"/>
    <x v="4"/>
    <n v="0.5"/>
    <n v="0.9"/>
    <n v="0.3"/>
    <n v="0.5"/>
    <n v="0.66666666666666663"/>
    <n v="12.5"/>
    <n v="0.56818181818181823"/>
    <x v="1"/>
    <n v="9"/>
    <x v="2"/>
  </r>
  <r>
    <s v="00126"/>
    <n v="3.5"/>
    <n v="2.5"/>
    <n v="4"/>
    <n v="4"/>
    <n v="1.5"/>
    <x v="4"/>
    <x v="2"/>
    <n v="10"/>
    <x v="2"/>
    <n v="0.7"/>
    <n v="0.5"/>
    <n v="0.8"/>
    <n v="1"/>
    <n v="0.5"/>
    <n v="15.5"/>
    <n v="0.70454545454545459"/>
    <x v="0"/>
    <n v="9"/>
    <x v="2"/>
  </r>
  <r>
    <s v="00075"/>
    <n v="4.5"/>
    <n v="4"/>
    <n v="1.5"/>
    <n v="3"/>
    <n v="1.5"/>
    <x v="4"/>
    <x v="2"/>
    <n v="10"/>
    <x v="2"/>
    <n v="0.9"/>
    <n v="0.8"/>
    <n v="0.3"/>
    <n v="0.75"/>
    <n v="0.5"/>
    <n v="14.5"/>
    <n v="0.65909090909090906"/>
    <x v="0"/>
    <n v="9"/>
    <x v="2"/>
  </r>
  <r>
    <s v="00510"/>
    <n v="3.5"/>
    <n v="5"/>
    <n v="2.5"/>
    <n v="3"/>
    <n v="1"/>
    <x v="4"/>
    <x v="2"/>
    <n v="12"/>
    <x v="2"/>
    <n v="0.7"/>
    <n v="1"/>
    <n v="0.5"/>
    <n v="0.75"/>
    <n v="0.33333333333333331"/>
    <n v="15"/>
    <n v="0.68181818181818177"/>
    <x v="0"/>
    <n v="9"/>
    <x v="2"/>
  </r>
  <r>
    <s v="00559"/>
    <n v="5"/>
    <n v="5"/>
    <n v="3.5"/>
    <n v="4"/>
    <n v="2"/>
    <x v="4"/>
    <x v="2"/>
    <n v="4"/>
    <x v="0"/>
    <n v="1"/>
    <n v="1"/>
    <n v="0.7"/>
    <n v="1"/>
    <n v="0.66666666666666663"/>
    <n v="19.5"/>
    <n v="0.88636363636363635"/>
    <x v="3"/>
    <n v="9"/>
    <x v="2"/>
  </r>
  <r>
    <s v="00569"/>
    <n v="2.5"/>
    <n v="5"/>
    <n v="1.5"/>
    <n v="2"/>
    <n v="2.5"/>
    <x v="4"/>
    <x v="2"/>
    <n v="10"/>
    <x v="2"/>
    <n v="0.5"/>
    <n v="1"/>
    <n v="0.3"/>
    <n v="0.5"/>
    <n v="0.83333333333333337"/>
    <n v="13.5"/>
    <n v="0.61363636363636365"/>
    <x v="1"/>
    <n v="9"/>
    <x v="2"/>
  </r>
  <r>
    <s v="00549"/>
    <n v="5"/>
    <n v="3"/>
    <n v="4"/>
    <n v="2.5"/>
    <n v="2"/>
    <x v="4"/>
    <x v="2"/>
    <n v="8"/>
    <x v="1"/>
    <n v="1"/>
    <n v="0.6"/>
    <n v="0.8"/>
    <n v="0.625"/>
    <n v="0.66666666666666663"/>
    <n v="16.5"/>
    <n v="0.75"/>
    <x v="0"/>
    <n v="10"/>
    <x v="2"/>
  </r>
  <r>
    <s v="00127"/>
    <n v="5"/>
    <n v="4.5"/>
    <n v="1.5"/>
    <n v="1.5"/>
    <n v="1"/>
    <x v="4"/>
    <x v="2"/>
    <n v="7"/>
    <x v="1"/>
    <n v="1"/>
    <n v="0.9"/>
    <n v="0.3"/>
    <n v="0.375"/>
    <n v="0.33333333333333331"/>
    <n v="13.5"/>
    <n v="0.61363636363636365"/>
    <x v="1"/>
    <n v="10"/>
    <x v="2"/>
  </r>
  <r>
    <s v="00028"/>
    <n v="5"/>
    <n v="3"/>
    <n v="0.5"/>
    <n v="3.5"/>
    <n v="2"/>
    <x v="4"/>
    <x v="2"/>
    <n v="8"/>
    <x v="1"/>
    <n v="1"/>
    <n v="0.6"/>
    <n v="0.1"/>
    <n v="0.875"/>
    <n v="0.66666666666666663"/>
    <n v="14"/>
    <n v="0.63636363636363635"/>
    <x v="1"/>
    <n v="10"/>
    <x v="2"/>
  </r>
  <r>
    <s v="00015"/>
    <n v="0"/>
    <n v="0.5"/>
    <n v="0"/>
    <n v="0.5"/>
    <n v="0"/>
    <x v="4"/>
    <x v="2"/>
    <n v="7"/>
    <x v="1"/>
    <n v="0"/>
    <n v="0.1"/>
    <n v="0"/>
    <n v="0.125"/>
    <n v="0"/>
    <n v="1"/>
    <n v="4.5454545454545456E-2"/>
    <x v="2"/>
    <n v="10"/>
    <x v="2"/>
  </r>
  <r>
    <s v="00136"/>
    <n v="3"/>
    <n v="2.5"/>
    <n v="2"/>
    <n v="3"/>
    <n v="3"/>
    <x v="4"/>
    <x v="2"/>
    <n v="4"/>
    <x v="0"/>
    <n v="0.6"/>
    <n v="0.5"/>
    <n v="0.4"/>
    <n v="0.75"/>
    <n v="1"/>
    <n v="13.5"/>
    <n v="0.61363636363636365"/>
    <x v="1"/>
    <n v="10"/>
    <x v="2"/>
  </r>
  <r>
    <s v="00322"/>
    <n v="4.5"/>
    <n v="3.5"/>
    <n v="4"/>
    <n v="0.5"/>
    <n v="1.5"/>
    <x v="4"/>
    <x v="2"/>
    <n v="4"/>
    <x v="0"/>
    <n v="0.9"/>
    <n v="0.7"/>
    <n v="0.8"/>
    <n v="0.125"/>
    <n v="0.5"/>
    <n v="14"/>
    <n v="0.63636363636363635"/>
    <x v="1"/>
    <n v="10"/>
    <x v="2"/>
  </r>
  <r>
    <s v="00040"/>
    <n v="5"/>
    <n v="2.5"/>
    <n v="2"/>
    <n v="3.5"/>
    <n v="0.5"/>
    <x v="4"/>
    <x v="2"/>
    <n v="4"/>
    <x v="0"/>
    <n v="1"/>
    <n v="0.5"/>
    <n v="0.4"/>
    <n v="0.875"/>
    <n v="0.16666666666666666"/>
    <n v="13.5"/>
    <n v="0.61363636363636365"/>
    <x v="1"/>
    <n v="10"/>
    <x v="2"/>
  </r>
  <r>
    <s v="00121"/>
    <n v="3"/>
    <n v="3.5"/>
    <n v="2"/>
    <n v="1.5"/>
    <n v="1.5"/>
    <x v="5"/>
    <x v="2"/>
    <n v="4"/>
    <x v="0"/>
    <n v="0.6"/>
    <n v="0.7"/>
    <n v="0.4"/>
    <n v="0.375"/>
    <n v="0.5"/>
    <n v="11.5"/>
    <n v="0.52272727272727271"/>
    <x v="1"/>
    <n v="3"/>
    <x v="0"/>
  </r>
  <r>
    <s v="00499"/>
    <n v="5"/>
    <n v="3"/>
    <n v="2"/>
    <n v="1.5"/>
    <n v="2.5"/>
    <x v="5"/>
    <x v="2"/>
    <n v="19"/>
    <x v="4"/>
    <n v="1"/>
    <n v="0.6"/>
    <n v="0.4"/>
    <n v="0.375"/>
    <n v="0.83333333333333337"/>
    <n v="14"/>
    <n v="0.63636363636363635"/>
    <x v="1"/>
    <n v="6"/>
    <x v="0"/>
  </r>
  <r>
    <s v="00200"/>
    <n v="4.5"/>
    <n v="1.5"/>
    <n v="2.5"/>
    <n v="2"/>
    <n v="3"/>
    <x v="6"/>
    <x v="2"/>
    <n v="12"/>
    <x v="2"/>
    <n v="0.9"/>
    <n v="0.3"/>
    <n v="0.5"/>
    <n v="0.5"/>
    <n v="1"/>
    <n v="13.5"/>
    <n v="0.61363636363636365"/>
    <x v="1"/>
    <n v="9"/>
    <x v="2"/>
  </r>
  <r>
    <s v="00170"/>
    <n v="3"/>
    <n v="4"/>
    <n v="3.5"/>
    <n v="4"/>
    <n v="3"/>
    <x v="6"/>
    <x v="2"/>
    <n v="8"/>
    <x v="1"/>
    <n v="0.6"/>
    <n v="0.8"/>
    <n v="0.7"/>
    <n v="1"/>
    <n v="1"/>
    <n v="17.5"/>
    <n v="0.79545454545454541"/>
    <x v="0"/>
    <n v="10"/>
    <x v="2"/>
  </r>
  <r>
    <s v="00485"/>
    <n v="0"/>
    <n v="3.5"/>
    <n v="4.5"/>
    <n v="3.5"/>
    <n v="2"/>
    <x v="6"/>
    <x v="2"/>
    <n v="16"/>
    <x v="4"/>
    <n v="0"/>
    <n v="0.7"/>
    <n v="0.9"/>
    <n v="0.875"/>
    <n v="0.66666666666666663"/>
    <n v="13.5"/>
    <n v="0.61363636363636365"/>
    <x v="1"/>
    <n v="9"/>
    <x v="2"/>
  </r>
  <r>
    <s v="00206"/>
    <n v="4"/>
    <n v="4.5"/>
    <n v="3.5"/>
    <n v="1.5"/>
    <n v="1"/>
    <x v="7"/>
    <x v="2"/>
    <n v="7"/>
    <x v="1"/>
    <n v="0.8"/>
    <n v="0.9"/>
    <n v="0.7"/>
    <n v="0.375"/>
    <n v="0.33333333333333331"/>
    <n v="14.5"/>
    <n v="0.65909090909090906"/>
    <x v="0"/>
    <n v="8"/>
    <x v="1"/>
  </r>
  <r>
    <s v="00386"/>
    <n v="5"/>
    <n v="4"/>
    <n v="2.5"/>
    <n v="3"/>
    <n v="3"/>
    <x v="8"/>
    <x v="2"/>
    <n v="9"/>
    <x v="1"/>
    <n v="1"/>
    <n v="0.8"/>
    <n v="0.5"/>
    <n v="0.75"/>
    <n v="1"/>
    <n v="17.5"/>
    <n v="0.79545454545454541"/>
    <x v="0"/>
    <n v="8"/>
    <x v="1"/>
  </r>
  <r>
    <s v="00025"/>
    <n v="4.5"/>
    <n v="5"/>
    <n v="1.5"/>
    <n v="2.5"/>
    <n v="3"/>
    <x v="8"/>
    <x v="2"/>
    <n v="7"/>
    <x v="1"/>
    <n v="0.9"/>
    <n v="1"/>
    <n v="0.3"/>
    <n v="0.625"/>
    <n v="1"/>
    <n v="16.5"/>
    <n v="0.75"/>
    <x v="0"/>
    <n v="8"/>
    <x v="1"/>
  </r>
  <r>
    <s v="00293"/>
    <n v="4.5"/>
    <n v="1.5"/>
    <n v="2"/>
    <n v="3.5"/>
    <n v="1.5"/>
    <x v="9"/>
    <x v="2"/>
    <n v="10"/>
    <x v="2"/>
    <n v="0.9"/>
    <n v="0.3"/>
    <n v="0.4"/>
    <n v="0.875"/>
    <n v="0.5"/>
    <n v="13"/>
    <n v="0.59090909090909094"/>
    <x v="1"/>
    <n v="8"/>
    <x v="1"/>
  </r>
  <r>
    <s v="00176"/>
    <n v="5"/>
    <n v="5"/>
    <n v="0"/>
    <n v="4"/>
    <n v="2"/>
    <x v="9"/>
    <x v="2"/>
    <n v="7"/>
    <x v="1"/>
    <n v="1"/>
    <n v="1"/>
    <n v="0"/>
    <n v="1"/>
    <n v="0.66666666666666663"/>
    <n v="16"/>
    <n v="0.72727272727272729"/>
    <x v="0"/>
    <n v="8"/>
    <x v="1"/>
  </r>
  <r>
    <s v="00305"/>
    <n v="4.5"/>
    <n v="2.5"/>
    <n v="2.5"/>
    <n v="4"/>
    <n v="2.5"/>
    <x v="9"/>
    <x v="2"/>
    <n v="6"/>
    <x v="1"/>
    <n v="0.9"/>
    <n v="0.5"/>
    <n v="0.5"/>
    <n v="1"/>
    <n v="0.83333333333333337"/>
    <n v="16"/>
    <n v="0.72727272727272729"/>
    <x v="0"/>
    <n v="8"/>
    <x v="1"/>
  </r>
  <r>
    <s v="00235"/>
    <n v="5"/>
    <n v="4"/>
    <n v="3"/>
    <n v="3.5"/>
    <n v="0"/>
    <x v="9"/>
    <x v="2"/>
    <n v="6"/>
    <x v="1"/>
    <n v="1"/>
    <n v="0.8"/>
    <n v="0.6"/>
    <n v="0.875"/>
    <n v="0"/>
    <n v="15.5"/>
    <n v="0.70454545454545459"/>
    <x v="0"/>
    <n v="8"/>
    <x v="1"/>
  </r>
  <r>
    <s v="00583"/>
    <n v="4.5"/>
    <n v="4"/>
    <n v="3.5"/>
    <n v="3"/>
    <n v="3"/>
    <x v="9"/>
    <x v="2"/>
    <n v="9"/>
    <x v="1"/>
    <n v="0.9"/>
    <n v="0.8"/>
    <n v="0.7"/>
    <n v="0.75"/>
    <n v="1"/>
    <n v="18"/>
    <n v="0.81818181818181823"/>
    <x v="3"/>
    <n v="9"/>
    <x v="2"/>
  </r>
  <r>
    <s v="00143"/>
    <n v="4.5"/>
    <n v="5"/>
    <n v="3.5"/>
    <n v="4"/>
    <n v="3"/>
    <x v="10"/>
    <x v="2"/>
    <n v="11"/>
    <x v="2"/>
    <n v="0.9"/>
    <n v="1"/>
    <n v="0.7"/>
    <n v="1"/>
    <n v="1"/>
    <n v="20"/>
    <n v="0.90909090909090906"/>
    <x v="3"/>
    <n v="9"/>
    <x v="2"/>
  </r>
  <r>
    <s v="00537"/>
    <n v="5"/>
    <n v="3.5"/>
    <n v="0.5"/>
    <n v="4"/>
    <n v="1"/>
    <x v="10"/>
    <x v="2"/>
    <n v="4"/>
    <x v="0"/>
    <n v="1"/>
    <n v="0.7"/>
    <n v="0.1"/>
    <n v="1"/>
    <n v="0.33333333333333331"/>
    <n v="14"/>
    <n v="0.63636363636363635"/>
    <x v="1"/>
    <n v="9"/>
    <x v="2"/>
  </r>
  <r>
    <s v="00326"/>
    <n v="5"/>
    <n v="3"/>
    <n v="2.5"/>
    <n v="2"/>
    <n v="0.5"/>
    <x v="10"/>
    <x v="2"/>
    <n v="9"/>
    <x v="1"/>
    <n v="1"/>
    <n v="0.6"/>
    <n v="0.5"/>
    <n v="0.5"/>
    <n v="0.16666666666666666"/>
    <n v="13"/>
    <n v="0.59090909090909094"/>
    <x v="1"/>
    <n v="9"/>
    <x v="2"/>
  </r>
  <r>
    <s v="00521"/>
    <n v="4.5"/>
    <n v="4.5"/>
    <n v="1.5"/>
    <n v="3"/>
    <n v="3"/>
    <x v="10"/>
    <x v="2"/>
    <n v="10"/>
    <x v="2"/>
    <n v="0.9"/>
    <n v="0.9"/>
    <n v="0.3"/>
    <n v="0.75"/>
    <n v="1"/>
    <n v="16.5"/>
    <n v="0.75"/>
    <x v="0"/>
    <n v="10"/>
    <x v="2"/>
  </r>
  <r>
    <s v="00123"/>
    <n v="4"/>
    <n v="3"/>
    <n v="3"/>
    <n v="1"/>
    <n v="2"/>
    <x v="10"/>
    <x v="2"/>
    <n v="5"/>
    <x v="1"/>
    <n v="0.8"/>
    <n v="0.6"/>
    <n v="0.6"/>
    <n v="0.25"/>
    <n v="0.66666666666666663"/>
    <n v="13"/>
    <n v="0.59090909090909094"/>
    <x v="1"/>
    <n v="10"/>
    <x v="2"/>
  </r>
  <r>
    <s v="00042"/>
    <n v="5"/>
    <n v="3"/>
    <n v="3.5"/>
    <n v="3"/>
    <n v="3"/>
    <x v="10"/>
    <x v="2"/>
    <n v="9"/>
    <x v="1"/>
    <n v="1"/>
    <n v="0.6"/>
    <n v="0.7"/>
    <n v="0.75"/>
    <n v="1"/>
    <n v="17.5"/>
    <n v="0.79545454545454541"/>
    <x v="0"/>
    <n v="10"/>
    <x v="2"/>
  </r>
  <r>
    <s v="00355"/>
    <n v="5"/>
    <n v="5"/>
    <n v="0.5"/>
    <n v="4"/>
    <n v="2"/>
    <x v="5"/>
    <x v="2"/>
    <n v="9"/>
    <x v="1"/>
    <n v="1"/>
    <n v="1"/>
    <n v="0.1"/>
    <n v="1"/>
    <n v="0.66666666666666663"/>
    <n v="16.5"/>
    <n v="0.75"/>
    <x v="0"/>
    <n v="10"/>
    <x v="2"/>
  </r>
  <r>
    <s v="00431"/>
    <n v="4"/>
    <n v="3.5"/>
    <n v="4"/>
    <n v="4"/>
    <n v="1.5"/>
    <x v="5"/>
    <x v="2"/>
    <n v="5"/>
    <x v="1"/>
    <n v="0.8"/>
    <n v="0.7"/>
    <n v="0.8"/>
    <n v="1"/>
    <n v="0.5"/>
    <n v="17"/>
    <n v="0.77272727272727271"/>
    <x v="0"/>
    <n v="10"/>
    <x v="2"/>
  </r>
  <r>
    <s v="00600"/>
    <n v="5"/>
    <n v="3"/>
    <n v="3"/>
    <n v="2.5"/>
    <n v="2"/>
    <x v="11"/>
    <x v="2"/>
    <n v="6"/>
    <x v="1"/>
    <n v="1"/>
    <n v="0.6"/>
    <n v="0.6"/>
    <n v="0.625"/>
    <n v="0.66666666666666663"/>
    <n v="15.5"/>
    <n v="0.70454545454545459"/>
    <x v="0"/>
    <n v="10"/>
    <x v="2"/>
  </r>
  <r>
    <s v="00163"/>
    <n v="2"/>
    <n v="0"/>
    <n v="0"/>
    <n v="1"/>
    <n v="0"/>
    <x v="11"/>
    <x v="2"/>
    <n v="11"/>
    <x v="2"/>
    <n v="0.4"/>
    <n v="0"/>
    <n v="0"/>
    <n v="0.25"/>
    <n v="0"/>
    <n v="3"/>
    <n v="0.13636363636363635"/>
    <x v="2"/>
    <n v="9"/>
    <x v="2"/>
  </r>
  <r>
    <s v="00479"/>
    <n v="3"/>
    <n v="4.5"/>
    <n v="4.5"/>
    <n v="2.5"/>
    <n v="0.5"/>
    <x v="11"/>
    <x v="2"/>
    <n v="7"/>
    <x v="1"/>
    <n v="0.6"/>
    <n v="0.9"/>
    <n v="0.9"/>
    <n v="0.625"/>
    <n v="0.16666666666666666"/>
    <n v="15"/>
    <n v="0.68181818181818177"/>
    <x v="0"/>
    <n v="9"/>
    <x v="2"/>
  </r>
  <r>
    <s v="00112"/>
    <n v="5"/>
    <n v="4.5"/>
    <n v="3"/>
    <n v="4"/>
    <n v="1.5"/>
    <x v="11"/>
    <x v="2"/>
    <n v="5"/>
    <x v="1"/>
    <n v="1"/>
    <n v="0.9"/>
    <n v="0.6"/>
    <n v="1"/>
    <n v="0.5"/>
    <n v="18"/>
    <n v="0.81818181818181823"/>
    <x v="3"/>
    <n v="9"/>
    <x v="2"/>
  </r>
  <r>
    <s v="00133"/>
    <n v="5"/>
    <n v="3"/>
    <n v="4.5"/>
    <n v="2.5"/>
    <n v="2.5"/>
    <x v="11"/>
    <x v="2"/>
    <n v="10"/>
    <x v="2"/>
    <n v="1"/>
    <n v="0.6"/>
    <n v="0.9"/>
    <n v="0.625"/>
    <n v="0.83333333333333337"/>
    <n v="17.5"/>
    <n v="0.79545454545454541"/>
    <x v="0"/>
    <n v="9"/>
    <x v="2"/>
  </r>
  <r>
    <s v="00319"/>
    <n v="5"/>
    <n v="0.5"/>
    <n v="2.5"/>
    <n v="2.5"/>
    <n v="1"/>
    <x v="11"/>
    <x v="2"/>
    <n v="4"/>
    <x v="0"/>
    <n v="1"/>
    <n v="0.1"/>
    <n v="0.5"/>
    <n v="0.625"/>
    <n v="0.33333333333333331"/>
    <n v="11.5"/>
    <n v="0.52272727272727271"/>
    <x v="1"/>
    <n v="10"/>
    <x v="2"/>
  </r>
  <r>
    <s v="00547"/>
    <n v="5"/>
    <n v="3"/>
    <n v="2"/>
    <n v="0.5"/>
    <n v="2"/>
    <x v="11"/>
    <x v="2"/>
    <n v="4"/>
    <x v="0"/>
    <n v="1"/>
    <n v="0.6"/>
    <n v="0.4"/>
    <n v="0.125"/>
    <n v="0.66666666666666663"/>
    <n v="12.5"/>
    <n v="0.56818181818181823"/>
    <x v="1"/>
    <n v="10"/>
    <x v="2"/>
  </r>
  <r>
    <s v="00408"/>
    <n v="5"/>
    <n v="3"/>
    <n v="3.5"/>
    <n v="1.5"/>
    <n v="0.5"/>
    <x v="11"/>
    <x v="2"/>
    <n v="5"/>
    <x v="1"/>
    <n v="1"/>
    <n v="0.6"/>
    <n v="0.7"/>
    <n v="0.375"/>
    <n v="0.16666666666666666"/>
    <n v="13.5"/>
    <n v="0.61363636363636365"/>
    <x v="1"/>
    <n v="10"/>
    <x v="2"/>
  </r>
  <r>
    <s v="00351"/>
    <n v="4"/>
    <n v="5"/>
    <n v="5"/>
    <n v="0.5"/>
    <n v="0.5"/>
    <x v="0"/>
    <x v="3"/>
    <n v="8"/>
    <x v="1"/>
    <n v="0.8"/>
    <n v="1"/>
    <n v="1"/>
    <n v="0.125"/>
    <n v="0.16666666666666666"/>
    <n v="15"/>
    <n v="0.68181818181818177"/>
    <x v="0"/>
    <n v="9"/>
    <x v="2"/>
  </r>
  <r>
    <s v="00337"/>
    <n v="5"/>
    <n v="1.5"/>
    <n v="5"/>
    <n v="2"/>
    <n v="2.5"/>
    <x v="0"/>
    <x v="3"/>
    <n v="6"/>
    <x v="1"/>
    <n v="1"/>
    <n v="0.3"/>
    <n v="1"/>
    <n v="0.5"/>
    <n v="0.83333333333333337"/>
    <n v="16"/>
    <n v="0.72727272727272729"/>
    <x v="0"/>
    <n v="8"/>
    <x v="1"/>
  </r>
  <r>
    <s v="00502"/>
    <n v="5"/>
    <n v="5"/>
    <n v="2.5"/>
    <n v="1.5"/>
    <n v="2"/>
    <x v="0"/>
    <x v="3"/>
    <n v="8"/>
    <x v="1"/>
    <n v="1"/>
    <n v="1"/>
    <n v="0.5"/>
    <n v="0.375"/>
    <n v="0.66666666666666663"/>
    <n v="16"/>
    <n v="0.72727272727272729"/>
    <x v="0"/>
    <n v="8"/>
    <x v="1"/>
  </r>
  <r>
    <s v="00513"/>
    <n v="4"/>
    <n v="4"/>
    <n v="2"/>
    <n v="3.5"/>
    <n v="1.5"/>
    <x v="0"/>
    <x v="3"/>
    <n v="7"/>
    <x v="1"/>
    <n v="0.8"/>
    <n v="0.8"/>
    <n v="0.4"/>
    <n v="0.875"/>
    <n v="0.5"/>
    <n v="15"/>
    <n v="0.68181818181818177"/>
    <x v="0"/>
    <n v="9"/>
    <x v="2"/>
  </r>
  <r>
    <s v="00230"/>
    <n v="4.5"/>
    <n v="5"/>
    <n v="2.5"/>
    <n v="1"/>
    <n v="2.5"/>
    <x v="0"/>
    <x v="3"/>
    <n v="14"/>
    <x v="2"/>
    <n v="0.9"/>
    <n v="1"/>
    <n v="0.5"/>
    <n v="0.25"/>
    <n v="0.83333333333333337"/>
    <n v="15.5"/>
    <n v="0.70454545454545459"/>
    <x v="0"/>
    <n v="9"/>
    <x v="2"/>
  </r>
  <r>
    <s v="00466"/>
    <n v="5"/>
    <n v="3.5"/>
    <n v="4"/>
    <n v="1"/>
    <n v="2"/>
    <x v="2"/>
    <x v="3"/>
    <n v="7"/>
    <x v="1"/>
    <n v="1"/>
    <n v="0.7"/>
    <n v="0.8"/>
    <n v="0.25"/>
    <n v="0.66666666666666663"/>
    <n v="15.5"/>
    <n v="0.70454545454545459"/>
    <x v="0"/>
    <n v="9"/>
    <x v="2"/>
  </r>
  <r>
    <s v="00055"/>
    <n v="5"/>
    <n v="0"/>
    <n v="3"/>
    <n v="3"/>
    <n v="1"/>
    <x v="1"/>
    <x v="3"/>
    <n v="6"/>
    <x v="1"/>
    <n v="1"/>
    <n v="0"/>
    <n v="0.6"/>
    <n v="0.75"/>
    <n v="0.33333333333333331"/>
    <n v="12"/>
    <n v="0.54545454545454541"/>
    <x v="1"/>
    <n v="9"/>
    <x v="2"/>
  </r>
  <r>
    <s v="00104"/>
    <n v="4.5"/>
    <n v="4.5"/>
    <n v="3.5"/>
    <n v="0.5"/>
    <n v="3"/>
    <x v="1"/>
    <x v="3"/>
    <n v="6"/>
    <x v="1"/>
    <n v="0.9"/>
    <n v="0.9"/>
    <n v="0.7"/>
    <n v="0.125"/>
    <n v="1"/>
    <n v="16"/>
    <n v="0.72727272727272729"/>
    <x v="0"/>
    <n v="9"/>
    <x v="2"/>
  </r>
  <r>
    <s v="00463"/>
    <n v="5"/>
    <n v="4"/>
    <n v="2"/>
    <n v="2"/>
    <n v="1.5"/>
    <x v="1"/>
    <x v="3"/>
    <n v="12"/>
    <x v="2"/>
    <n v="1"/>
    <n v="0.8"/>
    <n v="0.4"/>
    <n v="0.5"/>
    <n v="0.5"/>
    <n v="14.5"/>
    <n v="0.65909090909090906"/>
    <x v="0"/>
    <n v="7"/>
    <x v="1"/>
  </r>
  <r>
    <s v="00205"/>
    <n v="5"/>
    <n v="4.5"/>
    <n v="1.5"/>
    <n v="4"/>
    <n v="1"/>
    <x v="2"/>
    <x v="3"/>
    <n v="10"/>
    <x v="2"/>
    <n v="1"/>
    <n v="0.9"/>
    <n v="0.3"/>
    <n v="1"/>
    <n v="0.33333333333333331"/>
    <n v="16"/>
    <n v="0.72727272727272729"/>
    <x v="0"/>
    <n v="6"/>
    <x v="0"/>
  </r>
  <r>
    <s v="00477"/>
    <n v="5"/>
    <n v="4"/>
    <n v="2"/>
    <n v="2.5"/>
    <n v="0"/>
    <x v="3"/>
    <x v="3"/>
    <n v="6"/>
    <x v="1"/>
    <n v="1"/>
    <n v="0.8"/>
    <n v="0.4"/>
    <n v="0.625"/>
    <n v="0"/>
    <n v="13.5"/>
    <n v="0.61363636363636365"/>
    <x v="1"/>
    <n v="9"/>
    <x v="2"/>
  </r>
  <r>
    <s v="00394"/>
    <n v="5"/>
    <n v="2"/>
    <n v="1.5"/>
    <n v="2.5"/>
    <n v="2"/>
    <x v="3"/>
    <x v="3"/>
    <n v="20"/>
    <x v="3"/>
    <n v="1"/>
    <n v="0.4"/>
    <n v="0.3"/>
    <n v="0.625"/>
    <n v="0.66666666666666663"/>
    <n v="13"/>
    <n v="0.59090909090909094"/>
    <x v="1"/>
    <n v="9"/>
    <x v="2"/>
  </r>
  <r>
    <s v="00542"/>
    <n v="4.5"/>
    <n v="5"/>
    <n v="4"/>
    <n v="3"/>
    <n v="2.5"/>
    <x v="3"/>
    <x v="3"/>
    <n v="8"/>
    <x v="1"/>
    <n v="0.9"/>
    <n v="1"/>
    <n v="0.8"/>
    <n v="0.75"/>
    <n v="0.83333333333333337"/>
    <n v="19"/>
    <n v="0.86363636363636365"/>
    <x v="3"/>
    <n v="9"/>
    <x v="2"/>
  </r>
  <r>
    <s v="00032"/>
    <n v="4.5"/>
    <n v="3.5"/>
    <n v="2.5"/>
    <n v="3.5"/>
    <n v="2.5"/>
    <x v="4"/>
    <x v="3"/>
    <n v="6"/>
    <x v="1"/>
    <n v="0.9"/>
    <n v="0.7"/>
    <n v="0.5"/>
    <n v="0.875"/>
    <n v="0.83333333333333337"/>
    <n v="16.5"/>
    <n v="0.75"/>
    <x v="0"/>
    <n v="10"/>
    <x v="2"/>
  </r>
  <r>
    <s v="00239"/>
    <n v="4"/>
    <n v="3"/>
    <n v="4"/>
    <n v="3"/>
    <n v="0.5"/>
    <x v="4"/>
    <x v="3"/>
    <n v="13"/>
    <x v="2"/>
    <n v="0.8"/>
    <n v="0.6"/>
    <n v="0.8"/>
    <n v="0.75"/>
    <n v="0.16666666666666666"/>
    <n v="14.5"/>
    <n v="0.65909090909090906"/>
    <x v="0"/>
    <n v="5"/>
    <x v="0"/>
  </r>
  <r>
    <s v="00587"/>
    <n v="5"/>
    <n v="3.5"/>
    <n v="3"/>
    <n v="2.5"/>
    <n v="2.5"/>
    <x v="4"/>
    <x v="3"/>
    <n v="6"/>
    <x v="1"/>
    <n v="1"/>
    <n v="0.7"/>
    <n v="0.6"/>
    <n v="0.625"/>
    <n v="0.83333333333333337"/>
    <n v="16.5"/>
    <n v="0.75"/>
    <x v="0"/>
    <n v="8"/>
    <x v="1"/>
  </r>
  <r>
    <s v="00064"/>
    <n v="5"/>
    <n v="4.5"/>
    <n v="2"/>
    <n v="4"/>
    <n v="1.5"/>
    <x v="4"/>
    <x v="3"/>
    <n v="9"/>
    <x v="1"/>
    <n v="1"/>
    <n v="0.9"/>
    <n v="0.4"/>
    <n v="1"/>
    <n v="0.5"/>
    <n v="17"/>
    <n v="0.77272727272727271"/>
    <x v="0"/>
    <n v="9"/>
    <x v="2"/>
  </r>
  <r>
    <s v="00376"/>
    <n v="5"/>
    <n v="4"/>
    <n v="1.5"/>
    <n v="3"/>
    <n v="0.5"/>
    <x v="4"/>
    <x v="3"/>
    <n v="7"/>
    <x v="1"/>
    <n v="1"/>
    <n v="0.8"/>
    <n v="0.3"/>
    <n v="0.75"/>
    <n v="0.16666666666666666"/>
    <n v="14"/>
    <n v="0.63636363636363635"/>
    <x v="1"/>
    <n v="9"/>
    <x v="2"/>
  </r>
  <r>
    <s v="00201"/>
    <n v="3.5"/>
    <n v="5"/>
    <n v="2.5"/>
    <n v="4"/>
    <n v="3"/>
    <x v="4"/>
    <x v="3"/>
    <n v="6"/>
    <x v="1"/>
    <n v="0.7"/>
    <n v="1"/>
    <n v="0.5"/>
    <n v="1"/>
    <n v="1"/>
    <n v="18"/>
    <n v="0.81818181818181823"/>
    <x v="3"/>
    <n v="9"/>
    <x v="2"/>
  </r>
  <r>
    <s v="00246"/>
    <n v="2"/>
    <n v="3.5"/>
    <n v="2.5"/>
    <n v="2.5"/>
    <n v="1"/>
    <x v="4"/>
    <x v="3"/>
    <n v="18"/>
    <x v="4"/>
    <n v="0.4"/>
    <n v="0.7"/>
    <n v="0.5"/>
    <n v="0.625"/>
    <n v="0.33333333333333331"/>
    <n v="11.5"/>
    <n v="0.52272727272727271"/>
    <x v="1"/>
    <n v="9"/>
    <x v="2"/>
  </r>
  <r>
    <s v="00398"/>
    <n v="5"/>
    <n v="4"/>
    <n v="5"/>
    <n v="0.5"/>
    <n v="3"/>
    <x v="4"/>
    <x v="3"/>
    <n v="8"/>
    <x v="1"/>
    <n v="1"/>
    <n v="0.8"/>
    <n v="1"/>
    <n v="0.125"/>
    <n v="1"/>
    <n v="17.5"/>
    <n v="0.79545454545454541"/>
    <x v="0"/>
    <n v="10"/>
    <x v="2"/>
  </r>
  <r>
    <s v="00060"/>
    <n v="4.5"/>
    <n v="2"/>
    <n v="3"/>
    <n v="4"/>
    <n v="1"/>
    <x v="4"/>
    <x v="3"/>
    <n v="11"/>
    <x v="2"/>
    <n v="0.9"/>
    <n v="0.4"/>
    <n v="0.6"/>
    <n v="1"/>
    <n v="0.33333333333333331"/>
    <n v="14.5"/>
    <n v="0.65909090909090906"/>
    <x v="0"/>
    <n v="10"/>
    <x v="2"/>
  </r>
  <r>
    <s v="00538"/>
    <n v="4"/>
    <n v="3.5"/>
    <n v="1.5"/>
    <n v="1.5"/>
    <n v="0.5"/>
    <x v="5"/>
    <x v="3"/>
    <n v="6"/>
    <x v="1"/>
    <n v="0.8"/>
    <n v="0.7"/>
    <n v="0.3"/>
    <n v="0.375"/>
    <n v="0.16666666666666666"/>
    <n v="11"/>
    <n v="0.5"/>
    <x v="1"/>
    <n v="3"/>
    <x v="0"/>
  </r>
  <r>
    <s v="00192"/>
    <n v="3.5"/>
    <n v="4.5"/>
    <n v="2"/>
    <n v="3"/>
    <n v="2"/>
    <x v="7"/>
    <x v="3"/>
    <n v="14"/>
    <x v="2"/>
    <n v="0.7"/>
    <n v="0.9"/>
    <n v="0.4"/>
    <n v="0.75"/>
    <n v="0.66666666666666663"/>
    <n v="15"/>
    <n v="0.68181818181818177"/>
    <x v="0"/>
    <n v="9"/>
    <x v="2"/>
  </r>
  <r>
    <s v="00552"/>
    <n v="5"/>
    <n v="4.5"/>
    <n v="3"/>
    <n v="1"/>
    <n v="2.5"/>
    <x v="5"/>
    <x v="3"/>
    <n v="7"/>
    <x v="1"/>
    <n v="1"/>
    <n v="0.9"/>
    <n v="0.6"/>
    <n v="0.25"/>
    <n v="0.83333333333333337"/>
    <n v="16"/>
    <n v="0.72727272727272729"/>
    <x v="0"/>
    <n v="10"/>
    <x v="2"/>
  </r>
  <r>
    <s v="00284"/>
    <n v="3.5"/>
    <n v="4.5"/>
    <n v="3.5"/>
    <n v="1.5"/>
    <n v="0"/>
    <x v="5"/>
    <x v="3"/>
    <n v="6"/>
    <x v="1"/>
    <n v="0.7"/>
    <n v="0.9"/>
    <n v="0.7"/>
    <n v="0.375"/>
    <n v="0"/>
    <n v="13"/>
    <n v="0.59090909090909094"/>
    <x v="1"/>
    <n v="9"/>
    <x v="2"/>
  </r>
  <r>
    <s v="00166"/>
    <n v="5"/>
    <n v="4.5"/>
    <n v="2.5"/>
    <n v="2"/>
    <n v="3"/>
    <x v="11"/>
    <x v="3"/>
    <n v="6"/>
    <x v="1"/>
    <n v="1"/>
    <n v="0.9"/>
    <n v="0.5"/>
    <n v="0.5"/>
    <n v="1"/>
    <n v="17"/>
    <n v="0.77272727272727271"/>
    <x v="0"/>
    <n v="1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6">
  <r>
    <n v="2"/>
    <n v="1"/>
    <x v="0"/>
    <s v="Video"/>
    <n v="4"/>
    <n v="4"/>
    <n v="0"/>
    <x v="0"/>
    <x v="0"/>
  </r>
  <r>
    <n v="2"/>
    <n v="2"/>
    <x v="1"/>
    <s v="Text"/>
    <n v="15"/>
    <n v="18"/>
    <n v="0.19999999999999996"/>
    <x v="0"/>
    <x v="1"/>
  </r>
  <r>
    <n v="2"/>
    <n v="3"/>
    <x v="2"/>
    <s v="Übung"/>
    <n v="30"/>
    <n v="29"/>
    <n v="-3.3333333333333326E-2"/>
    <x v="0"/>
    <x v="1"/>
  </r>
  <r>
    <n v="2"/>
    <n v="4"/>
    <x v="3"/>
    <s v="Übung"/>
    <n v="30"/>
    <n v="30"/>
    <n v="0"/>
    <x v="0"/>
    <x v="2"/>
  </r>
  <r>
    <n v="2"/>
    <n v="5"/>
    <x v="4"/>
    <s v="Übung"/>
    <n v="30"/>
    <n v="41"/>
    <n v="0.3666666666666667"/>
    <x v="1"/>
    <x v="2"/>
  </r>
  <r>
    <n v="2"/>
    <n v="6"/>
    <x v="5"/>
    <s v="Handout"/>
    <n v="5"/>
    <n v="1"/>
    <n v="-0.8"/>
    <x v="2"/>
    <x v="1"/>
  </r>
  <r>
    <n v="2"/>
    <n v="7"/>
    <x v="6"/>
    <s v="Quiz"/>
    <n v="10"/>
    <n v="10"/>
    <n v="0"/>
    <x v="0"/>
    <x v="3"/>
  </r>
  <r>
    <n v="2"/>
    <n v="8"/>
    <x v="7"/>
    <s v="Video"/>
    <n v="5"/>
    <n v="5"/>
    <n v="0"/>
    <x v="0"/>
    <x v="0"/>
  </r>
  <r>
    <n v="3"/>
    <n v="1"/>
    <x v="0"/>
    <s v="Video"/>
    <n v="4"/>
    <n v="5"/>
    <n v="0.25"/>
    <x v="0"/>
    <x v="0"/>
  </r>
  <r>
    <n v="3"/>
    <n v="2"/>
    <x v="1"/>
    <s v="Text"/>
    <n v="15"/>
    <n v="16"/>
    <n v="6.6666666666666652E-2"/>
    <x v="0"/>
    <x v="0"/>
  </r>
  <r>
    <n v="3"/>
    <n v="3"/>
    <x v="2"/>
    <s v="Übung"/>
    <n v="30"/>
    <n v="28"/>
    <n v="-6.6666666666666652E-2"/>
    <x v="0"/>
    <x v="1"/>
  </r>
  <r>
    <n v="3"/>
    <n v="4"/>
    <x v="3"/>
    <s v="Übung"/>
    <n v="30"/>
    <n v="21"/>
    <n v="-0.30000000000000004"/>
    <x v="0"/>
    <x v="3"/>
  </r>
  <r>
    <n v="3"/>
    <n v="5"/>
    <x v="4"/>
    <s v="Übung"/>
    <n v="30"/>
    <n v="38"/>
    <n v="0.26666666666666661"/>
    <x v="0"/>
    <x v="3"/>
  </r>
  <r>
    <n v="3"/>
    <n v="6"/>
    <x v="5"/>
    <s v="Handout"/>
    <n v="5"/>
    <n v="3"/>
    <n v="-0.4"/>
    <x v="2"/>
    <x v="1"/>
  </r>
  <r>
    <n v="3"/>
    <n v="7"/>
    <x v="6"/>
    <s v="Quiz"/>
    <n v="10"/>
    <n v="10"/>
    <n v="0"/>
    <x v="0"/>
    <x v="3"/>
  </r>
  <r>
    <n v="3"/>
    <n v="8"/>
    <x v="7"/>
    <s v="Video"/>
    <n v="5"/>
    <n v="5"/>
    <n v="0"/>
    <x v="0"/>
    <x v="0"/>
  </r>
  <r>
    <n v="4"/>
    <n v="1"/>
    <x v="0"/>
    <s v="Video"/>
    <n v="4"/>
    <n v="4"/>
    <n v="0"/>
    <x v="0"/>
    <x v="0"/>
  </r>
  <r>
    <n v="4"/>
    <n v="2"/>
    <x v="1"/>
    <s v="Text"/>
    <n v="15"/>
    <n v="15"/>
    <n v="0"/>
    <x v="0"/>
    <x v="1"/>
  </r>
  <r>
    <n v="4"/>
    <n v="3"/>
    <x v="2"/>
    <s v="Übung"/>
    <n v="30"/>
    <n v="30"/>
    <n v="0"/>
    <x v="0"/>
    <x v="1"/>
  </r>
  <r>
    <n v="4"/>
    <n v="4"/>
    <x v="3"/>
    <s v="Übung"/>
    <n v="30"/>
    <n v="19"/>
    <n v="-0.3666666666666667"/>
    <x v="2"/>
    <x v="3"/>
  </r>
  <r>
    <n v="4"/>
    <n v="5"/>
    <x v="4"/>
    <s v="Übung"/>
    <n v="30"/>
    <n v="45"/>
    <n v="0.5"/>
    <x v="1"/>
    <x v="3"/>
  </r>
  <r>
    <n v="4"/>
    <n v="6"/>
    <x v="5"/>
    <s v="Handout"/>
    <n v="5"/>
    <n v="1"/>
    <n v="-0.8"/>
    <x v="2"/>
    <x v="1"/>
  </r>
  <r>
    <n v="4"/>
    <n v="7"/>
    <x v="6"/>
    <s v="Quiz"/>
    <n v="10"/>
    <n v="9"/>
    <n v="-9.9999999999999978E-2"/>
    <x v="0"/>
    <x v="3"/>
  </r>
  <r>
    <n v="4"/>
    <n v="8"/>
    <x v="7"/>
    <s v="Video"/>
    <n v="5"/>
    <n v="5"/>
    <n v="0"/>
    <x v="0"/>
    <x v="0"/>
  </r>
  <r>
    <n v="5"/>
    <n v="1"/>
    <x v="0"/>
    <s v="Video"/>
    <n v="4"/>
    <n v="6"/>
    <n v="0.5"/>
    <x v="1"/>
    <x v="0"/>
  </r>
  <r>
    <n v="5"/>
    <n v="2"/>
    <x v="1"/>
    <s v="Text"/>
    <n v="15"/>
    <n v="18"/>
    <n v="0.19999999999999996"/>
    <x v="0"/>
    <x v="0"/>
  </r>
  <r>
    <n v="5"/>
    <n v="3"/>
    <x v="2"/>
    <s v="Übung"/>
    <n v="30"/>
    <n v="27"/>
    <n v="-9.9999999999999978E-2"/>
    <x v="0"/>
    <x v="3"/>
  </r>
  <r>
    <n v="5"/>
    <n v="4"/>
    <x v="3"/>
    <s v="Übung"/>
    <n v="30"/>
    <n v="33"/>
    <n v="0.10000000000000009"/>
    <x v="0"/>
    <x v="3"/>
  </r>
  <r>
    <n v="5"/>
    <n v="5"/>
    <x v="4"/>
    <s v="Übung"/>
    <n v="30"/>
    <n v="55"/>
    <n v="0.83333333333333326"/>
    <x v="3"/>
    <x v="2"/>
  </r>
  <r>
    <n v="5"/>
    <n v="6"/>
    <x v="5"/>
    <s v="Handout"/>
    <n v="5"/>
    <n v="2"/>
    <n v="-0.6"/>
    <x v="2"/>
    <x v="1"/>
  </r>
  <r>
    <n v="5"/>
    <n v="7"/>
    <x v="6"/>
    <s v="Quiz"/>
    <n v="10"/>
    <n v="9"/>
    <n v="-9.9999999999999978E-2"/>
    <x v="0"/>
    <x v="2"/>
  </r>
  <r>
    <n v="5"/>
    <n v="8"/>
    <x v="7"/>
    <s v="Video"/>
    <n v="5"/>
    <n v="5"/>
    <n v="0"/>
    <x v="0"/>
    <x v="0"/>
  </r>
  <r>
    <n v="7"/>
    <n v="1"/>
    <x v="0"/>
    <s v="Video"/>
    <n v="4"/>
    <n v="5"/>
    <n v="0.25"/>
    <x v="0"/>
    <x v="0"/>
  </r>
  <r>
    <n v="7"/>
    <n v="2"/>
    <x v="1"/>
    <s v="Text"/>
    <n v="15"/>
    <n v="18"/>
    <n v="0.19999999999999996"/>
    <x v="0"/>
    <x v="1"/>
  </r>
  <r>
    <n v="7"/>
    <n v="3"/>
    <x v="2"/>
    <s v="Übung"/>
    <n v="30"/>
    <n v="28"/>
    <n v="-6.6666666666666652E-2"/>
    <x v="0"/>
    <x v="1"/>
  </r>
  <r>
    <n v="7"/>
    <n v="4"/>
    <x v="3"/>
    <s v="Übung"/>
    <n v="30"/>
    <n v="21"/>
    <n v="-0.30000000000000004"/>
    <x v="0"/>
    <x v="2"/>
  </r>
  <r>
    <n v="7"/>
    <n v="5"/>
    <x v="4"/>
    <s v="Übung"/>
    <n v="30"/>
    <n v="51"/>
    <n v="0.7"/>
    <x v="3"/>
    <x v="3"/>
  </r>
  <r>
    <n v="7"/>
    <n v="6"/>
    <x v="5"/>
    <s v="Handout"/>
    <n v="5"/>
    <n v="2"/>
    <n v="-0.6"/>
    <x v="2"/>
    <x v="0"/>
  </r>
  <r>
    <n v="7"/>
    <n v="7"/>
    <x v="6"/>
    <s v="Quiz"/>
    <n v="10"/>
    <n v="10"/>
    <n v="0"/>
    <x v="0"/>
    <x v="3"/>
  </r>
  <r>
    <n v="7"/>
    <n v="8"/>
    <x v="7"/>
    <s v="Video"/>
    <n v="5"/>
    <n v="5"/>
    <n v="0"/>
    <x v="0"/>
    <x v="1"/>
  </r>
  <r>
    <n v="8"/>
    <n v="1"/>
    <x v="0"/>
    <s v="Video"/>
    <n v="4"/>
    <n v="4"/>
    <n v="0"/>
    <x v="0"/>
    <x v="0"/>
  </r>
  <r>
    <n v="8"/>
    <n v="2"/>
    <x v="1"/>
    <s v="Text"/>
    <n v="15"/>
    <n v="15"/>
    <n v="0"/>
    <x v="0"/>
    <x v="1"/>
  </r>
  <r>
    <n v="8"/>
    <n v="3"/>
    <x v="2"/>
    <s v="Übung"/>
    <n v="30"/>
    <n v="30"/>
    <n v="0"/>
    <x v="0"/>
    <x v="3"/>
  </r>
  <r>
    <n v="8"/>
    <n v="4"/>
    <x v="3"/>
    <s v="Übung"/>
    <n v="30"/>
    <n v="28"/>
    <n v="-6.6666666666666652E-2"/>
    <x v="0"/>
    <x v="1"/>
  </r>
  <r>
    <n v="8"/>
    <n v="5"/>
    <x v="4"/>
    <s v="Übung"/>
    <n v="30"/>
    <n v="45"/>
    <n v="0.5"/>
    <x v="1"/>
    <x v="3"/>
  </r>
  <r>
    <n v="8"/>
    <n v="6"/>
    <x v="5"/>
    <s v="Handout"/>
    <n v="5"/>
    <n v="3"/>
    <n v="-0.4"/>
    <x v="2"/>
    <x v="1"/>
  </r>
  <r>
    <n v="8"/>
    <n v="7"/>
    <x v="6"/>
    <s v="Quiz"/>
    <n v="10"/>
    <n v="9"/>
    <n v="-9.9999999999999978E-2"/>
    <x v="0"/>
    <x v="2"/>
  </r>
  <r>
    <n v="8"/>
    <n v="8"/>
    <x v="7"/>
    <s v="Video"/>
    <n v="5"/>
    <n v="7"/>
    <n v="0.39999999999999991"/>
    <x v="1"/>
    <x v="0"/>
  </r>
  <r>
    <n v="9"/>
    <n v="1"/>
    <x v="0"/>
    <s v="Video"/>
    <n v="4"/>
    <n v="4"/>
    <n v="0"/>
    <x v="0"/>
    <x v="0"/>
  </r>
  <r>
    <n v="9"/>
    <n v="2"/>
    <x v="1"/>
    <s v="Text"/>
    <n v="15"/>
    <n v="15"/>
    <n v="0"/>
    <x v="0"/>
    <x v="0"/>
  </r>
  <r>
    <n v="9"/>
    <n v="3"/>
    <x v="2"/>
    <s v="Übung"/>
    <n v="30"/>
    <n v="28"/>
    <n v="-6.6666666666666652E-2"/>
    <x v="0"/>
    <x v="2"/>
  </r>
  <r>
    <n v="9"/>
    <n v="4"/>
    <x v="3"/>
    <s v="Übung"/>
    <n v="30"/>
    <n v="31"/>
    <n v="3.3333333333333437E-2"/>
    <x v="0"/>
    <x v="2"/>
  </r>
  <r>
    <n v="9"/>
    <n v="5"/>
    <x v="4"/>
    <s v="Übung"/>
    <n v="30"/>
    <n v="48"/>
    <n v="0.60000000000000009"/>
    <x v="1"/>
    <x v="2"/>
  </r>
  <r>
    <n v="9"/>
    <n v="6"/>
    <x v="5"/>
    <s v="Handout"/>
    <n v="5"/>
    <n v="2"/>
    <n v="-0.6"/>
    <x v="2"/>
    <x v="1"/>
  </r>
  <r>
    <n v="9"/>
    <n v="7"/>
    <x v="6"/>
    <s v="Quiz"/>
    <n v="10"/>
    <n v="8"/>
    <n v="-0.19999999999999996"/>
    <x v="0"/>
    <x v="2"/>
  </r>
  <r>
    <n v="9"/>
    <n v="8"/>
    <x v="7"/>
    <s v="Video"/>
    <n v="5"/>
    <n v="5"/>
    <n v="0"/>
    <x v="0"/>
    <x v="0"/>
  </r>
  <r>
    <n v="10"/>
    <n v="1"/>
    <x v="0"/>
    <s v="Video"/>
    <n v="4"/>
    <n v="4"/>
    <n v="0"/>
    <x v="0"/>
    <x v="0"/>
  </r>
  <r>
    <n v="10"/>
    <n v="2"/>
    <x v="1"/>
    <s v="Text"/>
    <n v="15"/>
    <n v="19"/>
    <n v="0.26666666666666661"/>
    <x v="0"/>
    <x v="1"/>
  </r>
  <r>
    <n v="10"/>
    <n v="3"/>
    <x v="2"/>
    <s v="Übung"/>
    <n v="30"/>
    <n v="30"/>
    <n v="0"/>
    <x v="0"/>
    <x v="1"/>
  </r>
  <r>
    <n v="10"/>
    <n v="4"/>
    <x v="3"/>
    <s v="Übung"/>
    <n v="30"/>
    <n v="22"/>
    <n v="-0.26666666666666672"/>
    <x v="0"/>
    <x v="3"/>
  </r>
  <r>
    <n v="10"/>
    <n v="5"/>
    <x v="4"/>
    <s v="Übung"/>
    <n v="30"/>
    <n v="46"/>
    <n v="0.53333333333333344"/>
    <x v="1"/>
    <x v="2"/>
  </r>
  <r>
    <n v="10"/>
    <n v="6"/>
    <x v="5"/>
    <s v="Handout"/>
    <n v="5"/>
    <n v="2"/>
    <n v="-0.6"/>
    <x v="2"/>
    <x v="1"/>
  </r>
  <r>
    <n v="10"/>
    <n v="7"/>
    <x v="6"/>
    <s v="Quiz"/>
    <n v="10"/>
    <n v="10"/>
    <n v="0"/>
    <x v="0"/>
    <x v="3"/>
  </r>
  <r>
    <n v="10"/>
    <n v="8"/>
    <x v="7"/>
    <s v="Video"/>
    <n v="5"/>
    <n v="5"/>
    <n v="0"/>
    <x v="0"/>
    <x v="0"/>
  </r>
  <r>
    <n v="11"/>
    <n v="1"/>
    <x v="0"/>
    <s v="Video"/>
    <n v="4"/>
    <n v="4"/>
    <n v="0"/>
    <x v="0"/>
    <x v="0"/>
  </r>
  <r>
    <n v="11"/>
    <n v="2"/>
    <x v="1"/>
    <s v="Text"/>
    <n v="15"/>
    <n v="16"/>
    <n v="6.6666666666666652E-2"/>
    <x v="0"/>
    <x v="0"/>
  </r>
  <r>
    <n v="11"/>
    <n v="3"/>
    <x v="2"/>
    <s v="Übung"/>
    <n v="30"/>
    <n v="29"/>
    <n v="-3.3333333333333326E-2"/>
    <x v="0"/>
    <x v="1"/>
  </r>
  <r>
    <n v="11"/>
    <n v="4"/>
    <x v="3"/>
    <s v="Übung"/>
    <n v="30"/>
    <n v="36"/>
    <n v="0.19999999999999996"/>
    <x v="0"/>
    <x v="2"/>
  </r>
  <r>
    <n v="11"/>
    <n v="5"/>
    <x v="4"/>
    <s v="Übung"/>
    <n v="30"/>
    <n v="51"/>
    <n v="0.7"/>
    <x v="3"/>
    <x v="2"/>
  </r>
  <r>
    <n v="11"/>
    <n v="6"/>
    <x v="5"/>
    <s v="Handout"/>
    <n v="5"/>
    <n v="1"/>
    <n v="-0.8"/>
    <x v="2"/>
    <x v="1"/>
  </r>
  <r>
    <n v="11"/>
    <n v="7"/>
    <x v="6"/>
    <s v="Quiz"/>
    <n v="10"/>
    <n v="9"/>
    <n v="-9.9999999999999978E-2"/>
    <x v="0"/>
    <x v="3"/>
  </r>
  <r>
    <n v="11"/>
    <n v="8"/>
    <x v="7"/>
    <s v="Video"/>
    <n v="5"/>
    <n v="5"/>
    <n v="0"/>
    <x v="0"/>
    <x v="0"/>
  </r>
  <r>
    <n v="12"/>
    <n v="1"/>
    <x v="0"/>
    <s v="Video"/>
    <n v="4"/>
    <n v="6"/>
    <n v="0.5"/>
    <x v="1"/>
    <x v="0"/>
  </r>
  <r>
    <n v="12"/>
    <n v="2"/>
    <x v="1"/>
    <s v="Text"/>
    <n v="15"/>
    <n v="15"/>
    <n v="0"/>
    <x v="0"/>
    <x v="0"/>
  </r>
  <r>
    <n v="12"/>
    <n v="3"/>
    <x v="2"/>
    <s v="Übung"/>
    <n v="30"/>
    <n v="28"/>
    <n v="-6.6666666666666652E-2"/>
    <x v="0"/>
    <x v="1"/>
  </r>
  <r>
    <n v="12"/>
    <n v="4"/>
    <x v="3"/>
    <s v="Übung"/>
    <n v="30"/>
    <n v="32"/>
    <n v="6.6666666666666652E-2"/>
    <x v="0"/>
    <x v="3"/>
  </r>
  <r>
    <n v="12"/>
    <n v="5"/>
    <x v="4"/>
    <s v="Übung"/>
    <n v="30"/>
    <n v="47"/>
    <n v="0.56666666666666665"/>
    <x v="1"/>
    <x v="2"/>
  </r>
  <r>
    <n v="12"/>
    <n v="6"/>
    <x v="5"/>
    <s v="Handout"/>
    <n v="5"/>
    <n v="2"/>
    <n v="-0.6"/>
    <x v="2"/>
    <x v="0"/>
  </r>
  <r>
    <n v="12"/>
    <n v="7"/>
    <x v="6"/>
    <s v="Quiz"/>
    <n v="10"/>
    <n v="8"/>
    <n v="-0.19999999999999996"/>
    <x v="0"/>
    <x v="3"/>
  </r>
  <r>
    <n v="12"/>
    <n v="8"/>
    <x v="7"/>
    <s v="Video"/>
    <n v="5"/>
    <n v="5"/>
    <n v="0"/>
    <x v="0"/>
    <x v="0"/>
  </r>
  <r>
    <n v="13"/>
    <n v="1"/>
    <x v="0"/>
    <s v="Video"/>
    <n v="4"/>
    <n v="4"/>
    <n v="0"/>
    <x v="0"/>
    <x v="0"/>
  </r>
  <r>
    <n v="13"/>
    <n v="2"/>
    <x v="1"/>
    <s v="Text"/>
    <n v="15"/>
    <n v="20"/>
    <n v="0.33333333333333326"/>
    <x v="1"/>
    <x v="1"/>
  </r>
  <r>
    <n v="13"/>
    <n v="3"/>
    <x v="2"/>
    <s v="Übung"/>
    <n v="30"/>
    <n v="29"/>
    <n v="-3.3333333333333326E-2"/>
    <x v="0"/>
    <x v="1"/>
  </r>
  <r>
    <n v="13"/>
    <n v="4"/>
    <x v="3"/>
    <s v="Übung"/>
    <n v="30"/>
    <n v="22"/>
    <n v="-0.26666666666666672"/>
    <x v="0"/>
    <x v="3"/>
  </r>
  <r>
    <n v="13"/>
    <n v="5"/>
    <x v="4"/>
    <s v="Übung"/>
    <n v="30"/>
    <n v="47"/>
    <n v="0.56666666666666665"/>
    <x v="1"/>
    <x v="2"/>
  </r>
  <r>
    <n v="13"/>
    <n v="6"/>
    <x v="5"/>
    <s v="Handout"/>
    <n v="5"/>
    <n v="3"/>
    <n v="-0.4"/>
    <x v="2"/>
    <x v="3"/>
  </r>
  <r>
    <n v="13"/>
    <n v="7"/>
    <x v="6"/>
    <s v="Quiz"/>
    <n v="10"/>
    <n v="10"/>
    <n v="0"/>
    <x v="0"/>
    <x v="3"/>
  </r>
  <r>
    <n v="13"/>
    <n v="8"/>
    <x v="7"/>
    <s v="Video"/>
    <n v="5"/>
    <n v="5"/>
    <n v="0"/>
    <x v="0"/>
    <x v="0"/>
  </r>
  <r>
    <n v="14"/>
    <n v="1"/>
    <x v="0"/>
    <s v="Video"/>
    <n v="4"/>
    <n v="7"/>
    <n v="0.75"/>
    <x v="3"/>
    <x v="0"/>
  </r>
  <r>
    <n v="14"/>
    <n v="2"/>
    <x v="1"/>
    <s v="Text"/>
    <n v="15"/>
    <n v="18"/>
    <n v="0.19999999999999996"/>
    <x v="0"/>
    <x v="1"/>
  </r>
  <r>
    <n v="14"/>
    <n v="3"/>
    <x v="2"/>
    <s v="Übung"/>
    <n v="30"/>
    <n v="29"/>
    <n v="-3.3333333333333326E-2"/>
    <x v="0"/>
    <x v="1"/>
  </r>
  <r>
    <n v="14"/>
    <n v="4"/>
    <x v="3"/>
    <s v="Übung"/>
    <n v="30"/>
    <n v="33"/>
    <n v="0.10000000000000009"/>
    <x v="0"/>
    <x v="3"/>
  </r>
  <r>
    <n v="14"/>
    <n v="5"/>
    <x v="4"/>
    <s v="Übung"/>
    <n v="30"/>
    <n v="44"/>
    <n v="0.46666666666666656"/>
    <x v="1"/>
    <x v="3"/>
  </r>
  <r>
    <n v="14"/>
    <n v="6"/>
    <x v="5"/>
    <s v="Handout"/>
    <n v="5"/>
    <n v="1"/>
    <n v="-0.8"/>
    <x v="2"/>
    <x v="0"/>
  </r>
  <r>
    <n v="14"/>
    <n v="7"/>
    <x v="6"/>
    <s v="Quiz"/>
    <n v="10"/>
    <n v="8"/>
    <n v="-0.19999999999999996"/>
    <x v="0"/>
    <x v="2"/>
  </r>
  <r>
    <n v="14"/>
    <n v="8"/>
    <x v="7"/>
    <s v="Video"/>
    <n v="5"/>
    <n v="7"/>
    <n v="0.39999999999999991"/>
    <x v="1"/>
    <x v="0"/>
  </r>
  <r>
    <n v="15"/>
    <n v="1"/>
    <x v="0"/>
    <s v="Video"/>
    <n v="4"/>
    <n v="4"/>
    <n v="0"/>
    <x v="0"/>
    <x v="0"/>
  </r>
  <r>
    <n v="15"/>
    <n v="2"/>
    <x v="1"/>
    <s v="Text"/>
    <n v="15"/>
    <n v="16"/>
    <n v="6.6666666666666652E-2"/>
    <x v="0"/>
    <x v="0"/>
  </r>
  <r>
    <n v="15"/>
    <n v="3"/>
    <x v="2"/>
    <s v="Übung"/>
    <n v="30"/>
    <n v="28"/>
    <n v="-6.6666666666666652E-2"/>
    <x v="0"/>
    <x v="1"/>
  </r>
  <r>
    <n v="15"/>
    <n v="4"/>
    <x v="3"/>
    <s v="Übung"/>
    <n v="30"/>
    <n v="35"/>
    <n v="0.16666666666666674"/>
    <x v="0"/>
    <x v="1"/>
  </r>
  <r>
    <n v="15"/>
    <n v="5"/>
    <x v="4"/>
    <s v="Übung"/>
    <n v="30"/>
    <n v="45"/>
    <n v="0.5"/>
    <x v="1"/>
    <x v="2"/>
  </r>
  <r>
    <n v="15"/>
    <n v="6"/>
    <x v="5"/>
    <s v="Handout"/>
    <n v="5"/>
    <n v="2"/>
    <n v="-0.6"/>
    <x v="2"/>
    <x v="1"/>
  </r>
  <r>
    <n v="15"/>
    <n v="7"/>
    <x v="6"/>
    <s v="Quiz"/>
    <n v="10"/>
    <n v="10"/>
    <n v="0"/>
    <x v="0"/>
    <x v="3"/>
  </r>
  <r>
    <n v="15"/>
    <n v="8"/>
    <x v="7"/>
    <s v="Video"/>
    <n v="5"/>
    <n v="5"/>
    <n v="0"/>
    <x v="0"/>
    <x v="0"/>
  </r>
  <r>
    <n v="16"/>
    <n v="1"/>
    <x v="0"/>
    <s v="Video"/>
    <n v="4"/>
    <n v="4"/>
    <n v="0"/>
    <x v="0"/>
    <x v="0"/>
  </r>
  <r>
    <n v="16"/>
    <n v="2"/>
    <x v="1"/>
    <s v="Text"/>
    <n v="15"/>
    <n v="22"/>
    <n v="0.46666666666666656"/>
    <x v="1"/>
    <x v="0"/>
  </r>
  <r>
    <n v="16"/>
    <n v="3"/>
    <x v="2"/>
    <s v="Übung"/>
    <n v="30"/>
    <n v="28"/>
    <n v="-6.6666666666666652E-2"/>
    <x v="0"/>
    <x v="2"/>
  </r>
  <r>
    <n v="16"/>
    <n v="4"/>
    <x v="3"/>
    <s v="Übung"/>
    <n v="30"/>
    <n v="20"/>
    <n v="-0.33333333333333337"/>
    <x v="2"/>
    <x v="1"/>
  </r>
  <r>
    <n v="16"/>
    <n v="5"/>
    <x v="4"/>
    <s v="Übung"/>
    <n v="30"/>
    <n v="51"/>
    <n v="0.7"/>
    <x v="3"/>
    <x v="3"/>
  </r>
  <r>
    <n v="16"/>
    <n v="6"/>
    <x v="5"/>
    <s v="Handout"/>
    <n v="5"/>
    <n v="1"/>
    <n v="-0.8"/>
    <x v="2"/>
    <x v="1"/>
  </r>
  <r>
    <n v="16"/>
    <n v="7"/>
    <x v="6"/>
    <s v="Quiz"/>
    <n v="10"/>
    <n v="9"/>
    <n v="-9.9999999999999978E-2"/>
    <x v="0"/>
    <x v="3"/>
  </r>
  <r>
    <n v="16"/>
    <n v="8"/>
    <x v="7"/>
    <s v="Video"/>
    <n v="5"/>
    <n v="5"/>
    <n v="0"/>
    <x v="0"/>
    <x v="0"/>
  </r>
  <r>
    <n v="17"/>
    <n v="1"/>
    <x v="0"/>
    <s v="Video"/>
    <n v="4"/>
    <n v="4"/>
    <n v="0"/>
    <x v="0"/>
    <x v="0"/>
  </r>
  <r>
    <n v="17"/>
    <n v="2"/>
    <x v="1"/>
    <s v="Text"/>
    <n v="15"/>
    <n v="17"/>
    <n v="0.1333333333333333"/>
    <x v="0"/>
    <x v="1"/>
  </r>
  <r>
    <n v="17"/>
    <n v="3"/>
    <x v="2"/>
    <s v="Übung"/>
    <n v="30"/>
    <n v="27"/>
    <n v="-9.9999999999999978E-2"/>
    <x v="0"/>
    <x v="1"/>
  </r>
  <r>
    <n v="17"/>
    <n v="4"/>
    <x v="3"/>
    <s v="Übung"/>
    <n v="30"/>
    <n v="24"/>
    <n v="-0.19999999999999996"/>
    <x v="0"/>
    <x v="3"/>
  </r>
  <r>
    <n v="17"/>
    <n v="5"/>
    <x v="4"/>
    <s v="Übung"/>
    <n v="30"/>
    <n v="37"/>
    <n v="0.23333333333333339"/>
    <x v="0"/>
    <x v="3"/>
  </r>
  <r>
    <n v="17"/>
    <n v="6"/>
    <x v="5"/>
    <s v="Handout"/>
    <n v="5"/>
    <n v="1"/>
    <n v="-0.8"/>
    <x v="2"/>
    <x v="1"/>
  </r>
  <r>
    <n v="17"/>
    <n v="7"/>
    <x v="6"/>
    <s v="Quiz"/>
    <n v="10"/>
    <n v="10"/>
    <n v="0"/>
    <x v="0"/>
    <x v="3"/>
  </r>
  <r>
    <n v="17"/>
    <n v="8"/>
    <x v="7"/>
    <s v="Video"/>
    <n v="5"/>
    <n v="5"/>
    <n v="0"/>
    <x v="0"/>
    <x v="0"/>
  </r>
  <r>
    <n v="18"/>
    <n v="1"/>
    <x v="0"/>
    <s v="Video"/>
    <n v="4"/>
    <n v="4"/>
    <n v="0"/>
    <x v="0"/>
    <x v="0"/>
  </r>
  <r>
    <n v="18"/>
    <n v="2"/>
    <x v="1"/>
    <s v="Text"/>
    <n v="15"/>
    <n v="18"/>
    <n v="0.19999999999999996"/>
    <x v="0"/>
    <x v="0"/>
  </r>
  <r>
    <n v="18"/>
    <n v="3"/>
    <x v="2"/>
    <s v="Übung"/>
    <n v="30"/>
    <n v="28"/>
    <n v="-6.6666666666666652E-2"/>
    <x v="0"/>
    <x v="1"/>
  </r>
  <r>
    <n v="18"/>
    <n v="4"/>
    <x v="3"/>
    <s v="Übung"/>
    <n v="30"/>
    <n v="35"/>
    <n v="0.16666666666666674"/>
    <x v="0"/>
    <x v="3"/>
  </r>
  <r>
    <n v="18"/>
    <n v="5"/>
    <x v="4"/>
    <s v="Übung"/>
    <n v="30"/>
    <n v="38"/>
    <n v="0.26666666666666661"/>
    <x v="0"/>
    <x v="2"/>
  </r>
  <r>
    <n v="18"/>
    <n v="6"/>
    <x v="5"/>
    <s v="Handout"/>
    <n v="5"/>
    <n v="1"/>
    <n v="-0.8"/>
    <x v="2"/>
    <x v="1"/>
  </r>
  <r>
    <n v="18"/>
    <n v="7"/>
    <x v="6"/>
    <s v="Quiz"/>
    <n v="10"/>
    <n v="8"/>
    <n v="-0.19999999999999996"/>
    <x v="0"/>
    <x v="3"/>
  </r>
  <r>
    <n v="18"/>
    <n v="8"/>
    <x v="7"/>
    <s v="Video"/>
    <n v="5"/>
    <n v="5"/>
    <n v="0"/>
    <x v="0"/>
    <x v="0"/>
  </r>
  <r>
    <n v="20"/>
    <n v="1"/>
    <x v="0"/>
    <s v="Video"/>
    <n v="4"/>
    <n v="4"/>
    <n v="0"/>
    <x v="0"/>
    <x v="0"/>
  </r>
  <r>
    <n v="20"/>
    <n v="2"/>
    <x v="1"/>
    <s v="Text"/>
    <n v="15"/>
    <n v="19"/>
    <n v="0.26666666666666661"/>
    <x v="0"/>
    <x v="1"/>
  </r>
  <r>
    <n v="20"/>
    <n v="3"/>
    <x v="2"/>
    <s v="Übung"/>
    <n v="30"/>
    <n v="29"/>
    <n v="-3.3333333333333326E-2"/>
    <x v="0"/>
    <x v="1"/>
  </r>
  <r>
    <n v="20"/>
    <n v="4"/>
    <x v="3"/>
    <s v="Übung"/>
    <n v="30"/>
    <n v="24"/>
    <n v="-0.19999999999999996"/>
    <x v="0"/>
    <x v="3"/>
  </r>
  <r>
    <n v="20"/>
    <n v="5"/>
    <x v="4"/>
    <s v="Übung"/>
    <n v="30"/>
    <n v="45"/>
    <n v="0.5"/>
    <x v="1"/>
    <x v="3"/>
  </r>
  <r>
    <n v="20"/>
    <n v="6"/>
    <x v="5"/>
    <s v="Handout"/>
    <n v="5"/>
    <n v="2"/>
    <n v="-0.6"/>
    <x v="2"/>
    <x v="1"/>
  </r>
  <r>
    <n v="20"/>
    <n v="7"/>
    <x v="6"/>
    <s v="Quiz"/>
    <n v="10"/>
    <n v="10"/>
    <n v="0"/>
    <x v="0"/>
    <x v="3"/>
  </r>
  <r>
    <n v="20"/>
    <n v="8"/>
    <x v="7"/>
    <s v="Video"/>
    <n v="5"/>
    <n v="5"/>
    <n v="0"/>
    <x v="0"/>
    <x v="1"/>
  </r>
  <r>
    <n v="21"/>
    <n v="1"/>
    <x v="0"/>
    <s v="Video"/>
    <n v="4"/>
    <n v="5"/>
    <n v="0.25"/>
    <x v="0"/>
    <x v="0"/>
  </r>
  <r>
    <n v="21"/>
    <n v="2"/>
    <x v="1"/>
    <s v="Text"/>
    <n v="15"/>
    <n v="20"/>
    <n v="0.33333333333333326"/>
    <x v="1"/>
    <x v="1"/>
  </r>
  <r>
    <n v="21"/>
    <n v="3"/>
    <x v="2"/>
    <s v="Übung"/>
    <n v="30"/>
    <n v="38"/>
    <n v="0.26666666666666661"/>
    <x v="0"/>
    <x v="1"/>
  </r>
  <r>
    <n v="21"/>
    <n v="4"/>
    <x v="3"/>
    <s v="Übung"/>
    <n v="30"/>
    <n v="22"/>
    <n v="-0.26666666666666672"/>
    <x v="0"/>
    <x v="3"/>
  </r>
  <r>
    <n v="21"/>
    <n v="5"/>
    <x v="4"/>
    <s v="Übung"/>
    <n v="30"/>
    <n v="55"/>
    <n v="0.83333333333333326"/>
    <x v="3"/>
    <x v="2"/>
  </r>
  <r>
    <n v="21"/>
    <n v="6"/>
    <x v="5"/>
    <s v="Handout"/>
    <n v="5"/>
    <n v="2"/>
    <n v="-0.6"/>
    <x v="2"/>
    <x v="3"/>
  </r>
  <r>
    <n v="21"/>
    <n v="7"/>
    <x v="6"/>
    <s v="Quiz"/>
    <n v="10"/>
    <n v="8"/>
    <n v="-0.19999999999999996"/>
    <x v="0"/>
    <x v="3"/>
  </r>
  <r>
    <n v="21"/>
    <n v="8"/>
    <x v="7"/>
    <s v="Video"/>
    <n v="5"/>
    <n v="5"/>
    <n v="0"/>
    <x v="0"/>
    <x v="0"/>
  </r>
  <r>
    <n v="22"/>
    <n v="1"/>
    <x v="0"/>
    <s v="Video"/>
    <n v="4"/>
    <n v="4"/>
    <n v="0"/>
    <x v="0"/>
    <x v="0"/>
  </r>
  <r>
    <n v="22"/>
    <n v="2"/>
    <x v="1"/>
    <s v="Text"/>
    <n v="15"/>
    <n v="19"/>
    <n v="0.26666666666666661"/>
    <x v="0"/>
    <x v="0"/>
  </r>
  <r>
    <n v="22"/>
    <n v="3"/>
    <x v="2"/>
    <s v="Übung"/>
    <n v="30"/>
    <n v="29"/>
    <n v="-3.3333333333333326E-2"/>
    <x v="0"/>
    <x v="1"/>
  </r>
  <r>
    <n v="22"/>
    <n v="4"/>
    <x v="3"/>
    <s v="Übung"/>
    <n v="30"/>
    <n v="23"/>
    <n v="-0.23333333333333328"/>
    <x v="0"/>
    <x v="1"/>
  </r>
  <r>
    <n v="22"/>
    <n v="5"/>
    <x v="4"/>
    <s v="Übung"/>
    <n v="30"/>
    <n v="48"/>
    <n v="0.60000000000000009"/>
    <x v="1"/>
    <x v="3"/>
  </r>
  <r>
    <n v="22"/>
    <n v="6"/>
    <x v="5"/>
    <s v="Handout"/>
    <n v="5"/>
    <n v="1"/>
    <n v="-0.8"/>
    <x v="2"/>
    <x v="1"/>
  </r>
  <r>
    <n v="22"/>
    <n v="7"/>
    <x v="6"/>
    <s v="Quiz"/>
    <n v="10"/>
    <n v="8"/>
    <n v="-0.19999999999999996"/>
    <x v="0"/>
    <x v="3"/>
  </r>
  <r>
    <n v="22"/>
    <n v="8"/>
    <x v="7"/>
    <s v="Video"/>
    <n v="5"/>
    <n v="5"/>
    <n v="0"/>
    <x v="0"/>
    <x v="0"/>
  </r>
  <r>
    <n v="23"/>
    <n v="1"/>
    <x v="0"/>
    <s v="Video"/>
    <n v="4"/>
    <n v="4"/>
    <n v="0"/>
    <x v="0"/>
    <x v="0"/>
  </r>
  <r>
    <n v="23"/>
    <n v="2"/>
    <x v="1"/>
    <s v="Text"/>
    <n v="15"/>
    <n v="21"/>
    <n v="0.39999999999999991"/>
    <x v="1"/>
    <x v="1"/>
  </r>
  <r>
    <n v="23"/>
    <n v="3"/>
    <x v="2"/>
    <s v="Übung"/>
    <n v="30"/>
    <n v="29"/>
    <n v="-3.3333333333333326E-2"/>
    <x v="0"/>
    <x v="3"/>
  </r>
  <r>
    <n v="23"/>
    <n v="4"/>
    <x v="3"/>
    <s v="Übung"/>
    <n v="30"/>
    <n v="20"/>
    <n v="-0.33333333333333337"/>
    <x v="2"/>
    <x v="2"/>
  </r>
  <r>
    <n v="23"/>
    <n v="5"/>
    <x v="4"/>
    <s v="Übung"/>
    <n v="30"/>
    <n v="48"/>
    <n v="0.60000000000000009"/>
    <x v="1"/>
    <x v="2"/>
  </r>
  <r>
    <n v="23"/>
    <n v="6"/>
    <x v="5"/>
    <s v="Handout"/>
    <n v="5"/>
    <n v="1"/>
    <n v="-0.8"/>
    <x v="2"/>
    <x v="1"/>
  </r>
  <r>
    <n v="23"/>
    <n v="7"/>
    <x v="6"/>
    <s v="Quiz"/>
    <n v="10"/>
    <n v="10"/>
    <n v="0"/>
    <x v="0"/>
    <x v="3"/>
  </r>
  <r>
    <n v="23"/>
    <n v="8"/>
    <x v="7"/>
    <s v="Video"/>
    <n v="5"/>
    <n v="5"/>
    <n v="0"/>
    <x v="0"/>
    <x v="0"/>
  </r>
  <r>
    <n v="24"/>
    <n v="1"/>
    <x v="0"/>
    <s v="Video"/>
    <n v="4"/>
    <n v="4"/>
    <n v="0"/>
    <x v="0"/>
    <x v="0"/>
  </r>
  <r>
    <n v="24"/>
    <n v="2"/>
    <x v="1"/>
    <s v="Text"/>
    <n v="15"/>
    <n v="18"/>
    <n v="0.19999999999999996"/>
    <x v="0"/>
    <x v="1"/>
  </r>
  <r>
    <n v="24"/>
    <n v="3"/>
    <x v="2"/>
    <s v="Übung"/>
    <n v="30"/>
    <n v="28"/>
    <n v="-6.6666666666666652E-2"/>
    <x v="0"/>
    <x v="3"/>
  </r>
  <r>
    <n v="24"/>
    <n v="4"/>
    <x v="3"/>
    <s v="Übung"/>
    <n v="30"/>
    <n v="18"/>
    <n v="-0.4"/>
    <x v="2"/>
    <x v="3"/>
  </r>
  <r>
    <n v="24"/>
    <n v="5"/>
    <x v="4"/>
    <s v="Übung"/>
    <n v="30"/>
    <n v="46"/>
    <n v="0.53333333333333344"/>
    <x v="1"/>
    <x v="3"/>
  </r>
  <r>
    <n v="24"/>
    <n v="6"/>
    <x v="5"/>
    <s v="Handout"/>
    <n v="5"/>
    <n v="4"/>
    <n v="-0.19999999999999996"/>
    <x v="0"/>
    <x v="1"/>
  </r>
  <r>
    <n v="24"/>
    <n v="7"/>
    <x v="6"/>
    <s v="Quiz"/>
    <n v="10"/>
    <n v="9"/>
    <n v="-9.9999999999999978E-2"/>
    <x v="0"/>
    <x v="2"/>
  </r>
  <r>
    <n v="24"/>
    <n v="8"/>
    <x v="7"/>
    <s v="Video"/>
    <n v="5"/>
    <n v="5"/>
    <n v="0"/>
    <x v="0"/>
    <x v="0"/>
  </r>
  <r>
    <n v="25"/>
    <n v="1"/>
    <x v="0"/>
    <s v="Video"/>
    <n v="4"/>
    <n v="4"/>
    <n v="0"/>
    <x v="0"/>
    <x v="0"/>
  </r>
  <r>
    <n v="25"/>
    <n v="2"/>
    <x v="1"/>
    <s v="Text"/>
    <n v="15"/>
    <n v="18"/>
    <n v="0.19999999999999996"/>
    <x v="0"/>
    <x v="0"/>
  </r>
  <r>
    <n v="25"/>
    <n v="3"/>
    <x v="2"/>
    <s v="Übung"/>
    <n v="30"/>
    <n v="26"/>
    <n v="-0.1333333333333333"/>
    <x v="0"/>
    <x v="3"/>
  </r>
  <r>
    <n v="25"/>
    <n v="4"/>
    <x v="3"/>
    <s v="Übung"/>
    <n v="30"/>
    <n v="25"/>
    <n v="-0.16666666666666663"/>
    <x v="0"/>
    <x v="1"/>
  </r>
  <r>
    <n v="25"/>
    <n v="5"/>
    <x v="4"/>
    <s v="Übung"/>
    <n v="30"/>
    <n v="35"/>
    <n v="0.16666666666666674"/>
    <x v="0"/>
    <x v="4"/>
  </r>
  <r>
    <n v="25"/>
    <n v="6"/>
    <x v="5"/>
    <s v="Handout"/>
    <n v="5"/>
    <n v="3"/>
    <n v="-0.4"/>
    <x v="2"/>
    <x v="0"/>
  </r>
  <r>
    <n v="25"/>
    <n v="7"/>
    <x v="6"/>
    <s v="Quiz"/>
    <n v="10"/>
    <n v="9"/>
    <n v="-9.9999999999999978E-2"/>
    <x v="0"/>
    <x v="3"/>
  </r>
  <r>
    <n v="25"/>
    <n v="8"/>
    <x v="7"/>
    <s v="Video"/>
    <n v="5"/>
    <n v="5"/>
    <n v="0"/>
    <x v="0"/>
    <x v="0"/>
  </r>
  <r>
    <n v="27"/>
    <n v="1"/>
    <x v="0"/>
    <s v="Video"/>
    <n v="4"/>
    <n v="4"/>
    <n v="0"/>
    <x v="0"/>
    <x v="1"/>
  </r>
  <r>
    <n v="27"/>
    <n v="2"/>
    <x v="1"/>
    <s v="Text"/>
    <n v="15"/>
    <n v="20"/>
    <n v="0.33333333333333326"/>
    <x v="1"/>
    <x v="1"/>
  </r>
  <r>
    <n v="27"/>
    <n v="3"/>
    <x v="2"/>
    <s v="Übung"/>
    <n v="30"/>
    <n v="29"/>
    <n v="-3.3333333333333326E-2"/>
    <x v="0"/>
    <x v="1"/>
  </r>
  <r>
    <n v="27"/>
    <n v="4"/>
    <x v="3"/>
    <s v="Übung"/>
    <n v="30"/>
    <n v="30"/>
    <n v="0"/>
    <x v="0"/>
    <x v="4"/>
  </r>
  <r>
    <n v="27"/>
    <n v="5"/>
    <x v="4"/>
    <s v="Übung"/>
    <n v="30"/>
    <n v="41"/>
    <n v="0.3666666666666667"/>
    <x v="1"/>
    <x v="3"/>
  </r>
  <r>
    <n v="27"/>
    <n v="6"/>
    <x v="5"/>
    <s v="Handout"/>
    <n v="5"/>
    <n v="2"/>
    <n v="-0.6"/>
    <x v="2"/>
    <x v="1"/>
  </r>
  <r>
    <n v="27"/>
    <n v="7"/>
    <x v="6"/>
    <s v="Quiz"/>
    <n v="10"/>
    <n v="10"/>
    <n v="0"/>
    <x v="0"/>
    <x v="2"/>
  </r>
  <r>
    <n v="27"/>
    <n v="8"/>
    <x v="7"/>
    <s v="Video"/>
    <n v="5"/>
    <n v="5"/>
    <n v="0"/>
    <x v="0"/>
    <x v="0"/>
  </r>
  <r>
    <n v="28"/>
    <n v="1"/>
    <x v="0"/>
    <s v="Video"/>
    <n v="4"/>
    <n v="4"/>
    <n v="0"/>
    <x v="0"/>
    <x v="0"/>
  </r>
  <r>
    <n v="28"/>
    <n v="2"/>
    <x v="1"/>
    <s v="Text"/>
    <n v="15"/>
    <n v="22"/>
    <n v="0.46666666666666656"/>
    <x v="1"/>
    <x v="1"/>
  </r>
  <r>
    <n v="28"/>
    <n v="3"/>
    <x v="2"/>
    <s v="Übung"/>
    <n v="30"/>
    <n v="29"/>
    <n v="-3.3333333333333326E-2"/>
    <x v="0"/>
    <x v="3"/>
  </r>
  <r>
    <n v="28"/>
    <n v="4"/>
    <x v="3"/>
    <s v="Übung"/>
    <n v="30"/>
    <n v="28"/>
    <n v="-6.6666666666666652E-2"/>
    <x v="0"/>
    <x v="3"/>
  </r>
  <r>
    <n v="28"/>
    <n v="5"/>
    <x v="4"/>
    <s v="Übung"/>
    <n v="30"/>
    <n v="47"/>
    <n v="0.56666666666666665"/>
    <x v="1"/>
    <x v="3"/>
  </r>
  <r>
    <n v="28"/>
    <n v="6"/>
    <x v="5"/>
    <s v="Handout"/>
    <n v="5"/>
    <n v="1"/>
    <n v="-0.8"/>
    <x v="2"/>
    <x v="3"/>
  </r>
  <r>
    <n v="28"/>
    <n v="7"/>
    <x v="6"/>
    <s v="Quiz"/>
    <n v="10"/>
    <n v="9"/>
    <n v="-9.9999999999999978E-2"/>
    <x v="0"/>
    <x v="3"/>
  </r>
  <r>
    <n v="28"/>
    <n v="8"/>
    <x v="7"/>
    <s v="Video"/>
    <n v="5"/>
    <n v="9"/>
    <n v="0.8"/>
    <x v="3"/>
    <x v="0"/>
  </r>
  <r>
    <n v="29"/>
    <n v="1"/>
    <x v="0"/>
    <s v="Video"/>
    <n v="4"/>
    <n v="7"/>
    <n v="0.75"/>
    <x v="3"/>
    <x v="0"/>
  </r>
  <r>
    <n v="29"/>
    <n v="2"/>
    <x v="1"/>
    <s v="Text"/>
    <n v="15"/>
    <n v="17"/>
    <n v="0.1333333333333333"/>
    <x v="0"/>
    <x v="0"/>
  </r>
  <r>
    <n v="29"/>
    <n v="3"/>
    <x v="2"/>
    <s v="Übung"/>
    <n v="30"/>
    <n v="27"/>
    <n v="-9.9999999999999978E-2"/>
    <x v="0"/>
    <x v="1"/>
  </r>
  <r>
    <n v="29"/>
    <n v="4"/>
    <x v="3"/>
    <s v="Übung"/>
    <n v="30"/>
    <n v="28"/>
    <n v="-6.6666666666666652E-2"/>
    <x v="0"/>
    <x v="3"/>
  </r>
  <r>
    <n v="29"/>
    <n v="5"/>
    <x v="4"/>
    <s v="Übung"/>
    <n v="30"/>
    <n v="49"/>
    <n v="0.6333333333333333"/>
    <x v="3"/>
    <x v="2"/>
  </r>
  <r>
    <n v="29"/>
    <n v="6"/>
    <x v="5"/>
    <s v="Handout"/>
    <n v="5"/>
    <n v="2"/>
    <n v="-0.6"/>
    <x v="2"/>
    <x v="1"/>
  </r>
  <r>
    <n v="29"/>
    <n v="7"/>
    <x v="6"/>
    <s v="Quiz"/>
    <n v="10"/>
    <n v="10"/>
    <n v="0"/>
    <x v="0"/>
    <x v="3"/>
  </r>
  <r>
    <n v="29"/>
    <n v="8"/>
    <x v="7"/>
    <s v="Video"/>
    <n v="5"/>
    <n v="9"/>
    <n v="0.8"/>
    <x v="3"/>
    <x v="0"/>
  </r>
  <r>
    <n v="30"/>
    <n v="1"/>
    <x v="0"/>
    <s v="Video"/>
    <n v="4"/>
    <n v="4"/>
    <n v="0"/>
    <x v="0"/>
    <x v="0"/>
  </r>
  <r>
    <n v="30"/>
    <n v="2"/>
    <x v="1"/>
    <s v="Text"/>
    <n v="15"/>
    <n v="19"/>
    <n v="0.26666666666666661"/>
    <x v="0"/>
    <x v="1"/>
  </r>
  <r>
    <n v="30"/>
    <n v="3"/>
    <x v="2"/>
    <s v="Übung"/>
    <n v="30"/>
    <n v="28"/>
    <n v="-6.6666666666666652E-2"/>
    <x v="0"/>
    <x v="3"/>
  </r>
  <r>
    <n v="30"/>
    <n v="4"/>
    <x v="3"/>
    <s v="Übung"/>
    <n v="30"/>
    <n v="24"/>
    <n v="-0.19999999999999996"/>
    <x v="0"/>
    <x v="2"/>
  </r>
  <r>
    <n v="30"/>
    <n v="5"/>
    <x v="4"/>
    <s v="Übung"/>
    <n v="30"/>
    <n v="33"/>
    <n v="0.10000000000000009"/>
    <x v="0"/>
    <x v="4"/>
  </r>
  <r>
    <n v="30"/>
    <n v="6"/>
    <x v="5"/>
    <s v="Handout"/>
    <n v="5"/>
    <n v="2"/>
    <n v="-0.6"/>
    <x v="2"/>
    <x v="3"/>
  </r>
  <r>
    <n v="30"/>
    <n v="7"/>
    <x v="6"/>
    <s v="Quiz"/>
    <n v="10"/>
    <n v="9"/>
    <n v="-9.9999999999999978E-2"/>
    <x v="0"/>
    <x v="3"/>
  </r>
  <r>
    <n v="30"/>
    <n v="8"/>
    <x v="7"/>
    <s v="Video"/>
    <n v="5"/>
    <n v="5"/>
    <n v="0"/>
    <x v="0"/>
    <x v="1"/>
  </r>
  <r>
    <n v="31"/>
    <n v="1"/>
    <x v="0"/>
    <s v="Video"/>
    <n v="4"/>
    <n v="4"/>
    <n v="0"/>
    <x v="0"/>
    <x v="0"/>
  </r>
  <r>
    <n v="31"/>
    <n v="2"/>
    <x v="1"/>
    <s v="Text"/>
    <n v="15"/>
    <n v="18"/>
    <n v="0.19999999999999996"/>
    <x v="0"/>
    <x v="0"/>
  </r>
  <r>
    <n v="31"/>
    <n v="3"/>
    <x v="2"/>
    <s v="Übung"/>
    <n v="30"/>
    <n v="28"/>
    <n v="-6.6666666666666652E-2"/>
    <x v="0"/>
    <x v="3"/>
  </r>
  <r>
    <n v="31"/>
    <n v="4"/>
    <x v="3"/>
    <s v="Übung"/>
    <n v="30"/>
    <n v="22"/>
    <n v="-0.26666666666666672"/>
    <x v="0"/>
    <x v="1"/>
  </r>
  <r>
    <n v="31"/>
    <n v="5"/>
    <x v="4"/>
    <s v="Übung"/>
    <n v="30"/>
    <n v="46"/>
    <n v="0.53333333333333344"/>
    <x v="1"/>
    <x v="2"/>
  </r>
  <r>
    <n v="31"/>
    <n v="6"/>
    <x v="5"/>
    <s v="Handout"/>
    <n v="5"/>
    <n v="2"/>
    <n v="-0.6"/>
    <x v="2"/>
    <x v="1"/>
  </r>
  <r>
    <n v="31"/>
    <n v="7"/>
    <x v="6"/>
    <s v="Quiz"/>
    <n v="10"/>
    <n v="8"/>
    <n v="-0.19999999999999996"/>
    <x v="0"/>
    <x v="2"/>
  </r>
  <r>
    <n v="31"/>
    <n v="8"/>
    <x v="7"/>
    <s v="Video"/>
    <n v="5"/>
    <n v="5"/>
    <n v="0"/>
    <x v="0"/>
    <x v="0"/>
  </r>
  <r>
    <n v="32"/>
    <n v="1"/>
    <x v="0"/>
    <s v="Video"/>
    <n v="4"/>
    <n v="4"/>
    <n v="0"/>
    <x v="0"/>
    <x v="0"/>
  </r>
  <r>
    <n v="32"/>
    <n v="2"/>
    <x v="1"/>
    <s v="Text"/>
    <n v="15"/>
    <n v="17"/>
    <n v="0.1333333333333333"/>
    <x v="0"/>
    <x v="1"/>
  </r>
  <r>
    <n v="32"/>
    <n v="3"/>
    <x v="2"/>
    <s v="Übung"/>
    <n v="30"/>
    <n v="30"/>
    <n v="0"/>
    <x v="0"/>
    <x v="3"/>
  </r>
  <r>
    <n v="32"/>
    <n v="4"/>
    <x v="3"/>
    <s v="Übung"/>
    <n v="30"/>
    <n v="26"/>
    <n v="-0.1333333333333333"/>
    <x v="0"/>
    <x v="3"/>
  </r>
  <r>
    <n v="32"/>
    <n v="5"/>
    <x v="4"/>
    <s v="Übung"/>
    <n v="30"/>
    <n v="49"/>
    <n v="0.6333333333333333"/>
    <x v="3"/>
    <x v="2"/>
  </r>
  <r>
    <n v="32"/>
    <n v="6"/>
    <x v="5"/>
    <s v="Handout"/>
    <n v="5"/>
    <n v="2"/>
    <n v="-0.6"/>
    <x v="2"/>
    <x v="0"/>
  </r>
  <r>
    <n v="32"/>
    <n v="7"/>
    <x v="6"/>
    <s v="Quiz"/>
    <n v="10"/>
    <n v="9"/>
    <n v="-9.9999999999999978E-2"/>
    <x v="0"/>
    <x v="2"/>
  </r>
  <r>
    <n v="32"/>
    <n v="8"/>
    <x v="7"/>
    <s v="Video"/>
    <n v="5"/>
    <n v="5"/>
    <n v="0"/>
    <x v="0"/>
    <x v="0"/>
  </r>
  <r>
    <n v="33"/>
    <n v="1"/>
    <x v="0"/>
    <s v="Video"/>
    <n v="4"/>
    <n v="5"/>
    <n v="0.25"/>
    <x v="0"/>
    <x v="0"/>
  </r>
  <r>
    <n v="33"/>
    <n v="2"/>
    <x v="1"/>
    <s v="Text"/>
    <n v="15"/>
    <n v="17"/>
    <n v="0.1333333333333333"/>
    <x v="0"/>
    <x v="0"/>
  </r>
  <r>
    <n v="33"/>
    <n v="3"/>
    <x v="2"/>
    <s v="Übung"/>
    <n v="30"/>
    <n v="30"/>
    <n v="0"/>
    <x v="0"/>
    <x v="3"/>
  </r>
  <r>
    <n v="33"/>
    <n v="4"/>
    <x v="3"/>
    <s v="Übung"/>
    <n v="30"/>
    <n v="23"/>
    <n v="-0.23333333333333328"/>
    <x v="0"/>
    <x v="3"/>
  </r>
  <r>
    <n v="33"/>
    <n v="5"/>
    <x v="4"/>
    <s v="Übung"/>
    <n v="30"/>
    <n v="46"/>
    <n v="0.53333333333333344"/>
    <x v="1"/>
    <x v="2"/>
  </r>
  <r>
    <n v="33"/>
    <n v="6"/>
    <x v="5"/>
    <s v="Handout"/>
    <n v="5"/>
    <n v="1"/>
    <n v="-0.8"/>
    <x v="2"/>
    <x v="1"/>
  </r>
  <r>
    <n v="33"/>
    <n v="7"/>
    <x v="6"/>
    <s v="Quiz"/>
    <n v="10"/>
    <n v="11"/>
    <n v="0.10000000000000009"/>
    <x v="0"/>
    <x v="2"/>
  </r>
  <r>
    <n v="33"/>
    <n v="8"/>
    <x v="7"/>
    <s v="Video"/>
    <n v="5"/>
    <n v="5"/>
    <n v="0"/>
    <x v="0"/>
    <x v="0"/>
  </r>
  <r>
    <n v="34"/>
    <n v="1"/>
    <x v="0"/>
    <s v="Video"/>
    <n v="4"/>
    <n v="4"/>
    <n v="0"/>
    <x v="0"/>
    <x v="0"/>
  </r>
  <r>
    <n v="34"/>
    <n v="2"/>
    <x v="1"/>
    <s v="Text"/>
    <n v="15"/>
    <n v="15"/>
    <n v="0"/>
    <x v="0"/>
    <x v="0"/>
  </r>
  <r>
    <n v="34"/>
    <n v="3"/>
    <x v="2"/>
    <s v="Übung"/>
    <n v="30"/>
    <n v="28"/>
    <n v="-6.6666666666666652E-2"/>
    <x v="0"/>
    <x v="1"/>
  </r>
  <r>
    <n v="34"/>
    <n v="4"/>
    <x v="3"/>
    <s v="Übung"/>
    <n v="30"/>
    <n v="17"/>
    <n v="-0.43333333333333335"/>
    <x v="2"/>
    <x v="3"/>
  </r>
  <r>
    <n v="34"/>
    <n v="5"/>
    <x v="4"/>
    <s v="Übung"/>
    <n v="30"/>
    <n v="39"/>
    <n v="0.30000000000000004"/>
    <x v="0"/>
    <x v="2"/>
  </r>
  <r>
    <n v="34"/>
    <n v="6"/>
    <x v="5"/>
    <s v="Handout"/>
    <n v="5"/>
    <n v="1"/>
    <n v="-0.8"/>
    <x v="2"/>
    <x v="3"/>
  </r>
  <r>
    <n v="34"/>
    <n v="7"/>
    <x v="6"/>
    <s v="Quiz"/>
    <n v="10"/>
    <n v="9"/>
    <n v="-9.9999999999999978E-2"/>
    <x v="0"/>
    <x v="3"/>
  </r>
  <r>
    <n v="34"/>
    <n v="8"/>
    <x v="7"/>
    <s v="Video"/>
    <n v="5"/>
    <n v="5"/>
    <n v="0"/>
    <x v="0"/>
    <x v="0"/>
  </r>
  <r>
    <n v="36"/>
    <n v="1"/>
    <x v="0"/>
    <s v="Video"/>
    <n v="4"/>
    <n v="4"/>
    <n v="0"/>
    <x v="0"/>
    <x v="0"/>
  </r>
  <r>
    <n v="36"/>
    <n v="2"/>
    <x v="1"/>
    <s v="Text"/>
    <n v="15"/>
    <n v="18"/>
    <n v="0.19999999999999996"/>
    <x v="0"/>
    <x v="1"/>
  </r>
  <r>
    <n v="36"/>
    <n v="3"/>
    <x v="2"/>
    <s v="Übung"/>
    <n v="30"/>
    <n v="30"/>
    <n v="0"/>
    <x v="0"/>
    <x v="1"/>
  </r>
  <r>
    <n v="36"/>
    <n v="4"/>
    <x v="3"/>
    <s v="Übung"/>
    <n v="30"/>
    <n v="31"/>
    <n v="3.3333333333333437E-2"/>
    <x v="0"/>
    <x v="3"/>
  </r>
  <r>
    <n v="36"/>
    <n v="5"/>
    <x v="4"/>
    <s v="Übung"/>
    <n v="30"/>
    <n v="45"/>
    <n v="0.5"/>
    <x v="1"/>
    <x v="3"/>
  </r>
  <r>
    <n v="36"/>
    <n v="6"/>
    <x v="5"/>
    <s v="Handout"/>
    <n v="5"/>
    <n v="1"/>
    <n v="-0.8"/>
    <x v="2"/>
    <x v="1"/>
  </r>
  <r>
    <n v="36"/>
    <n v="7"/>
    <x v="6"/>
    <s v="Quiz"/>
    <n v="10"/>
    <n v="12"/>
    <n v="0.19999999999999996"/>
    <x v="0"/>
    <x v="2"/>
  </r>
  <r>
    <n v="36"/>
    <n v="8"/>
    <x v="7"/>
    <s v="Video"/>
    <n v="5"/>
    <n v="5"/>
    <n v="0"/>
    <x v="0"/>
    <x v="0"/>
  </r>
  <r>
    <n v="37"/>
    <n v="1"/>
    <x v="0"/>
    <s v="Video"/>
    <n v="4"/>
    <n v="4"/>
    <n v="0"/>
    <x v="0"/>
    <x v="0"/>
  </r>
  <r>
    <n v="37"/>
    <n v="2"/>
    <x v="1"/>
    <s v="Text"/>
    <n v="15"/>
    <n v="20"/>
    <n v="0.33333333333333326"/>
    <x v="1"/>
    <x v="0"/>
  </r>
  <r>
    <n v="37"/>
    <n v="3"/>
    <x v="2"/>
    <s v="Übung"/>
    <n v="30"/>
    <n v="29"/>
    <n v="-3.3333333333333326E-2"/>
    <x v="0"/>
    <x v="1"/>
  </r>
  <r>
    <n v="37"/>
    <n v="4"/>
    <x v="3"/>
    <s v="Übung"/>
    <n v="30"/>
    <n v="25"/>
    <n v="-0.16666666666666663"/>
    <x v="0"/>
    <x v="3"/>
  </r>
  <r>
    <n v="37"/>
    <n v="5"/>
    <x v="4"/>
    <s v="Übung"/>
    <n v="30"/>
    <n v="41"/>
    <n v="0.3666666666666667"/>
    <x v="1"/>
    <x v="2"/>
  </r>
  <r>
    <n v="37"/>
    <n v="6"/>
    <x v="5"/>
    <s v="Handout"/>
    <n v="5"/>
    <n v="2"/>
    <n v="-0.6"/>
    <x v="2"/>
    <x v="1"/>
  </r>
  <r>
    <n v="37"/>
    <n v="7"/>
    <x v="6"/>
    <s v="Quiz"/>
    <n v="10"/>
    <n v="8"/>
    <n v="-0.19999999999999996"/>
    <x v="0"/>
    <x v="3"/>
  </r>
  <r>
    <n v="37"/>
    <n v="8"/>
    <x v="7"/>
    <s v="Video"/>
    <n v="5"/>
    <n v="5"/>
    <n v="0"/>
    <x v="0"/>
    <x v="0"/>
  </r>
  <r>
    <n v="38"/>
    <n v="1"/>
    <x v="0"/>
    <s v="Video"/>
    <n v="4"/>
    <n v="4"/>
    <n v="0"/>
    <x v="0"/>
    <x v="0"/>
  </r>
  <r>
    <n v="38"/>
    <n v="2"/>
    <x v="1"/>
    <s v="Text"/>
    <n v="15"/>
    <n v="16"/>
    <n v="6.6666666666666652E-2"/>
    <x v="0"/>
    <x v="1"/>
  </r>
  <r>
    <n v="38"/>
    <n v="3"/>
    <x v="2"/>
    <s v="Übung"/>
    <n v="30"/>
    <n v="28"/>
    <n v="-6.6666666666666652E-2"/>
    <x v="0"/>
    <x v="3"/>
  </r>
  <r>
    <n v="38"/>
    <n v="4"/>
    <x v="3"/>
    <s v="Übung"/>
    <n v="30"/>
    <n v="23"/>
    <n v="-0.23333333333333328"/>
    <x v="0"/>
    <x v="1"/>
  </r>
  <r>
    <n v="38"/>
    <n v="5"/>
    <x v="4"/>
    <s v="Übung"/>
    <n v="30"/>
    <n v="43"/>
    <n v="0.43333333333333335"/>
    <x v="1"/>
    <x v="4"/>
  </r>
  <r>
    <n v="38"/>
    <n v="6"/>
    <x v="5"/>
    <s v="Handout"/>
    <n v="5"/>
    <n v="1"/>
    <n v="-0.8"/>
    <x v="2"/>
    <x v="1"/>
  </r>
  <r>
    <n v="38"/>
    <n v="7"/>
    <x v="6"/>
    <s v="Quiz"/>
    <n v="10"/>
    <n v="9"/>
    <n v="-9.9999999999999978E-2"/>
    <x v="0"/>
    <x v="3"/>
  </r>
  <r>
    <n v="38"/>
    <n v="8"/>
    <x v="7"/>
    <s v="Video"/>
    <n v="5"/>
    <n v="7"/>
    <n v="0.39999999999999991"/>
    <x v="1"/>
    <x v="0"/>
  </r>
  <r>
    <n v="39"/>
    <n v="1"/>
    <x v="0"/>
    <s v="Video"/>
    <n v="4"/>
    <n v="4"/>
    <n v="0"/>
    <x v="0"/>
    <x v="0"/>
  </r>
  <r>
    <n v="39"/>
    <n v="2"/>
    <x v="1"/>
    <s v="Text"/>
    <n v="15"/>
    <n v="20"/>
    <n v="0.33333333333333326"/>
    <x v="1"/>
    <x v="0"/>
  </r>
  <r>
    <n v="39"/>
    <n v="3"/>
    <x v="2"/>
    <s v="Übung"/>
    <n v="30"/>
    <n v="29"/>
    <n v="-3.3333333333333326E-2"/>
    <x v="0"/>
    <x v="3"/>
  </r>
  <r>
    <n v="39"/>
    <n v="4"/>
    <x v="3"/>
    <s v="Übung"/>
    <n v="30"/>
    <n v="22"/>
    <n v="-0.26666666666666672"/>
    <x v="0"/>
    <x v="3"/>
  </r>
  <r>
    <n v="39"/>
    <n v="5"/>
    <x v="4"/>
    <s v="Übung"/>
    <n v="30"/>
    <n v="44"/>
    <n v="0.46666666666666656"/>
    <x v="1"/>
    <x v="3"/>
  </r>
  <r>
    <n v="39"/>
    <n v="6"/>
    <x v="5"/>
    <s v="Handout"/>
    <n v="5"/>
    <n v="1"/>
    <n v="-0.8"/>
    <x v="2"/>
    <x v="1"/>
  </r>
  <r>
    <n v="39"/>
    <n v="7"/>
    <x v="6"/>
    <s v="Quiz"/>
    <n v="10"/>
    <n v="9"/>
    <n v="-9.9999999999999978E-2"/>
    <x v="0"/>
    <x v="2"/>
  </r>
  <r>
    <n v="39"/>
    <n v="8"/>
    <x v="7"/>
    <s v="Video"/>
    <n v="5"/>
    <n v="5"/>
    <n v="0"/>
    <x v="0"/>
    <x v="0"/>
  </r>
  <r>
    <n v="40"/>
    <n v="1"/>
    <x v="0"/>
    <s v="Video"/>
    <n v="4"/>
    <n v="4"/>
    <n v="0"/>
    <x v="0"/>
    <x v="0"/>
  </r>
  <r>
    <n v="40"/>
    <n v="2"/>
    <x v="1"/>
    <s v="Text"/>
    <n v="15"/>
    <n v="18"/>
    <n v="0.19999999999999996"/>
    <x v="0"/>
    <x v="0"/>
  </r>
  <r>
    <n v="40"/>
    <n v="3"/>
    <x v="2"/>
    <s v="Übung"/>
    <n v="30"/>
    <n v="30"/>
    <n v="0"/>
    <x v="0"/>
    <x v="3"/>
  </r>
  <r>
    <n v="40"/>
    <n v="4"/>
    <x v="3"/>
    <s v="Übung"/>
    <n v="30"/>
    <n v="24"/>
    <n v="-0.19999999999999996"/>
    <x v="0"/>
    <x v="3"/>
  </r>
  <r>
    <n v="40"/>
    <n v="5"/>
    <x v="4"/>
    <s v="Übung"/>
    <n v="30"/>
    <n v="42"/>
    <n v="0.39999999999999991"/>
    <x v="1"/>
    <x v="3"/>
  </r>
  <r>
    <n v="40"/>
    <n v="6"/>
    <x v="5"/>
    <s v="Handout"/>
    <n v="5"/>
    <n v="3"/>
    <n v="-0.4"/>
    <x v="2"/>
    <x v="0"/>
  </r>
  <r>
    <n v="40"/>
    <n v="7"/>
    <x v="6"/>
    <s v="Quiz"/>
    <n v="10"/>
    <n v="10"/>
    <n v="0"/>
    <x v="0"/>
    <x v="3"/>
  </r>
  <r>
    <n v="40"/>
    <n v="8"/>
    <x v="7"/>
    <s v="Video"/>
    <n v="5"/>
    <n v="5"/>
    <n v="0"/>
    <x v="0"/>
    <x v="0"/>
  </r>
  <r>
    <n v="41"/>
    <n v="1"/>
    <x v="0"/>
    <s v="Video"/>
    <n v="4"/>
    <n v="4"/>
    <n v="0"/>
    <x v="0"/>
    <x v="0"/>
  </r>
  <r>
    <n v="41"/>
    <n v="2"/>
    <x v="1"/>
    <s v="Text"/>
    <n v="15"/>
    <n v="16"/>
    <n v="6.6666666666666652E-2"/>
    <x v="0"/>
    <x v="0"/>
  </r>
  <r>
    <n v="41"/>
    <n v="3"/>
    <x v="2"/>
    <s v="Übung"/>
    <n v="30"/>
    <n v="28"/>
    <n v="-6.6666666666666652E-2"/>
    <x v="0"/>
    <x v="3"/>
  </r>
  <r>
    <n v="41"/>
    <n v="4"/>
    <x v="3"/>
    <s v="Übung"/>
    <n v="30"/>
    <n v="23"/>
    <n v="-0.23333333333333328"/>
    <x v="0"/>
    <x v="2"/>
  </r>
  <r>
    <n v="41"/>
    <n v="5"/>
    <x v="4"/>
    <s v="Übung"/>
    <n v="30"/>
    <n v="35"/>
    <n v="0.16666666666666674"/>
    <x v="0"/>
    <x v="2"/>
  </r>
  <r>
    <n v="41"/>
    <n v="6"/>
    <x v="5"/>
    <s v="Handout"/>
    <n v="5"/>
    <n v="1"/>
    <n v="-0.8"/>
    <x v="2"/>
    <x v="1"/>
  </r>
  <r>
    <n v="41"/>
    <n v="7"/>
    <x v="6"/>
    <s v="Quiz"/>
    <n v="10"/>
    <n v="10"/>
    <n v="0"/>
    <x v="0"/>
    <x v="3"/>
  </r>
  <r>
    <n v="41"/>
    <n v="8"/>
    <x v="7"/>
    <s v="Video"/>
    <n v="5"/>
    <n v="5"/>
    <n v="0"/>
    <x v="0"/>
    <x v="0"/>
  </r>
  <r>
    <n v="42"/>
    <n v="1"/>
    <x v="0"/>
    <s v="Video"/>
    <n v="4"/>
    <n v="7"/>
    <n v="0.75"/>
    <x v="3"/>
    <x v="0"/>
  </r>
  <r>
    <n v="42"/>
    <n v="2"/>
    <x v="1"/>
    <s v="Text"/>
    <n v="15"/>
    <n v="17"/>
    <n v="0.1333333333333333"/>
    <x v="0"/>
    <x v="0"/>
  </r>
  <r>
    <n v="42"/>
    <n v="3"/>
    <x v="2"/>
    <s v="Übung"/>
    <n v="30"/>
    <n v="28"/>
    <n v="-6.6666666666666652E-2"/>
    <x v="0"/>
    <x v="1"/>
  </r>
  <r>
    <n v="42"/>
    <n v="4"/>
    <x v="3"/>
    <s v="Übung"/>
    <n v="30"/>
    <n v="17"/>
    <n v="-0.43333333333333335"/>
    <x v="2"/>
    <x v="3"/>
  </r>
  <r>
    <n v="42"/>
    <n v="5"/>
    <x v="4"/>
    <s v="Übung"/>
    <n v="30"/>
    <n v="49"/>
    <n v="0.6333333333333333"/>
    <x v="3"/>
    <x v="2"/>
  </r>
  <r>
    <n v="42"/>
    <n v="6"/>
    <x v="5"/>
    <s v="Handout"/>
    <n v="5"/>
    <n v="1"/>
    <n v="-0.8"/>
    <x v="2"/>
    <x v="1"/>
  </r>
  <r>
    <n v="42"/>
    <n v="7"/>
    <x v="6"/>
    <s v="Quiz"/>
    <n v="10"/>
    <n v="8"/>
    <n v="-0.19999999999999996"/>
    <x v="0"/>
    <x v="3"/>
  </r>
  <r>
    <n v="42"/>
    <n v="8"/>
    <x v="7"/>
    <s v="Video"/>
    <n v="5"/>
    <n v="5"/>
    <n v="0"/>
    <x v="0"/>
    <x v="0"/>
  </r>
  <r>
    <n v="43"/>
    <n v="1"/>
    <x v="0"/>
    <s v="Video"/>
    <n v="4"/>
    <n v="4"/>
    <n v="0"/>
    <x v="0"/>
    <x v="0"/>
  </r>
  <r>
    <n v="43"/>
    <n v="2"/>
    <x v="1"/>
    <s v="Text"/>
    <n v="15"/>
    <n v="19"/>
    <n v="0.26666666666666661"/>
    <x v="0"/>
    <x v="1"/>
  </r>
  <r>
    <n v="43"/>
    <n v="3"/>
    <x v="2"/>
    <s v="Übung"/>
    <n v="30"/>
    <n v="29"/>
    <n v="-3.3333333333333326E-2"/>
    <x v="0"/>
    <x v="3"/>
  </r>
  <r>
    <n v="43"/>
    <n v="4"/>
    <x v="3"/>
    <s v="Übung"/>
    <n v="30"/>
    <n v="23"/>
    <n v="-0.23333333333333328"/>
    <x v="0"/>
    <x v="3"/>
  </r>
  <r>
    <n v="43"/>
    <n v="5"/>
    <x v="4"/>
    <s v="Übung"/>
    <n v="30"/>
    <n v="50"/>
    <n v="0.66666666666666674"/>
    <x v="3"/>
    <x v="3"/>
  </r>
  <r>
    <n v="43"/>
    <n v="6"/>
    <x v="5"/>
    <s v="Handout"/>
    <n v="5"/>
    <n v="2"/>
    <n v="-0.6"/>
    <x v="2"/>
    <x v="3"/>
  </r>
  <r>
    <n v="43"/>
    <n v="7"/>
    <x v="6"/>
    <s v="Quiz"/>
    <n v="10"/>
    <n v="11"/>
    <n v="0.10000000000000009"/>
    <x v="0"/>
    <x v="2"/>
  </r>
  <r>
    <n v="43"/>
    <n v="8"/>
    <x v="7"/>
    <s v="Video"/>
    <n v="5"/>
    <n v="5"/>
    <n v="0"/>
    <x v="0"/>
    <x v="0"/>
  </r>
  <r>
    <n v="44"/>
    <n v="1"/>
    <x v="0"/>
    <s v="Video"/>
    <n v="4"/>
    <n v="4"/>
    <n v="0"/>
    <x v="0"/>
    <x v="0"/>
  </r>
  <r>
    <n v="44"/>
    <n v="2"/>
    <x v="1"/>
    <s v="Text"/>
    <n v="15"/>
    <n v="20"/>
    <n v="0.33333333333333326"/>
    <x v="1"/>
    <x v="1"/>
  </r>
  <r>
    <n v="44"/>
    <n v="3"/>
    <x v="2"/>
    <s v="Übung"/>
    <n v="30"/>
    <n v="28"/>
    <n v="-6.6666666666666652E-2"/>
    <x v="0"/>
    <x v="1"/>
  </r>
  <r>
    <n v="44"/>
    <n v="4"/>
    <x v="3"/>
    <s v="Übung"/>
    <n v="30"/>
    <n v="27"/>
    <n v="-9.9999999999999978E-2"/>
    <x v="0"/>
    <x v="3"/>
  </r>
  <r>
    <n v="44"/>
    <n v="5"/>
    <x v="4"/>
    <s v="Übung"/>
    <n v="30"/>
    <n v="38"/>
    <n v="0.26666666666666661"/>
    <x v="0"/>
    <x v="2"/>
  </r>
  <r>
    <n v="44"/>
    <n v="6"/>
    <x v="5"/>
    <s v="Handout"/>
    <n v="5"/>
    <n v="1"/>
    <n v="-0.8"/>
    <x v="2"/>
    <x v="0"/>
  </r>
  <r>
    <n v="44"/>
    <n v="7"/>
    <x v="6"/>
    <s v="Quiz"/>
    <n v="10"/>
    <n v="10"/>
    <n v="0"/>
    <x v="0"/>
    <x v="2"/>
  </r>
  <r>
    <n v="44"/>
    <n v="8"/>
    <x v="7"/>
    <s v="Video"/>
    <n v="5"/>
    <n v="5"/>
    <n v="0"/>
    <x v="0"/>
    <x v="0"/>
  </r>
  <r>
    <n v="46"/>
    <n v="1"/>
    <x v="0"/>
    <s v="Video"/>
    <n v="4"/>
    <n v="4"/>
    <n v="0"/>
    <x v="0"/>
    <x v="0"/>
  </r>
  <r>
    <n v="46"/>
    <n v="2"/>
    <x v="1"/>
    <s v="Text"/>
    <n v="15"/>
    <n v="16"/>
    <n v="6.6666666666666652E-2"/>
    <x v="0"/>
    <x v="0"/>
  </r>
  <r>
    <n v="46"/>
    <n v="3"/>
    <x v="2"/>
    <s v="Übung"/>
    <n v="30"/>
    <n v="28"/>
    <n v="-6.6666666666666652E-2"/>
    <x v="0"/>
    <x v="1"/>
  </r>
  <r>
    <n v="46"/>
    <n v="4"/>
    <x v="3"/>
    <s v="Übung"/>
    <n v="30"/>
    <n v="25"/>
    <n v="-0.16666666666666663"/>
    <x v="0"/>
    <x v="3"/>
  </r>
  <r>
    <n v="46"/>
    <n v="5"/>
    <x v="4"/>
    <s v="Übung"/>
    <n v="30"/>
    <n v="49"/>
    <n v="0.6333333333333333"/>
    <x v="3"/>
    <x v="2"/>
  </r>
  <r>
    <n v="46"/>
    <n v="6"/>
    <x v="5"/>
    <s v="Handout"/>
    <n v="5"/>
    <n v="2"/>
    <n v="-0.6"/>
    <x v="2"/>
    <x v="1"/>
  </r>
  <r>
    <n v="46"/>
    <n v="7"/>
    <x v="6"/>
    <s v="Quiz"/>
    <n v="10"/>
    <n v="11"/>
    <n v="0.10000000000000009"/>
    <x v="0"/>
    <x v="3"/>
  </r>
  <r>
    <n v="46"/>
    <n v="8"/>
    <x v="7"/>
    <s v="Video"/>
    <n v="5"/>
    <n v="5"/>
    <n v="0"/>
    <x v="0"/>
    <x v="0"/>
  </r>
  <r>
    <n v="47"/>
    <n v="1"/>
    <x v="0"/>
    <s v="Video"/>
    <n v="4"/>
    <n v="4"/>
    <n v="0"/>
    <x v="0"/>
    <x v="0"/>
  </r>
  <r>
    <n v="47"/>
    <n v="2"/>
    <x v="1"/>
    <s v="Text"/>
    <n v="15"/>
    <n v="18"/>
    <n v="0.19999999999999996"/>
    <x v="0"/>
    <x v="1"/>
  </r>
  <r>
    <n v="47"/>
    <n v="3"/>
    <x v="2"/>
    <s v="Übung"/>
    <n v="30"/>
    <n v="41"/>
    <n v="0.3666666666666667"/>
    <x v="1"/>
    <x v="3"/>
  </r>
  <r>
    <n v="47"/>
    <n v="4"/>
    <x v="3"/>
    <s v="Übung"/>
    <n v="30"/>
    <n v="30"/>
    <n v="0"/>
    <x v="0"/>
    <x v="3"/>
  </r>
  <r>
    <n v="47"/>
    <n v="5"/>
    <x v="4"/>
    <s v="Übung"/>
    <n v="30"/>
    <n v="39"/>
    <n v="0.30000000000000004"/>
    <x v="0"/>
    <x v="2"/>
  </r>
  <r>
    <n v="47"/>
    <n v="6"/>
    <x v="5"/>
    <s v="Handout"/>
    <n v="5"/>
    <n v="1"/>
    <n v="-0.8"/>
    <x v="2"/>
    <x v="1"/>
  </r>
  <r>
    <n v="47"/>
    <n v="7"/>
    <x v="6"/>
    <s v="Quiz"/>
    <n v="10"/>
    <n v="10"/>
    <n v="0"/>
    <x v="0"/>
    <x v="2"/>
  </r>
  <r>
    <n v="47"/>
    <n v="8"/>
    <x v="7"/>
    <s v="Video"/>
    <n v="5"/>
    <n v="5"/>
    <n v="0"/>
    <x v="0"/>
    <x v="0"/>
  </r>
  <r>
    <n v="48"/>
    <n v="1"/>
    <x v="0"/>
    <s v="Video"/>
    <n v="4"/>
    <n v="4"/>
    <n v="0"/>
    <x v="0"/>
    <x v="0"/>
  </r>
  <r>
    <n v="48"/>
    <n v="2"/>
    <x v="1"/>
    <s v="Text"/>
    <n v="15"/>
    <n v="20"/>
    <n v="0.33333333333333326"/>
    <x v="1"/>
    <x v="0"/>
  </r>
  <r>
    <n v="48"/>
    <n v="3"/>
    <x v="2"/>
    <s v="Übung"/>
    <n v="30"/>
    <n v="30"/>
    <n v="0"/>
    <x v="0"/>
    <x v="1"/>
  </r>
  <r>
    <n v="48"/>
    <n v="4"/>
    <x v="3"/>
    <s v="Übung"/>
    <n v="30"/>
    <n v="22"/>
    <n v="-0.26666666666666672"/>
    <x v="0"/>
    <x v="3"/>
  </r>
  <r>
    <n v="48"/>
    <n v="5"/>
    <x v="4"/>
    <s v="Übung"/>
    <n v="30"/>
    <n v="47"/>
    <n v="0.56666666666666665"/>
    <x v="1"/>
    <x v="3"/>
  </r>
  <r>
    <n v="48"/>
    <n v="6"/>
    <x v="5"/>
    <s v="Handout"/>
    <n v="5"/>
    <n v="1"/>
    <n v="-0.8"/>
    <x v="2"/>
    <x v="1"/>
  </r>
  <r>
    <n v="48"/>
    <n v="7"/>
    <x v="6"/>
    <s v="Quiz"/>
    <n v="10"/>
    <n v="9"/>
    <n v="-9.9999999999999978E-2"/>
    <x v="0"/>
    <x v="3"/>
  </r>
  <r>
    <n v="48"/>
    <n v="8"/>
    <x v="7"/>
    <s v="Video"/>
    <n v="5"/>
    <n v="8"/>
    <n v="0.60000000000000009"/>
    <x v="1"/>
    <x v="0"/>
  </r>
  <r>
    <n v="50"/>
    <n v="1"/>
    <x v="0"/>
    <s v="Video"/>
    <n v="4"/>
    <n v="5"/>
    <n v="0.25"/>
    <x v="0"/>
    <x v="0"/>
  </r>
  <r>
    <n v="50"/>
    <n v="2"/>
    <x v="1"/>
    <s v="Text"/>
    <n v="15"/>
    <n v="18"/>
    <n v="0.19999999999999996"/>
    <x v="0"/>
    <x v="0"/>
  </r>
  <r>
    <n v="50"/>
    <n v="3"/>
    <x v="2"/>
    <s v="Übung"/>
    <n v="30"/>
    <n v="29"/>
    <n v="-3.3333333333333326E-2"/>
    <x v="0"/>
    <x v="3"/>
  </r>
  <r>
    <n v="50"/>
    <n v="4"/>
    <x v="3"/>
    <s v="Übung"/>
    <n v="30"/>
    <n v="22"/>
    <n v="-0.26666666666666672"/>
    <x v="0"/>
    <x v="3"/>
  </r>
  <r>
    <n v="50"/>
    <n v="5"/>
    <x v="4"/>
    <s v="Übung"/>
    <n v="30"/>
    <n v="45"/>
    <n v="0.5"/>
    <x v="1"/>
    <x v="2"/>
  </r>
  <r>
    <n v="50"/>
    <n v="6"/>
    <x v="5"/>
    <s v="Handout"/>
    <n v="5"/>
    <n v="2"/>
    <n v="-0.6"/>
    <x v="2"/>
    <x v="0"/>
  </r>
  <r>
    <n v="50"/>
    <n v="7"/>
    <x v="6"/>
    <s v="Quiz"/>
    <n v="10"/>
    <n v="11"/>
    <n v="0.10000000000000009"/>
    <x v="0"/>
    <x v="2"/>
  </r>
  <r>
    <n v="50"/>
    <n v="8"/>
    <x v="7"/>
    <s v="Video"/>
    <n v="5"/>
    <n v="9"/>
    <n v="0.8"/>
    <x v="3"/>
    <x v="0"/>
  </r>
  <r>
    <n v="51"/>
    <n v="1"/>
    <x v="0"/>
    <s v="Video"/>
    <n v="4"/>
    <n v="4"/>
    <n v="0"/>
    <x v="0"/>
    <x v="0"/>
  </r>
  <r>
    <n v="51"/>
    <n v="2"/>
    <x v="1"/>
    <s v="Text"/>
    <n v="15"/>
    <n v="18"/>
    <n v="0.19999999999999996"/>
    <x v="0"/>
    <x v="1"/>
  </r>
  <r>
    <n v="51"/>
    <n v="3"/>
    <x v="2"/>
    <s v="Übung"/>
    <n v="30"/>
    <n v="29"/>
    <n v="-3.3333333333333326E-2"/>
    <x v="0"/>
    <x v="3"/>
  </r>
  <r>
    <n v="51"/>
    <n v="4"/>
    <x v="3"/>
    <s v="Übung"/>
    <n v="30"/>
    <n v="29"/>
    <n v="-3.3333333333333326E-2"/>
    <x v="0"/>
    <x v="3"/>
  </r>
  <r>
    <n v="51"/>
    <n v="5"/>
    <x v="4"/>
    <s v="Übung"/>
    <n v="30"/>
    <n v="49"/>
    <n v="0.6333333333333333"/>
    <x v="3"/>
    <x v="3"/>
  </r>
  <r>
    <n v="51"/>
    <n v="6"/>
    <x v="5"/>
    <s v="Handout"/>
    <n v="5"/>
    <n v="2"/>
    <n v="-0.6"/>
    <x v="2"/>
    <x v="3"/>
  </r>
  <r>
    <n v="51"/>
    <n v="7"/>
    <x v="6"/>
    <s v="Quiz"/>
    <n v="10"/>
    <n v="10"/>
    <n v="0"/>
    <x v="0"/>
    <x v="3"/>
  </r>
  <r>
    <n v="51"/>
    <n v="8"/>
    <x v="7"/>
    <s v="Video"/>
    <n v="5"/>
    <n v="5"/>
    <n v="0"/>
    <x v="0"/>
    <x v="0"/>
  </r>
  <r>
    <n v="52"/>
    <n v="1"/>
    <x v="0"/>
    <s v="Video"/>
    <n v="4"/>
    <n v="4"/>
    <n v="0"/>
    <x v="0"/>
    <x v="0"/>
  </r>
  <r>
    <n v="52"/>
    <n v="2"/>
    <x v="1"/>
    <s v="Text"/>
    <n v="15"/>
    <n v="22"/>
    <n v="0.46666666666666656"/>
    <x v="1"/>
    <x v="3"/>
  </r>
  <r>
    <n v="52"/>
    <n v="3"/>
    <x v="2"/>
    <s v="Übung"/>
    <n v="30"/>
    <n v="28"/>
    <n v="-6.6666666666666652E-2"/>
    <x v="0"/>
    <x v="1"/>
  </r>
  <r>
    <n v="52"/>
    <n v="4"/>
    <x v="3"/>
    <s v="Übung"/>
    <n v="30"/>
    <n v="36"/>
    <n v="0.19999999999999996"/>
    <x v="0"/>
    <x v="2"/>
  </r>
  <r>
    <n v="52"/>
    <n v="5"/>
    <x v="4"/>
    <s v="Übung"/>
    <n v="30"/>
    <n v="54"/>
    <n v="0.8"/>
    <x v="3"/>
    <x v="2"/>
  </r>
  <r>
    <n v="52"/>
    <n v="6"/>
    <x v="5"/>
    <s v="Handout"/>
    <n v="5"/>
    <n v="2"/>
    <n v="-0.6"/>
    <x v="2"/>
    <x v="1"/>
  </r>
  <r>
    <n v="52"/>
    <n v="7"/>
    <x v="6"/>
    <s v="Quiz"/>
    <n v="10"/>
    <n v="10"/>
    <n v="0"/>
    <x v="0"/>
    <x v="3"/>
  </r>
  <r>
    <n v="52"/>
    <n v="8"/>
    <x v="7"/>
    <s v="Video"/>
    <n v="5"/>
    <n v="5"/>
    <n v="0"/>
    <x v="0"/>
    <x v="0"/>
  </r>
  <r>
    <n v="53"/>
    <n v="1"/>
    <x v="0"/>
    <s v="Video"/>
    <n v="4"/>
    <n v="4"/>
    <n v="0"/>
    <x v="0"/>
    <x v="0"/>
  </r>
  <r>
    <n v="53"/>
    <n v="2"/>
    <x v="1"/>
    <s v="Text"/>
    <n v="15"/>
    <n v="17"/>
    <n v="0.1333333333333333"/>
    <x v="0"/>
    <x v="0"/>
  </r>
  <r>
    <n v="53"/>
    <n v="3"/>
    <x v="2"/>
    <s v="Übung"/>
    <n v="30"/>
    <n v="29"/>
    <n v="-3.3333333333333326E-2"/>
    <x v="0"/>
    <x v="1"/>
  </r>
  <r>
    <n v="53"/>
    <n v="4"/>
    <x v="3"/>
    <s v="Übung"/>
    <n v="30"/>
    <n v="30"/>
    <n v="0"/>
    <x v="0"/>
    <x v="3"/>
  </r>
  <r>
    <n v="53"/>
    <n v="5"/>
    <x v="4"/>
    <s v="Übung"/>
    <n v="30"/>
    <n v="44"/>
    <n v="0.46666666666666656"/>
    <x v="1"/>
    <x v="2"/>
  </r>
  <r>
    <n v="53"/>
    <n v="6"/>
    <x v="5"/>
    <s v="Handout"/>
    <n v="5"/>
    <n v="2"/>
    <n v="-0.6"/>
    <x v="2"/>
    <x v="0"/>
  </r>
  <r>
    <n v="53"/>
    <n v="7"/>
    <x v="6"/>
    <s v="Quiz"/>
    <n v="10"/>
    <n v="10"/>
    <n v="0"/>
    <x v="0"/>
    <x v="2"/>
  </r>
  <r>
    <n v="53"/>
    <n v="8"/>
    <x v="7"/>
    <s v="Video"/>
    <n v="5"/>
    <n v="5"/>
    <n v="0"/>
    <x v="0"/>
    <x v="0"/>
  </r>
  <r>
    <n v="54"/>
    <n v="1"/>
    <x v="0"/>
    <s v="Video"/>
    <n v="4"/>
    <n v="4"/>
    <n v="0"/>
    <x v="0"/>
    <x v="0"/>
  </r>
  <r>
    <n v="54"/>
    <n v="2"/>
    <x v="1"/>
    <s v="Text"/>
    <n v="15"/>
    <n v="19"/>
    <n v="0.26666666666666661"/>
    <x v="0"/>
    <x v="1"/>
  </r>
  <r>
    <n v="54"/>
    <n v="3"/>
    <x v="2"/>
    <s v="Übung"/>
    <n v="30"/>
    <n v="36"/>
    <n v="0.19999999999999996"/>
    <x v="0"/>
    <x v="3"/>
  </r>
  <r>
    <n v="54"/>
    <n v="4"/>
    <x v="3"/>
    <s v="Übung"/>
    <n v="30"/>
    <n v="25"/>
    <n v="-0.16666666666666663"/>
    <x v="0"/>
    <x v="1"/>
  </r>
  <r>
    <n v="54"/>
    <n v="5"/>
    <x v="4"/>
    <s v="Übung"/>
    <n v="30"/>
    <n v="48"/>
    <n v="0.60000000000000009"/>
    <x v="1"/>
    <x v="2"/>
  </r>
  <r>
    <n v="54"/>
    <n v="6"/>
    <x v="5"/>
    <s v="Handout"/>
    <n v="5"/>
    <n v="2"/>
    <n v="-0.6"/>
    <x v="2"/>
    <x v="3"/>
  </r>
  <r>
    <n v="54"/>
    <n v="7"/>
    <x v="6"/>
    <s v="Quiz"/>
    <n v="10"/>
    <n v="10"/>
    <n v="0"/>
    <x v="0"/>
    <x v="3"/>
  </r>
  <r>
    <n v="54"/>
    <n v="8"/>
    <x v="7"/>
    <s v="Video"/>
    <n v="5"/>
    <n v="5"/>
    <n v="0"/>
    <x v="0"/>
    <x v="0"/>
  </r>
  <r>
    <n v="55"/>
    <n v="1"/>
    <x v="0"/>
    <s v="Video"/>
    <n v="4"/>
    <n v="4"/>
    <n v="0"/>
    <x v="0"/>
    <x v="0"/>
  </r>
  <r>
    <n v="55"/>
    <n v="2"/>
    <x v="1"/>
    <s v="Text"/>
    <n v="15"/>
    <n v="20"/>
    <n v="0.33333333333333326"/>
    <x v="1"/>
    <x v="1"/>
  </r>
  <r>
    <n v="55"/>
    <n v="3"/>
    <x v="2"/>
    <s v="Übung"/>
    <n v="30"/>
    <n v="29"/>
    <n v="-3.3333333333333326E-2"/>
    <x v="0"/>
    <x v="3"/>
  </r>
  <r>
    <n v="55"/>
    <n v="4"/>
    <x v="3"/>
    <s v="Übung"/>
    <n v="30"/>
    <n v="26"/>
    <n v="-0.1333333333333333"/>
    <x v="0"/>
    <x v="1"/>
  </r>
  <r>
    <n v="55"/>
    <n v="5"/>
    <x v="4"/>
    <s v="Übung"/>
    <n v="30"/>
    <n v="49"/>
    <n v="0.6333333333333333"/>
    <x v="3"/>
    <x v="2"/>
  </r>
  <r>
    <n v="55"/>
    <n v="6"/>
    <x v="5"/>
    <s v="Handout"/>
    <n v="5"/>
    <n v="1"/>
    <n v="-0.8"/>
    <x v="2"/>
    <x v="0"/>
  </r>
  <r>
    <n v="55"/>
    <n v="7"/>
    <x v="6"/>
    <s v="Quiz"/>
    <n v="10"/>
    <n v="9"/>
    <n v="-9.9999999999999978E-2"/>
    <x v="0"/>
    <x v="3"/>
  </r>
  <r>
    <n v="55"/>
    <n v="8"/>
    <x v="7"/>
    <s v="Video"/>
    <n v="5"/>
    <n v="7"/>
    <n v="0.39999999999999991"/>
    <x v="1"/>
    <x v="0"/>
  </r>
  <r>
    <n v="57"/>
    <n v="1"/>
    <x v="0"/>
    <s v="Video"/>
    <n v="4"/>
    <n v="4"/>
    <n v="0"/>
    <x v="0"/>
    <x v="0"/>
  </r>
  <r>
    <n v="57"/>
    <n v="2"/>
    <x v="1"/>
    <s v="Text"/>
    <n v="15"/>
    <n v="16"/>
    <n v="6.6666666666666652E-2"/>
    <x v="0"/>
    <x v="0"/>
  </r>
  <r>
    <n v="57"/>
    <n v="3"/>
    <x v="2"/>
    <s v="Übung"/>
    <n v="30"/>
    <n v="29"/>
    <n v="-3.3333333333333326E-2"/>
    <x v="0"/>
    <x v="1"/>
  </r>
  <r>
    <n v="57"/>
    <n v="4"/>
    <x v="3"/>
    <s v="Übung"/>
    <n v="30"/>
    <n v="25"/>
    <n v="-0.16666666666666663"/>
    <x v="0"/>
    <x v="1"/>
  </r>
  <r>
    <n v="57"/>
    <n v="5"/>
    <x v="4"/>
    <s v="Übung"/>
    <n v="30"/>
    <n v="52"/>
    <n v="0.73333333333333339"/>
    <x v="3"/>
    <x v="2"/>
  </r>
  <r>
    <n v="57"/>
    <n v="6"/>
    <x v="5"/>
    <s v="Handout"/>
    <n v="5"/>
    <n v="2"/>
    <n v="-0.6"/>
    <x v="2"/>
    <x v="1"/>
  </r>
  <r>
    <n v="57"/>
    <n v="7"/>
    <x v="6"/>
    <s v="Quiz"/>
    <n v="10"/>
    <n v="11"/>
    <n v="0.10000000000000009"/>
    <x v="0"/>
    <x v="3"/>
  </r>
  <r>
    <n v="57"/>
    <n v="8"/>
    <x v="7"/>
    <s v="Video"/>
    <n v="5"/>
    <n v="5"/>
    <n v="0"/>
    <x v="0"/>
    <x v="0"/>
  </r>
  <r>
    <n v="58"/>
    <n v="1"/>
    <x v="0"/>
    <s v="Video"/>
    <n v="4"/>
    <n v="4"/>
    <n v="0"/>
    <x v="0"/>
    <x v="0"/>
  </r>
  <r>
    <n v="58"/>
    <n v="2"/>
    <x v="1"/>
    <s v="Text"/>
    <n v="15"/>
    <n v="18"/>
    <n v="0.19999999999999996"/>
    <x v="0"/>
    <x v="0"/>
  </r>
  <r>
    <n v="58"/>
    <n v="3"/>
    <x v="2"/>
    <s v="Übung"/>
    <n v="30"/>
    <n v="29"/>
    <n v="-3.3333333333333326E-2"/>
    <x v="0"/>
    <x v="3"/>
  </r>
  <r>
    <n v="58"/>
    <n v="4"/>
    <x v="3"/>
    <s v="Übung"/>
    <n v="30"/>
    <n v="25"/>
    <n v="-0.16666666666666663"/>
    <x v="0"/>
    <x v="2"/>
  </r>
  <r>
    <n v="58"/>
    <n v="5"/>
    <x v="4"/>
    <s v="Übung"/>
    <n v="30"/>
    <n v="51"/>
    <n v="0.7"/>
    <x v="3"/>
    <x v="3"/>
  </r>
  <r>
    <n v="58"/>
    <n v="6"/>
    <x v="5"/>
    <s v="Handout"/>
    <n v="5"/>
    <n v="1"/>
    <n v="-0.8"/>
    <x v="2"/>
    <x v="3"/>
  </r>
  <r>
    <n v="58"/>
    <n v="7"/>
    <x v="6"/>
    <s v="Quiz"/>
    <n v="10"/>
    <n v="10"/>
    <n v="0"/>
    <x v="0"/>
    <x v="3"/>
  </r>
  <r>
    <n v="58"/>
    <n v="8"/>
    <x v="7"/>
    <s v="Video"/>
    <n v="5"/>
    <n v="5"/>
    <n v="0"/>
    <x v="0"/>
    <x v="0"/>
  </r>
  <r>
    <n v="59"/>
    <n v="1"/>
    <x v="0"/>
    <s v="Video"/>
    <n v="4"/>
    <n v="6"/>
    <n v="0.5"/>
    <x v="1"/>
    <x v="0"/>
  </r>
  <r>
    <n v="59"/>
    <n v="2"/>
    <x v="1"/>
    <s v="Text"/>
    <n v="15"/>
    <n v="19"/>
    <n v="0.26666666666666661"/>
    <x v="0"/>
    <x v="1"/>
  </r>
  <r>
    <n v="59"/>
    <n v="3"/>
    <x v="2"/>
    <s v="Übung"/>
    <n v="30"/>
    <n v="29"/>
    <n v="-3.3333333333333326E-2"/>
    <x v="0"/>
    <x v="1"/>
  </r>
  <r>
    <n v="59"/>
    <n v="4"/>
    <x v="3"/>
    <s v="Übung"/>
    <n v="30"/>
    <n v="25"/>
    <n v="-0.16666666666666663"/>
    <x v="0"/>
    <x v="3"/>
  </r>
  <r>
    <n v="59"/>
    <n v="5"/>
    <x v="4"/>
    <s v="Übung"/>
    <n v="30"/>
    <n v="32"/>
    <n v="6.6666666666666652E-2"/>
    <x v="0"/>
    <x v="4"/>
  </r>
  <r>
    <n v="59"/>
    <n v="6"/>
    <x v="5"/>
    <s v="Handout"/>
    <n v="5"/>
    <n v="1"/>
    <n v="-0.8"/>
    <x v="2"/>
    <x v="1"/>
  </r>
  <r>
    <n v="59"/>
    <n v="7"/>
    <x v="6"/>
    <s v="Quiz"/>
    <n v="10"/>
    <n v="8"/>
    <n v="-0.19999999999999996"/>
    <x v="0"/>
    <x v="3"/>
  </r>
  <r>
    <n v="59"/>
    <n v="8"/>
    <x v="7"/>
    <s v="Video"/>
    <n v="5"/>
    <n v="5"/>
    <n v="0"/>
    <x v="0"/>
    <x v="0"/>
  </r>
  <r>
    <n v="60"/>
    <n v="1"/>
    <x v="0"/>
    <s v="Video"/>
    <n v="4"/>
    <n v="7"/>
    <n v="0.75"/>
    <x v="3"/>
    <x v="0"/>
  </r>
  <r>
    <n v="60"/>
    <n v="2"/>
    <x v="1"/>
    <s v="Text"/>
    <n v="15"/>
    <n v="15"/>
    <n v="0"/>
    <x v="0"/>
    <x v="1"/>
  </r>
  <r>
    <n v="60"/>
    <n v="3"/>
    <x v="2"/>
    <s v="Übung"/>
    <n v="30"/>
    <n v="30"/>
    <n v="0"/>
    <x v="0"/>
    <x v="1"/>
  </r>
  <r>
    <n v="60"/>
    <n v="4"/>
    <x v="3"/>
    <s v="Übung"/>
    <n v="30"/>
    <n v="36"/>
    <n v="0.19999999999999996"/>
    <x v="0"/>
    <x v="1"/>
  </r>
  <r>
    <n v="60"/>
    <n v="5"/>
    <x v="4"/>
    <s v="Übung"/>
    <n v="30"/>
    <n v="48"/>
    <n v="0.60000000000000009"/>
    <x v="1"/>
    <x v="3"/>
  </r>
  <r>
    <n v="60"/>
    <n v="6"/>
    <x v="5"/>
    <s v="Handout"/>
    <n v="5"/>
    <n v="3"/>
    <n v="-0.4"/>
    <x v="2"/>
    <x v="3"/>
  </r>
  <r>
    <n v="60"/>
    <n v="7"/>
    <x v="6"/>
    <s v="Quiz"/>
    <n v="10"/>
    <n v="8"/>
    <n v="-0.19999999999999996"/>
    <x v="0"/>
    <x v="3"/>
  </r>
  <r>
    <n v="60"/>
    <n v="8"/>
    <x v="7"/>
    <s v="Video"/>
    <n v="5"/>
    <n v="5"/>
    <n v="0"/>
    <x v="0"/>
    <x v="0"/>
  </r>
  <r>
    <n v="62"/>
    <n v="1"/>
    <x v="0"/>
    <s v="Video"/>
    <n v="4"/>
    <n v="4"/>
    <n v="0"/>
    <x v="0"/>
    <x v="0"/>
  </r>
  <r>
    <n v="62"/>
    <n v="2"/>
    <x v="1"/>
    <s v="Text"/>
    <n v="15"/>
    <n v="20"/>
    <n v="0.33333333333333326"/>
    <x v="1"/>
    <x v="0"/>
  </r>
  <r>
    <n v="62"/>
    <n v="3"/>
    <x v="2"/>
    <s v="Übung"/>
    <n v="30"/>
    <n v="29"/>
    <n v="-3.3333333333333326E-2"/>
    <x v="0"/>
    <x v="1"/>
  </r>
  <r>
    <n v="62"/>
    <n v="4"/>
    <x v="3"/>
    <s v="Übung"/>
    <n v="30"/>
    <n v="22"/>
    <n v="-0.26666666666666672"/>
    <x v="0"/>
    <x v="2"/>
  </r>
  <r>
    <n v="62"/>
    <n v="5"/>
    <x v="4"/>
    <s v="Übung"/>
    <n v="30"/>
    <n v="48"/>
    <n v="0.60000000000000009"/>
    <x v="1"/>
    <x v="2"/>
  </r>
  <r>
    <n v="62"/>
    <n v="6"/>
    <x v="5"/>
    <s v="Handout"/>
    <n v="5"/>
    <n v="1"/>
    <n v="-0.8"/>
    <x v="2"/>
    <x v="3"/>
  </r>
  <r>
    <n v="62"/>
    <n v="7"/>
    <x v="6"/>
    <s v="Quiz"/>
    <n v="10"/>
    <n v="11"/>
    <n v="0.10000000000000009"/>
    <x v="0"/>
    <x v="2"/>
  </r>
  <r>
    <n v="62"/>
    <n v="8"/>
    <x v="7"/>
    <s v="Video"/>
    <n v="5"/>
    <n v="5"/>
    <n v="0"/>
    <x v="0"/>
    <x v="0"/>
  </r>
  <r>
    <n v="63"/>
    <n v="1"/>
    <x v="0"/>
    <s v="Video"/>
    <n v="4"/>
    <n v="7"/>
    <n v="0.75"/>
    <x v="3"/>
    <x v="0"/>
  </r>
  <r>
    <n v="63"/>
    <n v="2"/>
    <x v="1"/>
    <s v="Text"/>
    <n v="15"/>
    <n v="17"/>
    <n v="0.1333333333333333"/>
    <x v="0"/>
    <x v="0"/>
  </r>
  <r>
    <n v="63"/>
    <n v="3"/>
    <x v="2"/>
    <s v="Übung"/>
    <n v="30"/>
    <n v="29"/>
    <n v="-3.3333333333333326E-2"/>
    <x v="0"/>
    <x v="1"/>
  </r>
  <r>
    <n v="63"/>
    <n v="4"/>
    <x v="3"/>
    <s v="Übung"/>
    <n v="30"/>
    <n v="26"/>
    <n v="-0.1333333333333333"/>
    <x v="0"/>
    <x v="1"/>
  </r>
  <r>
    <n v="63"/>
    <n v="5"/>
    <x v="4"/>
    <s v="Übung"/>
    <n v="30"/>
    <n v="49"/>
    <n v="0.6333333333333333"/>
    <x v="3"/>
    <x v="2"/>
  </r>
  <r>
    <n v="63"/>
    <n v="6"/>
    <x v="5"/>
    <s v="Handout"/>
    <n v="5"/>
    <n v="1"/>
    <n v="-0.8"/>
    <x v="2"/>
    <x v="1"/>
  </r>
  <r>
    <n v="63"/>
    <n v="7"/>
    <x v="6"/>
    <s v="Quiz"/>
    <n v="10"/>
    <n v="9"/>
    <n v="-9.9999999999999978E-2"/>
    <x v="0"/>
    <x v="3"/>
  </r>
  <r>
    <n v="63"/>
    <n v="8"/>
    <x v="7"/>
    <s v="Video"/>
    <n v="5"/>
    <n v="5"/>
    <n v="0"/>
    <x v="0"/>
    <x v="0"/>
  </r>
  <r>
    <n v="64"/>
    <n v="1"/>
    <x v="0"/>
    <s v="Video"/>
    <n v="4"/>
    <n v="4"/>
    <n v="0"/>
    <x v="0"/>
    <x v="0"/>
  </r>
  <r>
    <n v="64"/>
    <n v="2"/>
    <x v="1"/>
    <s v="Text"/>
    <n v="15"/>
    <n v="17"/>
    <n v="0.1333333333333333"/>
    <x v="0"/>
    <x v="0"/>
  </r>
  <r>
    <n v="64"/>
    <n v="3"/>
    <x v="2"/>
    <s v="Übung"/>
    <n v="30"/>
    <n v="28"/>
    <n v="-6.6666666666666652E-2"/>
    <x v="0"/>
    <x v="1"/>
  </r>
  <r>
    <n v="64"/>
    <n v="4"/>
    <x v="3"/>
    <s v="Übung"/>
    <n v="30"/>
    <n v="22"/>
    <n v="-0.26666666666666672"/>
    <x v="0"/>
    <x v="3"/>
  </r>
  <r>
    <n v="64"/>
    <n v="5"/>
    <x v="4"/>
    <s v="Übung"/>
    <n v="30"/>
    <n v="42"/>
    <n v="0.39999999999999991"/>
    <x v="1"/>
    <x v="3"/>
  </r>
  <r>
    <n v="64"/>
    <n v="6"/>
    <x v="5"/>
    <s v="Handout"/>
    <n v="5"/>
    <n v="2"/>
    <n v="-0.6"/>
    <x v="2"/>
    <x v="1"/>
  </r>
  <r>
    <n v="64"/>
    <n v="7"/>
    <x v="6"/>
    <s v="Quiz"/>
    <n v="10"/>
    <n v="10"/>
    <n v="0"/>
    <x v="0"/>
    <x v="3"/>
  </r>
  <r>
    <n v="64"/>
    <n v="8"/>
    <x v="7"/>
    <s v="Video"/>
    <n v="5"/>
    <n v="5"/>
    <n v="0"/>
    <x v="0"/>
    <x v="0"/>
  </r>
  <r>
    <n v="66"/>
    <n v="1"/>
    <x v="0"/>
    <s v="Video"/>
    <n v="4"/>
    <n v="6"/>
    <n v="0.5"/>
    <x v="1"/>
    <x v="0"/>
  </r>
  <r>
    <n v="66"/>
    <n v="2"/>
    <x v="1"/>
    <s v="Text"/>
    <n v="15"/>
    <n v="18"/>
    <n v="0.19999999999999996"/>
    <x v="0"/>
    <x v="1"/>
  </r>
  <r>
    <n v="66"/>
    <n v="3"/>
    <x v="2"/>
    <s v="Übung"/>
    <n v="30"/>
    <n v="28"/>
    <n v="-6.6666666666666652E-2"/>
    <x v="0"/>
    <x v="1"/>
  </r>
  <r>
    <n v="66"/>
    <n v="4"/>
    <x v="3"/>
    <s v="Übung"/>
    <n v="30"/>
    <n v="22"/>
    <n v="-0.26666666666666672"/>
    <x v="0"/>
    <x v="3"/>
  </r>
  <r>
    <n v="66"/>
    <n v="5"/>
    <x v="4"/>
    <s v="Übung"/>
    <n v="30"/>
    <n v="40"/>
    <n v="0.33333333333333326"/>
    <x v="1"/>
    <x v="2"/>
  </r>
  <r>
    <n v="66"/>
    <n v="6"/>
    <x v="5"/>
    <s v="Handout"/>
    <n v="5"/>
    <n v="2"/>
    <n v="-0.6"/>
    <x v="2"/>
    <x v="1"/>
  </r>
  <r>
    <n v="66"/>
    <n v="7"/>
    <x v="6"/>
    <s v="Quiz"/>
    <n v="10"/>
    <n v="10"/>
    <n v="0"/>
    <x v="0"/>
    <x v="3"/>
  </r>
  <r>
    <n v="66"/>
    <n v="8"/>
    <x v="7"/>
    <s v="Video"/>
    <n v="5"/>
    <n v="5"/>
    <n v="0"/>
    <x v="0"/>
    <x v="0"/>
  </r>
  <r>
    <n v="68"/>
    <n v="1"/>
    <x v="0"/>
    <s v="Video"/>
    <n v="4"/>
    <n v="4"/>
    <n v="0"/>
    <x v="0"/>
    <x v="0"/>
  </r>
  <r>
    <n v="68"/>
    <n v="2"/>
    <x v="1"/>
    <s v="Text"/>
    <n v="15"/>
    <n v="16"/>
    <n v="6.6666666666666652E-2"/>
    <x v="0"/>
    <x v="0"/>
  </r>
  <r>
    <n v="68"/>
    <n v="3"/>
    <x v="2"/>
    <s v="Übung"/>
    <n v="30"/>
    <n v="30"/>
    <n v="0"/>
    <x v="0"/>
    <x v="1"/>
  </r>
  <r>
    <n v="68"/>
    <n v="4"/>
    <x v="3"/>
    <s v="Übung"/>
    <n v="30"/>
    <n v="19"/>
    <n v="-0.3666666666666667"/>
    <x v="2"/>
    <x v="3"/>
  </r>
  <r>
    <n v="68"/>
    <n v="5"/>
    <x v="4"/>
    <s v="Übung"/>
    <n v="30"/>
    <n v="47"/>
    <n v="0.56666666666666665"/>
    <x v="1"/>
    <x v="2"/>
  </r>
  <r>
    <n v="68"/>
    <n v="6"/>
    <x v="5"/>
    <s v="Handout"/>
    <n v="5"/>
    <n v="1"/>
    <n v="-0.8"/>
    <x v="2"/>
    <x v="1"/>
  </r>
  <r>
    <n v="68"/>
    <n v="7"/>
    <x v="6"/>
    <s v="Quiz"/>
    <n v="10"/>
    <n v="8"/>
    <n v="-0.19999999999999996"/>
    <x v="0"/>
    <x v="3"/>
  </r>
  <r>
    <n v="68"/>
    <n v="8"/>
    <x v="7"/>
    <s v="Video"/>
    <n v="5"/>
    <n v="5"/>
    <n v="0"/>
    <x v="0"/>
    <x v="0"/>
  </r>
  <r>
    <n v="70"/>
    <n v="1"/>
    <x v="0"/>
    <s v="Video"/>
    <n v="4"/>
    <n v="4"/>
    <n v="0"/>
    <x v="0"/>
    <x v="0"/>
  </r>
  <r>
    <n v="70"/>
    <n v="2"/>
    <x v="1"/>
    <s v="Text"/>
    <n v="15"/>
    <n v="17"/>
    <n v="0.1333333333333333"/>
    <x v="0"/>
    <x v="0"/>
  </r>
  <r>
    <n v="70"/>
    <n v="3"/>
    <x v="2"/>
    <s v="Übung"/>
    <n v="30"/>
    <n v="28"/>
    <n v="-6.6666666666666652E-2"/>
    <x v="0"/>
    <x v="2"/>
  </r>
  <r>
    <n v="70"/>
    <n v="4"/>
    <x v="3"/>
    <s v="Übung"/>
    <n v="30"/>
    <n v="25"/>
    <n v="-0.16666666666666663"/>
    <x v="0"/>
    <x v="3"/>
  </r>
  <r>
    <n v="70"/>
    <n v="5"/>
    <x v="4"/>
    <s v="Übung"/>
    <n v="30"/>
    <n v="55"/>
    <n v="0.83333333333333326"/>
    <x v="3"/>
    <x v="3"/>
  </r>
  <r>
    <n v="70"/>
    <n v="6"/>
    <x v="5"/>
    <s v="Handout"/>
    <n v="5"/>
    <n v="3"/>
    <n v="-0.4"/>
    <x v="2"/>
    <x v="1"/>
  </r>
  <r>
    <n v="70"/>
    <n v="7"/>
    <x v="6"/>
    <s v="Quiz"/>
    <n v="10"/>
    <n v="10"/>
    <n v="0"/>
    <x v="0"/>
    <x v="2"/>
  </r>
  <r>
    <n v="70"/>
    <n v="8"/>
    <x v="7"/>
    <s v="Video"/>
    <n v="5"/>
    <n v="9"/>
    <n v="0.8"/>
    <x v="3"/>
    <x v="0"/>
  </r>
  <r>
    <n v="72"/>
    <n v="1"/>
    <x v="0"/>
    <s v="Video"/>
    <n v="4"/>
    <n v="4"/>
    <n v="0"/>
    <x v="0"/>
    <x v="0"/>
  </r>
  <r>
    <n v="72"/>
    <n v="2"/>
    <x v="1"/>
    <s v="Text"/>
    <n v="15"/>
    <n v="17"/>
    <n v="0.1333333333333333"/>
    <x v="0"/>
    <x v="0"/>
  </r>
  <r>
    <n v="72"/>
    <n v="3"/>
    <x v="2"/>
    <s v="Übung"/>
    <n v="30"/>
    <n v="27"/>
    <n v="-9.9999999999999978E-2"/>
    <x v="0"/>
    <x v="1"/>
  </r>
  <r>
    <n v="72"/>
    <n v="4"/>
    <x v="3"/>
    <s v="Übung"/>
    <n v="30"/>
    <n v="24"/>
    <n v="-0.19999999999999996"/>
    <x v="0"/>
    <x v="2"/>
  </r>
  <r>
    <n v="72"/>
    <n v="5"/>
    <x v="4"/>
    <s v="Übung"/>
    <n v="30"/>
    <n v="49"/>
    <n v="0.6333333333333333"/>
    <x v="3"/>
    <x v="3"/>
  </r>
  <r>
    <n v="72"/>
    <n v="6"/>
    <x v="5"/>
    <s v="Handout"/>
    <n v="5"/>
    <n v="1"/>
    <n v="-0.8"/>
    <x v="2"/>
    <x v="1"/>
  </r>
  <r>
    <n v="72"/>
    <n v="7"/>
    <x v="6"/>
    <s v="Quiz"/>
    <n v="10"/>
    <n v="9"/>
    <n v="-9.9999999999999978E-2"/>
    <x v="0"/>
    <x v="3"/>
  </r>
  <r>
    <n v="72"/>
    <n v="8"/>
    <x v="7"/>
    <s v="Video"/>
    <n v="5"/>
    <n v="7"/>
    <n v="0.39999999999999991"/>
    <x v="1"/>
    <x v="0"/>
  </r>
  <r>
    <n v="73"/>
    <n v="1"/>
    <x v="0"/>
    <s v="Video"/>
    <n v="4"/>
    <n v="4"/>
    <n v="0"/>
    <x v="0"/>
    <x v="0"/>
  </r>
  <r>
    <n v="73"/>
    <n v="2"/>
    <x v="1"/>
    <s v="Text"/>
    <n v="15"/>
    <n v="17"/>
    <n v="0.1333333333333333"/>
    <x v="0"/>
    <x v="1"/>
  </r>
  <r>
    <n v="73"/>
    <n v="3"/>
    <x v="2"/>
    <s v="Übung"/>
    <n v="30"/>
    <n v="28"/>
    <n v="-6.6666666666666652E-2"/>
    <x v="0"/>
    <x v="3"/>
  </r>
  <r>
    <n v="73"/>
    <n v="4"/>
    <x v="3"/>
    <s v="Übung"/>
    <n v="30"/>
    <n v="27"/>
    <n v="-9.9999999999999978E-2"/>
    <x v="0"/>
    <x v="3"/>
  </r>
  <r>
    <n v="73"/>
    <n v="5"/>
    <x v="4"/>
    <s v="Übung"/>
    <n v="30"/>
    <n v="49"/>
    <n v="0.6333333333333333"/>
    <x v="3"/>
    <x v="3"/>
  </r>
  <r>
    <n v="73"/>
    <n v="6"/>
    <x v="5"/>
    <s v="Handout"/>
    <n v="5"/>
    <n v="1"/>
    <n v="-0.8"/>
    <x v="2"/>
    <x v="1"/>
  </r>
  <r>
    <n v="73"/>
    <n v="7"/>
    <x v="6"/>
    <s v="Quiz"/>
    <n v="10"/>
    <n v="10"/>
    <n v="0"/>
    <x v="0"/>
    <x v="2"/>
  </r>
  <r>
    <n v="73"/>
    <n v="8"/>
    <x v="7"/>
    <s v="Video"/>
    <n v="5"/>
    <n v="5"/>
    <n v="0"/>
    <x v="0"/>
    <x v="0"/>
  </r>
  <r>
    <n v="74"/>
    <n v="1"/>
    <x v="0"/>
    <s v="Video"/>
    <n v="4"/>
    <n v="4"/>
    <n v="0"/>
    <x v="0"/>
    <x v="0"/>
  </r>
  <r>
    <n v="74"/>
    <n v="2"/>
    <x v="1"/>
    <s v="Text"/>
    <n v="15"/>
    <n v="16"/>
    <n v="6.6666666666666652E-2"/>
    <x v="0"/>
    <x v="1"/>
  </r>
  <r>
    <n v="74"/>
    <n v="3"/>
    <x v="2"/>
    <s v="Übung"/>
    <n v="30"/>
    <n v="29"/>
    <n v="-3.3333333333333326E-2"/>
    <x v="0"/>
    <x v="3"/>
  </r>
  <r>
    <n v="74"/>
    <n v="4"/>
    <x v="3"/>
    <s v="Übung"/>
    <n v="30"/>
    <n v="21"/>
    <n v="-0.30000000000000004"/>
    <x v="0"/>
    <x v="4"/>
  </r>
  <r>
    <n v="74"/>
    <n v="5"/>
    <x v="4"/>
    <s v="Übung"/>
    <n v="30"/>
    <n v="47"/>
    <n v="0.56666666666666665"/>
    <x v="1"/>
    <x v="2"/>
  </r>
  <r>
    <n v="74"/>
    <n v="6"/>
    <x v="5"/>
    <s v="Handout"/>
    <n v="5"/>
    <n v="1"/>
    <n v="-0.8"/>
    <x v="2"/>
    <x v="1"/>
  </r>
  <r>
    <n v="74"/>
    <n v="7"/>
    <x v="6"/>
    <s v="Quiz"/>
    <n v="10"/>
    <n v="10"/>
    <n v="0"/>
    <x v="0"/>
    <x v="3"/>
  </r>
  <r>
    <n v="74"/>
    <n v="8"/>
    <x v="7"/>
    <s v="Video"/>
    <n v="5"/>
    <n v="5"/>
    <n v="0"/>
    <x v="0"/>
    <x v="0"/>
  </r>
  <r>
    <n v="75"/>
    <n v="1"/>
    <x v="0"/>
    <s v="Video"/>
    <n v="4"/>
    <n v="4"/>
    <n v="0"/>
    <x v="0"/>
    <x v="0"/>
  </r>
  <r>
    <n v="75"/>
    <n v="2"/>
    <x v="1"/>
    <s v="Text"/>
    <n v="15"/>
    <n v="18"/>
    <n v="0.19999999999999996"/>
    <x v="0"/>
    <x v="3"/>
  </r>
  <r>
    <n v="75"/>
    <n v="3"/>
    <x v="2"/>
    <s v="Übung"/>
    <n v="30"/>
    <n v="28"/>
    <n v="-6.6666666666666652E-2"/>
    <x v="0"/>
    <x v="1"/>
  </r>
  <r>
    <n v="75"/>
    <n v="4"/>
    <x v="3"/>
    <s v="Übung"/>
    <n v="30"/>
    <n v="23"/>
    <n v="-0.23333333333333328"/>
    <x v="0"/>
    <x v="3"/>
  </r>
  <r>
    <n v="75"/>
    <n v="5"/>
    <x v="4"/>
    <s v="Übung"/>
    <n v="30"/>
    <n v="45"/>
    <n v="0.5"/>
    <x v="1"/>
    <x v="2"/>
  </r>
  <r>
    <n v="75"/>
    <n v="6"/>
    <x v="5"/>
    <s v="Handout"/>
    <n v="5"/>
    <n v="2"/>
    <n v="-0.6"/>
    <x v="2"/>
    <x v="1"/>
  </r>
  <r>
    <n v="75"/>
    <n v="7"/>
    <x v="6"/>
    <s v="Quiz"/>
    <n v="10"/>
    <n v="10"/>
    <n v="0"/>
    <x v="0"/>
    <x v="2"/>
  </r>
  <r>
    <n v="75"/>
    <n v="8"/>
    <x v="7"/>
    <s v="Video"/>
    <n v="5"/>
    <n v="5"/>
    <n v="0"/>
    <x v="0"/>
    <x v="0"/>
  </r>
  <r>
    <n v="76"/>
    <n v="1"/>
    <x v="0"/>
    <s v="Video"/>
    <n v="4"/>
    <n v="4"/>
    <n v="0"/>
    <x v="0"/>
    <x v="0"/>
  </r>
  <r>
    <n v="76"/>
    <n v="2"/>
    <x v="1"/>
    <s v="Text"/>
    <n v="15"/>
    <n v="17"/>
    <n v="0.1333333333333333"/>
    <x v="0"/>
    <x v="0"/>
  </r>
  <r>
    <n v="76"/>
    <n v="3"/>
    <x v="2"/>
    <s v="Übung"/>
    <n v="30"/>
    <n v="28"/>
    <n v="-6.6666666666666652E-2"/>
    <x v="0"/>
    <x v="3"/>
  </r>
  <r>
    <n v="76"/>
    <n v="4"/>
    <x v="3"/>
    <s v="Übung"/>
    <n v="30"/>
    <n v="34"/>
    <n v="0.1333333333333333"/>
    <x v="0"/>
    <x v="3"/>
  </r>
  <r>
    <n v="76"/>
    <n v="5"/>
    <x v="4"/>
    <s v="Übung"/>
    <n v="30"/>
    <n v="43"/>
    <n v="0.43333333333333335"/>
    <x v="1"/>
    <x v="2"/>
  </r>
  <r>
    <n v="76"/>
    <n v="6"/>
    <x v="5"/>
    <s v="Handout"/>
    <n v="5"/>
    <n v="2"/>
    <n v="-0.6"/>
    <x v="2"/>
    <x v="0"/>
  </r>
  <r>
    <n v="76"/>
    <n v="7"/>
    <x v="6"/>
    <s v="Quiz"/>
    <n v="10"/>
    <n v="10"/>
    <n v="0"/>
    <x v="0"/>
    <x v="3"/>
  </r>
  <r>
    <n v="76"/>
    <n v="8"/>
    <x v="7"/>
    <s v="Video"/>
    <n v="5"/>
    <n v="5"/>
    <n v="0"/>
    <x v="0"/>
    <x v="0"/>
  </r>
  <r>
    <n v="77"/>
    <n v="1"/>
    <x v="0"/>
    <s v="Video"/>
    <n v="4"/>
    <n v="4"/>
    <n v="0"/>
    <x v="0"/>
    <x v="0"/>
  </r>
  <r>
    <n v="77"/>
    <n v="2"/>
    <x v="1"/>
    <s v="Text"/>
    <n v="15"/>
    <n v="18"/>
    <n v="0.19999999999999996"/>
    <x v="0"/>
    <x v="0"/>
  </r>
  <r>
    <n v="77"/>
    <n v="3"/>
    <x v="2"/>
    <s v="Übung"/>
    <n v="30"/>
    <n v="28"/>
    <n v="-6.6666666666666652E-2"/>
    <x v="0"/>
    <x v="1"/>
  </r>
  <r>
    <n v="77"/>
    <n v="4"/>
    <x v="3"/>
    <s v="Übung"/>
    <n v="30"/>
    <n v="33"/>
    <n v="0.10000000000000009"/>
    <x v="0"/>
    <x v="3"/>
  </r>
  <r>
    <n v="77"/>
    <n v="5"/>
    <x v="4"/>
    <s v="Übung"/>
    <n v="30"/>
    <n v="45"/>
    <n v="0.5"/>
    <x v="1"/>
    <x v="2"/>
  </r>
  <r>
    <n v="77"/>
    <n v="6"/>
    <x v="5"/>
    <s v="Handout"/>
    <n v="5"/>
    <n v="1"/>
    <n v="-0.8"/>
    <x v="2"/>
    <x v="1"/>
  </r>
  <r>
    <n v="77"/>
    <n v="7"/>
    <x v="6"/>
    <s v="Quiz"/>
    <n v="10"/>
    <n v="10"/>
    <n v="0"/>
    <x v="0"/>
    <x v="3"/>
  </r>
  <r>
    <n v="77"/>
    <n v="8"/>
    <x v="7"/>
    <s v="Video"/>
    <n v="5"/>
    <n v="5"/>
    <n v="0"/>
    <x v="0"/>
    <x v="0"/>
  </r>
  <r>
    <n v="78"/>
    <n v="1"/>
    <x v="0"/>
    <s v="Video"/>
    <n v="4"/>
    <n v="4"/>
    <n v="0"/>
    <x v="0"/>
    <x v="0"/>
  </r>
  <r>
    <n v="78"/>
    <n v="2"/>
    <x v="1"/>
    <s v="Text"/>
    <n v="15"/>
    <n v="20"/>
    <n v="0.33333333333333326"/>
    <x v="1"/>
    <x v="1"/>
  </r>
  <r>
    <n v="78"/>
    <n v="3"/>
    <x v="2"/>
    <s v="Übung"/>
    <n v="30"/>
    <n v="23"/>
    <n v="-0.23333333333333328"/>
    <x v="0"/>
    <x v="1"/>
  </r>
  <r>
    <n v="78"/>
    <n v="4"/>
    <x v="3"/>
    <s v="Übung"/>
    <n v="30"/>
    <n v="29"/>
    <n v="-3.3333333333333326E-2"/>
    <x v="0"/>
    <x v="3"/>
  </r>
  <r>
    <n v="78"/>
    <n v="5"/>
    <x v="4"/>
    <s v="Übung"/>
    <n v="30"/>
    <n v="47"/>
    <n v="0.56666666666666665"/>
    <x v="1"/>
    <x v="2"/>
  </r>
  <r>
    <n v="78"/>
    <n v="6"/>
    <x v="5"/>
    <s v="Handout"/>
    <n v="5"/>
    <n v="1"/>
    <n v="-0.8"/>
    <x v="2"/>
    <x v="1"/>
  </r>
  <r>
    <n v="78"/>
    <n v="7"/>
    <x v="6"/>
    <s v="Quiz"/>
    <n v="10"/>
    <n v="8"/>
    <n v="-0.19999999999999996"/>
    <x v="0"/>
    <x v="3"/>
  </r>
  <r>
    <n v="78"/>
    <n v="8"/>
    <x v="7"/>
    <s v="Video"/>
    <n v="5"/>
    <n v="8"/>
    <n v="0.60000000000000009"/>
    <x v="1"/>
    <x v="0"/>
  </r>
  <r>
    <n v="79"/>
    <n v="1"/>
    <x v="0"/>
    <s v="Video"/>
    <n v="4"/>
    <n v="4"/>
    <n v="0"/>
    <x v="0"/>
    <x v="0"/>
  </r>
  <r>
    <n v="79"/>
    <n v="2"/>
    <x v="1"/>
    <s v="Text"/>
    <n v="15"/>
    <n v="15"/>
    <n v="0"/>
    <x v="0"/>
    <x v="1"/>
  </r>
  <r>
    <n v="79"/>
    <n v="3"/>
    <x v="2"/>
    <s v="Übung"/>
    <n v="30"/>
    <n v="29"/>
    <n v="-3.3333333333333326E-2"/>
    <x v="0"/>
    <x v="3"/>
  </r>
  <r>
    <n v="79"/>
    <n v="4"/>
    <x v="3"/>
    <s v="Übung"/>
    <n v="30"/>
    <n v="25"/>
    <n v="-0.16666666666666663"/>
    <x v="0"/>
    <x v="1"/>
  </r>
  <r>
    <n v="79"/>
    <n v="5"/>
    <x v="4"/>
    <s v="Übung"/>
    <n v="30"/>
    <n v="55"/>
    <n v="0.83333333333333326"/>
    <x v="3"/>
    <x v="2"/>
  </r>
  <r>
    <n v="79"/>
    <n v="6"/>
    <x v="5"/>
    <s v="Handout"/>
    <n v="5"/>
    <n v="2"/>
    <n v="-0.6"/>
    <x v="2"/>
    <x v="1"/>
  </r>
  <r>
    <n v="79"/>
    <n v="7"/>
    <x v="6"/>
    <s v="Quiz"/>
    <n v="10"/>
    <n v="9"/>
    <n v="-9.9999999999999978E-2"/>
    <x v="0"/>
    <x v="2"/>
  </r>
  <r>
    <n v="79"/>
    <n v="8"/>
    <x v="7"/>
    <s v="Video"/>
    <n v="5"/>
    <n v="9"/>
    <n v="0.8"/>
    <x v="3"/>
    <x v="0"/>
  </r>
  <r>
    <n v="80"/>
    <n v="1"/>
    <x v="0"/>
    <s v="Video"/>
    <n v="4"/>
    <n v="4"/>
    <n v="0"/>
    <x v="0"/>
    <x v="0"/>
  </r>
  <r>
    <n v="80"/>
    <n v="2"/>
    <x v="1"/>
    <s v="Text"/>
    <n v="15"/>
    <n v="15"/>
    <n v="0"/>
    <x v="0"/>
    <x v="0"/>
  </r>
  <r>
    <n v="80"/>
    <n v="3"/>
    <x v="2"/>
    <s v="Übung"/>
    <n v="30"/>
    <n v="27"/>
    <n v="-9.9999999999999978E-2"/>
    <x v="0"/>
    <x v="1"/>
  </r>
  <r>
    <n v="80"/>
    <n v="4"/>
    <x v="3"/>
    <s v="Übung"/>
    <n v="30"/>
    <n v="27"/>
    <n v="-9.9999999999999978E-2"/>
    <x v="0"/>
    <x v="3"/>
  </r>
  <r>
    <n v="80"/>
    <n v="5"/>
    <x v="4"/>
    <s v="Übung"/>
    <n v="30"/>
    <n v="43"/>
    <n v="0.43333333333333335"/>
    <x v="1"/>
    <x v="2"/>
  </r>
  <r>
    <n v="80"/>
    <n v="6"/>
    <x v="5"/>
    <s v="Handout"/>
    <n v="5"/>
    <n v="2"/>
    <n v="-0.6"/>
    <x v="2"/>
    <x v="3"/>
  </r>
  <r>
    <n v="80"/>
    <n v="7"/>
    <x v="6"/>
    <s v="Quiz"/>
    <n v="10"/>
    <n v="8"/>
    <n v="-0.19999999999999996"/>
    <x v="0"/>
    <x v="3"/>
  </r>
  <r>
    <n v="80"/>
    <n v="8"/>
    <x v="7"/>
    <s v="Video"/>
    <n v="5"/>
    <n v="8"/>
    <n v="0.60000000000000009"/>
    <x v="1"/>
    <x v="0"/>
  </r>
  <r>
    <n v="83"/>
    <n v="1"/>
    <x v="0"/>
    <s v="Video"/>
    <n v="4"/>
    <n v="4"/>
    <n v="0"/>
    <x v="0"/>
    <x v="0"/>
  </r>
  <r>
    <n v="83"/>
    <n v="2"/>
    <x v="1"/>
    <s v="Text"/>
    <n v="15"/>
    <n v="19"/>
    <n v="0.26666666666666661"/>
    <x v="0"/>
    <x v="3"/>
  </r>
  <r>
    <n v="83"/>
    <n v="3"/>
    <x v="2"/>
    <s v="Übung"/>
    <n v="30"/>
    <n v="28"/>
    <n v="-6.6666666666666652E-2"/>
    <x v="0"/>
    <x v="3"/>
  </r>
  <r>
    <n v="83"/>
    <n v="4"/>
    <x v="3"/>
    <s v="Übung"/>
    <n v="30"/>
    <n v="27"/>
    <n v="-9.9999999999999978E-2"/>
    <x v="0"/>
    <x v="3"/>
  </r>
  <r>
    <n v="83"/>
    <n v="5"/>
    <x v="4"/>
    <s v="Übung"/>
    <n v="30"/>
    <n v="49"/>
    <n v="0.6333333333333333"/>
    <x v="3"/>
    <x v="3"/>
  </r>
  <r>
    <n v="83"/>
    <n v="6"/>
    <x v="5"/>
    <s v="Handout"/>
    <n v="5"/>
    <n v="1"/>
    <n v="-0.8"/>
    <x v="2"/>
    <x v="1"/>
  </r>
  <r>
    <n v="83"/>
    <n v="7"/>
    <x v="6"/>
    <s v="Quiz"/>
    <n v="10"/>
    <n v="9"/>
    <n v="-9.9999999999999978E-2"/>
    <x v="0"/>
    <x v="2"/>
  </r>
  <r>
    <n v="83"/>
    <n v="8"/>
    <x v="7"/>
    <s v="Video"/>
    <n v="5"/>
    <n v="7"/>
    <n v="0.39999999999999991"/>
    <x v="1"/>
    <x v="0"/>
  </r>
  <r>
    <n v="84"/>
    <n v="1"/>
    <x v="0"/>
    <s v="Video"/>
    <n v="4"/>
    <n v="4"/>
    <n v="0"/>
    <x v="0"/>
    <x v="0"/>
  </r>
  <r>
    <n v="84"/>
    <n v="2"/>
    <x v="1"/>
    <s v="Text"/>
    <n v="15"/>
    <n v="18"/>
    <n v="0.19999999999999996"/>
    <x v="0"/>
    <x v="0"/>
  </r>
  <r>
    <n v="84"/>
    <n v="3"/>
    <x v="2"/>
    <s v="Übung"/>
    <n v="30"/>
    <n v="28"/>
    <n v="-6.6666666666666652E-2"/>
    <x v="0"/>
    <x v="3"/>
  </r>
  <r>
    <n v="84"/>
    <n v="4"/>
    <x v="3"/>
    <s v="Übung"/>
    <n v="30"/>
    <n v="30"/>
    <n v="0"/>
    <x v="0"/>
    <x v="3"/>
  </r>
  <r>
    <n v="84"/>
    <n v="5"/>
    <x v="4"/>
    <s v="Übung"/>
    <n v="30"/>
    <n v="42"/>
    <n v="0.39999999999999991"/>
    <x v="1"/>
    <x v="2"/>
  </r>
  <r>
    <n v="84"/>
    <n v="6"/>
    <x v="5"/>
    <s v="Handout"/>
    <n v="5"/>
    <n v="1"/>
    <n v="-0.8"/>
    <x v="2"/>
    <x v="1"/>
  </r>
  <r>
    <n v="84"/>
    <n v="7"/>
    <x v="6"/>
    <s v="Quiz"/>
    <n v="10"/>
    <n v="9"/>
    <n v="-9.9999999999999978E-2"/>
    <x v="0"/>
    <x v="3"/>
  </r>
  <r>
    <n v="84"/>
    <n v="8"/>
    <x v="7"/>
    <s v="Video"/>
    <n v="5"/>
    <n v="5"/>
    <n v="0"/>
    <x v="0"/>
    <x v="0"/>
  </r>
  <r>
    <n v="85"/>
    <n v="1"/>
    <x v="0"/>
    <s v="Video"/>
    <n v="4"/>
    <n v="4"/>
    <n v="0"/>
    <x v="0"/>
    <x v="0"/>
  </r>
  <r>
    <n v="85"/>
    <n v="2"/>
    <x v="1"/>
    <s v="Text"/>
    <n v="15"/>
    <n v="19"/>
    <n v="0.26666666666666661"/>
    <x v="0"/>
    <x v="0"/>
  </r>
  <r>
    <n v="85"/>
    <n v="3"/>
    <x v="2"/>
    <s v="Übung"/>
    <n v="30"/>
    <n v="27"/>
    <n v="-9.9999999999999978E-2"/>
    <x v="0"/>
    <x v="3"/>
  </r>
  <r>
    <n v="85"/>
    <n v="4"/>
    <x v="3"/>
    <s v="Übung"/>
    <n v="30"/>
    <n v="29"/>
    <n v="-3.3333333333333326E-2"/>
    <x v="0"/>
    <x v="3"/>
  </r>
  <r>
    <n v="85"/>
    <n v="5"/>
    <x v="4"/>
    <s v="Übung"/>
    <n v="30"/>
    <n v="40"/>
    <n v="0.33333333333333326"/>
    <x v="1"/>
    <x v="2"/>
  </r>
  <r>
    <n v="85"/>
    <n v="6"/>
    <x v="5"/>
    <s v="Handout"/>
    <n v="5"/>
    <n v="1"/>
    <n v="-0.8"/>
    <x v="2"/>
    <x v="1"/>
  </r>
  <r>
    <n v="85"/>
    <n v="7"/>
    <x v="6"/>
    <s v="Quiz"/>
    <n v="10"/>
    <n v="12"/>
    <n v="0.19999999999999996"/>
    <x v="0"/>
    <x v="3"/>
  </r>
  <r>
    <n v="85"/>
    <n v="8"/>
    <x v="7"/>
    <s v="Video"/>
    <n v="5"/>
    <n v="5"/>
    <n v="0"/>
    <x v="0"/>
    <x v="0"/>
  </r>
  <r>
    <n v="87"/>
    <n v="1"/>
    <x v="0"/>
    <s v="Video"/>
    <n v="4"/>
    <n v="4"/>
    <n v="0"/>
    <x v="0"/>
    <x v="0"/>
  </r>
  <r>
    <n v="87"/>
    <n v="2"/>
    <x v="1"/>
    <s v="Text"/>
    <n v="15"/>
    <n v="20"/>
    <n v="0.33333333333333326"/>
    <x v="1"/>
    <x v="0"/>
  </r>
  <r>
    <n v="87"/>
    <n v="3"/>
    <x v="2"/>
    <s v="Übung"/>
    <n v="30"/>
    <n v="28"/>
    <n v="-6.6666666666666652E-2"/>
    <x v="0"/>
    <x v="3"/>
  </r>
  <r>
    <n v="87"/>
    <n v="4"/>
    <x v="3"/>
    <s v="Übung"/>
    <n v="30"/>
    <n v="29"/>
    <n v="-3.3333333333333326E-2"/>
    <x v="0"/>
    <x v="1"/>
  </r>
  <r>
    <n v="87"/>
    <n v="5"/>
    <x v="4"/>
    <s v="Übung"/>
    <n v="30"/>
    <n v="54"/>
    <n v="0.8"/>
    <x v="3"/>
    <x v="2"/>
  </r>
  <r>
    <n v="87"/>
    <n v="6"/>
    <x v="5"/>
    <s v="Handout"/>
    <n v="5"/>
    <n v="3"/>
    <n v="-0.4"/>
    <x v="2"/>
    <x v="0"/>
  </r>
  <r>
    <n v="87"/>
    <n v="7"/>
    <x v="6"/>
    <s v="Quiz"/>
    <n v="10"/>
    <n v="9"/>
    <n v="-9.9999999999999978E-2"/>
    <x v="0"/>
    <x v="3"/>
  </r>
  <r>
    <n v="87"/>
    <n v="8"/>
    <x v="7"/>
    <s v="Video"/>
    <n v="5"/>
    <n v="6"/>
    <n v="0.19999999999999996"/>
    <x v="0"/>
    <x v="0"/>
  </r>
  <r>
    <n v="88"/>
    <n v="1"/>
    <x v="0"/>
    <s v="Video"/>
    <n v="4"/>
    <n v="4"/>
    <n v="0"/>
    <x v="0"/>
    <x v="1"/>
  </r>
  <r>
    <n v="88"/>
    <n v="2"/>
    <x v="1"/>
    <s v="Text"/>
    <n v="15"/>
    <n v="20"/>
    <n v="0.33333333333333326"/>
    <x v="1"/>
    <x v="1"/>
  </r>
  <r>
    <n v="88"/>
    <n v="3"/>
    <x v="2"/>
    <s v="Übung"/>
    <n v="30"/>
    <n v="30"/>
    <n v="0"/>
    <x v="0"/>
    <x v="3"/>
  </r>
  <r>
    <n v="88"/>
    <n v="4"/>
    <x v="3"/>
    <s v="Übung"/>
    <n v="30"/>
    <n v="27"/>
    <n v="-9.9999999999999978E-2"/>
    <x v="0"/>
    <x v="3"/>
  </r>
  <r>
    <n v="88"/>
    <n v="5"/>
    <x v="4"/>
    <s v="Übung"/>
    <n v="30"/>
    <n v="45"/>
    <n v="0.5"/>
    <x v="1"/>
    <x v="2"/>
  </r>
  <r>
    <n v="88"/>
    <n v="6"/>
    <x v="5"/>
    <s v="Handout"/>
    <n v="5"/>
    <n v="3"/>
    <n v="-0.4"/>
    <x v="2"/>
    <x v="0"/>
  </r>
  <r>
    <n v="88"/>
    <n v="7"/>
    <x v="6"/>
    <s v="Quiz"/>
    <n v="10"/>
    <n v="8"/>
    <n v="-0.19999999999999996"/>
    <x v="0"/>
    <x v="3"/>
  </r>
  <r>
    <n v="88"/>
    <n v="8"/>
    <x v="7"/>
    <s v="Video"/>
    <n v="5"/>
    <n v="6"/>
    <n v="0.19999999999999996"/>
    <x v="0"/>
    <x v="0"/>
  </r>
  <r>
    <n v="89"/>
    <n v="1"/>
    <x v="0"/>
    <s v="Video"/>
    <n v="4"/>
    <n v="4"/>
    <n v="0"/>
    <x v="0"/>
    <x v="0"/>
  </r>
  <r>
    <n v="89"/>
    <n v="2"/>
    <x v="1"/>
    <s v="Text"/>
    <n v="15"/>
    <n v="16"/>
    <n v="6.6666666666666652E-2"/>
    <x v="0"/>
    <x v="1"/>
  </r>
  <r>
    <n v="89"/>
    <n v="3"/>
    <x v="2"/>
    <s v="Übung"/>
    <n v="30"/>
    <n v="28"/>
    <n v="-6.6666666666666652E-2"/>
    <x v="0"/>
    <x v="3"/>
  </r>
  <r>
    <n v="89"/>
    <n v="4"/>
    <x v="3"/>
    <s v="Übung"/>
    <n v="30"/>
    <n v="27"/>
    <n v="-9.9999999999999978E-2"/>
    <x v="0"/>
    <x v="3"/>
  </r>
  <r>
    <n v="89"/>
    <n v="5"/>
    <x v="4"/>
    <s v="Übung"/>
    <n v="30"/>
    <n v="37"/>
    <n v="0.23333333333333339"/>
    <x v="0"/>
    <x v="2"/>
  </r>
  <r>
    <n v="89"/>
    <n v="6"/>
    <x v="5"/>
    <s v="Handout"/>
    <n v="5"/>
    <n v="3"/>
    <n v="-0.4"/>
    <x v="2"/>
    <x v="1"/>
  </r>
  <r>
    <n v="89"/>
    <n v="7"/>
    <x v="6"/>
    <s v="Quiz"/>
    <n v="10"/>
    <n v="8"/>
    <n v="-0.19999999999999996"/>
    <x v="0"/>
    <x v="3"/>
  </r>
  <r>
    <n v="89"/>
    <n v="8"/>
    <x v="7"/>
    <s v="Video"/>
    <n v="5"/>
    <n v="9"/>
    <n v="0.8"/>
    <x v="3"/>
    <x v="0"/>
  </r>
  <r>
    <n v="90"/>
    <n v="1"/>
    <x v="0"/>
    <s v="Video"/>
    <n v="4"/>
    <n v="4"/>
    <n v="0"/>
    <x v="0"/>
    <x v="0"/>
  </r>
  <r>
    <n v="90"/>
    <n v="2"/>
    <x v="1"/>
    <s v="Text"/>
    <n v="15"/>
    <n v="21"/>
    <n v="0.39999999999999991"/>
    <x v="1"/>
    <x v="1"/>
  </r>
  <r>
    <n v="90"/>
    <n v="3"/>
    <x v="2"/>
    <s v="Übung"/>
    <n v="30"/>
    <n v="29"/>
    <n v="-3.3333333333333326E-2"/>
    <x v="0"/>
    <x v="3"/>
  </r>
  <r>
    <n v="90"/>
    <n v="4"/>
    <x v="3"/>
    <s v="Übung"/>
    <n v="30"/>
    <n v="27"/>
    <n v="-9.9999999999999978E-2"/>
    <x v="0"/>
    <x v="3"/>
  </r>
  <r>
    <n v="90"/>
    <n v="5"/>
    <x v="4"/>
    <s v="Übung"/>
    <n v="30"/>
    <n v="52"/>
    <n v="0.73333333333333339"/>
    <x v="3"/>
    <x v="3"/>
  </r>
  <r>
    <n v="90"/>
    <n v="6"/>
    <x v="5"/>
    <s v="Handout"/>
    <n v="5"/>
    <n v="2"/>
    <n v="-0.6"/>
    <x v="2"/>
    <x v="0"/>
  </r>
  <r>
    <n v="90"/>
    <n v="7"/>
    <x v="6"/>
    <s v="Quiz"/>
    <n v="10"/>
    <n v="8"/>
    <n v="-0.19999999999999996"/>
    <x v="0"/>
    <x v="3"/>
  </r>
  <r>
    <n v="90"/>
    <n v="8"/>
    <x v="7"/>
    <s v="Video"/>
    <n v="5"/>
    <n v="5"/>
    <n v="0"/>
    <x v="0"/>
    <x v="0"/>
  </r>
  <r>
    <n v="91"/>
    <n v="1"/>
    <x v="0"/>
    <s v="Video"/>
    <n v="4"/>
    <n v="4"/>
    <n v="0"/>
    <x v="0"/>
    <x v="0"/>
  </r>
  <r>
    <n v="91"/>
    <n v="2"/>
    <x v="1"/>
    <s v="Text"/>
    <n v="15"/>
    <n v="18"/>
    <n v="0.19999999999999996"/>
    <x v="0"/>
    <x v="0"/>
  </r>
  <r>
    <n v="91"/>
    <n v="3"/>
    <x v="2"/>
    <s v="Übung"/>
    <n v="30"/>
    <n v="30"/>
    <n v="0"/>
    <x v="0"/>
    <x v="1"/>
  </r>
  <r>
    <n v="91"/>
    <n v="4"/>
    <x v="3"/>
    <s v="Übung"/>
    <n v="30"/>
    <n v="30"/>
    <n v="0"/>
    <x v="0"/>
    <x v="3"/>
  </r>
  <r>
    <n v="91"/>
    <n v="5"/>
    <x v="4"/>
    <s v="Übung"/>
    <n v="30"/>
    <n v="40"/>
    <n v="0.33333333333333326"/>
    <x v="1"/>
    <x v="2"/>
  </r>
  <r>
    <n v="91"/>
    <n v="6"/>
    <x v="5"/>
    <s v="Handout"/>
    <n v="5"/>
    <n v="1"/>
    <n v="-0.8"/>
    <x v="2"/>
    <x v="1"/>
  </r>
  <r>
    <n v="91"/>
    <n v="7"/>
    <x v="6"/>
    <s v="Quiz"/>
    <n v="10"/>
    <n v="11"/>
    <n v="0.10000000000000009"/>
    <x v="0"/>
    <x v="3"/>
  </r>
  <r>
    <n v="91"/>
    <n v="8"/>
    <x v="7"/>
    <s v="Video"/>
    <n v="5"/>
    <n v="5"/>
    <n v="0"/>
    <x v="0"/>
    <x v="0"/>
  </r>
  <r>
    <n v="92"/>
    <n v="1"/>
    <x v="0"/>
    <s v="Video"/>
    <n v="4"/>
    <n v="4"/>
    <n v="0"/>
    <x v="0"/>
    <x v="0"/>
  </r>
  <r>
    <n v="92"/>
    <n v="2"/>
    <x v="1"/>
    <s v="Text"/>
    <n v="15"/>
    <n v="17"/>
    <n v="0.1333333333333333"/>
    <x v="0"/>
    <x v="0"/>
  </r>
  <r>
    <n v="92"/>
    <n v="3"/>
    <x v="2"/>
    <s v="Übung"/>
    <n v="30"/>
    <n v="30"/>
    <n v="0"/>
    <x v="0"/>
    <x v="1"/>
  </r>
  <r>
    <n v="92"/>
    <n v="4"/>
    <x v="3"/>
    <s v="Übung"/>
    <n v="30"/>
    <n v="31"/>
    <n v="3.3333333333333437E-2"/>
    <x v="0"/>
    <x v="3"/>
  </r>
  <r>
    <n v="92"/>
    <n v="5"/>
    <x v="4"/>
    <s v="Übung"/>
    <n v="30"/>
    <n v="41"/>
    <n v="0.3666666666666667"/>
    <x v="1"/>
    <x v="2"/>
  </r>
  <r>
    <n v="92"/>
    <n v="6"/>
    <x v="5"/>
    <s v="Handout"/>
    <n v="5"/>
    <n v="1"/>
    <n v="-0.8"/>
    <x v="2"/>
    <x v="1"/>
  </r>
  <r>
    <n v="92"/>
    <n v="7"/>
    <x v="6"/>
    <s v="Quiz"/>
    <n v="10"/>
    <n v="10"/>
    <n v="0"/>
    <x v="0"/>
    <x v="2"/>
  </r>
  <r>
    <n v="92"/>
    <n v="8"/>
    <x v="7"/>
    <s v="Video"/>
    <n v="5"/>
    <n v="5"/>
    <n v="0"/>
    <x v="0"/>
    <x v="0"/>
  </r>
  <r>
    <n v="93"/>
    <n v="1"/>
    <x v="0"/>
    <s v="Video"/>
    <n v="4"/>
    <n v="4"/>
    <n v="0"/>
    <x v="0"/>
    <x v="1"/>
  </r>
  <r>
    <n v="93"/>
    <n v="2"/>
    <x v="1"/>
    <s v="Text"/>
    <n v="15"/>
    <n v="18"/>
    <n v="0.19999999999999996"/>
    <x v="0"/>
    <x v="0"/>
  </r>
  <r>
    <n v="93"/>
    <n v="3"/>
    <x v="2"/>
    <s v="Übung"/>
    <n v="30"/>
    <n v="28"/>
    <n v="-6.6666666666666652E-2"/>
    <x v="0"/>
    <x v="3"/>
  </r>
  <r>
    <n v="93"/>
    <n v="4"/>
    <x v="3"/>
    <s v="Übung"/>
    <n v="30"/>
    <n v="21"/>
    <n v="-0.30000000000000004"/>
    <x v="0"/>
    <x v="3"/>
  </r>
  <r>
    <n v="93"/>
    <n v="5"/>
    <x v="4"/>
    <s v="Übung"/>
    <n v="30"/>
    <n v="51"/>
    <n v="0.7"/>
    <x v="3"/>
    <x v="2"/>
  </r>
  <r>
    <n v="93"/>
    <n v="6"/>
    <x v="5"/>
    <s v="Handout"/>
    <n v="5"/>
    <n v="3"/>
    <n v="-0.4"/>
    <x v="2"/>
    <x v="1"/>
  </r>
  <r>
    <n v="93"/>
    <n v="7"/>
    <x v="6"/>
    <s v="Quiz"/>
    <n v="10"/>
    <n v="10"/>
    <n v="0"/>
    <x v="0"/>
    <x v="2"/>
  </r>
  <r>
    <n v="93"/>
    <n v="8"/>
    <x v="7"/>
    <s v="Video"/>
    <n v="5"/>
    <n v="5"/>
    <n v="0"/>
    <x v="0"/>
    <x v="1"/>
  </r>
  <r>
    <n v="94"/>
    <n v="1"/>
    <x v="0"/>
    <s v="Video"/>
    <n v="4"/>
    <n v="4"/>
    <n v="0"/>
    <x v="0"/>
    <x v="0"/>
  </r>
  <r>
    <n v="94"/>
    <n v="2"/>
    <x v="1"/>
    <s v="Text"/>
    <n v="15"/>
    <n v="17"/>
    <n v="0.1333333333333333"/>
    <x v="0"/>
    <x v="0"/>
  </r>
  <r>
    <n v="94"/>
    <n v="3"/>
    <x v="2"/>
    <s v="Übung"/>
    <n v="30"/>
    <n v="29"/>
    <n v="-3.3333333333333326E-2"/>
    <x v="0"/>
    <x v="1"/>
  </r>
  <r>
    <n v="94"/>
    <n v="4"/>
    <x v="3"/>
    <s v="Übung"/>
    <n v="30"/>
    <n v="38"/>
    <n v="0.26666666666666661"/>
    <x v="0"/>
    <x v="1"/>
  </r>
  <r>
    <n v="94"/>
    <n v="5"/>
    <x v="4"/>
    <s v="Übung"/>
    <n v="30"/>
    <n v="46"/>
    <n v="0.53333333333333344"/>
    <x v="1"/>
    <x v="2"/>
  </r>
  <r>
    <n v="94"/>
    <n v="6"/>
    <x v="5"/>
    <s v="Handout"/>
    <n v="5"/>
    <n v="1"/>
    <n v="-0.8"/>
    <x v="2"/>
    <x v="3"/>
  </r>
  <r>
    <n v="94"/>
    <n v="7"/>
    <x v="6"/>
    <s v="Quiz"/>
    <n v="10"/>
    <n v="10"/>
    <n v="0"/>
    <x v="0"/>
    <x v="3"/>
  </r>
  <r>
    <n v="94"/>
    <n v="8"/>
    <x v="7"/>
    <s v="Video"/>
    <n v="5"/>
    <n v="9"/>
    <n v="0.8"/>
    <x v="3"/>
    <x v="0"/>
  </r>
  <r>
    <n v="95"/>
    <n v="1"/>
    <x v="0"/>
    <s v="Video"/>
    <n v="4"/>
    <n v="4"/>
    <n v="0"/>
    <x v="0"/>
    <x v="1"/>
  </r>
  <r>
    <n v="95"/>
    <n v="2"/>
    <x v="1"/>
    <s v="Text"/>
    <n v="15"/>
    <n v="18"/>
    <n v="0.19999999999999996"/>
    <x v="0"/>
    <x v="0"/>
  </r>
  <r>
    <n v="95"/>
    <n v="3"/>
    <x v="2"/>
    <s v="Übung"/>
    <n v="30"/>
    <n v="29"/>
    <n v="-3.3333333333333326E-2"/>
    <x v="0"/>
    <x v="1"/>
  </r>
  <r>
    <n v="95"/>
    <n v="4"/>
    <x v="3"/>
    <s v="Übung"/>
    <n v="30"/>
    <n v="26"/>
    <n v="-0.1333333333333333"/>
    <x v="0"/>
    <x v="3"/>
  </r>
  <r>
    <n v="95"/>
    <n v="5"/>
    <x v="4"/>
    <s v="Übung"/>
    <n v="30"/>
    <n v="24"/>
    <n v="-0.19999999999999996"/>
    <x v="0"/>
    <x v="4"/>
  </r>
  <r>
    <n v="95"/>
    <n v="6"/>
    <x v="5"/>
    <s v="Handout"/>
    <n v="5"/>
    <n v="1"/>
    <n v="-0.8"/>
    <x v="2"/>
    <x v="1"/>
  </r>
  <r>
    <n v="95"/>
    <n v="7"/>
    <x v="6"/>
    <s v="Quiz"/>
    <n v="10"/>
    <n v="11"/>
    <n v="0.10000000000000009"/>
    <x v="0"/>
    <x v="2"/>
  </r>
  <r>
    <n v="95"/>
    <n v="8"/>
    <x v="7"/>
    <s v="Video"/>
    <n v="5"/>
    <n v="8"/>
    <n v="0.60000000000000009"/>
    <x v="1"/>
    <x v="0"/>
  </r>
  <r>
    <n v="96"/>
    <n v="1"/>
    <x v="0"/>
    <s v="Video"/>
    <n v="4"/>
    <n v="6"/>
    <n v="0.5"/>
    <x v="1"/>
    <x v="0"/>
  </r>
  <r>
    <n v="96"/>
    <n v="2"/>
    <x v="1"/>
    <s v="Text"/>
    <n v="15"/>
    <n v="18"/>
    <n v="0.19999999999999996"/>
    <x v="0"/>
    <x v="0"/>
  </r>
  <r>
    <n v="96"/>
    <n v="3"/>
    <x v="2"/>
    <s v="Übung"/>
    <n v="30"/>
    <n v="29"/>
    <n v="-3.3333333333333326E-2"/>
    <x v="0"/>
    <x v="3"/>
  </r>
  <r>
    <n v="96"/>
    <n v="4"/>
    <x v="3"/>
    <s v="Übung"/>
    <n v="30"/>
    <n v="31"/>
    <n v="3.3333333333333437E-2"/>
    <x v="0"/>
    <x v="3"/>
  </r>
  <r>
    <n v="96"/>
    <n v="5"/>
    <x v="4"/>
    <s v="Übung"/>
    <n v="30"/>
    <n v="44"/>
    <n v="0.46666666666666656"/>
    <x v="1"/>
    <x v="4"/>
  </r>
  <r>
    <n v="96"/>
    <n v="6"/>
    <x v="5"/>
    <s v="Handout"/>
    <n v="5"/>
    <n v="2"/>
    <n v="-0.6"/>
    <x v="2"/>
    <x v="1"/>
  </r>
  <r>
    <n v="96"/>
    <n v="7"/>
    <x v="6"/>
    <s v="Quiz"/>
    <n v="10"/>
    <n v="10"/>
    <n v="0"/>
    <x v="0"/>
    <x v="3"/>
  </r>
  <r>
    <n v="96"/>
    <n v="8"/>
    <x v="7"/>
    <s v="Video"/>
    <n v="5"/>
    <n v="7"/>
    <n v="0.39999999999999991"/>
    <x v="1"/>
    <x v="0"/>
  </r>
  <r>
    <n v="97"/>
    <n v="1"/>
    <x v="0"/>
    <s v="Video"/>
    <n v="4"/>
    <n v="5"/>
    <n v="0.25"/>
    <x v="0"/>
    <x v="0"/>
  </r>
  <r>
    <n v="97"/>
    <n v="2"/>
    <x v="1"/>
    <s v="Text"/>
    <n v="15"/>
    <n v="19"/>
    <n v="0.26666666666666661"/>
    <x v="0"/>
    <x v="1"/>
  </r>
  <r>
    <n v="97"/>
    <n v="3"/>
    <x v="2"/>
    <s v="Übung"/>
    <n v="30"/>
    <n v="28"/>
    <n v="-6.6666666666666652E-2"/>
    <x v="0"/>
    <x v="1"/>
  </r>
  <r>
    <n v="97"/>
    <n v="4"/>
    <x v="3"/>
    <s v="Übung"/>
    <n v="30"/>
    <n v="24"/>
    <n v="-0.19999999999999996"/>
    <x v="0"/>
    <x v="3"/>
  </r>
  <r>
    <n v="97"/>
    <n v="5"/>
    <x v="4"/>
    <s v="Übung"/>
    <n v="30"/>
    <n v="43"/>
    <n v="0.43333333333333335"/>
    <x v="1"/>
    <x v="2"/>
  </r>
  <r>
    <n v="97"/>
    <n v="6"/>
    <x v="5"/>
    <s v="Handout"/>
    <n v="5"/>
    <n v="2"/>
    <n v="-0.6"/>
    <x v="2"/>
    <x v="1"/>
  </r>
  <r>
    <n v="97"/>
    <n v="7"/>
    <x v="6"/>
    <s v="Quiz"/>
    <n v="10"/>
    <n v="10"/>
    <n v="0"/>
    <x v="0"/>
    <x v="2"/>
  </r>
  <r>
    <n v="97"/>
    <n v="8"/>
    <x v="7"/>
    <s v="Video"/>
    <n v="5"/>
    <n v="5"/>
    <n v="0"/>
    <x v="0"/>
    <x v="0"/>
  </r>
  <r>
    <n v="98"/>
    <n v="1"/>
    <x v="0"/>
    <s v="Video"/>
    <n v="4"/>
    <n v="4"/>
    <n v="0"/>
    <x v="0"/>
    <x v="1"/>
  </r>
  <r>
    <n v="98"/>
    <n v="2"/>
    <x v="1"/>
    <s v="Text"/>
    <n v="15"/>
    <n v="18"/>
    <n v="0.19999999999999996"/>
    <x v="0"/>
    <x v="1"/>
  </r>
  <r>
    <n v="98"/>
    <n v="3"/>
    <x v="2"/>
    <s v="Übung"/>
    <n v="30"/>
    <n v="28"/>
    <n v="-6.6666666666666652E-2"/>
    <x v="0"/>
    <x v="3"/>
  </r>
  <r>
    <n v="98"/>
    <n v="4"/>
    <x v="3"/>
    <s v="Übung"/>
    <n v="30"/>
    <n v="25"/>
    <n v="-0.16666666666666663"/>
    <x v="0"/>
    <x v="3"/>
  </r>
  <r>
    <n v="98"/>
    <n v="5"/>
    <x v="4"/>
    <s v="Übung"/>
    <n v="30"/>
    <n v="50"/>
    <n v="0.66666666666666674"/>
    <x v="3"/>
    <x v="2"/>
  </r>
  <r>
    <n v="98"/>
    <n v="6"/>
    <x v="5"/>
    <s v="Handout"/>
    <n v="5"/>
    <n v="1"/>
    <n v="-0.8"/>
    <x v="2"/>
    <x v="3"/>
  </r>
  <r>
    <n v="98"/>
    <n v="7"/>
    <x v="6"/>
    <s v="Quiz"/>
    <n v="10"/>
    <n v="9"/>
    <n v="-9.9999999999999978E-2"/>
    <x v="0"/>
    <x v="2"/>
  </r>
  <r>
    <n v="98"/>
    <n v="8"/>
    <x v="7"/>
    <s v="Video"/>
    <n v="5"/>
    <n v="6"/>
    <n v="0.19999999999999996"/>
    <x v="0"/>
    <x v="0"/>
  </r>
  <r>
    <n v="99"/>
    <n v="1"/>
    <x v="0"/>
    <s v="Video"/>
    <n v="4"/>
    <n v="4"/>
    <n v="0"/>
    <x v="0"/>
    <x v="0"/>
  </r>
  <r>
    <n v="99"/>
    <n v="2"/>
    <x v="1"/>
    <s v="Text"/>
    <n v="15"/>
    <n v="19"/>
    <n v="0.26666666666666661"/>
    <x v="0"/>
    <x v="0"/>
  </r>
  <r>
    <n v="99"/>
    <n v="3"/>
    <x v="2"/>
    <s v="Übung"/>
    <n v="30"/>
    <n v="28"/>
    <n v="-6.6666666666666652E-2"/>
    <x v="0"/>
    <x v="1"/>
  </r>
  <r>
    <n v="99"/>
    <n v="4"/>
    <x v="3"/>
    <s v="Übung"/>
    <n v="30"/>
    <n v="30"/>
    <n v="0"/>
    <x v="0"/>
    <x v="3"/>
  </r>
  <r>
    <n v="99"/>
    <n v="5"/>
    <x v="4"/>
    <s v="Übung"/>
    <n v="30"/>
    <n v="39"/>
    <n v="0.30000000000000004"/>
    <x v="0"/>
    <x v="4"/>
  </r>
  <r>
    <n v="99"/>
    <n v="6"/>
    <x v="5"/>
    <s v="Handout"/>
    <n v="5"/>
    <n v="1"/>
    <n v="-0.8"/>
    <x v="2"/>
    <x v="1"/>
  </r>
  <r>
    <n v="99"/>
    <n v="7"/>
    <x v="6"/>
    <s v="Quiz"/>
    <n v="10"/>
    <n v="8"/>
    <n v="-0.19999999999999996"/>
    <x v="0"/>
    <x v="2"/>
  </r>
  <r>
    <n v="99"/>
    <n v="8"/>
    <x v="7"/>
    <s v="Video"/>
    <n v="5"/>
    <n v="5"/>
    <n v="0"/>
    <x v="0"/>
    <x v="0"/>
  </r>
  <r>
    <n v="100"/>
    <n v="1"/>
    <x v="0"/>
    <s v="Video"/>
    <n v="4"/>
    <n v="4"/>
    <n v="0"/>
    <x v="0"/>
    <x v="0"/>
  </r>
  <r>
    <n v="100"/>
    <n v="2"/>
    <x v="1"/>
    <s v="Text"/>
    <n v="15"/>
    <n v="16"/>
    <n v="6.6666666666666652E-2"/>
    <x v="0"/>
    <x v="1"/>
  </r>
  <r>
    <n v="100"/>
    <n v="3"/>
    <x v="2"/>
    <s v="Übung"/>
    <n v="30"/>
    <n v="29"/>
    <n v="-3.3333333333333326E-2"/>
    <x v="0"/>
    <x v="3"/>
  </r>
  <r>
    <n v="100"/>
    <n v="4"/>
    <x v="3"/>
    <s v="Übung"/>
    <n v="30"/>
    <n v="18"/>
    <n v="-0.4"/>
    <x v="2"/>
    <x v="3"/>
  </r>
  <r>
    <n v="100"/>
    <n v="5"/>
    <x v="4"/>
    <s v="Übung"/>
    <n v="30"/>
    <n v="49"/>
    <n v="0.6333333333333333"/>
    <x v="3"/>
    <x v="2"/>
  </r>
  <r>
    <n v="100"/>
    <n v="6"/>
    <x v="5"/>
    <s v="Handout"/>
    <n v="5"/>
    <n v="2"/>
    <n v="-0.6"/>
    <x v="2"/>
    <x v="1"/>
  </r>
  <r>
    <n v="100"/>
    <n v="7"/>
    <x v="6"/>
    <s v="Quiz"/>
    <n v="10"/>
    <n v="11"/>
    <n v="0.10000000000000009"/>
    <x v="0"/>
    <x v="3"/>
  </r>
  <r>
    <n v="100"/>
    <n v="8"/>
    <x v="7"/>
    <s v="Video"/>
    <n v="5"/>
    <n v="5"/>
    <n v="0"/>
    <x v="0"/>
    <x v="0"/>
  </r>
  <r>
    <n v="101"/>
    <n v="1"/>
    <x v="0"/>
    <s v="Video"/>
    <n v="4"/>
    <n v="6"/>
    <n v="0.5"/>
    <x v="1"/>
    <x v="0"/>
  </r>
  <r>
    <n v="101"/>
    <n v="2"/>
    <x v="1"/>
    <s v="Text"/>
    <n v="15"/>
    <n v="17"/>
    <n v="0.1333333333333333"/>
    <x v="0"/>
    <x v="0"/>
  </r>
  <r>
    <n v="101"/>
    <n v="3"/>
    <x v="2"/>
    <s v="Übung"/>
    <n v="30"/>
    <n v="28"/>
    <n v="-6.6666666666666652E-2"/>
    <x v="0"/>
    <x v="1"/>
  </r>
  <r>
    <n v="101"/>
    <n v="4"/>
    <x v="3"/>
    <s v="Übung"/>
    <n v="30"/>
    <n v="25"/>
    <n v="-0.16666666666666663"/>
    <x v="0"/>
    <x v="1"/>
  </r>
  <r>
    <n v="101"/>
    <n v="5"/>
    <x v="4"/>
    <s v="Übung"/>
    <n v="30"/>
    <n v="38"/>
    <n v="0.26666666666666661"/>
    <x v="0"/>
    <x v="3"/>
  </r>
  <r>
    <n v="101"/>
    <n v="6"/>
    <x v="5"/>
    <s v="Handout"/>
    <n v="5"/>
    <n v="3"/>
    <n v="-0.4"/>
    <x v="2"/>
    <x v="0"/>
  </r>
  <r>
    <n v="101"/>
    <n v="7"/>
    <x v="6"/>
    <s v="Quiz"/>
    <n v="10"/>
    <n v="11"/>
    <n v="0.10000000000000009"/>
    <x v="0"/>
    <x v="3"/>
  </r>
  <r>
    <n v="101"/>
    <n v="8"/>
    <x v="7"/>
    <s v="Video"/>
    <n v="5"/>
    <n v="5"/>
    <n v="0"/>
    <x v="0"/>
    <x v="0"/>
  </r>
  <r>
    <n v="102"/>
    <n v="1"/>
    <x v="0"/>
    <s v="Video"/>
    <n v="4"/>
    <n v="7"/>
    <n v="0.75"/>
    <x v="3"/>
    <x v="0"/>
  </r>
  <r>
    <n v="102"/>
    <n v="2"/>
    <x v="1"/>
    <s v="Text"/>
    <n v="15"/>
    <n v="16"/>
    <n v="6.6666666666666652E-2"/>
    <x v="0"/>
    <x v="1"/>
  </r>
  <r>
    <n v="102"/>
    <n v="3"/>
    <x v="2"/>
    <s v="Übung"/>
    <n v="30"/>
    <n v="30"/>
    <n v="0"/>
    <x v="0"/>
    <x v="1"/>
  </r>
  <r>
    <n v="102"/>
    <n v="4"/>
    <x v="3"/>
    <s v="Übung"/>
    <n v="30"/>
    <n v="27"/>
    <n v="-9.9999999999999978E-2"/>
    <x v="0"/>
    <x v="3"/>
  </r>
  <r>
    <n v="102"/>
    <n v="5"/>
    <x v="4"/>
    <s v="Übung"/>
    <n v="30"/>
    <n v="47"/>
    <n v="0.56666666666666665"/>
    <x v="1"/>
    <x v="3"/>
  </r>
  <r>
    <n v="102"/>
    <n v="6"/>
    <x v="5"/>
    <s v="Handout"/>
    <n v="5"/>
    <n v="3"/>
    <n v="-0.4"/>
    <x v="2"/>
    <x v="3"/>
  </r>
  <r>
    <n v="102"/>
    <n v="7"/>
    <x v="6"/>
    <s v="Quiz"/>
    <n v="10"/>
    <n v="9"/>
    <n v="-9.9999999999999978E-2"/>
    <x v="0"/>
    <x v="3"/>
  </r>
  <r>
    <n v="102"/>
    <n v="8"/>
    <x v="7"/>
    <s v="Video"/>
    <n v="5"/>
    <n v="5"/>
    <n v="0"/>
    <x v="0"/>
    <x v="0"/>
  </r>
  <r>
    <n v="104"/>
    <n v="1"/>
    <x v="0"/>
    <s v="Video"/>
    <n v="4"/>
    <n v="4"/>
    <n v="0"/>
    <x v="0"/>
    <x v="0"/>
  </r>
  <r>
    <n v="104"/>
    <n v="2"/>
    <x v="1"/>
    <s v="Text"/>
    <n v="15"/>
    <n v="17"/>
    <n v="0.1333333333333333"/>
    <x v="0"/>
    <x v="1"/>
  </r>
  <r>
    <n v="104"/>
    <n v="3"/>
    <x v="2"/>
    <s v="Übung"/>
    <n v="30"/>
    <n v="29"/>
    <n v="-3.3333333333333326E-2"/>
    <x v="0"/>
    <x v="3"/>
  </r>
  <r>
    <n v="104"/>
    <n v="4"/>
    <x v="3"/>
    <s v="Übung"/>
    <n v="30"/>
    <n v="25"/>
    <n v="-0.16666666666666663"/>
    <x v="0"/>
    <x v="3"/>
  </r>
  <r>
    <n v="104"/>
    <n v="5"/>
    <x v="4"/>
    <s v="Übung"/>
    <n v="30"/>
    <n v="39"/>
    <n v="0.30000000000000004"/>
    <x v="0"/>
    <x v="2"/>
  </r>
  <r>
    <n v="104"/>
    <n v="6"/>
    <x v="5"/>
    <s v="Handout"/>
    <n v="5"/>
    <n v="3"/>
    <n v="-0.4"/>
    <x v="2"/>
    <x v="0"/>
  </r>
  <r>
    <n v="104"/>
    <n v="7"/>
    <x v="6"/>
    <s v="Quiz"/>
    <n v="10"/>
    <n v="10"/>
    <n v="0"/>
    <x v="0"/>
    <x v="3"/>
  </r>
  <r>
    <n v="104"/>
    <n v="8"/>
    <x v="7"/>
    <s v="Video"/>
    <n v="5"/>
    <n v="5"/>
    <n v="0"/>
    <x v="0"/>
    <x v="0"/>
  </r>
  <r>
    <n v="105"/>
    <n v="1"/>
    <x v="0"/>
    <s v="Video"/>
    <n v="4"/>
    <n v="4"/>
    <n v="0"/>
    <x v="0"/>
    <x v="0"/>
  </r>
  <r>
    <n v="105"/>
    <n v="2"/>
    <x v="1"/>
    <s v="Text"/>
    <n v="15"/>
    <n v="19"/>
    <n v="0.26666666666666661"/>
    <x v="0"/>
    <x v="1"/>
  </r>
  <r>
    <n v="105"/>
    <n v="3"/>
    <x v="2"/>
    <s v="Übung"/>
    <n v="30"/>
    <n v="30"/>
    <n v="0"/>
    <x v="0"/>
    <x v="1"/>
  </r>
  <r>
    <n v="105"/>
    <n v="4"/>
    <x v="3"/>
    <s v="Übung"/>
    <n v="30"/>
    <n v="27"/>
    <n v="-9.9999999999999978E-2"/>
    <x v="0"/>
    <x v="2"/>
  </r>
  <r>
    <n v="105"/>
    <n v="5"/>
    <x v="4"/>
    <s v="Übung"/>
    <n v="30"/>
    <n v="20"/>
    <n v="-0.33333333333333337"/>
    <x v="2"/>
    <x v="4"/>
  </r>
  <r>
    <n v="105"/>
    <n v="6"/>
    <x v="5"/>
    <s v="Handout"/>
    <n v="5"/>
    <n v="1"/>
    <n v="-0.8"/>
    <x v="2"/>
    <x v="1"/>
  </r>
  <r>
    <n v="105"/>
    <n v="7"/>
    <x v="6"/>
    <s v="Quiz"/>
    <n v="10"/>
    <n v="11"/>
    <n v="0.10000000000000009"/>
    <x v="0"/>
    <x v="3"/>
  </r>
  <r>
    <n v="105"/>
    <n v="8"/>
    <x v="7"/>
    <s v="Video"/>
    <n v="5"/>
    <n v="5"/>
    <n v="0"/>
    <x v="0"/>
    <x v="0"/>
  </r>
  <r>
    <n v="106"/>
    <n v="1"/>
    <x v="0"/>
    <s v="Video"/>
    <n v="4"/>
    <n v="4"/>
    <n v="0"/>
    <x v="0"/>
    <x v="0"/>
  </r>
  <r>
    <n v="106"/>
    <n v="2"/>
    <x v="1"/>
    <s v="Text"/>
    <n v="15"/>
    <n v="17"/>
    <n v="0.1333333333333333"/>
    <x v="0"/>
    <x v="1"/>
  </r>
  <r>
    <n v="106"/>
    <n v="3"/>
    <x v="2"/>
    <s v="Übung"/>
    <n v="30"/>
    <n v="28"/>
    <n v="-6.6666666666666652E-2"/>
    <x v="0"/>
    <x v="1"/>
  </r>
  <r>
    <n v="106"/>
    <n v="4"/>
    <x v="3"/>
    <s v="Übung"/>
    <n v="30"/>
    <n v="30"/>
    <n v="0"/>
    <x v="0"/>
    <x v="1"/>
  </r>
  <r>
    <n v="106"/>
    <n v="5"/>
    <x v="4"/>
    <s v="Übung"/>
    <n v="30"/>
    <n v="52"/>
    <n v="0.73333333333333339"/>
    <x v="3"/>
    <x v="2"/>
  </r>
  <r>
    <n v="106"/>
    <n v="6"/>
    <x v="5"/>
    <s v="Handout"/>
    <n v="5"/>
    <n v="2"/>
    <n v="-0.6"/>
    <x v="2"/>
    <x v="1"/>
  </r>
  <r>
    <n v="106"/>
    <n v="7"/>
    <x v="6"/>
    <s v="Quiz"/>
    <n v="10"/>
    <n v="9"/>
    <n v="-9.9999999999999978E-2"/>
    <x v="0"/>
    <x v="3"/>
  </r>
  <r>
    <n v="106"/>
    <n v="8"/>
    <x v="7"/>
    <s v="Video"/>
    <n v="5"/>
    <n v="7"/>
    <n v="0.39999999999999991"/>
    <x v="1"/>
    <x v="0"/>
  </r>
  <r>
    <n v="107"/>
    <n v="1"/>
    <x v="0"/>
    <s v="Video"/>
    <n v="4"/>
    <n v="4"/>
    <n v="0"/>
    <x v="0"/>
    <x v="0"/>
  </r>
  <r>
    <n v="107"/>
    <n v="2"/>
    <x v="1"/>
    <s v="Text"/>
    <n v="15"/>
    <n v="20"/>
    <n v="0.33333333333333326"/>
    <x v="1"/>
    <x v="0"/>
  </r>
  <r>
    <n v="107"/>
    <n v="3"/>
    <x v="2"/>
    <s v="Übung"/>
    <n v="30"/>
    <n v="28"/>
    <n v="-6.6666666666666652E-2"/>
    <x v="0"/>
    <x v="3"/>
  </r>
  <r>
    <n v="107"/>
    <n v="4"/>
    <x v="3"/>
    <s v="Übung"/>
    <n v="30"/>
    <n v="27"/>
    <n v="-9.9999999999999978E-2"/>
    <x v="0"/>
    <x v="3"/>
  </r>
  <r>
    <n v="107"/>
    <n v="5"/>
    <x v="4"/>
    <s v="Übung"/>
    <n v="30"/>
    <n v="49"/>
    <n v="0.6333333333333333"/>
    <x v="3"/>
    <x v="2"/>
  </r>
  <r>
    <n v="107"/>
    <n v="6"/>
    <x v="5"/>
    <s v="Handout"/>
    <n v="5"/>
    <n v="1"/>
    <n v="-0.8"/>
    <x v="2"/>
    <x v="1"/>
  </r>
  <r>
    <n v="107"/>
    <n v="7"/>
    <x v="6"/>
    <s v="Quiz"/>
    <n v="10"/>
    <n v="10"/>
    <n v="0"/>
    <x v="0"/>
    <x v="3"/>
  </r>
  <r>
    <n v="107"/>
    <n v="8"/>
    <x v="7"/>
    <s v="Video"/>
    <n v="5"/>
    <n v="5"/>
    <n v="0"/>
    <x v="0"/>
    <x v="0"/>
  </r>
  <r>
    <n v="108"/>
    <n v="1"/>
    <x v="0"/>
    <s v="Video"/>
    <n v="4"/>
    <n v="4"/>
    <n v="0"/>
    <x v="0"/>
    <x v="0"/>
  </r>
  <r>
    <n v="108"/>
    <n v="2"/>
    <x v="1"/>
    <s v="Text"/>
    <n v="15"/>
    <n v="15"/>
    <n v="0"/>
    <x v="0"/>
    <x v="1"/>
  </r>
  <r>
    <n v="108"/>
    <n v="3"/>
    <x v="2"/>
    <s v="Übung"/>
    <n v="30"/>
    <n v="28"/>
    <n v="-6.6666666666666652E-2"/>
    <x v="0"/>
    <x v="1"/>
  </r>
  <r>
    <n v="108"/>
    <n v="4"/>
    <x v="3"/>
    <s v="Übung"/>
    <n v="30"/>
    <n v="32"/>
    <n v="6.6666666666666652E-2"/>
    <x v="0"/>
    <x v="3"/>
  </r>
  <r>
    <n v="108"/>
    <n v="5"/>
    <x v="4"/>
    <s v="Übung"/>
    <n v="30"/>
    <n v="42"/>
    <n v="0.39999999999999991"/>
    <x v="1"/>
    <x v="2"/>
  </r>
  <r>
    <n v="108"/>
    <n v="6"/>
    <x v="5"/>
    <s v="Handout"/>
    <n v="5"/>
    <n v="1"/>
    <n v="-0.8"/>
    <x v="2"/>
    <x v="0"/>
  </r>
  <r>
    <n v="108"/>
    <n v="7"/>
    <x v="6"/>
    <s v="Quiz"/>
    <n v="10"/>
    <n v="11"/>
    <n v="0.10000000000000009"/>
    <x v="0"/>
    <x v="2"/>
  </r>
  <r>
    <n v="108"/>
    <n v="8"/>
    <x v="7"/>
    <s v="Video"/>
    <n v="5"/>
    <n v="5"/>
    <n v="0"/>
    <x v="0"/>
    <x v="0"/>
  </r>
  <r>
    <n v="109"/>
    <n v="1"/>
    <x v="0"/>
    <s v="Video"/>
    <n v="4"/>
    <n v="4"/>
    <n v="0"/>
    <x v="0"/>
    <x v="0"/>
  </r>
  <r>
    <n v="109"/>
    <n v="2"/>
    <x v="1"/>
    <s v="Text"/>
    <n v="15"/>
    <n v="18"/>
    <n v="0.19999999999999996"/>
    <x v="0"/>
    <x v="1"/>
  </r>
  <r>
    <n v="109"/>
    <n v="3"/>
    <x v="2"/>
    <s v="Übung"/>
    <n v="30"/>
    <n v="29"/>
    <n v="-3.3333333333333326E-2"/>
    <x v="0"/>
    <x v="3"/>
  </r>
  <r>
    <n v="109"/>
    <n v="4"/>
    <x v="3"/>
    <s v="Übung"/>
    <n v="30"/>
    <n v="35"/>
    <n v="0.16666666666666674"/>
    <x v="0"/>
    <x v="3"/>
  </r>
  <r>
    <n v="109"/>
    <n v="5"/>
    <x v="4"/>
    <s v="Übung"/>
    <n v="30"/>
    <n v="53"/>
    <n v="0.76666666666666661"/>
    <x v="3"/>
    <x v="2"/>
  </r>
  <r>
    <n v="109"/>
    <n v="6"/>
    <x v="5"/>
    <s v="Handout"/>
    <n v="5"/>
    <n v="2"/>
    <n v="-0.6"/>
    <x v="2"/>
    <x v="0"/>
  </r>
  <r>
    <n v="109"/>
    <n v="7"/>
    <x v="6"/>
    <s v="Quiz"/>
    <n v="10"/>
    <n v="9"/>
    <n v="-9.9999999999999978E-2"/>
    <x v="0"/>
    <x v="3"/>
  </r>
  <r>
    <n v="109"/>
    <n v="8"/>
    <x v="7"/>
    <s v="Video"/>
    <n v="5"/>
    <n v="7"/>
    <n v="0.39999999999999991"/>
    <x v="1"/>
    <x v="0"/>
  </r>
  <r>
    <n v="110"/>
    <n v="1"/>
    <x v="0"/>
    <s v="Video"/>
    <n v="4"/>
    <n v="4"/>
    <n v="0"/>
    <x v="0"/>
    <x v="0"/>
  </r>
  <r>
    <n v="110"/>
    <n v="2"/>
    <x v="1"/>
    <s v="Text"/>
    <n v="15"/>
    <n v="19"/>
    <n v="0.26666666666666661"/>
    <x v="0"/>
    <x v="0"/>
  </r>
  <r>
    <n v="110"/>
    <n v="3"/>
    <x v="2"/>
    <s v="Übung"/>
    <n v="30"/>
    <n v="29"/>
    <n v="-3.3333333333333326E-2"/>
    <x v="0"/>
    <x v="3"/>
  </r>
  <r>
    <n v="110"/>
    <n v="4"/>
    <x v="3"/>
    <s v="Übung"/>
    <n v="30"/>
    <n v="32"/>
    <n v="6.6666666666666652E-2"/>
    <x v="0"/>
    <x v="3"/>
  </r>
  <r>
    <n v="110"/>
    <n v="5"/>
    <x v="4"/>
    <s v="Übung"/>
    <n v="30"/>
    <n v="51"/>
    <n v="0.7"/>
    <x v="3"/>
    <x v="2"/>
  </r>
  <r>
    <n v="110"/>
    <n v="6"/>
    <x v="5"/>
    <s v="Handout"/>
    <n v="5"/>
    <n v="2"/>
    <n v="-0.6"/>
    <x v="2"/>
    <x v="1"/>
  </r>
  <r>
    <n v="110"/>
    <n v="7"/>
    <x v="6"/>
    <s v="Quiz"/>
    <n v="10"/>
    <n v="9"/>
    <n v="-9.9999999999999978E-2"/>
    <x v="0"/>
    <x v="2"/>
  </r>
  <r>
    <n v="110"/>
    <n v="8"/>
    <x v="7"/>
    <s v="Video"/>
    <n v="5"/>
    <n v="5"/>
    <n v="0"/>
    <x v="0"/>
    <x v="0"/>
  </r>
  <r>
    <n v="111"/>
    <n v="1"/>
    <x v="0"/>
    <s v="Video"/>
    <n v="4"/>
    <n v="5"/>
    <n v="0.25"/>
    <x v="0"/>
    <x v="0"/>
  </r>
  <r>
    <n v="111"/>
    <n v="2"/>
    <x v="1"/>
    <s v="Text"/>
    <n v="15"/>
    <n v="15"/>
    <n v="0"/>
    <x v="0"/>
    <x v="0"/>
  </r>
  <r>
    <n v="111"/>
    <n v="3"/>
    <x v="2"/>
    <s v="Übung"/>
    <n v="30"/>
    <n v="28"/>
    <n v="-6.6666666666666652E-2"/>
    <x v="0"/>
    <x v="3"/>
  </r>
  <r>
    <n v="111"/>
    <n v="4"/>
    <x v="3"/>
    <s v="Übung"/>
    <n v="30"/>
    <n v="34"/>
    <n v="0.1333333333333333"/>
    <x v="0"/>
    <x v="3"/>
  </r>
  <r>
    <n v="111"/>
    <n v="5"/>
    <x v="4"/>
    <s v="Übung"/>
    <n v="30"/>
    <n v="41"/>
    <n v="0.3666666666666667"/>
    <x v="1"/>
    <x v="2"/>
  </r>
  <r>
    <n v="111"/>
    <n v="6"/>
    <x v="5"/>
    <s v="Handout"/>
    <n v="5"/>
    <n v="3"/>
    <n v="-0.4"/>
    <x v="2"/>
    <x v="3"/>
  </r>
  <r>
    <n v="111"/>
    <n v="7"/>
    <x v="6"/>
    <s v="Quiz"/>
    <n v="10"/>
    <n v="9"/>
    <n v="-9.9999999999999978E-2"/>
    <x v="0"/>
    <x v="2"/>
  </r>
  <r>
    <n v="111"/>
    <n v="8"/>
    <x v="7"/>
    <s v="Video"/>
    <n v="5"/>
    <n v="5"/>
    <n v="0"/>
    <x v="0"/>
    <x v="0"/>
  </r>
  <r>
    <n v="112"/>
    <n v="1"/>
    <x v="0"/>
    <s v="Video"/>
    <n v="4"/>
    <n v="6"/>
    <n v="0.5"/>
    <x v="1"/>
    <x v="0"/>
  </r>
  <r>
    <n v="112"/>
    <n v="2"/>
    <x v="1"/>
    <s v="Text"/>
    <n v="15"/>
    <n v="17"/>
    <n v="0.1333333333333333"/>
    <x v="0"/>
    <x v="0"/>
  </r>
  <r>
    <n v="112"/>
    <n v="3"/>
    <x v="2"/>
    <s v="Übung"/>
    <n v="30"/>
    <n v="29"/>
    <n v="-3.3333333333333326E-2"/>
    <x v="0"/>
    <x v="1"/>
  </r>
  <r>
    <n v="112"/>
    <n v="4"/>
    <x v="3"/>
    <s v="Übung"/>
    <n v="30"/>
    <n v="19"/>
    <n v="-0.3666666666666667"/>
    <x v="2"/>
    <x v="1"/>
  </r>
  <r>
    <n v="112"/>
    <n v="5"/>
    <x v="4"/>
    <s v="Übung"/>
    <n v="30"/>
    <n v="44"/>
    <n v="0.46666666666666656"/>
    <x v="1"/>
    <x v="2"/>
  </r>
  <r>
    <n v="112"/>
    <n v="6"/>
    <x v="5"/>
    <s v="Handout"/>
    <n v="5"/>
    <n v="2"/>
    <n v="-0.6"/>
    <x v="2"/>
    <x v="3"/>
  </r>
  <r>
    <n v="112"/>
    <n v="7"/>
    <x v="6"/>
    <s v="Quiz"/>
    <n v="10"/>
    <n v="9"/>
    <n v="-9.9999999999999978E-2"/>
    <x v="0"/>
    <x v="2"/>
  </r>
  <r>
    <n v="112"/>
    <n v="8"/>
    <x v="7"/>
    <s v="Video"/>
    <n v="5"/>
    <n v="5"/>
    <n v="0"/>
    <x v="0"/>
    <x v="0"/>
  </r>
  <r>
    <n v="113"/>
    <n v="1"/>
    <x v="0"/>
    <s v="Video"/>
    <n v="4"/>
    <n v="4"/>
    <n v="0"/>
    <x v="0"/>
    <x v="0"/>
  </r>
  <r>
    <n v="113"/>
    <n v="2"/>
    <x v="1"/>
    <s v="Text"/>
    <n v="15"/>
    <n v="15"/>
    <n v="0"/>
    <x v="0"/>
    <x v="0"/>
  </r>
  <r>
    <n v="113"/>
    <n v="3"/>
    <x v="2"/>
    <s v="Übung"/>
    <n v="30"/>
    <n v="28"/>
    <n v="-6.6666666666666652E-2"/>
    <x v="0"/>
    <x v="3"/>
  </r>
  <r>
    <n v="113"/>
    <n v="4"/>
    <x v="3"/>
    <s v="Übung"/>
    <n v="30"/>
    <n v="26"/>
    <n v="-0.1333333333333333"/>
    <x v="0"/>
    <x v="3"/>
  </r>
  <r>
    <n v="113"/>
    <n v="5"/>
    <x v="4"/>
    <s v="Übung"/>
    <n v="30"/>
    <n v="50"/>
    <n v="0.66666666666666674"/>
    <x v="3"/>
    <x v="3"/>
  </r>
  <r>
    <n v="113"/>
    <n v="6"/>
    <x v="5"/>
    <s v="Handout"/>
    <n v="5"/>
    <n v="1"/>
    <n v="-0.8"/>
    <x v="2"/>
    <x v="1"/>
  </r>
  <r>
    <n v="113"/>
    <n v="7"/>
    <x v="6"/>
    <s v="Quiz"/>
    <n v="10"/>
    <n v="9"/>
    <n v="-9.9999999999999978E-2"/>
    <x v="0"/>
    <x v="2"/>
  </r>
  <r>
    <n v="113"/>
    <n v="8"/>
    <x v="7"/>
    <s v="Video"/>
    <n v="5"/>
    <n v="5"/>
    <n v="0"/>
    <x v="0"/>
    <x v="0"/>
  </r>
  <r>
    <n v="114"/>
    <n v="1"/>
    <x v="0"/>
    <s v="Video"/>
    <n v="4"/>
    <n v="4"/>
    <n v="0"/>
    <x v="0"/>
    <x v="0"/>
  </r>
  <r>
    <n v="114"/>
    <n v="2"/>
    <x v="1"/>
    <s v="Text"/>
    <n v="15"/>
    <n v="17"/>
    <n v="0.1333333333333333"/>
    <x v="0"/>
    <x v="0"/>
  </r>
  <r>
    <n v="114"/>
    <n v="3"/>
    <x v="2"/>
    <s v="Übung"/>
    <n v="30"/>
    <n v="30"/>
    <n v="0"/>
    <x v="0"/>
    <x v="1"/>
  </r>
  <r>
    <n v="114"/>
    <n v="4"/>
    <x v="3"/>
    <s v="Übung"/>
    <n v="30"/>
    <n v="25"/>
    <n v="-0.16666666666666663"/>
    <x v="0"/>
    <x v="3"/>
  </r>
  <r>
    <n v="114"/>
    <n v="5"/>
    <x v="4"/>
    <s v="Übung"/>
    <n v="30"/>
    <n v="39"/>
    <n v="0.30000000000000004"/>
    <x v="0"/>
    <x v="2"/>
  </r>
  <r>
    <n v="114"/>
    <n v="6"/>
    <x v="5"/>
    <s v="Handout"/>
    <n v="5"/>
    <n v="1"/>
    <n v="-0.8"/>
    <x v="2"/>
    <x v="1"/>
  </r>
  <r>
    <n v="114"/>
    <n v="7"/>
    <x v="6"/>
    <s v="Quiz"/>
    <n v="10"/>
    <n v="8"/>
    <n v="-0.19999999999999996"/>
    <x v="0"/>
    <x v="4"/>
  </r>
  <r>
    <n v="114"/>
    <n v="8"/>
    <x v="7"/>
    <s v="Video"/>
    <n v="5"/>
    <n v="7"/>
    <n v="0.39999999999999991"/>
    <x v="1"/>
    <x v="0"/>
  </r>
  <r>
    <n v="115"/>
    <n v="1"/>
    <x v="0"/>
    <s v="Video"/>
    <n v="4"/>
    <n v="4"/>
    <n v="0"/>
    <x v="0"/>
    <x v="0"/>
  </r>
  <r>
    <n v="115"/>
    <n v="2"/>
    <x v="1"/>
    <s v="Text"/>
    <n v="15"/>
    <n v="18"/>
    <n v="0.19999999999999996"/>
    <x v="0"/>
    <x v="0"/>
  </r>
  <r>
    <n v="115"/>
    <n v="3"/>
    <x v="2"/>
    <s v="Übung"/>
    <n v="30"/>
    <n v="27"/>
    <n v="-9.9999999999999978E-2"/>
    <x v="0"/>
    <x v="1"/>
  </r>
  <r>
    <n v="115"/>
    <n v="4"/>
    <x v="3"/>
    <s v="Übung"/>
    <n v="30"/>
    <n v="26"/>
    <n v="-0.1333333333333333"/>
    <x v="0"/>
    <x v="1"/>
  </r>
  <r>
    <n v="115"/>
    <n v="5"/>
    <x v="4"/>
    <s v="Übung"/>
    <n v="30"/>
    <n v="43"/>
    <n v="0.43333333333333335"/>
    <x v="1"/>
    <x v="2"/>
  </r>
  <r>
    <n v="115"/>
    <n v="6"/>
    <x v="5"/>
    <s v="Handout"/>
    <n v="5"/>
    <n v="2"/>
    <n v="-0.6"/>
    <x v="2"/>
    <x v="0"/>
  </r>
  <r>
    <n v="115"/>
    <n v="7"/>
    <x v="6"/>
    <s v="Quiz"/>
    <n v="10"/>
    <n v="9"/>
    <n v="-9.9999999999999978E-2"/>
    <x v="0"/>
    <x v="2"/>
  </r>
  <r>
    <n v="115"/>
    <n v="8"/>
    <x v="7"/>
    <s v="Video"/>
    <n v="5"/>
    <n v="5"/>
    <n v="0"/>
    <x v="0"/>
    <x v="0"/>
  </r>
  <r>
    <n v="116"/>
    <n v="1"/>
    <x v="0"/>
    <s v="Video"/>
    <n v="4"/>
    <n v="4"/>
    <n v="0"/>
    <x v="0"/>
    <x v="0"/>
  </r>
  <r>
    <n v="116"/>
    <n v="2"/>
    <x v="1"/>
    <s v="Text"/>
    <n v="15"/>
    <n v="16"/>
    <n v="6.6666666666666652E-2"/>
    <x v="0"/>
    <x v="0"/>
  </r>
  <r>
    <n v="116"/>
    <n v="3"/>
    <x v="2"/>
    <s v="Übung"/>
    <n v="30"/>
    <n v="30"/>
    <n v="0"/>
    <x v="0"/>
    <x v="1"/>
  </r>
  <r>
    <n v="116"/>
    <n v="4"/>
    <x v="3"/>
    <s v="Übung"/>
    <n v="30"/>
    <n v="23"/>
    <n v="-0.23333333333333328"/>
    <x v="0"/>
    <x v="3"/>
  </r>
  <r>
    <n v="116"/>
    <n v="5"/>
    <x v="4"/>
    <s v="Übung"/>
    <n v="30"/>
    <n v="43"/>
    <n v="0.43333333333333335"/>
    <x v="1"/>
    <x v="3"/>
  </r>
  <r>
    <n v="116"/>
    <n v="6"/>
    <x v="5"/>
    <s v="Handout"/>
    <n v="5"/>
    <n v="1"/>
    <n v="-0.8"/>
    <x v="2"/>
    <x v="1"/>
  </r>
  <r>
    <n v="116"/>
    <n v="7"/>
    <x v="6"/>
    <s v="Quiz"/>
    <n v="10"/>
    <n v="10"/>
    <n v="0"/>
    <x v="0"/>
    <x v="2"/>
  </r>
  <r>
    <n v="116"/>
    <n v="8"/>
    <x v="7"/>
    <s v="Video"/>
    <n v="5"/>
    <n v="5"/>
    <n v="0"/>
    <x v="0"/>
    <x v="0"/>
  </r>
  <r>
    <n v="117"/>
    <n v="1"/>
    <x v="0"/>
    <s v="Video"/>
    <n v="4"/>
    <n v="4"/>
    <n v="0"/>
    <x v="0"/>
    <x v="0"/>
  </r>
  <r>
    <n v="117"/>
    <n v="2"/>
    <x v="1"/>
    <s v="Text"/>
    <n v="15"/>
    <n v="21"/>
    <n v="0.39999999999999991"/>
    <x v="1"/>
    <x v="0"/>
  </r>
  <r>
    <n v="117"/>
    <n v="3"/>
    <x v="2"/>
    <s v="Übung"/>
    <n v="30"/>
    <n v="30"/>
    <n v="0"/>
    <x v="0"/>
    <x v="1"/>
  </r>
  <r>
    <n v="117"/>
    <n v="4"/>
    <x v="3"/>
    <s v="Übung"/>
    <n v="30"/>
    <n v="23"/>
    <n v="-0.23333333333333328"/>
    <x v="0"/>
    <x v="2"/>
  </r>
  <r>
    <n v="117"/>
    <n v="5"/>
    <x v="4"/>
    <s v="Übung"/>
    <n v="30"/>
    <n v="52"/>
    <n v="0.73333333333333339"/>
    <x v="3"/>
    <x v="3"/>
  </r>
  <r>
    <n v="117"/>
    <n v="6"/>
    <x v="5"/>
    <s v="Handout"/>
    <n v="5"/>
    <n v="2"/>
    <n v="-0.6"/>
    <x v="2"/>
    <x v="0"/>
  </r>
  <r>
    <n v="117"/>
    <n v="7"/>
    <x v="6"/>
    <s v="Quiz"/>
    <n v="10"/>
    <n v="9"/>
    <n v="-9.9999999999999978E-2"/>
    <x v="0"/>
    <x v="3"/>
  </r>
  <r>
    <n v="117"/>
    <n v="8"/>
    <x v="7"/>
    <s v="Video"/>
    <n v="5"/>
    <n v="5"/>
    <n v="0"/>
    <x v="0"/>
    <x v="0"/>
  </r>
  <r>
    <n v="119"/>
    <n v="1"/>
    <x v="0"/>
    <s v="Video"/>
    <n v="4"/>
    <n v="4"/>
    <n v="0"/>
    <x v="0"/>
    <x v="0"/>
  </r>
  <r>
    <n v="119"/>
    <n v="2"/>
    <x v="1"/>
    <s v="Text"/>
    <n v="15"/>
    <n v="17"/>
    <n v="0.1333333333333333"/>
    <x v="0"/>
    <x v="0"/>
  </r>
  <r>
    <n v="119"/>
    <n v="3"/>
    <x v="2"/>
    <s v="Übung"/>
    <n v="30"/>
    <n v="29"/>
    <n v="-3.3333333333333326E-2"/>
    <x v="0"/>
    <x v="3"/>
  </r>
  <r>
    <n v="119"/>
    <n v="4"/>
    <x v="3"/>
    <s v="Übung"/>
    <n v="30"/>
    <n v="31"/>
    <n v="3.3333333333333437E-2"/>
    <x v="0"/>
    <x v="3"/>
  </r>
  <r>
    <n v="119"/>
    <n v="5"/>
    <x v="4"/>
    <s v="Übung"/>
    <n v="30"/>
    <n v="55"/>
    <n v="0.83333333333333326"/>
    <x v="3"/>
    <x v="2"/>
  </r>
  <r>
    <n v="119"/>
    <n v="6"/>
    <x v="5"/>
    <s v="Handout"/>
    <n v="5"/>
    <n v="2"/>
    <n v="-0.6"/>
    <x v="2"/>
    <x v="3"/>
  </r>
  <r>
    <n v="119"/>
    <n v="7"/>
    <x v="6"/>
    <s v="Quiz"/>
    <n v="10"/>
    <n v="9"/>
    <n v="-9.9999999999999978E-2"/>
    <x v="0"/>
    <x v="2"/>
  </r>
  <r>
    <n v="119"/>
    <n v="8"/>
    <x v="7"/>
    <s v="Video"/>
    <n v="5"/>
    <n v="6"/>
    <n v="0.19999999999999996"/>
    <x v="0"/>
    <x v="0"/>
  </r>
  <r>
    <n v="120"/>
    <n v="1"/>
    <x v="0"/>
    <s v="Video"/>
    <n v="4"/>
    <n v="7"/>
    <n v="0.75"/>
    <x v="3"/>
    <x v="0"/>
  </r>
  <r>
    <n v="120"/>
    <n v="2"/>
    <x v="1"/>
    <s v="Text"/>
    <n v="15"/>
    <n v="18"/>
    <n v="0.19999999999999996"/>
    <x v="0"/>
    <x v="1"/>
  </r>
  <r>
    <n v="120"/>
    <n v="3"/>
    <x v="2"/>
    <s v="Übung"/>
    <n v="30"/>
    <n v="27"/>
    <n v="-9.9999999999999978E-2"/>
    <x v="0"/>
    <x v="3"/>
  </r>
  <r>
    <n v="120"/>
    <n v="4"/>
    <x v="3"/>
    <s v="Übung"/>
    <n v="30"/>
    <n v="26"/>
    <n v="-0.1333333333333333"/>
    <x v="0"/>
    <x v="1"/>
  </r>
  <r>
    <n v="120"/>
    <n v="5"/>
    <x v="4"/>
    <s v="Übung"/>
    <n v="30"/>
    <n v="46"/>
    <n v="0.53333333333333344"/>
    <x v="1"/>
    <x v="2"/>
  </r>
  <r>
    <n v="120"/>
    <n v="6"/>
    <x v="5"/>
    <s v="Handout"/>
    <n v="5"/>
    <n v="1"/>
    <n v="-0.8"/>
    <x v="2"/>
    <x v="1"/>
  </r>
  <r>
    <n v="120"/>
    <n v="7"/>
    <x v="6"/>
    <s v="Quiz"/>
    <n v="10"/>
    <n v="10"/>
    <n v="0"/>
    <x v="0"/>
    <x v="3"/>
  </r>
  <r>
    <n v="120"/>
    <n v="8"/>
    <x v="7"/>
    <s v="Video"/>
    <n v="5"/>
    <n v="7"/>
    <n v="0.39999999999999991"/>
    <x v="1"/>
    <x v="0"/>
  </r>
  <r>
    <n v="121"/>
    <n v="1"/>
    <x v="0"/>
    <s v="Video"/>
    <n v="4"/>
    <n v="4"/>
    <n v="0"/>
    <x v="0"/>
    <x v="0"/>
  </r>
  <r>
    <n v="121"/>
    <n v="2"/>
    <x v="1"/>
    <s v="Text"/>
    <n v="15"/>
    <n v="20"/>
    <n v="0.33333333333333326"/>
    <x v="1"/>
    <x v="0"/>
  </r>
  <r>
    <n v="121"/>
    <n v="3"/>
    <x v="2"/>
    <s v="Übung"/>
    <n v="30"/>
    <n v="30"/>
    <n v="0"/>
    <x v="0"/>
    <x v="1"/>
  </r>
  <r>
    <n v="121"/>
    <n v="4"/>
    <x v="3"/>
    <s v="Übung"/>
    <n v="30"/>
    <n v="27"/>
    <n v="-9.9999999999999978E-2"/>
    <x v="0"/>
    <x v="3"/>
  </r>
  <r>
    <n v="121"/>
    <n v="5"/>
    <x v="4"/>
    <s v="Übung"/>
    <n v="30"/>
    <n v="45"/>
    <n v="0.5"/>
    <x v="1"/>
    <x v="3"/>
  </r>
  <r>
    <n v="121"/>
    <n v="6"/>
    <x v="5"/>
    <s v="Handout"/>
    <n v="5"/>
    <n v="2"/>
    <n v="-0.6"/>
    <x v="2"/>
    <x v="1"/>
  </r>
  <r>
    <n v="121"/>
    <n v="7"/>
    <x v="6"/>
    <s v="Quiz"/>
    <n v="10"/>
    <n v="9"/>
    <n v="-9.9999999999999978E-2"/>
    <x v="0"/>
    <x v="3"/>
  </r>
  <r>
    <n v="121"/>
    <n v="8"/>
    <x v="7"/>
    <s v="Video"/>
    <n v="5"/>
    <n v="5"/>
    <n v="0"/>
    <x v="0"/>
    <x v="0"/>
  </r>
  <r>
    <n v="123"/>
    <n v="1"/>
    <x v="0"/>
    <s v="Video"/>
    <n v="4"/>
    <n v="5"/>
    <n v="0.25"/>
    <x v="0"/>
    <x v="0"/>
  </r>
  <r>
    <n v="123"/>
    <n v="2"/>
    <x v="1"/>
    <s v="Text"/>
    <n v="15"/>
    <n v="19"/>
    <n v="0.26666666666666661"/>
    <x v="0"/>
    <x v="1"/>
  </r>
  <r>
    <n v="123"/>
    <n v="3"/>
    <x v="2"/>
    <s v="Übung"/>
    <n v="30"/>
    <n v="38"/>
    <n v="0.26666666666666661"/>
    <x v="0"/>
    <x v="3"/>
  </r>
  <r>
    <n v="123"/>
    <n v="4"/>
    <x v="3"/>
    <s v="Übung"/>
    <n v="30"/>
    <n v="29"/>
    <n v="-3.3333333333333326E-2"/>
    <x v="0"/>
    <x v="2"/>
  </r>
  <r>
    <n v="123"/>
    <n v="5"/>
    <x v="4"/>
    <s v="Übung"/>
    <n v="30"/>
    <n v="50"/>
    <n v="0.66666666666666674"/>
    <x v="3"/>
    <x v="2"/>
  </r>
  <r>
    <n v="123"/>
    <n v="6"/>
    <x v="5"/>
    <s v="Handout"/>
    <n v="5"/>
    <n v="2"/>
    <n v="-0.6"/>
    <x v="2"/>
    <x v="1"/>
  </r>
  <r>
    <n v="123"/>
    <n v="7"/>
    <x v="6"/>
    <s v="Quiz"/>
    <n v="10"/>
    <n v="8"/>
    <n v="-0.19999999999999996"/>
    <x v="0"/>
    <x v="3"/>
  </r>
  <r>
    <n v="123"/>
    <n v="8"/>
    <x v="7"/>
    <s v="Video"/>
    <n v="5"/>
    <n v="5"/>
    <n v="0"/>
    <x v="0"/>
    <x v="0"/>
  </r>
  <r>
    <n v="124"/>
    <n v="1"/>
    <x v="0"/>
    <s v="Video"/>
    <n v="4"/>
    <n v="4"/>
    <n v="0"/>
    <x v="0"/>
    <x v="0"/>
  </r>
  <r>
    <n v="124"/>
    <n v="2"/>
    <x v="1"/>
    <s v="Text"/>
    <n v="15"/>
    <n v="18"/>
    <n v="0.19999999999999996"/>
    <x v="0"/>
    <x v="0"/>
  </r>
  <r>
    <n v="124"/>
    <n v="3"/>
    <x v="2"/>
    <s v="Übung"/>
    <n v="30"/>
    <n v="28"/>
    <n v="-6.6666666666666652E-2"/>
    <x v="0"/>
    <x v="1"/>
  </r>
  <r>
    <n v="124"/>
    <n v="4"/>
    <x v="3"/>
    <s v="Übung"/>
    <n v="30"/>
    <n v="32"/>
    <n v="6.6666666666666652E-2"/>
    <x v="0"/>
    <x v="3"/>
  </r>
  <r>
    <n v="124"/>
    <n v="5"/>
    <x v="4"/>
    <s v="Übung"/>
    <n v="30"/>
    <n v="45"/>
    <n v="0.5"/>
    <x v="1"/>
    <x v="3"/>
  </r>
  <r>
    <n v="124"/>
    <n v="6"/>
    <x v="5"/>
    <s v="Handout"/>
    <n v="5"/>
    <n v="1"/>
    <n v="-0.8"/>
    <x v="2"/>
    <x v="0"/>
  </r>
  <r>
    <n v="124"/>
    <n v="7"/>
    <x v="6"/>
    <s v="Quiz"/>
    <n v="10"/>
    <n v="11"/>
    <n v="0.10000000000000009"/>
    <x v="0"/>
    <x v="3"/>
  </r>
  <r>
    <n v="124"/>
    <n v="8"/>
    <x v="7"/>
    <s v="Video"/>
    <n v="5"/>
    <n v="5"/>
    <n v="0"/>
    <x v="0"/>
    <x v="0"/>
  </r>
  <r>
    <n v="125"/>
    <n v="1"/>
    <x v="0"/>
    <s v="Video"/>
    <n v="4"/>
    <n v="7"/>
    <n v="0.75"/>
    <x v="3"/>
    <x v="0"/>
  </r>
  <r>
    <n v="125"/>
    <n v="2"/>
    <x v="1"/>
    <s v="Text"/>
    <n v="15"/>
    <n v="16"/>
    <n v="6.6666666666666652E-2"/>
    <x v="0"/>
    <x v="1"/>
  </r>
  <r>
    <n v="125"/>
    <n v="3"/>
    <x v="2"/>
    <s v="Übung"/>
    <n v="30"/>
    <n v="30"/>
    <n v="0"/>
    <x v="0"/>
    <x v="1"/>
  </r>
  <r>
    <n v="125"/>
    <n v="4"/>
    <x v="3"/>
    <s v="Übung"/>
    <n v="30"/>
    <n v="29"/>
    <n v="-3.3333333333333326E-2"/>
    <x v="0"/>
    <x v="3"/>
  </r>
  <r>
    <n v="125"/>
    <n v="5"/>
    <x v="4"/>
    <s v="Übung"/>
    <n v="30"/>
    <n v="41"/>
    <n v="0.3666666666666667"/>
    <x v="1"/>
    <x v="3"/>
  </r>
  <r>
    <n v="125"/>
    <n v="6"/>
    <x v="5"/>
    <s v="Handout"/>
    <n v="5"/>
    <n v="1"/>
    <n v="-0.8"/>
    <x v="2"/>
    <x v="1"/>
  </r>
  <r>
    <n v="125"/>
    <n v="7"/>
    <x v="6"/>
    <s v="Quiz"/>
    <n v="10"/>
    <n v="10"/>
    <n v="0"/>
    <x v="0"/>
    <x v="3"/>
  </r>
  <r>
    <n v="125"/>
    <n v="8"/>
    <x v="7"/>
    <s v="Video"/>
    <n v="5"/>
    <n v="5"/>
    <n v="0"/>
    <x v="0"/>
    <x v="0"/>
  </r>
  <r>
    <n v="126"/>
    <n v="1"/>
    <x v="0"/>
    <s v="Video"/>
    <n v="4"/>
    <n v="4"/>
    <n v="0"/>
    <x v="0"/>
    <x v="0"/>
  </r>
  <r>
    <n v="126"/>
    <n v="2"/>
    <x v="1"/>
    <s v="Text"/>
    <n v="15"/>
    <n v="18"/>
    <n v="0.19999999999999996"/>
    <x v="0"/>
    <x v="1"/>
  </r>
  <r>
    <n v="126"/>
    <n v="3"/>
    <x v="2"/>
    <s v="Übung"/>
    <n v="30"/>
    <n v="30"/>
    <n v="0"/>
    <x v="0"/>
    <x v="3"/>
  </r>
  <r>
    <n v="126"/>
    <n v="4"/>
    <x v="3"/>
    <s v="Übung"/>
    <n v="30"/>
    <n v="31"/>
    <n v="3.3333333333333437E-2"/>
    <x v="0"/>
    <x v="2"/>
  </r>
  <r>
    <n v="126"/>
    <n v="5"/>
    <x v="4"/>
    <s v="Übung"/>
    <n v="30"/>
    <n v="55"/>
    <n v="0.83333333333333326"/>
    <x v="3"/>
    <x v="2"/>
  </r>
  <r>
    <n v="126"/>
    <n v="6"/>
    <x v="5"/>
    <s v="Handout"/>
    <n v="5"/>
    <n v="2"/>
    <n v="-0.6"/>
    <x v="2"/>
    <x v="1"/>
  </r>
  <r>
    <n v="126"/>
    <n v="7"/>
    <x v="6"/>
    <s v="Quiz"/>
    <n v="10"/>
    <n v="10"/>
    <n v="0"/>
    <x v="0"/>
    <x v="3"/>
  </r>
  <r>
    <n v="126"/>
    <n v="8"/>
    <x v="7"/>
    <s v="Video"/>
    <n v="5"/>
    <n v="5"/>
    <n v="0"/>
    <x v="0"/>
    <x v="0"/>
  </r>
  <r>
    <n v="127"/>
    <n v="1"/>
    <x v="0"/>
    <s v="Video"/>
    <n v="4"/>
    <n v="4"/>
    <n v="0"/>
    <x v="0"/>
    <x v="0"/>
  </r>
  <r>
    <n v="127"/>
    <n v="2"/>
    <x v="1"/>
    <s v="Text"/>
    <n v="15"/>
    <n v="16"/>
    <n v="6.6666666666666652E-2"/>
    <x v="0"/>
    <x v="0"/>
  </r>
  <r>
    <n v="127"/>
    <n v="3"/>
    <x v="2"/>
    <s v="Übung"/>
    <n v="30"/>
    <n v="29"/>
    <n v="-3.3333333333333326E-2"/>
    <x v="0"/>
    <x v="3"/>
  </r>
  <r>
    <n v="127"/>
    <n v="4"/>
    <x v="3"/>
    <s v="Übung"/>
    <n v="30"/>
    <n v="26"/>
    <n v="-0.1333333333333333"/>
    <x v="0"/>
    <x v="3"/>
  </r>
  <r>
    <n v="127"/>
    <n v="5"/>
    <x v="4"/>
    <s v="Übung"/>
    <n v="30"/>
    <n v="43"/>
    <n v="0.43333333333333335"/>
    <x v="1"/>
    <x v="2"/>
  </r>
  <r>
    <n v="127"/>
    <n v="6"/>
    <x v="5"/>
    <s v="Handout"/>
    <n v="5"/>
    <n v="2"/>
    <n v="-0.6"/>
    <x v="2"/>
    <x v="1"/>
  </r>
  <r>
    <n v="127"/>
    <n v="7"/>
    <x v="6"/>
    <s v="Quiz"/>
    <n v="10"/>
    <n v="9"/>
    <n v="-9.9999999999999978E-2"/>
    <x v="0"/>
    <x v="3"/>
  </r>
  <r>
    <n v="127"/>
    <n v="8"/>
    <x v="7"/>
    <s v="Video"/>
    <n v="5"/>
    <n v="5"/>
    <n v="0"/>
    <x v="0"/>
    <x v="0"/>
  </r>
  <r>
    <n v="128"/>
    <n v="1"/>
    <x v="0"/>
    <s v="Video"/>
    <n v="4"/>
    <n v="4"/>
    <n v="0"/>
    <x v="0"/>
    <x v="0"/>
  </r>
  <r>
    <n v="128"/>
    <n v="2"/>
    <x v="1"/>
    <s v="Text"/>
    <n v="15"/>
    <n v="17"/>
    <n v="0.1333333333333333"/>
    <x v="0"/>
    <x v="0"/>
  </r>
  <r>
    <n v="128"/>
    <n v="3"/>
    <x v="2"/>
    <s v="Übung"/>
    <n v="30"/>
    <n v="31"/>
    <n v="3.3333333333333437E-2"/>
    <x v="0"/>
    <x v="2"/>
  </r>
  <r>
    <n v="128"/>
    <n v="4"/>
    <x v="3"/>
    <s v="Übung"/>
    <n v="30"/>
    <n v="26"/>
    <n v="-0.1333333333333333"/>
    <x v="0"/>
    <x v="3"/>
  </r>
  <r>
    <n v="128"/>
    <n v="5"/>
    <x v="4"/>
    <s v="Übung"/>
    <n v="30"/>
    <n v="48"/>
    <n v="0.60000000000000009"/>
    <x v="1"/>
    <x v="3"/>
  </r>
  <r>
    <n v="128"/>
    <n v="6"/>
    <x v="5"/>
    <s v="Handout"/>
    <n v="5"/>
    <n v="3"/>
    <n v="-0.4"/>
    <x v="2"/>
    <x v="1"/>
  </r>
  <r>
    <n v="128"/>
    <n v="7"/>
    <x v="6"/>
    <s v="Quiz"/>
    <n v="10"/>
    <n v="10"/>
    <n v="0"/>
    <x v="0"/>
    <x v="2"/>
  </r>
  <r>
    <n v="128"/>
    <n v="8"/>
    <x v="7"/>
    <s v="Video"/>
    <n v="5"/>
    <n v="7"/>
    <n v="0.39999999999999991"/>
    <x v="1"/>
    <x v="0"/>
  </r>
  <r>
    <n v="130"/>
    <n v="1"/>
    <x v="0"/>
    <s v="Video"/>
    <n v="4"/>
    <n v="7"/>
    <n v="0.75"/>
    <x v="3"/>
    <x v="0"/>
  </r>
  <r>
    <n v="130"/>
    <n v="2"/>
    <x v="1"/>
    <s v="Text"/>
    <n v="15"/>
    <n v="21"/>
    <n v="0.39999999999999991"/>
    <x v="1"/>
    <x v="0"/>
  </r>
  <r>
    <n v="130"/>
    <n v="3"/>
    <x v="2"/>
    <s v="Übung"/>
    <n v="30"/>
    <n v="29"/>
    <n v="-3.3333333333333326E-2"/>
    <x v="0"/>
    <x v="1"/>
  </r>
  <r>
    <n v="130"/>
    <n v="4"/>
    <x v="3"/>
    <s v="Übung"/>
    <n v="30"/>
    <n v="27"/>
    <n v="-9.9999999999999978E-2"/>
    <x v="0"/>
    <x v="1"/>
  </r>
  <r>
    <n v="130"/>
    <n v="5"/>
    <x v="4"/>
    <s v="Übung"/>
    <n v="30"/>
    <n v="48"/>
    <n v="0.60000000000000009"/>
    <x v="1"/>
    <x v="3"/>
  </r>
  <r>
    <n v="130"/>
    <n v="6"/>
    <x v="5"/>
    <s v="Handout"/>
    <n v="5"/>
    <n v="2"/>
    <n v="-0.6"/>
    <x v="2"/>
    <x v="1"/>
  </r>
  <r>
    <n v="130"/>
    <n v="7"/>
    <x v="6"/>
    <s v="Quiz"/>
    <n v="10"/>
    <n v="11"/>
    <n v="0.10000000000000009"/>
    <x v="0"/>
    <x v="3"/>
  </r>
  <r>
    <n v="130"/>
    <n v="8"/>
    <x v="7"/>
    <s v="Video"/>
    <n v="5"/>
    <n v="5"/>
    <n v="0"/>
    <x v="0"/>
    <x v="0"/>
  </r>
  <r>
    <n v="131"/>
    <n v="1"/>
    <x v="0"/>
    <s v="Video"/>
    <n v="4"/>
    <n v="4"/>
    <n v="0"/>
    <x v="0"/>
    <x v="0"/>
  </r>
  <r>
    <n v="131"/>
    <n v="2"/>
    <x v="1"/>
    <s v="Text"/>
    <n v="15"/>
    <n v="17"/>
    <n v="0.1333333333333333"/>
    <x v="0"/>
    <x v="1"/>
  </r>
  <r>
    <n v="131"/>
    <n v="3"/>
    <x v="2"/>
    <s v="Übung"/>
    <n v="30"/>
    <n v="29"/>
    <n v="-3.3333333333333326E-2"/>
    <x v="0"/>
    <x v="3"/>
  </r>
  <r>
    <n v="131"/>
    <n v="4"/>
    <x v="3"/>
    <s v="Übung"/>
    <n v="30"/>
    <n v="26"/>
    <n v="-0.1333333333333333"/>
    <x v="0"/>
    <x v="3"/>
  </r>
  <r>
    <n v="131"/>
    <n v="5"/>
    <x v="4"/>
    <s v="Übung"/>
    <n v="30"/>
    <n v="47"/>
    <n v="0.56666666666666665"/>
    <x v="1"/>
    <x v="2"/>
  </r>
  <r>
    <n v="131"/>
    <n v="6"/>
    <x v="5"/>
    <s v="Handout"/>
    <n v="5"/>
    <n v="1"/>
    <n v="-0.8"/>
    <x v="2"/>
    <x v="1"/>
  </r>
  <r>
    <n v="131"/>
    <n v="7"/>
    <x v="6"/>
    <s v="Quiz"/>
    <n v="10"/>
    <n v="8"/>
    <n v="-0.19999999999999996"/>
    <x v="0"/>
    <x v="3"/>
  </r>
  <r>
    <n v="131"/>
    <n v="8"/>
    <x v="7"/>
    <s v="Video"/>
    <n v="5"/>
    <n v="5"/>
    <n v="0"/>
    <x v="0"/>
    <x v="0"/>
  </r>
  <r>
    <n v="133"/>
    <n v="1"/>
    <x v="0"/>
    <s v="Video"/>
    <n v="4"/>
    <n v="4"/>
    <n v="0"/>
    <x v="0"/>
    <x v="0"/>
  </r>
  <r>
    <n v="133"/>
    <n v="2"/>
    <x v="1"/>
    <s v="Text"/>
    <n v="15"/>
    <n v="17"/>
    <n v="0.1333333333333333"/>
    <x v="0"/>
    <x v="1"/>
  </r>
  <r>
    <n v="133"/>
    <n v="3"/>
    <x v="2"/>
    <s v="Übung"/>
    <n v="30"/>
    <n v="28"/>
    <n v="-6.6666666666666652E-2"/>
    <x v="0"/>
    <x v="1"/>
  </r>
  <r>
    <n v="133"/>
    <n v="4"/>
    <x v="3"/>
    <s v="Übung"/>
    <n v="30"/>
    <n v="15"/>
    <n v="-0.5"/>
    <x v="2"/>
    <x v="3"/>
  </r>
  <r>
    <n v="133"/>
    <n v="5"/>
    <x v="4"/>
    <s v="Übung"/>
    <n v="30"/>
    <n v="55"/>
    <n v="0.83333333333333326"/>
    <x v="3"/>
    <x v="3"/>
  </r>
  <r>
    <n v="133"/>
    <n v="6"/>
    <x v="5"/>
    <s v="Handout"/>
    <n v="5"/>
    <n v="1"/>
    <n v="-0.8"/>
    <x v="2"/>
    <x v="1"/>
  </r>
  <r>
    <n v="133"/>
    <n v="7"/>
    <x v="6"/>
    <s v="Quiz"/>
    <n v="10"/>
    <n v="8"/>
    <n v="-0.19999999999999996"/>
    <x v="0"/>
    <x v="2"/>
  </r>
  <r>
    <n v="133"/>
    <n v="8"/>
    <x v="7"/>
    <s v="Video"/>
    <n v="5"/>
    <n v="5"/>
    <n v="0"/>
    <x v="0"/>
    <x v="0"/>
  </r>
  <r>
    <n v="134"/>
    <n v="1"/>
    <x v="0"/>
    <s v="Video"/>
    <n v="4"/>
    <n v="4"/>
    <n v="0"/>
    <x v="0"/>
    <x v="0"/>
  </r>
  <r>
    <n v="134"/>
    <n v="2"/>
    <x v="1"/>
    <s v="Text"/>
    <n v="15"/>
    <n v="17"/>
    <n v="0.1333333333333333"/>
    <x v="0"/>
    <x v="0"/>
  </r>
  <r>
    <n v="134"/>
    <n v="3"/>
    <x v="2"/>
    <s v="Übung"/>
    <n v="30"/>
    <n v="28"/>
    <n v="-6.6666666666666652E-2"/>
    <x v="0"/>
    <x v="1"/>
  </r>
  <r>
    <n v="134"/>
    <n v="4"/>
    <x v="3"/>
    <s v="Übung"/>
    <n v="30"/>
    <n v="27"/>
    <n v="-9.9999999999999978E-2"/>
    <x v="0"/>
    <x v="3"/>
  </r>
  <r>
    <n v="134"/>
    <n v="5"/>
    <x v="4"/>
    <s v="Übung"/>
    <n v="30"/>
    <n v="46"/>
    <n v="0.53333333333333344"/>
    <x v="1"/>
    <x v="2"/>
  </r>
  <r>
    <n v="134"/>
    <n v="6"/>
    <x v="5"/>
    <s v="Handout"/>
    <n v="5"/>
    <n v="2"/>
    <n v="-0.6"/>
    <x v="2"/>
    <x v="0"/>
  </r>
  <r>
    <n v="134"/>
    <n v="7"/>
    <x v="6"/>
    <s v="Quiz"/>
    <n v="10"/>
    <n v="9"/>
    <n v="-9.9999999999999978E-2"/>
    <x v="0"/>
    <x v="3"/>
  </r>
  <r>
    <n v="134"/>
    <n v="8"/>
    <x v="7"/>
    <s v="Video"/>
    <n v="5"/>
    <n v="8"/>
    <n v="0.60000000000000009"/>
    <x v="1"/>
    <x v="0"/>
  </r>
  <r>
    <n v="136"/>
    <n v="1"/>
    <x v="0"/>
    <s v="Video"/>
    <n v="4"/>
    <n v="4"/>
    <n v="0"/>
    <x v="0"/>
    <x v="0"/>
  </r>
  <r>
    <n v="136"/>
    <n v="2"/>
    <x v="1"/>
    <s v="Text"/>
    <n v="15"/>
    <n v="20"/>
    <n v="0.33333333333333326"/>
    <x v="1"/>
    <x v="1"/>
  </r>
  <r>
    <n v="136"/>
    <n v="3"/>
    <x v="2"/>
    <s v="Übung"/>
    <n v="30"/>
    <n v="39"/>
    <n v="0.30000000000000004"/>
    <x v="0"/>
    <x v="3"/>
  </r>
  <r>
    <n v="136"/>
    <n v="4"/>
    <x v="3"/>
    <s v="Übung"/>
    <n v="30"/>
    <n v="37"/>
    <n v="0.23333333333333339"/>
    <x v="0"/>
    <x v="1"/>
  </r>
  <r>
    <n v="136"/>
    <n v="5"/>
    <x v="4"/>
    <s v="Übung"/>
    <n v="30"/>
    <n v="50"/>
    <n v="0.66666666666666674"/>
    <x v="3"/>
    <x v="2"/>
  </r>
  <r>
    <n v="136"/>
    <n v="6"/>
    <x v="5"/>
    <s v="Handout"/>
    <n v="5"/>
    <n v="3"/>
    <n v="-0.4"/>
    <x v="2"/>
    <x v="1"/>
  </r>
  <r>
    <n v="136"/>
    <n v="7"/>
    <x v="6"/>
    <s v="Quiz"/>
    <n v="10"/>
    <n v="8"/>
    <n v="-0.19999999999999996"/>
    <x v="0"/>
    <x v="2"/>
  </r>
  <r>
    <n v="136"/>
    <n v="8"/>
    <x v="7"/>
    <s v="Video"/>
    <n v="5"/>
    <n v="5"/>
    <n v="0"/>
    <x v="0"/>
    <x v="0"/>
  </r>
  <r>
    <n v="137"/>
    <n v="1"/>
    <x v="0"/>
    <s v="Video"/>
    <n v="4"/>
    <n v="4"/>
    <n v="0"/>
    <x v="0"/>
    <x v="0"/>
  </r>
  <r>
    <n v="137"/>
    <n v="2"/>
    <x v="1"/>
    <s v="Text"/>
    <n v="15"/>
    <n v="18"/>
    <n v="0.19999999999999996"/>
    <x v="0"/>
    <x v="0"/>
  </r>
  <r>
    <n v="137"/>
    <n v="3"/>
    <x v="2"/>
    <s v="Übung"/>
    <n v="30"/>
    <n v="30"/>
    <n v="0"/>
    <x v="0"/>
    <x v="1"/>
  </r>
  <r>
    <n v="137"/>
    <n v="4"/>
    <x v="3"/>
    <s v="Übung"/>
    <n v="30"/>
    <n v="23"/>
    <n v="-0.23333333333333328"/>
    <x v="0"/>
    <x v="3"/>
  </r>
  <r>
    <n v="137"/>
    <n v="5"/>
    <x v="4"/>
    <s v="Übung"/>
    <n v="30"/>
    <n v="49"/>
    <n v="0.6333333333333333"/>
    <x v="3"/>
    <x v="2"/>
  </r>
  <r>
    <n v="137"/>
    <n v="6"/>
    <x v="5"/>
    <s v="Handout"/>
    <n v="5"/>
    <n v="1"/>
    <n v="-0.8"/>
    <x v="2"/>
    <x v="1"/>
  </r>
  <r>
    <n v="137"/>
    <n v="7"/>
    <x v="6"/>
    <s v="Quiz"/>
    <n v="10"/>
    <n v="9"/>
    <n v="-9.9999999999999978E-2"/>
    <x v="0"/>
    <x v="3"/>
  </r>
  <r>
    <n v="137"/>
    <n v="8"/>
    <x v="7"/>
    <s v="Video"/>
    <n v="5"/>
    <n v="5"/>
    <n v="0"/>
    <x v="0"/>
    <x v="0"/>
  </r>
  <r>
    <n v="138"/>
    <n v="1"/>
    <x v="0"/>
    <s v="Video"/>
    <n v="4"/>
    <n v="4"/>
    <n v="0"/>
    <x v="0"/>
    <x v="0"/>
  </r>
  <r>
    <n v="138"/>
    <n v="2"/>
    <x v="1"/>
    <s v="Text"/>
    <n v="15"/>
    <n v="15"/>
    <n v="0"/>
    <x v="0"/>
    <x v="0"/>
  </r>
  <r>
    <n v="138"/>
    <n v="3"/>
    <x v="2"/>
    <s v="Übung"/>
    <n v="30"/>
    <n v="35"/>
    <n v="0.16666666666666674"/>
    <x v="0"/>
    <x v="1"/>
  </r>
  <r>
    <n v="138"/>
    <n v="4"/>
    <x v="3"/>
    <s v="Übung"/>
    <n v="30"/>
    <n v="32"/>
    <n v="6.6666666666666652E-2"/>
    <x v="0"/>
    <x v="3"/>
  </r>
  <r>
    <n v="138"/>
    <n v="5"/>
    <x v="4"/>
    <s v="Übung"/>
    <n v="30"/>
    <n v="44"/>
    <n v="0.46666666666666656"/>
    <x v="1"/>
    <x v="2"/>
  </r>
  <r>
    <n v="138"/>
    <n v="6"/>
    <x v="5"/>
    <s v="Handout"/>
    <n v="5"/>
    <n v="1"/>
    <n v="-0.8"/>
    <x v="2"/>
    <x v="1"/>
  </r>
  <r>
    <n v="138"/>
    <n v="7"/>
    <x v="6"/>
    <s v="Quiz"/>
    <n v="10"/>
    <n v="9"/>
    <n v="-9.9999999999999978E-2"/>
    <x v="0"/>
    <x v="3"/>
  </r>
  <r>
    <n v="138"/>
    <n v="8"/>
    <x v="7"/>
    <s v="Video"/>
    <n v="5"/>
    <n v="5"/>
    <n v="0"/>
    <x v="0"/>
    <x v="0"/>
  </r>
  <r>
    <n v="139"/>
    <n v="1"/>
    <x v="0"/>
    <s v="Video"/>
    <n v="4"/>
    <n v="4"/>
    <n v="0"/>
    <x v="0"/>
    <x v="0"/>
  </r>
  <r>
    <n v="139"/>
    <n v="2"/>
    <x v="1"/>
    <s v="Text"/>
    <n v="15"/>
    <n v="16"/>
    <n v="6.6666666666666652E-2"/>
    <x v="0"/>
    <x v="0"/>
  </r>
  <r>
    <n v="139"/>
    <n v="3"/>
    <x v="2"/>
    <s v="Übung"/>
    <n v="30"/>
    <n v="28"/>
    <n v="-6.6666666666666652E-2"/>
    <x v="0"/>
    <x v="3"/>
  </r>
  <r>
    <n v="139"/>
    <n v="4"/>
    <x v="3"/>
    <s v="Übung"/>
    <n v="30"/>
    <n v="22"/>
    <n v="-0.26666666666666672"/>
    <x v="0"/>
    <x v="3"/>
  </r>
  <r>
    <n v="139"/>
    <n v="5"/>
    <x v="4"/>
    <s v="Übung"/>
    <n v="30"/>
    <n v="44"/>
    <n v="0.46666666666666656"/>
    <x v="1"/>
    <x v="4"/>
  </r>
  <r>
    <n v="139"/>
    <n v="6"/>
    <x v="5"/>
    <s v="Handout"/>
    <n v="5"/>
    <n v="1"/>
    <n v="-0.8"/>
    <x v="2"/>
    <x v="1"/>
  </r>
  <r>
    <n v="139"/>
    <n v="7"/>
    <x v="6"/>
    <s v="Quiz"/>
    <n v="10"/>
    <n v="9"/>
    <n v="-9.9999999999999978E-2"/>
    <x v="0"/>
    <x v="3"/>
  </r>
  <r>
    <n v="139"/>
    <n v="8"/>
    <x v="7"/>
    <s v="Video"/>
    <n v="5"/>
    <n v="5"/>
    <n v="0"/>
    <x v="0"/>
    <x v="1"/>
  </r>
  <r>
    <n v="141"/>
    <n v="1"/>
    <x v="0"/>
    <s v="Video"/>
    <n v="4"/>
    <n v="4"/>
    <n v="0"/>
    <x v="0"/>
    <x v="0"/>
  </r>
  <r>
    <n v="141"/>
    <n v="2"/>
    <x v="1"/>
    <s v="Text"/>
    <n v="15"/>
    <n v="21"/>
    <n v="0.39999999999999991"/>
    <x v="1"/>
    <x v="1"/>
  </r>
  <r>
    <n v="141"/>
    <n v="3"/>
    <x v="2"/>
    <s v="Übung"/>
    <n v="30"/>
    <n v="27"/>
    <n v="-9.9999999999999978E-2"/>
    <x v="0"/>
    <x v="3"/>
  </r>
  <r>
    <n v="141"/>
    <n v="4"/>
    <x v="3"/>
    <s v="Übung"/>
    <n v="30"/>
    <n v="27"/>
    <n v="-9.9999999999999978E-2"/>
    <x v="0"/>
    <x v="3"/>
  </r>
  <r>
    <n v="141"/>
    <n v="5"/>
    <x v="4"/>
    <s v="Übung"/>
    <n v="30"/>
    <n v="52"/>
    <n v="0.73333333333333339"/>
    <x v="3"/>
    <x v="3"/>
  </r>
  <r>
    <n v="141"/>
    <n v="6"/>
    <x v="5"/>
    <s v="Handout"/>
    <n v="5"/>
    <n v="2"/>
    <n v="-0.6"/>
    <x v="2"/>
    <x v="3"/>
  </r>
  <r>
    <n v="141"/>
    <n v="7"/>
    <x v="6"/>
    <s v="Quiz"/>
    <n v="10"/>
    <n v="8"/>
    <n v="-0.19999999999999996"/>
    <x v="0"/>
    <x v="3"/>
  </r>
  <r>
    <n v="141"/>
    <n v="8"/>
    <x v="7"/>
    <s v="Video"/>
    <n v="5"/>
    <n v="9"/>
    <n v="0.8"/>
    <x v="3"/>
    <x v="1"/>
  </r>
  <r>
    <n v="142"/>
    <n v="1"/>
    <x v="0"/>
    <s v="Video"/>
    <n v="4"/>
    <n v="4"/>
    <n v="0"/>
    <x v="0"/>
    <x v="0"/>
  </r>
  <r>
    <n v="142"/>
    <n v="2"/>
    <x v="1"/>
    <s v="Text"/>
    <n v="15"/>
    <n v="22"/>
    <n v="0.46666666666666656"/>
    <x v="1"/>
    <x v="0"/>
  </r>
  <r>
    <n v="142"/>
    <n v="3"/>
    <x v="2"/>
    <s v="Übung"/>
    <n v="30"/>
    <n v="29"/>
    <n v="-3.3333333333333326E-2"/>
    <x v="0"/>
    <x v="3"/>
  </r>
  <r>
    <n v="142"/>
    <n v="4"/>
    <x v="3"/>
    <s v="Übung"/>
    <n v="30"/>
    <n v="28"/>
    <n v="-6.6666666666666652E-2"/>
    <x v="0"/>
    <x v="3"/>
  </r>
  <r>
    <n v="142"/>
    <n v="5"/>
    <x v="4"/>
    <s v="Übung"/>
    <n v="30"/>
    <n v="44"/>
    <n v="0.46666666666666656"/>
    <x v="1"/>
    <x v="4"/>
  </r>
  <r>
    <n v="142"/>
    <n v="6"/>
    <x v="5"/>
    <s v="Handout"/>
    <n v="5"/>
    <n v="1"/>
    <n v="-0.8"/>
    <x v="2"/>
    <x v="1"/>
  </r>
  <r>
    <n v="142"/>
    <n v="7"/>
    <x v="6"/>
    <s v="Quiz"/>
    <n v="10"/>
    <n v="11"/>
    <n v="0.10000000000000009"/>
    <x v="0"/>
    <x v="3"/>
  </r>
  <r>
    <n v="142"/>
    <n v="8"/>
    <x v="7"/>
    <s v="Video"/>
    <n v="5"/>
    <n v="7"/>
    <n v="0.39999999999999991"/>
    <x v="1"/>
    <x v="0"/>
  </r>
  <r>
    <n v="143"/>
    <n v="1"/>
    <x v="0"/>
    <s v="Video"/>
    <n v="4"/>
    <n v="4"/>
    <n v="0"/>
    <x v="0"/>
    <x v="0"/>
  </r>
  <r>
    <n v="143"/>
    <n v="2"/>
    <x v="1"/>
    <s v="Text"/>
    <n v="15"/>
    <n v="19"/>
    <n v="0.26666666666666661"/>
    <x v="0"/>
    <x v="0"/>
  </r>
  <r>
    <n v="143"/>
    <n v="3"/>
    <x v="2"/>
    <s v="Übung"/>
    <n v="30"/>
    <n v="29"/>
    <n v="-3.3333333333333326E-2"/>
    <x v="0"/>
    <x v="1"/>
  </r>
  <r>
    <n v="143"/>
    <n v="4"/>
    <x v="3"/>
    <s v="Übung"/>
    <n v="30"/>
    <n v="35"/>
    <n v="0.16666666666666674"/>
    <x v="0"/>
    <x v="3"/>
  </r>
  <r>
    <n v="143"/>
    <n v="5"/>
    <x v="4"/>
    <s v="Übung"/>
    <n v="30"/>
    <n v="50"/>
    <n v="0.66666666666666674"/>
    <x v="3"/>
    <x v="3"/>
  </r>
  <r>
    <n v="143"/>
    <n v="6"/>
    <x v="5"/>
    <s v="Handout"/>
    <n v="5"/>
    <n v="1"/>
    <n v="-0.8"/>
    <x v="2"/>
    <x v="1"/>
  </r>
  <r>
    <n v="143"/>
    <n v="7"/>
    <x v="6"/>
    <s v="Quiz"/>
    <n v="10"/>
    <n v="9"/>
    <n v="-9.9999999999999978E-2"/>
    <x v="0"/>
    <x v="2"/>
  </r>
  <r>
    <n v="143"/>
    <n v="8"/>
    <x v="7"/>
    <s v="Video"/>
    <n v="5"/>
    <n v="5"/>
    <n v="0"/>
    <x v="0"/>
    <x v="0"/>
  </r>
  <r>
    <n v="144"/>
    <n v="1"/>
    <x v="0"/>
    <s v="Video"/>
    <n v="4"/>
    <n v="4"/>
    <n v="0"/>
    <x v="0"/>
    <x v="0"/>
  </r>
  <r>
    <n v="144"/>
    <n v="2"/>
    <x v="1"/>
    <s v="Text"/>
    <n v="15"/>
    <n v="18"/>
    <n v="0.19999999999999996"/>
    <x v="0"/>
    <x v="1"/>
  </r>
  <r>
    <n v="144"/>
    <n v="3"/>
    <x v="2"/>
    <s v="Übung"/>
    <n v="30"/>
    <n v="29"/>
    <n v="-3.3333333333333326E-2"/>
    <x v="0"/>
    <x v="1"/>
  </r>
  <r>
    <n v="144"/>
    <n v="4"/>
    <x v="3"/>
    <s v="Übung"/>
    <n v="30"/>
    <n v="23"/>
    <n v="-0.23333333333333328"/>
    <x v="0"/>
    <x v="3"/>
  </r>
  <r>
    <n v="144"/>
    <n v="5"/>
    <x v="4"/>
    <s v="Übung"/>
    <n v="30"/>
    <n v="53"/>
    <n v="0.76666666666666661"/>
    <x v="3"/>
    <x v="2"/>
  </r>
  <r>
    <n v="144"/>
    <n v="6"/>
    <x v="5"/>
    <s v="Handout"/>
    <n v="5"/>
    <n v="1"/>
    <n v="-0.8"/>
    <x v="2"/>
    <x v="1"/>
  </r>
  <r>
    <n v="144"/>
    <n v="7"/>
    <x v="6"/>
    <s v="Quiz"/>
    <n v="10"/>
    <n v="8"/>
    <n v="-0.19999999999999996"/>
    <x v="0"/>
    <x v="3"/>
  </r>
  <r>
    <n v="144"/>
    <n v="8"/>
    <x v="7"/>
    <s v="Video"/>
    <n v="5"/>
    <n v="8"/>
    <n v="0.60000000000000009"/>
    <x v="1"/>
    <x v="0"/>
  </r>
  <r>
    <n v="145"/>
    <n v="1"/>
    <x v="0"/>
    <s v="Video"/>
    <n v="4"/>
    <n v="4"/>
    <n v="0"/>
    <x v="0"/>
    <x v="0"/>
  </r>
  <r>
    <n v="145"/>
    <n v="2"/>
    <x v="1"/>
    <s v="Text"/>
    <n v="15"/>
    <n v="18"/>
    <n v="0.19999999999999996"/>
    <x v="0"/>
    <x v="0"/>
  </r>
  <r>
    <n v="145"/>
    <n v="3"/>
    <x v="2"/>
    <s v="Übung"/>
    <n v="30"/>
    <n v="29"/>
    <n v="-3.3333333333333326E-2"/>
    <x v="0"/>
    <x v="3"/>
  </r>
  <r>
    <n v="145"/>
    <n v="4"/>
    <x v="3"/>
    <s v="Übung"/>
    <n v="30"/>
    <n v="32"/>
    <n v="6.6666666666666652E-2"/>
    <x v="0"/>
    <x v="3"/>
  </r>
  <r>
    <n v="145"/>
    <n v="5"/>
    <x v="4"/>
    <s v="Übung"/>
    <n v="30"/>
    <n v="43"/>
    <n v="0.43333333333333335"/>
    <x v="1"/>
    <x v="2"/>
  </r>
  <r>
    <n v="145"/>
    <n v="6"/>
    <x v="5"/>
    <s v="Handout"/>
    <n v="5"/>
    <n v="2"/>
    <n v="-0.6"/>
    <x v="2"/>
    <x v="1"/>
  </r>
  <r>
    <n v="145"/>
    <n v="7"/>
    <x v="6"/>
    <s v="Quiz"/>
    <n v="10"/>
    <n v="10"/>
    <n v="0"/>
    <x v="0"/>
    <x v="2"/>
  </r>
  <r>
    <n v="145"/>
    <n v="8"/>
    <x v="7"/>
    <s v="Video"/>
    <n v="5"/>
    <n v="5"/>
    <n v="0"/>
    <x v="0"/>
    <x v="0"/>
  </r>
  <r>
    <n v="146"/>
    <n v="1"/>
    <x v="0"/>
    <s v="Video"/>
    <n v="4"/>
    <n v="4"/>
    <n v="0"/>
    <x v="0"/>
    <x v="0"/>
  </r>
  <r>
    <n v="146"/>
    <n v="2"/>
    <x v="1"/>
    <s v="Text"/>
    <n v="15"/>
    <n v="17"/>
    <n v="0.1333333333333333"/>
    <x v="0"/>
    <x v="1"/>
  </r>
  <r>
    <n v="146"/>
    <n v="3"/>
    <x v="2"/>
    <s v="Übung"/>
    <n v="30"/>
    <n v="28"/>
    <n v="-6.6666666666666652E-2"/>
    <x v="0"/>
    <x v="1"/>
  </r>
  <r>
    <n v="146"/>
    <n v="4"/>
    <x v="3"/>
    <s v="Übung"/>
    <n v="30"/>
    <n v="28"/>
    <n v="-6.6666666666666652E-2"/>
    <x v="0"/>
    <x v="3"/>
  </r>
  <r>
    <n v="146"/>
    <n v="5"/>
    <x v="4"/>
    <s v="Übung"/>
    <n v="30"/>
    <n v="45"/>
    <n v="0.5"/>
    <x v="1"/>
    <x v="3"/>
  </r>
  <r>
    <n v="146"/>
    <n v="6"/>
    <x v="5"/>
    <s v="Handout"/>
    <n v="5"/>
    <n v="2"/>
    <n v="-0.6"/>
    <x v="2"/>
    <x v="1"/>
  </r>
  <r>
    <n v="146"/>
    <n v="7"/>
    <x v="6"/>
    <s v="Quiz"/>
    <n v="10"/>
    <n v="11"/>
    <n v="0.10000000000000009"/>
    <x v="0"/>
    <x v="2"/>
  </r>
  <r>
    <n v="146"/>
    <n v="8"/>
    <x v="7"/>
    <s v="Video"/>
    <n v="5"/>
    <n v="5"/>
    <n v="0"/>
    <x v="0"/>
    <x v="0"/>
  </r>
  <r>
    <n v="147"/>
    <n v="1"/>
    <x v="0"/>
    <s v="Video"/>
    <n v="4"/>
    <n v="4"/>
    <n v="0"/>
    <x v="0"/>
    <x v="0"/>
  </r>
  <r>
    <n v="147"/>
    <n v="2"/>
    <x v="1"/>
    <s v="Text"/>
    <n v="15"/>
    <n v="17"/>
    <n v="0.1333333333333333"/>
    <x v="0"/>
    <x v="1"/>
  </r>
  <r>
    <n v="147"/>
    <n v="3"/>
    <x v="2"/>
    <s v="Übung"/>
    <n v="30"/>
    <n v="29"/>
    <n v="-3.3333333333333326E-2"/>
    <x v="0"/>
    <x v="3"/>
  </r>
  <r>
    <n v="147"/>
    <n v="4"/>
    <x v="3"/>
    <s v="Übung"/>
    <n v="30"/>
    <n v="28"/>
    <n v="-6.6666666666666652E-2"/>
    <x v="0"/>
    <x v="2"/>
  </r>
  <r>
    <n v="147"/>
    <n v="5"/>
    <x v="4"/>
    <s v="Übung"/>
    <n v="30"/>
    <n v="35"/>
    <n v="0.16666666666666674"/>
    <x v="0"/>
    <x v="2"/>
  </r>
  <r>
    <n v="147"/>
    <n v="6"/>
    <x v="5"/>
    <s v="Handout"/>
    <n v="5"/>
    <n v="2"/>
    <n v="-0.6"/>
    <x v="2"/>
    <x v="3"/>
  </r>
  <r>
    <n v="147"/>
    <n v="7"/>
    <x v="6"/>
    <s v="Quiz"/>
    <n v="10"/>
    <n v="10"/>
    <n v="0"/>
    <x v="0"/>
    <x v="3"/>
  </r>
  <r>
    <n v="147"/>
    <n v="8"/>
    <x v="7"/>
    <s v="Video"/>
    <n v="5"/>
    <n v="5"/>
    <n v="0"/>
    <x v="0"/>
    <x v="0"/>
  </r>
  <r>
    <n v="149"/>
    <n v="1"/>
    <x v="0"/>
    <s v="Video"/>
    <n v="4"/>
    <n v="4"/>
    <n v="0"/>
    <x v="0"/>
    <x v="0"/>
  </r>
  <r>
    <n v="149"/>
    <n v="2"/>
    <x v="1"/>
    <s v="Text"/>
    <n v="15"/>
    <n v="16"/>
    <n v="6.6666666666666652E-2"/>
    <x v="0"/>
    <x v="0"/>
  </r>
  <r>
    <n v="149"/>
    <n v="3"/>
    <x v="2"/>
    <s v="Übung"/>
    <n v="30"/>
    <n v="28"/>
    <n v="-6.6666666666666652E-2"/>
    <x v="0"/>
    <x v="1"/>
  </r>
  <r>
    <n v="149"/>
    <n v="4"/>
    <x v="3"/>
    <s v="Übung"/>
    <n v="30"/>
    <n v="20"/>
    <n v="-0.33333333333333337"/>
    <x v="2"/>
    <x v="3"/>
  </r>
  <r>
    <n v="149"/>
    <n v="5"/>
    <x v="4"/>
    <s v="Übung"/>
    <n v="30"/>
    <n v="37"/>
    <n v="0.23333333333333339"/>
    <x v="0"/>
    <x v="2"/>
  </r>
  <r>
    <n v="149"/>
    <n v="6"/>
    <x v="5"/>
    <s v="Handout"/>
    <n v="5"/>
    <n v="2"/>
    <n v="-0.6"/>
    <x v="2"/>
    <x v="0"/>
  </r>
  <r>
    <n v="149"/>
    <n v="7"/>
    <x v="6"/>
    <s v="Quiz"/>
    <n v="10"/>
    <n v="8"/>
    <n v="-0.19999999999999996"/>
    <x v="0"/>
    <x v="3"/>
  </r>
  <r>
    <n v="149"/>
    <n v="8"/>
    <x v="7"/>
    <s v="Video"/>
    <n v="5"/>
    <n v="5"/>
    <n v="0"/>
    <x v="0"/>
    <x v="0"/>
  </r>
  <r>
    <n v="151"/>
    <n v="1"/>
    <x v="0"/>
    <s v="Video"/>
    <n v="4"/>
    <n v="4"/>
    <n v="0"/>
    <x v="0"/>
    <x v="0"/>
  </r>
  <r>
    <n v="151"/>
    <n v="2"/>
    <x v="1"/>
    <s v="Text"/>
    <n v="15"/>
    <n v="20"/>
    <n v="0.33333333333333326"/>
    <x v="1"/>
    <x v="0"/>
  </r>
  <r>
    <n v="151"/>
    <n v="3"/>
    <x v="2"/>
    <s v="Übung"/>
    <n v="30"/>
    <n v="30"/>
    <n v="0"/>
    <x v="0"/>
    <x v="1"/>
  </r>
  <r>
    <n v="151"/>
    <n v="4"/>
    <x v="3"/>
    <s v="Übung"/>
    <n v="30"/>
    <n v="18"/>
    <n v="-0.4"/>
    <x v="2"/>
    <x v="3"/>
  </r>
  <r>
    <n v="151"/>
    <n v="5"/>
    <x v="4"/>
    <s v="Übung"/>
    <n v="30"/>
    <n v="44"/>
    <n v="0.46666666666666656"/>
    <x v="1"/>
    <x v="2"/>
  </r>
  <r>
    <n v="151"/>
    <n v="6"/>
    <x v="5"/>
    <s v="Handout"/>
    <n v="5"/>
    <n v="2"/>
    <n v="-0.6"/>
    <x v="2"/>
    <x v="1"/>
  </r>
  <r>
    <n v="151"/>
    <n v="7"/>
    <x v="6"/>
    <s v="Quiz"/>
    <n v="10"/>
    <n v="10"/>
    <n v="0"/>
    <x v="0"/>
    <x v="3"/>
  </r>
  <r>
    <n v="151"/>
    <n v="8"/>
    <x v="7"/>
    <s v="Video"/>
    <n v="5"/>
    <n v="5"/>
    <n v="0"/>
    <x v="0"/>
    <x v="0"/>
  </r>
  <r>
    <n v="152"/>
    <n v="1"/>
    <x v="0"/>
    <s v="Video"/>
    <n v="4"/>
    <n v="4"/>
    <n v="0"/>
    <x v="0"/>
    <x v="0"/>
  </r>
  <r>
    <n v="152"/>
    <n v="2"/>
    <x v="1"/>
    <s v="Text"/>
    <n v="15"/>
    <n v="19"/>
    <n v="0.26666666666666661"/>
    <x v="0"/>
    <x v="0"/>
  </r>
  <r>
    <n v="152"/>
    <n v="3"/>
    <x v="2"/>
    <s v="Übung"/>
    <n v="30"/>
    <n v="28"/>
    <n v="-6.6666666666666652E-2"/>
    <x v="0"/>
    <x v="1"/>
  </r>
  <r>
    <n v="152"/>
    <n v="4"/>
    <x v="3"/>
    <s v="Übung"/>
    <n v="30"/>
    <n v="22"/>
    <n v="-0.26666666666666672"/>
    <x v="0"/>
    <x v="2"/>
  </r>
  <r>
    <n v="152"/>
    <n v="5"/>
    <x v="4"/>
    <s v="Übung"/>
    <n v="30"/>
    <n v="53"/>
    <n v="0.76666666666666661"/>
    <x v="3"/>
    <x v="2"/>
  </r>
  <r>
    <n v="152"/>
    <n v="6"/>
    <x v="5"/>
    <s v="Handout"/>
    <n v="5"/>
    <n v="1"/>
    <n v="-0.8"/>
    <x v="2"/>
    <x v="0"/>
  </r>
  <r>
    <n v="152"/>
    <n v="7"/>
    <x v="6"/>
    <s v="Quiz"/>
    <n v="10"/>
    <n v="8"/>
    <n v="-0.19999999999999996"/>
    <x v="0"/>
    <x v="2"/>
  </r>
  <r>
    <n v="152"/>
    <n v="8"/>
    <x v="7"/>
    <s v="Video"/>
    <n v="5"/>
    <n v="7"/>
    <n v="0.39999999999999991"/>
    <x v="1"/>
    <x v="0"/>
  </r>
  <r>
    <n v="153"/>
    <n v="1"/>
    <x v="0"/>
    <s v="Video"/>
    <n v="4"/>
    <n v="5"/>
    <n v="0.25"/>
    <x v="0"/>
    <x v="0"/>
  </r>
  <r>
    <n v="153"/>
    <n v="2"/>
    <x v="1"/>
    <s v="Text"/>
    <n v="15"/>
    <n v="18"/>
    <n v="0.19999999999999996"/>
    <x v="0"/>
    <x v="0"/>
  </r>
  <r>
    <n v="153"/>
    <n v="3"/>
    <x v="2"/>
    <s v="Übung"/>
    <n v="30"/>
    <n v="28"/>
    <n v="-6.6666666666666652E-2"/>
    <x v="0"/>
    <x v="3"/>
  </r>
  <r>
    <n v="153"/>
    <n v="4"/>
    <x v="3"/>
    <s v="Übung"/>
    <n v="30"/>
    <n v="27"/>
    <n v="-9.9999999999999978E-2"/>
    <x v="0"/>
    <x v="3"/>
  </r>
  <r>
    <n v="153"/>
    <n v="5"/>
    <x v="4"/>
    <s v="Übung"/>
    <n v="30"/>
    <n v="48"/>
    <n v="0.60000000000000009"/>
    <x v="1"/>
    <x v="2"/>
  </r>
  <r>
    <n v="153"/>
    <n v="6"/>
    <x v="5"/>
    <s v="Handout"/>
    <n v="5"/>
    <n v="1"/>
    <n v="-0.8"/>
    <x v="2"/>
    <x v="1"/>
  </r>
  <r>
    <n v="153"/>
    <n v="7"/>
    <x v="6"/>
    <s v="Quiz"/>
    <n v="10"/>
    <n v="9"/>
    <n v="-9.9999999999999978E-2"/>
    <x v="0"/>
    <x v="3"/>
  </r>
  <r>
    <n v="153"/>
    <n v="8"/>
    <x v="7"/>
    <s v="Video"/>
    <n v="5"/>
    <n v="5"/>
    <n v="0"/>
    <x v="0"/>
    <x v="0"/>
  </r>
  <r>
    <n v="154"/>
    <n v="1"/>
    <x v="0"/>
    <s v="Video"/>
    <n v="4"/>
    <n v="4"/>
    <n v="0"/>
    <x v="0"/>
    <x v="0"/>
  </r>
  <r>
    <n v="154"/>
    <n v="2"/>
    <x v="1"/>
    <s v="Text"/>
    <n v="15"/>
    <n v="18"/>
    <n v="0.19999999999999996"/>
    <x v="0"/>
    <x v="1"/>
  </r>
  <r>
    <n v="154"/>
    <n v="3"/>
    <x v="2"/>
    <s v="Übung"/>
    <n v="30"/>
    <n v="29"/>
    <n v="-3.3333333333333326E-2"/>
    <x v="0"/>
    <x v="3"/>
  </r>
  <r>
    <n v="154"/>
    <n v="4"/>
    <x v="3"/>
    <s v="Übung"/>
    <n v="30"/>
    <n v="31"/>
    <n v="3.3333333333333437E-2"/>
    <x v="0"/>
    <x v="3"/>
  </r>
  <r>
    <n v="154"/>
    <n v="5"/>
    <x v="4"/>
    <s v="Übung"/>
    <n v="30"/>
    <n v="45"/>
    <n v="0.5"/>
    <x v="1"/>
    <x v="2"/>
  </r>
  <r>
    <n v="154"/>
    <n v="6"/>
    <x v="5"/>
    <s v="Handout"/>
    <n v="5"/>
    <n v="1"/>
    <n v="-0.8"/>
    <x v="2"/>
    <x v="1"/>
  </r>
  <r>
    <n v="154"/>
    <n v="7"/>
    <x v="6"/>
    <s v="Quiz"/>
    <n v="10"/>
    <n v="9"/>
    <n v="-9.9999999999999978E-2"/>
    <x v="0"/>
    <x v="2"/>
  </r>
  <r>
    <n v="154"/>
    <n v="8"/>
    <x v="7"/>
    <s v="Video"/>
    <n v="5"/>
    <n v="5"/>
    <n v="0"/>
    <x v="0"/>
    <x v="0"/>
  </r>
  <r>
    <n v="157"/>
    <n v="1"/>
    <x v="0"/>
    <s v="Video"/>
    <n v="4"/>
    <n v="4"/>
    <n v="0"/>
    <x v="0"/>
    <x v="1"/>
  </r>
  <r>
    <n v="157"/>
    <n v="2"/>
    <x v="1"/>
    <s v="Text"/>
    <n v="15"/>
    <n v="19"/>
    <n v="0.26666666666666661"/>
    <x v="0"/>
    <x v="1"/>
  </r>
  <r>
    <n v="157"/>
    <n v="3"/>
    <x v="2"/>
    <s v="Übung"/>
    <n v="30"/>
    <n v="27"/>
    <n v="-9.9999999999999978E-2"/>
    <x v="0"/>
    <x v="3"/>
  </r>
  <r>
    <n v="157"/>
    <n v="4"/>
    <x v="3"/>
    <s v="Übung"/>
    <n v="30"/>
    <n v="23"/>
    <n v="-0.23333333333333328"/>
    <x v="0"/>
    <x v="3"/>
  </r>
  <r>
    <n v="157"/>
    <n v="5"/>
    <x v="4"/>
    <s v="Übung"/>
    <n v="30"/>
    <n v="41"/>
    <n v="0.3666666666666667"/>
    <x v="1"/>
    <x v="3"/>
  </r>
  <r>
    <n v="157"/>
    <n v="6"/>
    <x v="5"/>
    <s v="Handout"/>
    <n v="5"/>
    <n v="1"/>
    <n v="-0.8"/>
    <x v="2"/>
    <x v="3"/>
  </r>
  <r>
    <n v="157"/>
    <n v="7"/>
    <x v="6"/>
    <s v="Quiz"/>
    <n v="10"/>
    <n v="8"/>
    <n v="-0.19999999999999996"/>
    <x v="0"/>
    <x v="3"/>
  </r>
  <r>
    <n v="157"/>
    <n v="8"/>
    <x v="7"/>
    <s v="Video"/>
    <n v="5"/>
    <n v="5"/>
    <n v="0"/>
    <x v="0"/>
    <x v="1"/>
  </r>
  <r>
    <n v="159"/>
    <n v="1"/>
    <x v="0"/>
    <s v="Video"/>
    <n v="4"/>
    <n v="4"/>
    <n v="0"/>
    <x v="0"/>
    <x v="0"/>
  </r>
  <r>
    <n v="159"/>
    <n v="2"/>
    <x v="1"/>
    <s v="Text"/>
    <n v="15"/>
    <n v="22"/>
    <n v="0.46666666666666656"/>
    <x v="1"/>
    <x v="1"/>
  </r>
  <r>
    <n v="159"/>
    <n v="3"/>
    <x v="2"/>
    <s v="Übung"/>
    <n v="30"/>
    <n v="30"/>
    <n v="0"/>
    <x v="0"/>
    <x v="1"/>
  </r>
  <r>
    <n v="159"/>
    <n v="4"/>
    <x v="3"/>
    <s v="Übung"/>
    <n v="30"/>
    <n v="19"/>
    <n v="-0.3666666666666667"/>
    <x v="2"/>
    <x v="3"/>
  </r>
  <r>
    <n v="159"/>
    <n v="5"/>
    <x v="4"/>
    <s v="Übung"/>
    <n v="30"/>
    <n v="49"/>
    <n v="0.6333333333333333"/>
    <x v="3"/>
    <x v="3"/>
  </r>
  <r>
    <n v="159"/>
    <n v="6"/>
    <x v="5"/>
    <s v="Handout"/>
    <n v="5"/>
    <n v="1"/>
    <n v="-0.8"/>
    <x v="2"/>
    <x v="1"/>
  </r>
  <r>
    <n v="159"/>
    <n v="7"/>
    <x v="6"/>
    <s v="Quiz"/>
    <n v="10"/>
    <n v="10"/>
    <n v="0"/>
    <x v="0"/>
    <x v="3"/>
  </r>
  <r>
    <n v="159"/>
    <n v="8"/>
    <x v="7"/>
    <s v="Video"/>
    <n v="5"/>
    <n v="5"/>
    <n v="0"/>
    <x v="0"/>
    <x v="0"/>
  </r>
  <r>
    <n v="163"/>
    <n v="1"/>
    <x v="0"/>
    <s v="Video"/>
    <n v="4"/>
    <n v="4"/>
    <n v="0"/>
    <x v="0"/>
    <x v="0"/>
  </r>
  <r>
    <n v="163"/>
    <n v="2"/>
    <x v="1"/>
    <s v="Text"/>
    <n v="15"/>
    <n v="17"/>
    <n v="0.1333333333333333"/>
    <x v="0"/>
    <x v="0"/>
  </r>
  <r>
    <n v="163"/>
    <n v="3"/>
    <x v="2"/>
    <s v="Übung"/>
    <n v="30"/>
    <n v="29"/>
    <n v="-3.3333333333333326E-2"/>
    <x v="0"/>
    <x v="1"/>
  </r>
  <r>
    <n v="163"/>
    <n v="4"/>
    <x v="3"/>
    <s v="Übung"/>
    <n v="30"/>
    <n v="17"/>
    <n v="-0.43333333333333335"/>
    <x v="2"/>
    <x v="3"/>
  </r>
  <r>
    <n v="163"/>
    <n v="5"/>
    <x v="4"/>
    <s v="Übung"/>
    <n v="30"/>
    <n v="48"/>
    <n v="0.60000000000000009"/>
    <x v="1"/>
    <x v="3"/>
  </r>
  <r>
    <n v="163"/>
    <n v="6"/>
    <x v="5"/>
    <s v="Handout"/>
    <n v="5"/>
    <n v="2"/>
    <n v="-0.6"/>
    <x v="2"/>
    <x v="1"/>
  </r>
  <r>
    <n v="163"/>
    <n v="7"/>
    <x v="6"/>
    <s v="Quiz"/>
    <n v="10"/>
    <n v="10"/>
    <n v="0"/>
    <x v="0"/>
    <x v="3"/>
  </r>
  <r>
    <n v="163"/>
    <n v="8"/>
    <x v="7"/>
    <s v="Video"/>
    <n v="5"/>
    <n v="5"/>
    <n v="0"/>
    <x v="0"/>
    <x v="0"/>
  </r>
  <r>
    <n v="165"/>
    <n v="1"/>
    <x v="0"/>
    <s v="Video"/>
    <n v="4"/>
    <n v="4"/>
    <n v="0"/>
    <x v="0"/>
    <x v="0"/>
  </r>
  <r>
    <n v="165"/>
    <n v="2"/>
    <x v="1"/>
    <s v="Text"/>
    <n v="15"/>
    <n v="20"/>
    <n v="0.33333333333333326"/>
    <x v="1"/>
    <x v="0"/>
  </r>
  <r>
    <n v="165"/>
    <n v="3"/>
    <x v="2"/>
    <s v="Übung"/>
    <n v="30"/>
    <n v="41"/>
    <n v="0.3666666666666667"/>
    <x v="1"/>
    <x v="3"/>
  </r>
  <r>
    <n v="165"/>
    <n v="4"/>
    <x v="3"/>
    <s v="Übung"/>
    <n v="30"/>
    <n v="29"/>
    <n v="-3.3333333333333326E-2"/>
    <x v="0"/>
    <x v="2"/>
  </r>
  <r>
    <n v="165"/>
    <n v="5"/>
    <x v="4"/>
    <s v="Übung"/>
    <n v="30"/>
    <n v="45"/>
    <n v="0.5"/>
    <x v="1"/>
    <x v="2"/>
  </r>
  <r>
    <n v="165"/>
    <n v="6"/>
    <x v="5"/>
    <s v="Handout"/>
    <n v="5"/>
    <n v="1"/>
    <n v="-0.8"/>
    <x v="2"/>
    <x v="1"/>
  </r>
  <r>
    <n v="165"/>
    <n v="7"/>
    <x v="6"/>
    <s v="Quiz"/>
    <n v="10"/>
    <n v="9"/>
    <n v="-9.9999999999999978E-2"/>
    <x v="0"/>
    <x v="2"/>
  </r>
  <r>
    <n v="165"/>
    <n v="8"/>
    <x v="7"/>
    <s v="Video"/>
    <n v="5"/>
    <n v="5"/>
    <n v="0"/>
    <x v="0"/>
    <x v="0"/>
  </r>
  <r>
    <n v="166"/>
    <n v="1"/>
    <x v="0"/>
    <s v="Video"/>
    <n v="4"/>
    <n v="4"/>
    <n v="0"/>
    <x v="0"/>
    <x v="0"/>
  </r>
  <r>
    <n v="166"/>
    <n v="2"/>
    <x v="1"/>
    <s v="Text"/>
    <n v="15"/>
    <n v="17"/>
    <n v="0.1333333333333333"/>
    <x v="0"/>
    <x v="0"/>
  </r>
  <r>
    <n v="166"/>
    <n v="3"/>
    <x v="2"/>
    <s v="Übung"/>
    <n v="30"/>
    <n v="30"/>
    <n v="0"/>
    <x v="0"/>
    <x v="3"/>
  </r>
  <r>
    <n v="166"/>
    <n v="4"/>
    <x v="3"/>
    <s v="Übung"/>
    <n v="30"/>
    <n v="19"/>
    <n v="-0.3666666666666667"/>
    <x v="2"/>
    <x v="3"/>
  </r>
  <r>
    <n v="166"/>
    <n v="5"/>
    <x v="4"/>
    <s v="Übung"/>
    <n v="30"/>
    <n v="48"/>
    <n v="0.60000000000000009"/>
    <x v="1"/>
    <x v="3"/>
  </r>
  <r>
    <n v="166"/>
    <n v="6"/>
    <x v="5"/>
    <s v="Handout"/>
    <n v="5"/>
    <n v="2"/>
    <n v="-0.6"/>
    <x v="2"/>
    <x v="3"/>
  </r>
  <r>
    <n v="166"/>
    <n v="7"/>
    <x v="6"/>
    <s v="Quiz"/>
    <n v="10"/>
    <n v="11"/>
    <n v="0.10000000000000009"/>
    <x v="0"/>
    <x v="2"/>
  </r>
  <r>
    <n v="166"/>
    <n v="8"/>
    <x v="7"/>
    <s v="Video"/>
    <n v="5"/>
    <n v="5"/>
    <n v="0"/>
    <x v="0"/>
    <x v="0"/>
  </r>
  <r>
    <n v="167"/>
    <n v="1"/>
    <x v="0"/>
    <s v="Video"/>
    <n v="4"/>
    <n v="5"/>
    <n v="0.25"/>
    <x v="0"/>
    <x v="0"/>
  </r>
  <r>
    <n v="167"/>
    <n v="2"/>
    <x v="1"/>
    <s v="Text"/>
    <n v="15"/>
    <n v="17"/>
    <n v="0.1333333333333333"/>
    <x v="0"/>
    <x v="0"/>
  </r>
  <r>
    <n v="167"/>
    <n v="3"/>
    <x v="2"/>
    <s v="Übung"/>
    <n v="30"/>
    <n v="28"/>
    <n v="-6.6666666666666652E-2"/>
    <x v="0"/>
    <x v="1"/>
  </r>
  <r>
    <n v="167"/>
    <n v="4"/>
    <x v="3"/>
    <s v="Übung"/>
    <n v="30"/>
    <n v="18"/>
    <n v="-0.4"/>
    <x v="2"/>
    <x v="3"/>
  </r>
  <r>
    <n v="167"/>
    <n v="5"/>
    <x v="4"/>
    <s v="Übung"/>
    <n v="30"/>
    <n v="49"/>
    <n v="0.6333333333333333"/>
    <x v="3"/>
    <x v="2"/>
  </r>
  <r>
    <n v="167"/>
    <n v="6"/>
    <x v="5"/>
    <s v="Handout"/>
    <n v="5"/>
    <n v="3"/>
    <n v="-0.4"/>
    <x v="2"/>
    <x v="1"/>
  </r>
  <r>
    <n v="167"/>
    <n v="7"/>
    <x v="6"/>
    <s v="Quiz"/>
    <n v="10"/>
    <n v="9"/>
    <n v="-9.9999999999999978E-2"/>
    <x v="0"/>
    <x v="3"/>
  </r>
  <r>
    <n v="167"/>
    <n v="8"/>
    <x v="7"/>
    <s v="Video"/>
    <n v="5"/>
    <n v="5"/>
    <n v="0"/>
    <x v="0"/>
    <x v="1"/>
  </r>
  <r>
    <n v="169"/>
    <n v="1"/>
    <x v="0"/>
    <s v="Video"/>
    <n v="4"/>
    <n v="4"/>
    <n v="0"/>
    <x v="0"/>
    <x v="0"/>
  </r>
  <r>
    <n v="169"/>
    <n v="2"/>
    <x v="1"/>
    <s v="Text"/>
    <n v="15"/>
    <n v="18"/>
    <n v="0.19999999999999996"/>
    <x v="0"/>
    <x v="0"/>
  </r>
  <r>
    <n v="169"/>
    <n v="3"/>
    <x v="2"/>
    <s v="Übung"/>
    <n v="30"/>
    <n v="32"/>
    <n v="6.6666666666666652E-2"/>
    <x v="0"/>
    <x v="1"/>
  </r>
  <r>
    <n v="169"/>
    <n v="4"/>
    <x v="3"/>
    <s v="Übung"/>
    <n v="30"/>
    <n v="16"/>
    <n v="-0.46666666666666667"/>
    <x v="2"/>
    <x v="2"/>
  </r>
  <r>
    <n v="169"/>
    <n v="5"/>
    <x v="4"/>
    <s v="Übung"/>
    <n v="30"/>
    <n v="50"/>
    <n v="0.66666666666666674"/>
    <x v="3"/>
    <x v="2"/>
  </r>
  <r>
    <n v="169"/>
    <n v="6"/>
    <x v="5"/>
    <s v="Handout"/>
    <n v="5"/>
    <n v="2"/>
    <n v="-0.6"/>
    <x v="2"/>
    <x v="1"/>
  </r>
  <r>
    <n v="169"/>
    <n v="7"/>
    <x v="6"/>
    <s v="Quiz"/>
    <n v="10"/>
    <n v="10"/>
    <n v="0"/>
    <x v="0"/>
    <x v="3"/>
  </r>
  <r>
    <n v="169"/>
    <n v="8"/>
    <x v="7"/>
    <s v="Video"/>
    <n v="5"/>
    <n v="5"/>
    <n v="0"/>
    <x v="0"/>
    <x v="0"/>
  </r>
  <r>
    <n v="170"/>
    <n v="1"/>
    <x v="0"/>
    <s v="Video"/>
    <n v="4"/>
    <n v="4"/>
    <n v="0"/>
    <x v="0"/>
    <x v="0"/>
  </r>
  <r>
    <n v="170"/>
    <n v="2"/>
    <x v="1"/>
    <s v="Text"/>
    <n v="15"/>
    <n v="17"/>
    <n v="0.1333333333333333"/>
    <x v="0"/>
    <x v="0"/>
  </r>
  <r>
    <n v="170"/>
    <n v="3"/>
    <x v="2"/>
    <s v="Übung"/>
    <n v="30"/>
    <n v="29"/>
    <n v="-3.3333333333333326E-2"/>
    <x v="0"/>
    <x v="1"/>
  </r>
  <r>
    <n v="170"/>
    <n v="4"/>
    <x v="3"/>
    <s v="Übung"/>
    <n v="30"/>
    <n v="27"/>
    <n v="-9.9999999999999978E-2"/>
    <x v="0"/>
    <x v="2"/>
  </r>
  <r>
    <n v="170"/>
    <n v="5"/>
    <x v="4"/>
    <s v="Übung"/>
    <n v="30"/>
    <n v="51"/>
    <n v="0.7"/>
    <x v="3"/>
    <x v="2"/>
  </r>
  <r>
    <n v="170"/>
    <n v="6"/>
    <x v="5"/>
    <s v="Handout"/>
    <n v="5"/>
    <n v="1"/>
    <n v="-0.8"/>
    <x v="2"/>
    <x v="1"/>
  </r>
  <r>
    <n v="170"/>
    <n v="7"/>
    <x v="6"/>
    <s v="Quiz"/>
    <n v="10"/>
    <n v="10"/>
    <n v="0"/>
    <x v="0"/>
    <x v="2"/>
  </r>
  <r>
    <n v="170"/>
    <n v="8"/>
    <x v="7"/>
    <s v="Video"/>
    <n v="5"/>
    <n v="5"/>
    <n v="0"/>
    <x v="0"/>
    <x v="0"/>
  </r>
  <r>
    <n v="173"/>
    <n v="1"/>
    <x v="0"/>
    <s v="Video"/>
    <n v="4"/>
    <n v="4"/>
    <n v="0"/>
    <x v="0"/>
    <x v="0"/>
  </r>
  <r>
    <n v="173"/>
    <n v="2"/>
    <x v="1"/>
    <s v="Text"/>
    <n v="15"/>
    <n v="16"/>
    <n v="6.6666666666666652E-2"/>
    <x v="0"/>
    <x v="1"/>
  </r>
  <r>
    <n v="173"/>
    <n v="3"/>
    <x v="2"/>
    <s v="Übung"/>
    <n v="30"/>
    <n v="30"/>
    <n v="0"/>
    <x v="0"/>
    <x v="3"/>
  </r>
  <r>
    <n v="173"/>
    <n v="4"/>
    <x v="3"/>
    <s v="Übung"/>
    <n v="30"/>
    <n v="32"/>
    <n v="6.6666666666666652E-2"/>
    <x v="0"/>
    <x v="4"/>
  </r>
  <r>
    <n v="173"/>
    <n v="5"/>
    <x v="4"/>
    <s v="Übung"/>
    <n v="30"/>
    <n v="45"/>
    <n v="0.5"/>
    <x v="1"/>
    <x v="3"/>
  </r>
  <r>
    <n v="173"/>
    <n v="6"/>
    <x v="5"/>
    <s v="Handout"/>
    <n v="5"/>
    <n v="2"/>
    <n v="-0.6"/>
    <x v="2"/>
    <x v="1"/>
  </r>
  <r>
    <n v="173"/>
    <n v="7"/>
    <x v="6"/>
    <s v="Quiz"/>
    <n v="10"/>
    <n v="9"/>
    <n v="-9.9999999999999978E-2"/>
    <x v="0"/>
    <x v="3"/>
  </r>
  <r>
    <n v="173"/>
    <n v="8"/>
    <x v="7"/>
    <s v="Video"/>
    <n v="5"/>
    <n v="5"/>
    <n v="0"/>
    <x v="0"/>
    <x v="0"/>
  </r>
  <r>
    <n v="174"/>
    <n v="1"/>
    <x v="0"/>
    <s v="Video"/>
    <n v="4"/>
    <n v="4"/>
    <n v="0"/>
    <x v="0"/>
    <x v="0"/>
  </r>
  <r>
    <n v="174"/>
    <n v="2"/>
    <x v="1"/>
    <s v="Text"/>
    <n v="15"/>
    <n v="20"/>
    <n v="0.33333333333333326"/>
    <x v="1"/>
    <x v="0"/>
  </r>
  <r>
    <n v="174"/>
    <n v="3"/>
    <x v="2"/>
    <s v="Übung"/>
    <n v="30"/>
    <n v="29"/>
    <n v="-3.3333333333333326E-2"/>
    <x v="0"/>
    <x v="3"/>
  </r>
  <r>
    <n v="174"/>
    <n v="4"/>
    <x v="3"/>
    <s v="Übung"/>
    <n v="30"/>
    <n v="28"/>
    <n v="-6.6666666666666652E-2"/>
    <x v="0"/>
    <x v="3"/>
  </r>
  <r>
    <n v="174"/>
    <n v="5"/>
    <x v="4"/>
    <s v="Übung"/>
    <n v="30"/>
    <n v="53"/>
    <n v="0.76666666666666661"/>
    <x v="3"/>
    <x v="2"/>
  </r>
  <r>
    <n v="174"/>
    <n v="6"/>
    <x v="5"/>
    <s v="Handout"/>
    <n v="5"/>
    <n v="1"/>
    <n v="-0.8"/>
    <x v="2"/>
    <x v="1"/>
  </r>
  <r>
    <n v="174"/>
    <n v="7"/>
    <x v="6"/>
    <s v="Quiz"/>
    <n v="10"/>
    <n v="11"/>
    <n v="0.10000000000000009"/>
    <x v="0"/>
    <x v="3"/>
  </r>
  <r>
    <n v="174"/>
    <n v="8"/>
    <x v="7"/>
    <s v="Video"/>
    <n v="5"/>
    <n v="5"/>
    <n v="0"/>
    <x v="0"/>
    <x v="0"/>
  </r>
  <r>
    <n v="175"/>
    <n v="1"/>
    <x v="0"/>
    <s v="Video"/>
    <n v="4"/>
    <n v="4"/>
    <n v="0"/>
    <x v="0"/>
    <x v="0"/>
  </r>
  <r>
    <n v="175"/>
    <n v="2"/>
    <x v="1"/>
    <s v="Text"/>
    <n v="15"/>
    <n v="17"/>
    <n v="0.1333333333333333"/>
    <x v="0"/>
    <x v="1"/>
  </r>
  <r>
    <n v="175"/>
    <n v="3"/>
    <x v="2"/>
    <s v="Übung"/>
    <n v="30"/>
    <n v="28"/>
    <n v="-6.6666666666666652E-2"/>
    <x v="0"/>
    <x v="3"/>
  </r>
  <r>
    <n v="175"/>
    <n v="4"/>
    <x v="3"/>
    <s v="Übung"/>
    <n v="30"/>
    <n v="15"/>
    <n v="-0.5"/>
    <x v="2"/>
    <x v="3"/>
  </r>
  <r>
    <n v="175"/>
    <n v="5"/>
    <x v="4"/>
    <s v="Übung"/>
    <n v="30"/>
    <n v="53"/>
    <n v="0.76666666666666661"/>
    <x v="3"/>
    <x v="2"/>
  </r>
  <r>
    <n v="175"/>
    <n v="6"/>
    <x v="5"/>
    <s v="Handout"/>
    <n v="5"/>
    <n v="1"/>
    <n v="-0.8"/>
    <x v="2"/>
    <x v="1"/>
  </r>
  <r>
    <n v="175"/>
    <n v="7"/>
    <x v="6"/>
    <s v="Quiz"/>
    <n v="10"/>
    <n v="8"/>
    <n v="-0.19999999999999996"/>
    <x v="0"/>
    <x v="3"/>
  </r>
  <r>
    <n v="175"/>
    <n v="8"/>
    <x v="7"/>
    <s v="Video"/>
    <n v="5"/>
    <n v="5"/>
    <n v="0"/>
    <x v="0"/>
    <x v="0"/>
  </r>
  <r>
    <n v="176"/>
    <n v="1"/>
    <x v="0"/>
    <s v="Video"/>
    <n v="4"/>
    <n v="6"/>
    <n v="0.5"/>
    <x v="1"/>
    <x v="1"/>
  </r>
  <r>
    <n v="176"/>
    <n v="2"/>
    <x v="1"/>
    <s v="Text"/>
    <n v="15"/>
    <n v="17"/>
    <n v="0.1333333333333333"/>
    <x v="0"/>
    <x v="0"/>
  </r>
  <r>
    <n v="176"/>
    <n v="3"/>
    <x v="2"/>
    <s v="Übung"/>
    <n v="30"/>
    <n v="29"/>
    <n v="-3.3333333333333326E-2"/>
    <x v="0"/>
    <x v="3"/>
  </r>
  <r>
    <n v="176"/>
    <n v="4"/>
    <x v="3"/>
    <s v="Übung"/>
    <n v="30"/>
    <n v="26"/>
    <n v="-0.1333333333333333"/>
    <x v="0"/>
    <x v="3"/>
  </r>
  <r>
    <n v="176"/>
    <n v="5"/>
    <x v="4"/>
    <s v="Übung"/>
    <n v="30"/>
    <n v="46"/>
    <n v="0.53333333333333344"/>
    <x v="1"/>
    <x v="2"/>
  </r>
  <r>
    <n v="176"/>
    <n v="6"/>
    <x v="5"/>
    <s v="Handout"/>
    <n v="5"/>
    <n v="1"/>
    <n v="-0.8"/>
    <x v="2"/>
    <x v="1"/>
  </r>
  <r>
    <n v="176"/>
    <n v="7"/>
    <x v="6"/>
    <s v="Quiz"/>
    <n v="10"/>
    <n v="10"/>
    <n v="0"/>
    <x v="0"/>
    <x v="3"/>
  </r>
  <r>
    <n v="176"/>
    <n v="8"/>
    <x v="7"/>
    <s v="Video"/>
    <n v="5"/>
    <n v="5"/>
    <n v="0"/>
    <x v="0"/>
    <x v="0"/>
  </r>
  <r>
    <n v="177"/>
    <n v="1"/>
    <x v="0"/>
    <s v="Video"/>
    <n v="4"/>
    <n v="4"/>
    <n v="0"/>
    <x v="0"/>
    <x v="0"/>
  </r>
  <r>
    <n v="177"/>
    <n v="2"/>
    <x v="1"/>
    <s v="Text"/>
    <n v="15"/>
    <n v="19"/>
    <n v="0.26666666666666661"/>
    <x v="0"/>
    <x v="1"/>
  </r>
  <r>
    <n v="177"/>
    <n v="3"/>
    <x v="2"/>
    <s v="Übung"/>
    <n v="30"/>
    <n v="27"/>
    <n v="-9.9999999999999978E-2"/>
    <x v="0"/>
    <x v="1"/>
  </r>
  <r>
    <n v="177"/>
    <n v="4"/>
    <x v="3"/>
    <s v="Übung"/>
    <n v="30"/>
    <n v="28"/>
    <n v="-6.6666666666666652E-2"/>
    <x v="0"/>
    <x v="1"/>
  </r>
  <r>
    <n v="177"/>
    <n v="5"/>
    <x v="4"/>
    <s v="Übung"/>
    <n v="30"/>
    <n v="45"/>
    <n v="0.5"/>
    <x v="1"/>
    <x v="2"/>
  </r>
  <r>
    <n v="177"/>
    <n v="6"/>
    <x v="5"/>
    <s v="Handout"/>
    <n v="5"/>
    <n v="2"/>
    <n v="-0.6"/>
    <x v="2"/>
    <x v="1"/>
  </r>
  <r>
    <n v="177"/>
    <n v="7"/>
    <x v="6"/>
    <s v="Quiz"/>
    <n v="10"/>
    <n v="12"/>
    <n v="0.19999999999999996"/>
    <x v="0"/>
    <x v="3"/>
  </r>
  <r>
    <n v="177"/>
    <n v="8"/>
    <x v="7"/>
    <s v="Video"/>
    <n v="5"/>
    <n v="8"/>
    <n v="0.60000000000000009"/>
    <x v="1"/>
    <x v="0"/>
  </r>
  <r>
    <n v="178"/>
    <n v="1"/>
    <x v="0"/>
    <s v="Video"/>
    <n v="4"/>
    <n v="4"/>
    <n v="0"/>
    <x v="0"/>
    <x v="0"/>
  </r>
  <r>
    <n v="178"/>
    <n v="2"/>
    <x v="1"/>
    <s v="Text"/>
    <n v="15"/>
    <n v="19"/>
    <n v="0.26666666666666661"/>
    <x v="0"/>
    <x v="0"/>
  </r>
  <r>
    <n v="178"/>
    <n v="3"/>
    <x v="2"/>
    <s v="Übung"/>
    <n v="30"/>
    <n v="29"/>
    <n v="-3.3333333333333326E-2"/>
    <x v="0"/>
    <x v="3"/>
  </r>
  <r>
    <n v="178"/>
    <n v="4"/>
    <x v="3"/>
    <s v="Übung"/>
    <n v="30"/>
    <n v="26"/>
    <n v="-0.1333333333333333"/>
    <x v="0"/>
    <x v="3"/>
  </r>
  <r>
    <n v="178"/>
    <n v="5"/>
    <x v="4"/>
    <s v="Übung"/>
    <n v="30"/>
    <n v="46"/>
    <n v="0.53333333333333344"/>
    <x v="1"/>
    <x v="2"/>
  </r>
  <r>
    <n v="178"/>
    <n v="6"/>
    <x v="5"/>
    <s v="Handout"/>
    <n v="5"/>
    <n v="1"/>
    <n v="-0.8"/>
    <x v="2"/>
    <x v="1"/>
  </r>
  <r>
    <n v="178"/>
    <n v="7"/>
    <x v="6"/>
    <s v="Quiz"/>
    <n v="10"/>
    <n v="9"/>
    <n v="-9.9999999999999978E-2"/>
    <x v="0"/>
    <x v="2"/>
  </r>
  <r>
    <n v="178"/>
    <n v="8"/>
    <x v="7"/>
    <s v="Video"/>
    <n v="5"/>
    <n v="5"/>
    <n v="0"/>
    <x v="0"/>
    <x v="1"/>
  </r>
  <r>
    <n v="180"/>
    <n v="1"/>
    <x v="0"/>
    <s v="Video"/>
    <n v="4"/>
    <n v="4"/>
    <n v="0"/>
    <x v="0"/>
    <x v="0"/>
  </r>
  <r>
    <n v="180"/>
    <n v="2"/>
    <x v="1"/>
    <s v="Text"/>
    <n v="15"/>
    <n v="20"/>
    <n v="0.33333333333333326"/>
    <x v="1"/>
    <x v="1"/>
  </r>
  <r>
    <n v="180"/>
    <n v="3"/>
    <x v="2"/>
    <s v="Übung"/>
    <n v="30"/>
    <n v="29"/>
    <n v="-3.3333333333333326E-2"/>
    <x v="0"/>
    <x v="3"/>
  </r>
  <r>
    <n v="180"/>
    <n v="4"/>
    <x v="3"/>
    <s v="Übung"/>
    <n v="30"/>
    <n v="15"/>
    <n v="-0.5"/>
    <x v="2"/>
    <x v="3"/>
  </r>
  <r>
    <n v="180"/>
    <n v="5"/>
    <x v="4"/>
    <s v="Übung"/>
    <n v="30"/>
    <n v="44"/>
    <n v="0.46666666666666656"/>
    <x v="1"/>
    <x v="3"/>
  </r>
  <r>
    <n v="180"/>
    <n v="6"/>
    <x v="5"/>
    <s v="Handout"/>
    <n v="5"/>
    <n v="2"/>
    <n v="-0.6"/>
    <x v="2"/>
    <x v="1"/>
  </r>
  <r>
    <n v="180"/>
    <n v="7"/>
    <x v="6"/>
    <s v="Quiz"/>
    <n v="10"/>
    <n v="9"/>
    <n v="-9.9999999999999978E-2"/>
    <x v="0"/>
    <x v="2"/>
  </r>
  <r>
    <n v="180"/>
    <n v="8"/>
    <x v="7"/>
    <s v="Video"/>
    <n v="5"/>
    <n v="9"/>
    <n v="0.8"/>
    <x v="3"/>
    <x v="0"/>
  </r>
  <r>
    <n v="182"/>
    <n v="1"/>
    <x v="0"/>
    <s v="Video"/>
    <n v="4"/>
    <n v="4"/>
    <n v="0"/>
    <x v="0"/>
    <x v="0"/>
  </r>
  <r>
    <n v="182"/>
    <n v="2"/>
    <x v="1"/>
    <s v="Text"/>
    <n v="15"/>
    <n v="15"/>
    <n v="0"/>
    <x v="0"/>
    <x v="0"/>
  </r>
  <r>
    <n v="182"/>
    <n v="3"/>
    <x v="2"/>
    <s v="Übung"/>
    <n v="30"/>
    <n v="29"/>
    <n v="-3.3333333333333326E-2"/>
    <x v="0"/>
    <x v="1"/>
  </r>
  <r>
    <n v="182"/>
    <n v="4"/>
    <x v="3"/>
    <s v="Übung"/>
    <n v="30"/>
    <n v="35"/>
    <n v="0.16666666666666674"/>
    <x v="0"/>
    <x v="1"/>
  </r>
  <r>
    <n v="182"/>
    <n v="5"/>
    <x v="4"/>
    <s v="Übung"/>
    <n v="30"/>
    <n v="51"/>
    <n v="0.7"/>
    <x v="3"/>
    <x v="3"/>
  </r>
  <r>
    <n v="182"/>
    <n v="6"/>
    <x v="5"/>
    <s v="Handout"/>
    <n v="5"/>
    <n v="1"/>
    <n v="-0.8"/>
    <x v="2"/>
    <x v="1"/>
  </r>
  <r>
    <n v="182"/>
    <n v="7"/>
    <x v="6"/>
    <s v="Quiz"/>
    <n v="10"/>
    <n v="11"/>
    <n v="0.10000000000000009"/>
    <x v="0"/>
    <x v="3"/>
  </r>
  <r>
    <n v="182"/>
    <n v="8"/>
    <x v="7"/>
    <s v="Video"/>
    <n v="5"/>
    <n v="5"/>
    <n v="0"/>
    <x v="0"/>
    <x v="0"/>
  </r>
  <r>
    <n v="183"/>
    <n v="1"/>
    <x v="0"/>
    <s v="Video"/>
    <n v="4"/>
    <n v="4"/>
    <n v="0"/>
    <x v="0"/>
    <x v="0"/>
  </r>
  <r>
    <n v="183"/>
    <n v="2"/>
    <x v="1"/>
    <s v="Text"/>
    <n v="15"/>
    <n v="19"/>
    <n v="0.26666666666666661"/>
    <x v="0"/>
    <x v="1"/>
  </r>
  <r>
    <n v="183"/>
    <n v="3"/>
    <x v="2"/>
    <s v="Übung"/>
    <n v="30"/>
    <n v="28"/>
    <n v="-6.6666666666666652E-2"/>
    <x v="0"/>
    <x v="3"/>
  </r>
  <r>
    <n v="183"/>
    <n v="4"/>
    <x v="3"/>
    <s v="Übung"/>
    <n v="30"/>
    <n v="22"/>
    <n v="-0.26666666666666672"/>
    <x v="0"/>
    <x v="3"/>
  </r>
  <r>
    <n v="183"/>
    <n v="5"/>
    <x v="4"/>
    <s v="Übung"/>
    <n v="30"/>
    <n v="54"/>
    <n v="0.8"/>
    <x v="3"/>
    <x v="4"/>
  </r>
  <r>
    <n v="183"/>
    <n v="6"/>
    <x v="5"/>
    <s v="Handout"/>
    <n v="5"/>
    <n v="3"/>
    <n v="-0.4"/>
    <x v="2"/>
    <x v="1"/>
  </r>
  <r>
    <n v="183"/>
    <n v="7"/>
    <x v="6"/>
    <s v="Quiz"/>
    <n v="10"/>
    <n v="9"/>
    <n v="-9.9999999999999978E-2"/>
    <x v="0"/>
    <x v="3"/>
  </r>
  <r>
    <n v="183"/>
    <n v="8"/>
    <x v="7"/>
    <s v="Video"/>
    <n v="5"/>
    <n v="5"/>
    <n v="0"/>
    <x v="0"/>
    <x v="0"/>
  </r>
  <r>
    <n v="184"/>
    <n v="1"/>
    <x v="0"/>
    <s v="Video"/>
    <n v="4"/>
    <n v="4"/>
    <n v="0"/>
    <x v="0"/>
    <x v="1"/>
  </r>
  <r>
    <n v="184"/>
    <n v="2"/>
    <x v="1"/>
    <s v="Text"/>
    <n v="15"/>
    <n v="16"/>
    <n v="6.6666666666666652E-2"/>
    <x v="0"/>
    <x v="3"/>
  </r>
  <r>
    <n v="184"/>
    <n v="3"/>
    <x v="2"/>
    <s v="Übung"/>
    <n v="30"/>
    <n v="27"/>
    <n v="-9.9999999999999978E-2"/>
    <x v="0"/>
    <x v="1"/>
  </r>
  <r>
    <n v="184"/>
    <n v="4"/>
    <x v="3"/>
    <s v="Übung"/>
    <n v="30"/>
    <n v="21"/>
    <n v="-0.30000000000000004"/>
    <x v="0"/>
    <x v="2"/>
  </r>
  <r>
    <n v="184"/>
    <n v="5"/>
    <x v="4"/>
    <s v="Übung"/>
    <n v="30"/>
    <n v="37"/>
    <n v="0.23333333333333339"/>
    <x v="0"/>
    <x v="4"/>
  </r>
  <r>
    <n v="184"/>
    <n v="6"/>
    <x v="5"/>
    <s v="Handout"/>
    <n v="5"/>
    <n v="3"/>
    <n v="-0.4"/>
    <x v="2"/>
    <x v="1"/>
  </r>
  <r>
    <n v="184"/>
    <n v="7"/>
    <x v="6"/>
    <s v="Quiz"/>
    <n v="10"/>
    <n v="11"/>
    <n v="0.10000000000000009"/>
    <x v="0"/>
    <x v="2"/>
  </r>
  <r>
    <n v="184"/>
    <n v="8"/>
    <x v="7"/>
    <s v="Video"/>
    <n v="5"/>
    <n v="6"/>
    <n v="0.19999999999999996"/>
    <x v="0"/>
    <x v="0"/>
  </r>
  <r>
    <n v="187"/>
    <n v="1"/>
    <x v="0"/>
    <s v="Video"/>
    <n v="4"/>
    <n v="6"/>
    <n v="0.5"/>
    <x v="1"/>
    <x v="0"/>
  </r>
  <r>
    <n v="187"/>
    <n v="2"/>
    <x v="1"/>
    <s v="Text"/>
    <n v="15"/>
    <n v="17"/>
    <n v="0.1333333333333333"/>
    <x v="0"/>
    <x v="0"/>
  </r>
  <r>
    <n v="187"/>
    <n v="3"/>
    <x v="2"/>
    <s v="Übung"/>
    <n v="30"/>
    <n v="27"/>
    <n v="-9.9999999999999978E-2"/>
    <x v="0"/>
    <x v="1"/>
  </r>
  <r>
    <n v="187"/>
    <n v="4"/>
    <x v="3"/>
    <s v="Übung"/>
    <n v="30"/>
    <n v="26"/>
    <n v="-0.1333333333333333"/>
    <x v="0"/>
    <x v="1"/>
  </r>
  <r>
    <n v="187"/>
    <n v="5"/>
    <x v="4"/>
    <s v="Übung"/>
    <n v="30"/>
    <n v="46"/>
    <n v="0.53333333333333344"/>
    <x v="1"/>
    <x v="3"/>
  </r>
  <r>
    <n v="187"/>
    <n v="6"/>
    <x v="5"/>
    <s v="Handout"/>
    <n v="5"/>
    <n v="2"/>
    <n v="-0.6"/>
    <x v="2"/>
    <x v="0"/>
  </r>
  <r>
    <n v="187"/>
    <n v="7"/>
    <x v="6"/>
    <s v="Quiz"/>
    <n v="10"/>
    <n v="10"/>
    <n v="0"/>
    <x v="0"/>
    <x v="3"/>
  </r>
  <r>
    <n v="187"/>
    <n v="8"/>
    <x v="7"/>
    <s v="Video"/>
    <n v="5"/>
    <n v="5"/>
    <n v="0"/>
    <x v="0"/>
    <x v="0"/>
  </r>
  <r>
    <n v="188"/>
    <n v="1"/>
    <x v="0"/>
    <s v="Video"/>
    <n v="4"/>
    <n v="4"/>
    <n v="0"/>
    <x v="0"/>
    <x v="0"/>
  </r>
  <r>
    <n v="188"/>
    <n v="2"/>
    <x v="1"/>
    <s v="Text"/>
    <n v="15"/>
    <n v="17"/>
    <n v="0.1333333333333333"/>
    <x v="0"/>
    <x v="0"/>
  </r>
  <r>
    <n v="188"/>
    <n v="3"/>
    <x v="2"/>
    <s v="Übung"/>
    <n v="30"/>
    <n v="28"/>
    <n v="-6.6666666666666652E-2"/>
    <x v="0"/>
    <x v="1"/>
  </r>
  <r>
    <n v="188"/>
    <n v="4"/>
    <x v="3"/>
    <s v="Übung"/>
    <n v="30"/>
    <n v="26"/>
    <n v="-0.1333333333333333"/>
    <x v="0"/>
    <x v="2"/>
  </r>
  <r>
    <n v="188"/>
    <n v="5"/>
    <x v="4"/>
    <s v="Übung"/>
    <n v="30"/>
    <n v="42"/>
    <n v="0.39999999999999991"/>
    <x v="1"/>
    <x v="3"/>
  </r>
  <r>
    <n v="188"/>
    <n v="6"/>
    <x v="5"/>
    <s v="Handout"/>
    <n v="5"/>
    <n v="2"/>
    <n v="-0.6"/>
    <x v="2"/>
    <x v="3"/>
  </r>
  <r>
    <n v="188"/>
    <n v="7"/>
    <x v="6"/>
    <s v="Quiz"/>
    <n v="10"/>
    <n v="8"/>
    <n v="-0.19999999999999996"/>
    <x v="0"/>
    <x v="3"/>
  </r>
  <r>
    <n v="188"/>
    <n v="8"/>
    <x v="7"/>
    <s v="Video"/>
    <n v="5"/>
    <n v="5"/>
    <n v="0"/>
    <x v="0"/>
    <x v="0"/>
  </r>
  <r>
    <n v="190"/>
    <n v="1"/>
    <x v="0"/>
    <s v="Video"/>
    <n v="4"/>
    <n v="4"/>
    <n v="0"/>
    <x v="0"/>
    <x v="0"/>
  </r>
  <r>
    <n v="190"/>
    <n v="2"/>
    <x v="1"/>
    <s v="Text"/>
    <n v="15"/>
    <n v="16"/>
    <n v="6.6666666666666652E-2"/>
    <x v="0"/>
    <x v="0"/>
  </r>
  <r>
    <n v="190"/>
    <n v="3"/>
    <x v="2"/>
    <s v="Übung"/>
    <n v="30"/>
    <n v="28"/>
    <n v="-6.6666666666666652E-2"/>
    <x v="0"/>
    <x v="1"/>
  </r>
  <r>
    <n v="190"/>
    <n v="4"/>
    <x v="3"/>
    <s v="Übung"/>
    <n v="30"/>
    <n v="27"/>
    <n v="-9.9999999999999978E-2"/>
    <x v="0"/>
    <x v="3"/>
  </r>
  <r>
    <n v="190"/>
    <n v="5"/>
    <x v="4"/>
    <s v="Übung"/>
    <n v="30"/>
    <n v="44"/>
    <n v="0.46666666666666656"/>
    <x v="1"/>
    <x v="3"/>
  </r>
  <r>
    <n v="190"/>
    <n v="6"/>
    <x v="5"/>
    <s v="Handout"/>
    <n v="5"/>
    <n v="1"/>
    <n v="-0.8"/>
    <x v="2"/>
    <x v="1"/>
  </r>
  <r>
    <n v="190"/>
    <n v="7"/>
    <x v="6"/>
    <s v="Quiz"/>
    <n v="10"/>
    <n v="8"/>
    <n v="-0.19999999999999996"/>
    <x v="0"/>
    <x v="2"/>
  </r>
  <r>
    <n v="190"/>
    <n v="8"/>
    <x v="7"/>
    <s v="Video"/>
    <n v="5"/>
    <n v="5"/>
    <n v="0"/>
    <x v="0"/>
    <x v="0"/>
  </r>
  <r>
    <n v="191"/>
    <n v="1"/>
    <x v="0"/>
    <s v="Video"/>
    <n v="4"/>
    <n v="4"/>
    <n v="0"/>
    <x v="0"/>
    <x v="0"/>
  </r>
  <r>
    <n v="191"/>
    <n v="2"/>
    <x v="1"/>
    <s v="Text"/>
    <n v="15"/>
    <n v="18"/>
    <n v="0.19999999999999996"/>
    <x v="0"/>
    <x v="0"/>
  </r>
  <r>
    <n v="191"/>
    <n v="3"/>
    <x v="2"/>
    <s v="Übung"/>
    <n v="30"/>
    <n v="29"/>
    <n v="-3.3333333333333326E-2"/>
    <x v="0"/>
    <x v="3"/>
  </r>
  <r>
    <n v="191"/>
    <n v="4"/>
    <x v="3"/>
    <s v="Übung"/>
    <n v="30"/>
    <n v="29"/>
    <n v="-3.3333333333333326E-2"/>
    <x v="0"/>
    <x v="3"/>
  </r>
  <r>
    <n v="191"/>
    <n v="5"/>
    <x v="4"/>
    <s v="Übung"/>
    <n v="30"/>
    <n v="42"/>
    <n v="0.39999999999999991"/>
    <x v="1"/>
    <x v="3"/>
  </r>
  <r>
    <n v="191"/>
    <n v="6"/>
    <x v="5"/>
    <s v="Handout"/>
    <n v="5"/>
    <n v="1"/>
    <n v="-0.8"/>
    <x v="2"/>
    <x v="1"/>
  </r>
  <r>
    <n v="191"/>
    <n v="7"/>
    <x v="6"/>
    <s v="Quiz"/>
    <n v="10"/>
    <n v="9"/>
    <n v="-9.9999999999999978E-2"/>
    <x v="0"/>
    <x v="3"/>
  </r>
  <r>
    <n v="191"/>
    <n v="8"/>
    <x v="7"/>
    <s v="Video"/>
    <n v="5"/>
    <n v="5"/>
    <n v="0"/>
    <x v="0"/>
    <x v="0"/>
  </r>
  <r>
    <n v="192"/>
    <n v="1"/>
    <x v="0"/>
    <s v="Video"/>
    <n v="4"/>
    <n v="4"/>
    <n v="0"/>
    <x v="0"/>
    <x v="0"/>
  </r>
  <r>
    <n v="192"/>
    <n v="2"/>
    <x v="1"/>
    <s v="Text"/>
    <n v="15"/>
    <n v="21"/>
    <n v="0.39999999999999991"/>
    <x v="1"/>
    <x v="1"/>
  </r>
  <r>
    <n v="192"/>
    <n v="3"/>
    <x v="2"/>
    <s v="Übung"/>
    <n v="30"/>
    <n v="29"/>
    <n v="-3.3333333333333326E-2"/>
    <x v="0"/>
    <x v="1"/>
  </r>
  <r>
    <n v="192"/>
    <n v="4"/>
    <x v="3"/>
    <s v="Übung"/>
    <n v="30"/>
    <n v="34"/>
    <n v="0.1333333333333333"/>
    <x v="0"/>
    <x v="3"/>
  </r>
  <r>
    <n v="192"/>
    <n v="5"/>
    <x v="4"/>
    <s v="Übung"/>
    <n v="30"/>
    <n v="43"/>
    <n v="0.43333333333333335"/>
    <x v="1"/>
    <x v="3"/>
  </r>
  <r>
    <n v="192"/>
    <n v="6"/>
    <x v="5"/>
    <s v="Handout"/>
    <n v="5"/>
    <n v="1"/>
    <n v="-0.8"/>
    <x v="2"/>
    <x v="3"/>
  </r>
  <r>
    <n v="192"/>
    <n v="7"/>
    <x v="6"/>
    <s v="Quiz"/>
    <n v="10"/>
    <n v="8"/>
    <n v="-0.19999999999999996"/>
    <x v="0"/>
    <x v="3"/>
  </r>
  <r>
    <n v="192"/>
    <n v="8"/>
    <x v="7"/>
    <s v="Video"/>
    <n v="5"/>
    <n v="7"/>
    <n v="0.39999999999999991"/>
    <x v="1"/>
    <x v="0"/>
  </r>
  <r>
    <n v="193"/>
    <n v="1"/>
    <x v="0"/>
    <s v="Video"/>
    <n v="4"/>
    <n v="4"/>
    <n v="0"/>
    <x v="0"/>
    <x v="0"/>
  </r>
  <r>
    <n v="193"/>
    <n v="2"/>
    <x v="1"/>
    <s v="Text"/>
    <n v="15"/>
    <n v="17"/>
    <n v="0.1333333333333333"/>
    <x v="0"/>
    <x v="1"/>
  </r>
  <r>
    <n v="193"/>
    <n v="3"/>
    <x v="2"/>
    <s v="Übung"/>
    <n v="30"/>
    <n v="29"/>
    <n v="-3.3333333333333326E-2"/>
    <x v="0"/>
    <x v="3"/>
  </r>
  <r>
    <n v="193"/>
    <n v="4"/>
    <x v="3"/>
    <s v="Übung"/>
    <n v="30"/>
    <n v="22"/>
    <n v="-0.26666666666666672"/>
    <x v="0"/>
    <x v="1"/>
  </r>
  <r>
    <n v="193"/>
    <n v="5"/>
    <x v="4"/>
    <s v="Übung"/>
    <n v="30"/>
    <n v="44"/>
    <n v="0.46666666666666656"/>
    <x v="1"/>
    <x v="4"/>
  </r>
  <r>
    <n v="193"/>
    <n v="6"/>
    <x v="5"/>
    <s v="Handout"/>
    <n v="5"/>
    <n v="1"/>
    <n v="-0.8"/>
    <x v="2"/>
    <x v="1"/>
  </r>
  <r>
    <n v="193"/>
    <n v="7"/>
    <x v="6"/>
    <s v="Quiz"/>
    <n v="10"/>
    <n v="12"/>
    <n v="0.19999999999999996"/>
    <x v="0"/>
    <x v="2"/>
  </r>
  <r>
    <n v="193"/>
    <n v="8"/>
    <x v="7"/>
    <s v="Video"/>
    <n v="5"/>
    <n v="6"/>
    <n v="0.19999999999999996"/>
    <x v="0"/>
    <x v="0"/>
  </r>
  <r>
    <n v="194"/>
    <n v="1"/>
    <x v="0"/>
    <s v="Video"/>
    <n v="4"/>
    <n v="5"/>
    <n v="0.25"/>
    <x v="0"/>
    <x v="0"/>
  </r>
  <r>
    <n v="194"/>
    <n v="2"/>
    <x v="1"/>
    <s v="Text"/>
    <n v="15"/>
    <n v="19"/>
    <n v="0.26666666666666661"/>
    <x v="0"/>
    <x v="1"/>
  </r>
  <r>
    <n v="194"/>
    <n v="3"/>
    <x v="2"/>
    <s v="Übung"/>
    <n v="30"/>
    <n v="29"/>
    <n v="-3.3333333333333326E-2"/>
    <x v="0"/>
    <x v="3"/>
  </r>
  <r>
    <n v="194"/>
    <n v="4"/>
    <x v="3"/>
    <s v="Übung"/>
    <n v="30"/>
    <n v="24"/>
    <n v="-0.19999999999999996"/>
    <x v="0"/>
    <x v="3"/>
  </r>
  <r>
    <n v="194"/>
    <n v="5"/>
    <x v="4"/>
    <s v="Übung"/>
    <n v="30"/>
    <n v="49"/>
    <n v="0.6333333333333333"/>
    <x v="3"/>
    <x v="2"/>
  </r>
  <r>
    <n v="194"/>
    <n v="6"/>
    <x v="5"/>
    <s v="Handout"/>
    <n v="5"/>
    <n v="1"/>
    <n v="-0.8"/>
    <x v="2"/>
    <x v="1"/>
  </r>
  <r>
    <n v="194"/>
    <n v="7"/>
    <x v="6"/>
    <s v="Quiz"/>
    <n v="10"/>
    <n v="10"/>
    <n v="0"/>
    <x v="0"/>
    <x v="2"/>
  </r>
  <r>
    <n v="194"/>
    <n v="8"/>
    <x v="7"/>
    <s v="Video"/>
    <n v="5"/>
    <n v="5"/>
    <n v="0"/>
    <x v="0"/>
    <x v="1"/>
  </r>
  <r>
    <n v="195"/>
    <n v="1"/>
    <x v="0"/>
    <s v="Video"/>
    <n v="4"/>
    <n v="4"/>
    <n v="0"/>
    <x v="0"/>
    <x v="0"/>
  </r>
  <r>
    <n v="195"/>
    <n v="2"/>
    <x v="1"/>
    <s v="Text"/>
    <n v="15"/>
    <n v="18"/>
    <n v="0.19999999999999996"/>
    <x v="0"/>
    <x v="0"/>
  </r>
  <r>
    <n v="195"/>
    <n v="3"/>
    <x v="2"/>
    <s v="Übung"/>
    <n v="30"/>
    <n v="28"/>
    <n v="-6.6666666666666652E-2"/>
    <x v="0"/>
    <x v="3"/>
  </r>
  <r>
    <n v="195"/>
    <n v="4"/>
    <x v="3"/>
    <s v="Übung"/>
    <n v="30"/>
    <n v="24"/>
    <n v="-0.19999999999999996"/>
    <x v="0"/>
    <x v="3"/>
  </r>
  <r>
    <n v="195"/>
    <n v="5"/>
    <x v="4"/>
    <s v="Übung"/>
    <n v="30"/>
    <n v="52"/>
    <n v="0.73333333333333339"/>
    <x v="3"/>
    <x v="2"/>
  </r>
  <r>
    <n v="195"/>
    <n v="6"/>
    <x v="5"/>
    <s v="Handout"/>
    <n v="5"/>
    <n v="1"/>
    <n v="-0.8"/>
    <x v="2"/>
    <x v="1"/>
  </r>
  <r>
    <n v="195"/>
    <n v="7"/>
    <x v="6"/>
    <s v="Quiz"/>
    <n v="10"/>
    <n v="11"/>
    <n v="0.10000000000000009"/>
    <x v="0"/>
    <x v="3"/>
  </r>
  <r>
    <n v="195"/>
    <n v="8"/>
    <x v="7"/>
    <s v="Video"/>
    <n v="5"/>
    <n v="5"/>
    <n v="0"/>
    <x v="0"/>
    <x v="0"/>
  </r>
  <r>
    <n v="196"/>
    <n v="1"/>
    <x v="0"/>
    <s v="Video"/>
    <n v="4"/>
    <n v="4"/>
    <n v="0"/>
    <x v="0"/>
    <x v="0"/>
  </r>
  <r>
    <n v="196"/>
    <n v="2"/>
    <x v="1"/>
    <s v="Text"/>
    <n v="15"/>
    <n v="18"/>
    <n v="0.19999999999999996"/>
    <x v="0"/>
    <x v="0"/>
  </r>
  <r>
    <n v="196"/>
    <n v="3"/>
    <x v="2"/>
    <s v="Übung"/>
    <n v="30"/>
    <n v="21"/>
    <n v="-0.30000000000000004"/>
    <x v="0"/>
    <x v="1"/>
  </r>
  <r>
    <n v="196"/>
    <n v="4"/>
    <x v="3"/>
    <s v="Übung"/>
    <n v="30"/>
    <n v="32"/>
    <n v="6.6666666666666652E-2"/>
    <x v="0"/>
    <x v="1"/>
  </r>
  <r>
    <n v="196"/>
    <n v="5"/>
    <x v="4"/>
    <s v="Übung"/>
    <n v="30"/>
    <n v="47"/>
    <n v="0.56666666666666665"/>
    <x v="1"/>
    <x v="2"/>
  </r>
  <r>
    <n v="196"/>
    <n v="6"/>
    <x v="5"/>
    <s v="Handout"/>
    <n v="5"/>
    <n v="1"/>
    <n v="-0.8"/>
    <x v="2"/>
    <x v="1"/>
  </r>
  <r>
    <n v="196"/>
    <n v="7"/>
    <x v="6"/>
    <s v="Quiz"/>
    <n v="10"/>
    <n v="10"/>
    <n v="0"/>
    <x v="0"/>
    <x v="2"/>
  </r>
  <r>
    <n v="196"/>
    <n v="8"/>
    <x v="7"/>
    <s v="Video"/>
    <n v="5"/>
    <n v="6"/>
    <n v="0.19999999999999996"/>
    <x v="0"/>
    <x v="0"/>
  </r>
  <r>
    <n v="197"/>
    <n v="1"/>
    <x v="0"/>
    <s v="Video"/>
    <n v="4"/>
    <n v="4"/>
    <n v="0"/>
    <x v="0"/>
    <x v="0"/>
  </r>
  <r>
    <n v="197"/>
    <n v="2"/>
    <x v="1"/>
    <s v="Text"/>
    <n v="15"/>
    <n v="19"/>
    <n v="0.26666666666666661"/>
    <x v="0"/>
    <x v="0"/>
  </r>
  <r>
    <n v="197"/>
    <n v="3"/>
    <x v="2"/>
    <s v="Übung"/>
    <n v="30"/>
    <n v="28"/>
    <n v="-6.6666666666666652E-2"/>
    <x v="0"/>
    <x v="3"/>
  </r>
  <r>
    <n v="197"/>
    <n v="4"/>
    <x v="3"/>
    <s v="Übung"/>
    <n v="30"/>
    <n v="25"/>
    <n v="-0.16666666666666663"/>
    <x v="0"/>
    <x v="2"/>
  </r>
  <r>
    <n v="197"/>
    <n v="5"/>
    <x v="4"/>
    <s v="Übung"/>
    <n v="30"/>
    <n v="48"/>
    <n v="0.60000000000000009"/>
    <x v="1"/>
    <x v="2"/>
  </r>
  <r>
    <n v="197"/>
    <n v="6"/>
    <x v="5"/>
    <s v="Handout"/>
    <n v="5"/>
    <n v="1"/>
    <n v="-0.8"/>
    <x v="2"/>
    <x v="0"/>
  </r>
  <r>
    <n v="197"/>
    <n v="7"/>
    <x v="6"/>
    <s v="Quiz"/>
    <n v="10"/>
    <n v="8"/>
    <n v="-0.19999999999999996"/>
    <x v="0"/>
    <x v="3"/>
  </r>
  <r>
    <n v="197"/>
    <n v="8"/>
    <x v="7"/>
    <s v="Video"/>
    <n v="5"/>
    <n v="8"/>
    <n v="0.60000000000000009"/>
    <x v="1"/>
    <x v="0"/>
  </r>
  <r>
    <n v="198"/>
    <n v="1"/>
    <x v="0"/>
    <s v="Video"/>
    <n v="4"/>
    <n v="4"/>
    <n v="0"/>
    <x v="0"/>
    <x v="0"/>
  </r>
  <r>
    <n v="198"/>
    <n v="2"/>
    <x v="1"/>
    <s v="Text"/>
    <n v="15"/>
    <n v="18"/>
    <n v="0.19999999999999996"/>
    <x v="0"/>
    <x v="1"/>
  </r>
  <r>
    <n v="198"/>
    <n v="3"/>
    <x v="2"/>
    <s v="Übung"/>
    <n v="30"/>
    <n v="28"/>
    <n v="-6.6666666666666652E-2"/>
    <x v="0"/>
    <x v="1"/>
  </r>
  <r>
    <n v="198"/>
    <n v="4"/>
    <x v="3"/>
    <s v="Übung"/>
    <n v="30"/>
    <n v="28"/>
    <n v="-6.6666666666666652E-2"/>
    <x v="0"/>
    <x v="1"/>
  </r>
  <r>
    <n v="198"/>
    <n v="5"/>
    <x v="4"/>
    <s v="Übung"/>
    <n v="30"/>
    <n v="40"/>
    <n v="0.33333333333333326"/>
    <x v="1"/>
    <x v="2"/>
  </r>
  <r>
    <n v="198"/>
    <n v="6"/>
    <x v="5"/>
    <s v="Handout"/>
    <n v="5"/>
    <n v="2"/>
    <n v="-0.6"/>
    <x v="2"/>
    <x v="1"/>
  </r>
  <r>
    <n v="198"/>
    <n v="7"/>
    <x v="6"/>
    <s v="Quiz"/>
    <n v="10"/>
    <n v="10"/>
    <n v="0"/>
    <x v="0"/>
    <x v="3"/>
  </r>
  <r>
    <n v="198"/>
    <n v="8"/>
    <x v="7"/>
    <s v="Video"/>
    <n v="5"/>
    <n v="8"/>
    <n v="0.60000000000000009"/>
    <x v="1"/>
    <x v="0"/>
  </r>
  <r>
    <n v="199"/>
    <n v="1"/>
    <x v="0"/>
    <s v="Video"/>
    <n v="4"/>
    <n v="4"/>
    <n v="0"/>
    <x v="0"/>
    <x v="1"/>
  </r>
  <r>
    <n v="199"/>
    <n v="2"/>
    <x v="1"/>
    <s v="Text"/>
    <n v="15"/>
    <n v="21"/>
    <n v="0.39999999999999991"/>
    <x v="1"/>
    <x v="0"/>
  </r>
  <r>
    <n v="199"/>
    <n v="3"/>
    <x v="2"/>
    <s v="Übung"/>
    <n v="30"/>
    <n v="30"/>
    <n v="0"/>
    <x v="0"/>
    <x v="3"/>
  </r>
  <r>
    <n v="199"/>
    <n v="4"/>
    <x v="3"/>
    <s v="Übung"/>
    <n v="30"/>
    <n v="30"/>
    <n v="0"/>
    <x v="0"/>
    <x v="1"/>
  </r>
  <r>
    <n v="199"/>
    <n v="5"/>
    <x v="4"/>
    <s v="Übung"/>
    <n v="30"/>
    <n v="49"/>
    <n v="0.6333333333333333"/>
    <x v="3"/>
    <x v="3"/>
  </r>
  <r>
    <n v="199"/>
    <n v="6"/>
    <x v="5"/>
    <s v="Handout"/>
    <n v="5"/>
    <n v="2"/>
    <n v="-0.6"/>
    <x v="2"/>
    <x v="0"/>
  </r>
  <r>
    <n v="199"/>
    <n v="7"/>
    <x v="6"/>
    <s v="Quiz"/>
    <n v="10"/>
    <n v="9"/>
    <n v="-9.9999999999999978E-2"/>
    <x v="0"/>
    <x v="3"/>
  </r>
  <r>
    <n v="199"/>
    <n v="8"/>
    <x v="7"/>
    <s v="Video"/>
    <n v="5"/>
    <n v="5"/>
    <n v="0"/>
    <x v="0"/>
    <x v="0"/>
  </r>
  <r>
    <n v="200"/>
    <n v="1"/>
    <x v="0"/>
    <s v="Video"/>
    <n v="4"/>
    <n v="5"/>
    <n v="0.25"/>
    <x v="0"/>
    <x v="0"/>
  </r>
  <r>
    <n v="200"/>
    <n v="2"/>
    <x v="1"/>
    <s v="Text"/>
    <n v="15"/>
    <n v="15"/>
    <n v="0"/>
    <x v="0"/>
    <x v="1"/>
  </r>
  <r>
    <n v="200"/>
    <n v="3"/>
    <x v="2"/>
    <s v="Übung"/>
    <n v="30"/>
    <n v="29"/>
    <n v="-3.3333333333333326E-2"/>
    <x v="0"/>
    <x v="3"/>
  </r>
  <r>
    <n v="200"/>
    <n v="4"/>
    <x v="3"/>
    <s v="Übung"/>
    <n v="30"/>
    <n v="26"/>
    <n v="-0.1333333333333333"/>
    <x v="0"/>
    <x v="2"/>
  </r>
  <r>
    <n v="200"/>
    <n v="5"/>
    <x v="4"/>
    <s v="Übung"/>
    <n v="30"/>
    <n v="43"/>
    <n v="0.43333333333333335"/>
    <x v="1"/>
    <x v="4"/>
  </r>
  <r>
    <n v="200"/>
    <n v="6"/>
    <x v="5"/>
    <s v="Handout"/>
    <n v="5"/>
    <n v="1"/>
    <n v="-0.8"/>
    <x v="2"/>
    <x v="1"/>
  </r>
  <r>
    <n v="200"/>
    <n v="7"/>
    <x v="6"/>
    <s v="Quiz"/>
    <n v="10"/>
    <n v="10"/>
    <n v="0"/>
    <x v="0"/>
    <x v="2"/>
  </r>
  <r>
    <n v="200"/>
    <n v="8"/>
    <x v="7"/>
    <s v="Video"/>
    <n v="5"/>
    <n v="5"/>
    <n v="0"/>
    <x v="0"/>
    <x v="0"/>
  </r>
  <r>
    <n v="201"/>
    <n v="1"/>
    <x v="0"/>
    <s v="Video"/>
    <n v="4"/>
    <n v="4"/>
    <n v="0"/>
    <x v="0"/>
    <x v="0"/>
  </r>
  <r>
    <n v="201"/>
    <n v="2"/>
    <x v="1"/>
    <s v="Text"/>
    <n v="15"/>
    <n v="17"/>
    <n v="0.1333333333333333"/>
    <x v="0"/>
    <x v="1"/>
  </r>
  <r>
    <n v="201"/>
    <n v="3"/>
    <x v="2"/>
    <s v="Übung"/>
    <n v="30"/>
    <n v="28"/>
    <n v="-6.6666666666666652E-2"/>
    <x v="0"/>
    <x v="3"/>
  </r>
  <r>
    <n v="201"/>
    <n v="4"/>
    <x v="3"/>
    <s v="Übung"/>
    <n v="30"/>
    <n v="16"/>
    <n v="-0.46666666666666667"/>
    <x v="2"/>
    <x v="1"/>
  </r>
  <r>
    <n v="201"/>
    <n v="5"/>
    <x v="4"/>
    <s v="Übung"/>
    <n v="30"/>
    <n v="55"/>
    <n v="0.83333333333333326"/>
    <x v="3"/>
    <x v="2"/>
  </r>
  <r>
    <n v="201"/>
    <n v="6"/>
    <x v="5"/>
    <s v="Handout"/>
    <n v="5"/>
    <n v="1"/>
    <n v="-0.8"/>
    <x v="2"/>
    <x v="1"/>
  </r>
  <r>
    <n v="201"/>
    <n v="7"/>
    <x v="6"/>
    <s v="Quiz"/>
    <n v="10"/>
    <n v="11"/>
    <n v="0.10000000000000009"/>
    <x v="0"/>
    <x v="2"/>
  </r>
  <r>
    <n v="201"/>
    <n v="8"/>
    <x v="7"/>
    <s v="Video"/>
    <n v="5"/>
    <n v="5"/>
    <n v="0"/>
    <x v="0"/>
    <x v="0"/>
  </r>
  <r>
    <n v="202"/>
    <n v="1"/>
    <x v="0"/>
    <s v="Video"/>
    <n v="4"/>
    <n v="4"/>
    <n v="0"/>
    <x v="0"/>
    <x v="0"/>
  </r>
  <r>
    <n v="202"/>
    <n v="2"/>
    <x v="1"/>
    <s v="Text"/>
    <n v="15"/>
    <n v="15"/>
    <n v="0"/>
    <x v="0"/>
    <x v="1"/>
  </r>
  <r>
    <n v="202"/>
    <n v="3"/>
    <x v="2"/>
    <s v="Übung"/>
    <n v="30"/>
    <n v="28"/>
    <n v="-6.6666666666666652E-2"/>
    <x v="0"/>
    <x v="1"/>
  </r>
  <r>
    <n v="202"/>
    <n v="4"/>
    <x v="3"/>
    <s v="Übung"/>
    <n v="30"/>
    <n v="25"/>
    <n v="-0.16666666666666663"/>
    <x v="0"/>
    <x v="3"/>
  </r>
  <r>
    <n v="202"/>
    <n v="5"/>
    <x v="4"/>
    <s v="Übung"/>
    <n v="30"/>
    <n v="51"/>
    <n v="0.7"/>
    <x v="3"/>
    <x v="3"/>
  </r>
  <r>
    <n v="202"/>
    <n v="6"/>
    <x v="5"/>
    <s v="Handout"/>
    <n v="5"/>
    <n v="1"/>
    <n v="-0.8"/>
    <x v="2"/>
    <x v="1"/>
  </r>
  <r>
    <n v="202"/>
    <n v="7"/>
    <x v="6"/>
    <s v="Quiz"/>
    <n v="10"/>
    <n v="10"/>
    <n v="0"/>
    <x v="0"/>
    <x v="3"/>
  </r>
  <r>
    <n v="202"/>
    <n v="8"/>
    <x v="7"/>
    <s v="Video"/>
    <n v="5"/>
    <n v="5"/>
    <n v="0"/>
    <x v="0"/>
    <x v="0"/>
  </r>
  <r>
    <n v="203"/>
    <n v="1"/>
    <x v="0"/>
    <s v="Video"/>
    <n v="4"/>
    <n v="4"/>
    <n v="0"/>
    <x v="0"/>
    <x v="0"/>
  </r>
  <r>
    <n v="203"/>
    <n v="2"/>
    <x v="1"/>
    <s v="Text"/>
    <n v="15"/>
    <n v="20"/>
    <n v="0.33333333333333326"/>
    <x v="1"/>
    <x v="0"/>
  </r>
  <r>
    <n v="203"/>
    <n v="3"/>
    <x v="2"/>
    <s v="Übung"/>
    <n v="30"/>
    <n v="27"/>
    <n v="-9.9999999999999978E-2"/>
    <x v="0"/>
    <x v="3"/>
  </r>
  <r>
    <n v="203"/>
    <n v="4"/>
    <x v="3"/>
    <s v="Übung"/>
    <n v="30"/>
    <n v="22"/>
    <n v="-0.26666666666666672"/>
    <x v="0"/>
    <x v="3"/>
  </r>
  <r>
    <n v="203"/>
    <n v="5"/>
    <x v="4"/>
    <s v="Übung"/>
    <n v="30"/>
    <n v="30"/>
    <n v="0"/>
    <x v="0"/>
    <x v="4"/>
  </r>
  <r>
    <n v="203"/>
    <n v="6"/>
    <x v="5"/>
    <s v="Handout"/>
    <n v="5"/>
    <n v="1"/>
    <n v="-0.8"/>
    <x v="2"/>
    <x v="1"/>
  </r>
  <r>
    <n v="203"/>
    <n v="7"/>
    <x v="6"/>
    <s v="Quiz"/>
    <n v="10"/>
    <n v="9"/>
    <n v="-9.9999999999999978E-2"/>
    <x v="0"/>
    <x v="3"/>
  </r>
  <r>
    <n v="203"/>
    <n v="8"/>
    <x v="7"/>
    <s v="Video"/>
    <n v="5"/>
    <n v="5"/>
    <n v="0"/>
    <x v="0"/>
    <x v="0"/>
  </r>
  <r>
    <n v="204"/>
    <n v="1"/>
    <x v="0"/>
    <s v="Video"/>
    <n v="4"/>
    <n v="4"/>
    <n v="0"/>
    <x v="0"/>
    <x v="0"/>
  </r>
  <r>
    <n v="204"/>
    <n v="2"/>
    <x v="1"/>
    <s v="Text"/>
    <n v="15"/>
    <n v="20"/>
    <n v="0.33333333333333326"/>
    <x v="1"/>
    <x v="0"/>
  </r>
  <r>
    <n v="204"/>
    <n v="3"/>
    <x v="2"/>
    <s v="Übung"/>
    <n v="30"/>
    <n v="28"/>
    <n v="-6.6666666666666652E-2"/>
    <x v="0"/>
    <x v="1"/>
  </r>
  <r>
    <n v="204"/>
    <n v="4"/>
    <x v="3"/>
    <s v="Übung"/>
    <n v="30"/>
    <n v="20"/>
    <n v="-0.33333333333333337"/>
    <x v="2"/>
    <x v="2"/>
  </r>
  <r>
    <n v="204"/>
    <n v="5"/>
    <x v="4"/>
    <s v="Übung"/>
    <n v="30"/>
    <n v="45"/>
    <n v="0.5"/>
    <x v="1"/>
    <x v="3"/>
  </r>
  <r>
    <n v="204"/>
    <n v="6"/>
    <x v="5"/>
    <s v="Handout"/>
    <n v="5"/>
    <n v="1"/>
    <n v="-0.8"/>
    <x v="2"/>
    <x v="1"/>
  </r>
  <r>
    <n v="204"/>
    <n v="7"/>
    <x v="6"/>
    <s v="Quiz"/>
    <n v="10"/>
    <n v="10"/>
    <n v="0"/>
    <x v="0"/>
    <x v="3"/>
  </r>
  <r>
    <n v="204"/>
    <n v="8"/>
    <x v="7"/>
    <s v="Video"/>
    <n v="5"/>
    <n v="5"/>
    <n v="0"/>
    <x v="0"/>
    <x v="0"/>
  </r>
  <r>
    <n v="205"/>
    <n v="1"/>
    <x v="0"/>
    <s v="Video"/>
    <n v="4"/>
    <n v="4"/>
    <n v="0"/>
    <x v="0"/>
    <x v="0"/>
  </r>
  <r>
    <n v="205"/>
    <n v="2"/>
    <x v="1"/>
    <s v="Text"/>
    <n v="15"/>
    <n v="21"/>
    <n v="0.39999999999999991"/>
    <x v="1"/>
    <x v="0"/>
  </r>
  <r>
    <n v="205"/>
    <n v="3"/>
    <x v="2"/>
    <s v="Übung"/>
    <n v="30"/>
    <n v="28"/>
    <n v="-6.6666666666666652E-2"/>
    <x v="0"/>
    <x v="1"/>
  </r>
  <r>
    <n v="205"/>
    <n v="4"/>
    <x v="3"/>
    <s v="Übung"/>
    <n v="30"/>
    <n v="21"/>
    <n v="-0.30000000000000004"/>
    <x v="0"/>
    <x v="1"/>
  </r>
  <r>
    <n v="205"/>
    <n v="5"/>
    <x v="4"/>
    <s v="Übung"/>
    <n v="30"/>
    <n v="48"/>
    <n v="0.60000000000000009"/>
    <x v="1"/>
    <x v="3"/>
  </r>
  <r>
    <n v="205"/>
    <n v="6"/>
    <x v="5"/>
    <s v="Handout"/>
    <n v="5"/>
    <n v="2"/>
    <n v="-0.6"/>
    <x v="2"/>
    <x v="1"/>
  </r>
  <r>
    <n v="205"/>
    <n v="7"/>
    <x v="6"/>
    <s v="Quiz"/>
    <n v="10"/>
    <n v="9"/>
    <n v="-9.9999999999999978E-2"/>
    <x v="0"/>
    <x v="3"/>
  </r>
  <r>
    <n v="205"/>
    <n v="8"/>
    <x v="7"/>
    <s v="Video"/>
    <n v="5"/>
    <n v="5"/>
    <n v="0"/>
    <x v="0"/>
    <x v="0"/>
  </r>
  <r>
    <n v="206"/>
    <n v="1"/>
    <x v="0"/>
    <s v="Video"/>
    <n v="4"/>
    <n v="4"/>
    <n v="0"/>
    <x v="0"/>
    <x v="0"/>
  </r>
  <r>
    <n v="206"/>
    <n v="2"/>
    <x v="1"/>
    <s v="Text"/>
    <n v="15"/>
    <n v="20"/>
    <n v="0.33333333333333326"/>
    <x v="1"/>
    <x v="1"/>
  </r>
  <r>
    <n v="206"/>
    <n v="3"/>
    <x v="2"/>
    <s v="Übung"/>
    <n v="30"/>
    <n v="30"/>
    <n v="0"/>
    <x v="0"/>
    <x v="3"/>
  </r>
  <r>
    <n v="206"/>
    <n v="4"/>
    <x v="3"/>
    <s v="Übung"/>
    <n v="30"/>
    <n v="35"/>
    <n v="0.16666666666666674"/>
    <x v="0"/>
    <x v="2"/>
  </r>
  <r>
    <n v="206"/>
    <n v="5"/>
    <x v="4"/>
    <s v="Übung"/>
    <n v="30"/>
    <n v="44"/>
    <n v="0.46666666666666656"/>
    <x v="1"/>
    <x v="2"/>
  </r>
  <r>
    <n v="206"/>
    <n v="6"/>
    <x v="5"/>
    <s v="Handout"/>
    <n v="5"/>
    <n v="2"/>
    <n v="-0.6"/>
    <x v="2"/>
    <x v="1"/>
  </r>
  <r>
    <n v="206"/>
    <n v="7"/>
    <x v="6"/>
    <s v="Quiz"/>
    <n v="10"/>
    <n v="11"/>
    <n v="0.10000000000000009"/>
    <x v="0"/>
    <x v="2"/>
  </r>
  <r>
    <n v="206"/>
    <n v="8"/>
    <x v="7"/>
    <s v="Video"/>
    <n v="5"/>
    <n v="5"/>
    <n v="0"/>
    <x v="0"/>
    <x v="0"/>
  </r>
  <r>
    <n v="207"/>
    <n v="1"/>
    <x v="0"/>
    <s v="Video"/>
    <n v="4"/>
    <n v="4"/>
    <n v="0"/>
    <x v="0"/>
    <x v="0"/>
  </r>
  <r>
    <n v="207"/>
    <n v="2"/>
    <x v="1"/>
    <s v="Text"/>
    <n v="15"/>
    <n v="16"/>
    <n v="6.6666666666666652E-2"/>
    <x v="0"/>
    <x v="0"/>
  </r>
  <r>
    <n v="207"/>
    <n v="3"/>
    <x v="2"/>
    <s v="Übung"/>
    <n v="30"/>
    <n v="28"/>
    <n v="-6.6666666666666652E-2"/>
    <x v="0"/>
    <x v="3"/>
  </r>
  <r>
    <n v="207"/>
    <n v="4"/>
    <x v="3"/>
    <s v="Übung"/>
    <n v="30"/>
    <n v="27"/>
    <n v="-9.9999999999999978E-2"/>
    <x v="0"/>
    <x v="3"/>
  </r>
  <r>
    <n v="207"/>
    <n v="5"/>
    <x v="4"/>
    <s v="Übung"/>
    <n v="30"/>
    <n v="47"/>
    <n v="0.56666666666666665"/>
    <x v="1"/>
    <x v="2"/>
  </r>
  <r>
    <n v="207"/>
    <n v="6"/>
    <x v="5"/>
    <s v="Handout"/>
    <n v="5"/>
    <n v="2"/>
    <n v="-0.6"/>
    <x v="2"/>
    <x v="1"/>
  </r>
  <r>
    <n v="207"/>
    <n v="7"/>
    <x v="6"/>
    <s v="Quiz"/>
    <n v="10"/>
    <n v="10"/>
    <n v="0"/>
    <x v="0"/>
    <x v="3"/>
  </r>
  <r>
    <n v="207"/>
    <n v="8"/>
    <x v="7"/>
    <s v="Video"/>
    <n v="5"/>
    <n v="6"/>
    <n v="0.19999999999999996"/>
    <x v="0"/>
    <x v="0"/>
  </r>
  <r>
    <n v="210"/>
    <n v="1"/>
    <x v="0"/>
    <s v="Video"/>
    <n v="4"/>
    <n v="4"/>
    <n v="0"/>
    <x v="0"/>
    <x v="0"/>
  </r>
  <r>
    <n v="210"/>
    <n v="2"/>
    <x v="1"/>
    <s v="Text"/>
    <n v="15"/>
    <n v="19"/>
    <n v="0.26666666666666661"/>
    <x v="0"/>
    <x v="1"/>
  </r>
  <r>
    <n v="210"/>
    <n v="3"/>
    <x v="2"/>
    <s v="Übung"/>
    <n v="30"/>
    <n v="29"/>
    <n v="-3.3333333333333326E-2"/>
    <x v="0"/>
    <x v="3"/>
  </r>
  <r>
    <n v="210"/>
    <n v="4"/>
    <x v="3"/>
    <s v="Übung"/>
    <n v="30"/>
    <n v="29"/>
    <n v="-3.3333333333333326E-2"/>
    <x v="0"/>
    <x v="3"/>
  </r>
  <r>
    <n v="210"/>
    <n v="5"/>
    <x v="4"/>
    <s v="Übung"/>
    <n v="30"/>
    <n v="45"/>
    <n v="0.5"/>
    <x v="1"/>
    <x v="3"/>
  </r>
  <r>
    <n v="210"/>
    <n v="6"/>
    <x v="5"/>
    <s v="Handout"/>
    <n v="5"/>
    <n v="1"/>
    <n v="-0.8"/>
    <x v="2"/>
    <x v="1"/>
  </r>
  <r>
    <n v="210"/>
    <n v="7"/>
    <x v="6"/>
    <s v="Quiz"/>
    <n v="10"/>
    <n v="9"/>
    <n v="-9.9999999999999978E-2"/>
    <x v="0"/>
    <x v="3"/>
  </r>
  <r>
    <n v="210"/>
    <n v="8"/>
    <x v="7"/>
    <s v="Video"/>
    <n v="5"/>
    <n v="5"/>
    <n v="0"/>
    <x v="0"/>
    <x v="0"/>
  </r>
  <r>
    <n v="211"/>
    <n v="1"/>
    <x v="0"/>
    <s v="Video"/>
    <n v="4"/>
    <n v="4"/>
    <n v="0"/>
    <x v="0"/>
    <x v="0"/>
  </r>
  <r>
    <n v="211"/>
    <n v="2"/>
    <x v="1"/>
    <s v="Text"/>
    <n v="15"/>
    <n v="20"/>
    <n v="0.33333333333333326"/>
    <x v="1"/>
    <x v="1"/>
  </r>
  <r>
    <n v="211"/>
    <n v="3"/>
    <x v="2"/>
    <s v="Übung"/>
    <n v="30"/>
    <n v="29"/>
    <n v="-3.3333333333333326E-2"/>
    <x v="0"/>
    <x v="3"/>
  </r>
  <r>
    <n v="211"/>
    <n v="4"/>
    <x v="3"/>
    <s v="Übung"/>
    <n v="30"/>
    <n v="23"/>
    <n v="-0.23333333333333328"/>
    <x v="0"/>
    <x v="1"/>
  </r>
  <r>
    <n v="211"/>
    <n v="5"/>
    <x v="4"/>
    <s v="Übung"/>
    <n v="30"/>
    <n v="51"/>
    <n v="0.7"/>
    <x v="3"/>
    <x v="3"/>
  </r>
  <r>
    <n v="211"/>
    <n v="6"/>
    <x v="5"/>
    <s v="Handout"/>
    <n v="5"/>
    <n v="4"/>
    <n v="-0.19999999999999996"/>
    <x v="0"/>
    <x v="1"/>
  </r>
  <r>
    <n v="211"/>
    <n v="7"/>
    <x v="6"/>
    <s v="Quiz"/>
    <n v="10"/>
    <n v="10"/>
    <n v="0"/>
    <x v="0"/>
    <x v="3"/>
  </r>
  <r>
    <n v="211"/>
    <n v="8"/>
    <x v="7"/>
    <s v="Video"/>
    <n v="5"/>
    <n v="5"/>
    <n v="0"/>
    <x v="0"/>
    <x v="0"/>
  </r>
  <r>
    <n v="212"/>
    <n v="1"/>
    <x v="0"/>
    <s v="Video"/>
    <n v="4"/>
    <n v="4"/>
    <n v="0"/>
    <x v="0"/>
    <x v="0"/>
  </r>
  <r>
    <n v="212"/>
    <n v="2"/>
    <x v="1"/>
    <s v="Text"/>
    <n v="15"/>
    <n v="15"/>
    <n v="0"/>
    <x v="0"/>
    <x v="1"/>
  </r>
  <r>
    <n v="212"/>
    <n v="3"/>
    <x v="2"/>
    <s v="Übung"/>
    <n v="30"/>
    <n v="29"/>
    <n v="-3.3333333333333326E-2"/>
    <x v="0"/>
    <x v="3"/>
  </r>
  <r>
    <n v="212"/>
    <n v="4"/>
    <x v="3"/>
    <s v="Übung"/>
    <n v="30"/>
    <n v="32"/>
    <n v="6.6666666666666652E-2"/>
    <x v="0"/>
    <x v="3"/>
  </r>
  <r>
    <n v="212"/>
    <n v="5"/>
    <x v="4"/>
    <s v="Übung"/>
    <n v="30"/>
    <n v="51"/>
    <n v="0.7"/>
    <x v="3"/>
    <x v="2"/>
  </r>
  <r>
    <n v="212"/>
    <n v="6"/>
    <x v="5"/>
    <s v="Handout"/>
    <n v="5"/>
    <n v="1"/>
    <n v="-0.8"/>
    <x v="2"/>
    <x v="1"/>
  </r>
  <r>
    <n v="212"/>
    <n v="7"/>
    <x v="6"/>
    <s v="Quiz"/>
    <n v="10"/>
    <n v="10"/>
    <n v="0"/>
    <x v="0"/>
    <x v="3"/>
  </r>
  <r>
    <n v="212"/>
    <n v="8"/>
    <x v="7"/>
    <s v="Video"/>
    <n v="5"/>
    <n v="8"/>
    <n v="0.60000000000000009"/>
    <x v="1"/>
    <x v="0"/>
  </r>
  <r>
    <n v="213"/>
    <n v="1"/>
    <x v="0"/>
    <s v="Video"/>
    <n v="4"/>
    <n v="6"/>
    <n v="0.5"/>
    <x v="1"/>
    <x v="0"/>
  </r>
  <r>
    <n v="213"/>
    <n v="2"/>
    <x v="1"/>
    <s v="Text"/>
    <n v="15"/>
    <n v="18"/>
    <n v="0.19999999999999996"/>
    <x v="0"/>
    <x v="0"/>
  </r>
  <r>
    <n v="213"/>
    <n v="3"/>
    <x v="2"/>
    <s v="Übung"/>
    <n v="30"/>
    <n v="27"/>
    <n v="-9.9999999999999978E-2"/>
    <x v="0"/>
    <x v="1"/>
  </r>
  <r>
    <n v="213"/>
    <n v="4"/>
    <x v="3"/>
    <s v="Übung"/>
    <n v="30"/>
    <n v="20"/>
    <n v="-0.33333333333333337"/>
    <x v="2"/>
    <x v="3"/>
  </r>
  <r>
    <n v="213"/>
    <n v="5"/>
    <x v="4"/>
    <s v="Übung"/>
    <n v="30"/>
    <n v="44"/>
    <n v="0.46666666666666656"/>
    <x v="1"/>
    <x v="2"/>
  </r>
  <r>
    <n v="213"/>
    <n v="6"/>
    <x v="5"/>
    <s v="Handout"/>
    <n v="5"/>
    <n v="1"/>
    <n v="-0.8"/>
    <x v="2"/>
    <x v="1"/>
  </r>
  <r>
    <n v="213"/>
    <n v="7"/>
    <x v="6"/>
    <s v="Quiz"/>
    <n v="10"/>
    <n v="12"/>
    <n v="0.19999999999999996"/>
    <x v="0"/>
    <x v="3"/>
  </r>
  <r>
    <n v="213"/>
    <n v="8"/>
    <x v="7"/>
    <s v="Video"/>
    <n v="5"/>
    <n v="5"/>
    <n v="0"/>
    <x v="0"/>
    <x v="0"/>
  </r>
  <r>
    <n v="214"/>
    <n v="1"/>
    <x v="0"/>
    <s v="Video"/>
    <n v="4"/>
    <n v="4"/>
    <n v="0"/>
    <x v="0"/>
    <x v="0"/>
  </r>
  <r>
    <n v="214"/>
    <n v="2"/>
    <x v="1"/>
    <s v="Text"/>
    <n v="15"/>
    <n v="20"/>
    <n v="0.33333333333333326"/>
    <x v="1"/>
    <x v="0"/>
  </r>
  <r>
    <n v="214"/>
    <n v="3"/>
    <x v="2"/>
    <s v="Übung"/>
    <n v="30"/>
    <n v="28"/>
    <n v="-6.6666666666666652E-2"/>
    <x v="0"/>
    <x v="1"/>
  </r>
  <r>
    <n v="214"/>
    <n v="4"/>
    <x v="3"/>
    <s v="Übung"/>
    <n v="30"/>
    <n v="24"/>
    <n v="-0.19999999999999996"/>
    <x v="0"/>
    <x v="2"/>
  </r>
  <r>
    <n v="214"/>
    <n v="5"/>
    <x v="4"/>
    <s v="Übung"/>
    <n v="30"/>
    <n v="53"/>
    <n v="0.76666666666666661"/>
    <x v="3"/>
    <x v="2"/>
  </r>
  <r>
    <n v="214"/>
    <n v="6"/>
    <x v="5"/>
    <s v="Handout"/>
    <n v="5"/>
    <n v="3"/>
    <n v="-0.4"/>
    <x v="2"/>
    <x v="3"/>
  </r>
  <r>
    <n v="214"/>
    <n v="7"/>
    <x v="6"/>
    <s v="Quiz"/>
    <n v="10"/>
    <n v="11"/>
    <n v="0.10000000000000009"/>
    <x v="0"/>
    <x v="3"/>
  </r>
  <r>
    <n v="214"/>
    <n v="8"/>
    <x v="7"/>
    <s v="Video"/>
    <n v="5"/>
    <n v="5"/>
    <n v="0"/>
    <x v="0"/>
    <x v="0"/>
  </r>
  <r>
    <n v="215"/>
    <n v="1"/>
    <x v="0"/>
    <s v="Video"/>
    <n v="4"/>
    <n v="4"/>
    <n v="0"/>
    <x v="0"/>
    <x v="0"/>
  </r>
  <r>
    <n v="215"/>
    <n v="2"/>
    <x v="1"/>
    <s v="Text"/>
    <n v="15"/>
    <n v="18"/>
    <n v="0.19999999999999996"/>
    <x v="0"/>
    <x v="1"/>
  </r>
  <r>
    <n v="215"/>
    <n v="3"/>
    <x v="2"/>
    <s v="Übung"/>
    <n v="30"/>
    <n v="29"/>
    <n v="-3.3333333333333326E-2"/>
    <x v="0"/>
    <x v="3"/>
  </r>
  <r>
    <n v="215"/>
    <n v="4"/>
    <x v="3"/>
    <s v="Übung"/>
    <n v="30"/>
    <n v="21"/>
    <n v="-0.30000000000000004"/>
    <x v="0"/>
    <x v="3"/>
  </r>
  <r>
    <n v="215"/>
    <n v="5"/>
    <x v="4"/>
    <s v="Übung"/>
    <n v="30"/>
    <n v="38"/>
    <n v="0.26666666666666661"/>
    <x v="0"/>
    <x v="4"/>
  </r>
  <r>
    <n v="215"/>
    <n v="6"/>
    <x v="5"/>
    <s v="Handout"/>
    <n v="5"/>
    <n v="1"/>
    <n v="-0.8"/>
    <x v="2"/>
    <x v="1"/>
  </r>
  <r>
    <n v="215"/>
    <n v="7"/>
    <x v="6"/>
    <s v="Quiz"/>
    <n v="10"/>
    <n v="10"/>
    <n v="0"/>
    <x v="0"/>
    <x v="3"/>
  </r>
  <r>
    <n v="215"/>
    <n v="8"/>
    <x v="7"/>
    <s v="Video"/>
    <n v="5"/>
    <n v="5"/>
    <n v="0"/>
    <x v="0"/>
    <x v="0"/>
  </r>
  <r>
    <n v="216"/>
    <n v="1"/>
    <x v="0"/>
    <s v="Video"/>
    <n v="4"/>
    <n v="4"/>
    <n v="0"/>
    <x v="0"/>
    <x v="0"/>
  </r>
  <r>
    <n v="216"/>
    <n v="2"/>
    <x v="1"/>
    <s v="Text"/>
    <n v="15"/>
    <n v="20"/>
    <n v="0.33333333333333326"/>
    <x v="1"/>
    <x v="0"/>
  </r>
  <r>
    <n v="216"/>
    <n v="3"/>
    <x v="2"/>
    <s v="Übung"/>
    <n v="30"/>
    <n v="28"/>
    <n v="-6.6666666666666652E-2"/>
    <x v="0"/>
    <x v="3"/>
  </r>
  <r>
    <n v="216"/>
    <n v="4"/>
    <x v="3"/>
    <s v="Übung"/>
    <n v="30"/>
    <n v="21"/>
    <n v="-0.30000000000000004"/>
    <x v="0"/>
    <x v="2"/>
  </r>
  <r>
    <n v="216"/>
    <n v="5"/>
    <x v="4"/>
    <s v="Übung"/>
    <n v="30"/>
    <n v="44"/>
    <n v="0.46666666666666656"/>
    <x v="1"/>
    <x v="4"/>
  </r>
  <r>
    <n v="216"/>
    <n v="6"/>
    <x v="5"/>
    <s v="Handout"/>
    <n v="5"/>
    <n v="2"/>
    <n v="-0.6"/>
    <x v="2"/>
    <x v="3"/>
  </r>
  <r>
    <n v="216"/>
    <n v="7"/>
    <x v="6"/>
    <s v="Quiz"/>
    <n v="10"/>
    <n v="10"/>
    <n v="0"/>
    <x v="0"/>
    <x v="3"/>
  </r>
  <r>
    <n v="216"/>
    <n v="8"/>
    <x v="7"/>
    <s v="Video"/>
    <n v="5"/>
    <n v="5"/>
    <n v="0"/>
    <x v="0"/>
    <x v="1"/>
  </r>
  <r>
    <n v="218"/>
    <n v="1"/>
    <x v="0"/>
    <s v="Video"/>
    <n v="4"/>
    <n v="6"/>
    <n v="0.5"/>
    <x v="1"/>
    <x v="1"/>
  </r>
  <r>
    <n v="218"/>
    <n v="2"/>
    <x v="1"/>
    <s v="Text"/>
    <n v="15"/>
    <n v="15"/>
    <n v="0"/>
    <x v="0"/>
    <x v="1"/>
  </r>
  <r>
    <n v="218"/>
    <n v="3"/>
    <x v="2"/>
    <s v="Übung"/>
    <n v="30"/>
    <n v="29"/>
    <n v="-3.3333333333333326E-2"/>
    <x v="0"/>
    <x v="1"/>
  </r>
  <r>
    <n v="218"/>
    <n v="4"/>
    <x v="3"/>
    <s v="Übung"/>
    <n v="30"/>
    <n v="29"/>
    <n v="-3.3333333333333326E-2"/>
    <x v="0"/>
    <x v="3"/>
  </r>
  <r>
    <n v="218"/>
    <n v="5"/>
    <x v="4"/>
    <s v="Übung"/>
    <n v="30"/>
    <n v="42"/>
    <n v="0.39999999999999991"/>
    <x v="1"/>
    <x v="2"/>
  </r>
  <r>
    <n v="218"/>
    <n v="6"/>
    <x v="5"/>
    <s v="Handout"/>
    <n v="5"/>
    <n v="3"/>
    <n v="-0.4"/>
    <x v="2"/>
    <x v="1"/>
  </r>
  <r>
    <n v="218"/>
    <n v="7"/>
    <x v="6"/>
    <s v="Quiz"/>
    <n v="10"/>
    <n v="9"/>
    <n v="-9.9999999999999978E-2"/>
    <x v="0"/>
    <x v="2"/>
  </r>
  <r>
    <n v="218"/>
    <n v="8"/>
    <x v="7"/>
    <s v="Video"/>
    <n v="5"/>
    <n v="5"/>
    <n v="0"/>
    <x v="0"/>
    <x v="0"/>
  </r>
  <r>
    <n v="219"/>
    <n v="1"/>
    <x v="0"/>
    <s v="Video"/>
    <n v="4"/>
    <n v="4"/>
    <n v="0"/>
    <x v="0"/>
    <x v="0"/>
  </r>
  <r>
    <n v="219"/>
    <n v="2"/>
    <x v="1"/>
    <s v="Text"/>
    <n v="15"/>
    <n v="16"/>
    <n v="6.6666666666666652E-2"/>
    <x v="0"/>
    <x v="1"/>
  </r>
  <r>
    <n v="219"/>
    <n v="3"/>
    <x v="2"/>
    <s v="Übung"/>
    <n v="30"/>
    <n v="28"/>
    <n v="-6.6666666666666652E-2"/>
    <x v="0"/>
    <x v="1"/>
  </r>
  <r>
    <n v="219"/>
    <n v="4"/>
    <x v="3"/>
    <s v="Übung"/>
    <n v="30"/>
    <n v="25"/>
    <n v="-0.16666666666666663"/>
    <x v="0"/>
    <x v="1"/>
  </r>
  <r>
    <n v="219"/>
    <n v="5"/>
    <x v="4"/>
    <s v="Übung"/>
    <n v="30"/>
    <n v="49"/>
    <n v="0.6333333333333333"/>
    <x v="3"/>
    <x v="3"/>
  </r>
  <r>
    <n v="219"/>
    <n v="6"/>
    <x v="5"/>
    <s v="Handout"/>
    <n v="5"/>
    <n v="1"/>
    <n v="-0.8"/>
    <x v="2"/>
    <x v="1"/>
  </r>
  <r>
    <n v="219"/>
    <n v="7"/>
    <x v="6"/>
    <s v="Quiz"/>
    <n v="10"/>
    <n v="8"/>
    <n v="-0.19999999999999996"/>
    <x v="0"/>
    <x v="3"/>
  </r>
  <r>
    <n v="219"/>
    <n v="8"/>
    <x v="7"/>
    <s v="Video"/>
    <n v="5"/>
    <n v="7"/>
    <n v="0.39999999999999991"/>
    <x v="1"/>
    <x v="0"/>
  </r>
  <r>
    <n v="220"/>
    <n v="1"/>
    <x v="0"/>
    <s v="Video"/>
    <n v="4"/>
    <n v="4"/>
    <n v="0"/>
    <x v="0"/>
    <x v="0"/>
  </r>
  <r>
    <n v="220"/>
    <n v="2"/>
    <x v="1"/>
    <s v="Text"/>
    <n v="15"/>
    <n v="15"/>
    <n v="0"/>
    <x v="0"/>
    <x v="1"/>
  </r>
  <r>
    <n v="220"/>
    <n v="3"/>
    <x v="2"/>
    <s v="Übung"/>
    <n v="30"/>
    <n v="28"/>
    <n v="-6.6666666666666652E-2"/>
    <x v="0"/>
    <x v="1"/>
  </r>
  <r>
    <n v="220"/>
    <n v="4"/>
    <x v="3"/>
    <s v="Übung"/>
    <n v="30"/>
    <n v="20"/>
    <n v="-0.33333333333333337"/>
    <x v="2"/>
    <x v="3"/>
  </r>
  <r>
    <n v="220"/>
    <n v="5"/>
    <x v="4"/>
    <s v="Übung"/>
    <n v="30"/>
    <n v="51"/>
    <n v="0.7"/>
    <x v="3"/>
    <x v="2"/>
  </r>
  <r>
    <n v="220"/>
    <n v="6"/>
    <x v="5"/>
    <s v="Handout"/>
    <n v="5"/>
    <n v="3"/>
    <n v="-0.4"/>
    <x v="2"/>
    <x v="0"/>
  </r>
  <r>
    <n v="220"/>
    <n v="7"/>
    <x v="6"/>
    <s v="Quiz"/>
    <n v="10"/>
    <n v="10"/>
    <n v="0"/>
    <x v="0"/>
    <x v="2"/>
  </r>
  <r>
    <n v="220"/>
    <n v="8"/>
    <x v="7"/>
    <s v="Video"/>
    <n v="5"/>
    <n v="5"/>
    <n v="0"/>
    <x v="0"/>
    <x v="0"/>
  </r>
  <r>
    <n v="222"/>
    <n v="1"/>
    <x v="0"/>
    <s v="Video"/>
    <n v="4"/>
    <n v="4"/>
    <n v="0"/>
    <x v="0"/>
    <x v="0"/>
  </r>
  <r>
    <n v="222"/>
    <n v="2"/>
    <x v="1"/>
    <s v="Text"/>
    <n v="15"/>
    <n v="15"/>
    <n v="0"/>
    <x v="0"/>
    <x v="1"/>
  </r>
  <r>
    <n v="222"/>
    <n v="3"/>
    <x v="2"/>
    <s v="Übung"/>
    <n v="30"/>
    <n v="30"/>
    <n v="0"/>
    <x v="0"/>
    <x v="1"/>
  </r>
  <r>
    <n v="222"/>
    <n v="4"/>
    <x v="3"/>
    <s v="Übung"/>
    <n v="30"/>
    <n v="30"/>
    <n v="0"/>
    <x v="0"/>
    <x v="3"/>
  </r>
  <r>
    <n v="222"/>
    <n v="5"/>
    <x v="4"/>
    <s v="Übung"/>
    <n v="30"/>
    <n v="45"/>
    <n v="0.5"/>
    <x v="1"/>
    <x v="2"/>
  </r>
  <r>
    <n v="222"/>
    <n v="6"/>
    <x v="5"/>
    <s v="Handout"/>
    <n v="5"/>
    <n v="3"/>
    <n v="-0.4"/>
    <x v="2"/>
    <x v="1"/>
  </r>
  <r>
    <n v="222"/>
    <n v="7"/>
    <x v="6"/>
    <s v="Quiz"/>
    <n v="10"/>
    <n v="12"/>
    <n v="0.19999999999999996"/>
    <x v="0"/>
    <x v="3"/>
  </r>
  <r>
    <n v="222"/>
    <n v="8"/>
    <x v="7"/>
    <s v="Video"/>
    <n v="5"/>
    <n v="5"/>
    <n v="0"/>
    <x v="0"/>
    <x v="1"/>
  </r>
  <r>
    <n v="223"/>
    <n v="1"/>
    <x v="0"/>
    <s v="Video"/>
    <n v="4"/>
    <n v="4"/>
    <n v="0"/>
    <x v="0"/>
    <x v="0"/>
  </r>
  <r>
    <n v="223"/>
    <n v="2"/>
    <x v="1"/>
    <s v="Text"/>
    <n v="15"/>
    <n v="15"/>
    <n v="0"/>
    <x v="0"/>
    <x v="0"/>
  </r>
  <r>
    <n v="223"/>
    <n v="3"/>
    <x v="2"/>
    <s v="Übung"/>
    <n v="30"/>
    <n v="29"/>
    <n v="-3.3333333333333326E-2"/>
    <x v="0"/>
    <x v="3"/>
  </r>
  <r>
    <n v="223"/>
    <n v="4"/>
    <x v="3"/>
    <s v="Übung"/>
    <n v="30"/>
    <n v="35"/>
    <n v="0.16666666666666674"/>
    <x v="0"/>
    <x v="3"/>
  </r>
  <r>
    <n v="223"/>
    <n v="5"/>
    <x v="4"/>
    <s v="Übung"/>
    <n v="30"/>
    <n v="40"/>
    <n v="0.33333333333333326"/>
    <x v="1"/>
    <x v="2"/>
  </r>
  <r>
    <n v="223"/>
    <n v="6"/>
    <x v="5"/>
    <s v="Handout"/>
    <n v="5"/>
    <n v="1"/>
    <n v="-0.8"/>
    <x v="2"/>
    <x v="3"/>
  </r>
  <r>
    <n v="223"/>
    <n v="7"/>
    <x v="6"/>
    <s v="Quiz"/>
    <n v="10"/>
    <n v="10"/>
    <n v="0"/>
    <x v="0"/>
    <x v="3"/>
  </r>
  <r>
    <n v="223"/>
    <n v="8"/>
    <x v="7"/>
    <s v="Video"/>
    <n v="5"/>
    <n v="5"/>
    <n v="0"/>
    <x v="0"/>
    <x v="0"/>
  </r>
  <r>
    <n v="224"/>
    <n v="1"/>
    <x v="0"/>
    <s v="Video"/>
    <n v="4"/>
    <n v="4"/>
    <n v="0"/>
    <x v="0"/>
    <x v="0"/>
  </r>
  <r>
    <n v="224"/>
    <n v="2"/>
    <x v="1"/>
    <s v="Text"/>
    <n v="15"/>
    <n v="18"/>
    <n v="0.19999999999999996"/>
    <x v="0"/>
    <x v="1"/>
  </r>
  <r>
    <n v="224"/>
    <n v="3"/>
    <x v="2"/>
    <s v="Übung"/>
    <n v="30"/>
    <n v="29"/>
    <n v="-3.3333333333333326E-2"/>
    <x v="0"/>
    <x v="1"/>
  </r>
  <r>
    <n v="224"/>
    <n v="4"/>
    <x v="3"/>
    <s v="Übung"/>
    <n v="30"/>
    <n v="28"/>
    <n v="-6.6666666666666652E-2"/>
    <x v="0"/>
    <x v="3"/>
  </r>
  <r>
    <n v="224"/>
    <n v="5"/>
    <x v="4"/>
    <s v="Übung"/>
    <n v="30"/>
    <n v="53"/>
    <n v="0.76666666666666661"/>
    <x v="3"/>
    <x v="2"/>
  </r>
  <r>
    <n v="224"/>
    <n v="6"/>
    <x v="5"/>
    <s v="Handout"/>
    <n v="5"/>
    <n v="1"/>
    <n v="-0.8"/>
    <x v="2"/>
    <x v="0"/>
  </r>
  <r>
    <n v="224"/>
    <n v="7"/>
    <x v="6"/>
    <s v="Quiz"/>
    <n v="10"/>
    <n v="11"/>
    <n v="0.10000000000000009"/>
    <x v="0"/>
    <x v="2"/>
  </r>
  <r>
    <n v="224"/>
    <n v="8"/>
    <x v="7"/>
    <s v="Video"/>
    <n v="5"/>
    <n v="9"/>
    <n v="0.8"/>
    <x v="3"/>
    <x v="0"/>
  </r>
  <r>
    <n v="225"/>
    <n v="1"/>
    <x v="0"/>
    <s v="Video"/>
    <n v="4"/>
    <n v="4"/>
    <n v="0"/>
    <x v="0"/>
    <x v="0"/>
  </r>
  <r>
    <n v="225"/>
    <n v="2"/>
    <x v="1"/>
    <s v="Text"/>
    <n v="15"/>
    <n v="16"/>
    <n v="6.6666666666666652E-2"/>
    <x v="0"/>
    <x v="0"/>
  </r>
  <r>
    <n v="225"/>
    <n v="3"/>
    <x v="2"/>
    <s v="Übung"/>
    <n v="30"/>
    <n v="29"/>
    <n v="-3.3333333333333326E-2"/>
    <x v="0"/>
    <x v="3"/>
  </r>
  <r>
    <n v="225"/>
    <n v="4"/>
    <x v="3"/>
    <s v="Übung"/>
    <n v="30"/>
    <n v="24"/>
    <n v="-0.19999999999999996"/>
    <x v="0"/>
    <x v="3"/>
  </r>
  <r>
    <n v="225"/>
    <n v="5"/>
    <x v="4"/>
    <s v="Übung"/>
    <n v="30"/>
    <n v="41"/>
    <n v="0.3666666666666667"/>
    <x v="1"/>
    <x v="3"/>
  </r>
  <r>
    <n v="225"/>
    <n v="6"/>
    <x v="5"/>
    <s v="Handout"/>
    <n v="5"/>
    <n v="3"/>
    <n v="-0.4"/>
    <x v="2"/>
    <x v="1"/>
  </r>
  <r>
    <n v="225"/>
    <n v="7"/>
    <x v="6"/>
    <s v="Quiz"/>
    <n v="10"/>
    <n v="9"/>
    <n v="-9.9999999999999978E-2"/>
    <x v="0"/>
    <x v="2"/>
  </r>
  <r>
    <n v="225"/>
    <n v="8"/>
    <x v="7"/>
    <s v="Video"/>
    <n v="5"/>
    <n v="5"/>
    <n v="0"/>
    <x v="0"/>
    <x v="0"/>
  </r>
  <r>
    <n v="226"/>
    <n v="1"/>
    <x v="0"/>
    <s v="Video"/>
    <n v="4"/>
    <n v="4"/>
    <n v="0"/>
    <x v="0"/>
    <x v="0"/>
  </r>
  <r>
    <n v="226"/>
    <n v="2"/>
    <x v="1"/>
    <s v="Text"/>
    <n v="15"/>
    <n v="16"/>
    <n v="6.6666666666666652E-2"/>
    <x v="0"/>
    <x v="0"/>
  </r>
  <r>
    <n v="226"/>
    <n v="3"/>
    <x v="2"/>
    <s v="Übung"/>
    <n v="30"/>
    <n v="23"/>
    <n v="-0.23333333333333328"/>
    <x v="0"/>
    <x v="3"/>
  </r>
  <r>
    <n v="226"/>
    <n v="4"/>
    <x v="3"/>
    <s v="Übung"/>
    <n v="30"/>
    <n v="27"/>
    <n v="-9.9999999999999978E-2"/>
    <x v="0"/>
    <x v="3"/>
  </r>
  <r>
    <n v="226"/>
    <n v="5"/>
    <x v="4"/>
    <s v="Übung"/>
    <n v="30"/>
    <n v="49"/>
    <n v="0.6333333333333333"/>
    <x v="3"/>
    <x v="2"/>
  </r>
  <r>
    <n v="226"/>
    <n v="6"/>
    <x v="5"/>
    <s v="Handout"/>
    <n v="5"/>
    <n v="3"/>
    <n v="-0.4"/>
    <x v="2"/>
    <x v="1"/>
  </r>
  <r>
    <n v="226"/>
    <n v="7"/>
    <x v="6"/>
    <s v="Quiz"/>
    <n v="10"/>
    <n v="10"/>
    <n v="0"/>
    <x v="0"/>
    <x v="3"/>
  </r>
  <r>
    <n v="226"/>
    <n v="8"/>
    <x v="7"/>
    <s v="Video"/>
    <n v="5"/>
    <n v="5"/>
    <n v="0"/>
    <x v="0"/>
    <x v="0"/>
  </r>
  <r>
    <n v="228"/>
    <n v="1"/>
    <x v="0"/>
    <s v="Video"/>
    <n v="4"/>
    <n v="4"/>
    <n v="0"/>
    <x v="0"/>
    <x v="0"/>
  </r>
  <r>
    <n v="228"/>
    <n v="2"/>
    <x v="1"/>
    <s v="Text"/>
    <n v="15"/>
    <n v="16"/>
    <n v="6.6666666666666652E-2"/>
    <x v="0"/>
    <x v="1"/>
  </r>
  <r>
    <n v="228"/>
    <n v="3"/>
    <x v="2"/>
    <s v="Übung"/>
    <n v="30"/>
    <n v="29"/>
    <n v="-3.3333333333333326E-2"/>
    <x v="0"/>
    <x v="1"/>
  </r>
  <r>
    <n v="228"/>
    <n v="4"/>
    <x v="3"/>
    <s v="Übung"/>
    <n v="30"/>
    <n v="23"/>
    <n v="-0.23333333333333328"/>
    <x v="0"/>
    <x v="3"/>
  </r>
  <r>
    <n v="228"/>
    <n v="5"/>
    <x v="4"/>
    <s v="Übung"/>
    <n v="30"/>
    <n v="51"/>
    <n v="0.7"/>
    <x v="3"/>
    <x v="2"/>
  </r>
  <r>
    <n v="228"/>
    <n v="6"/>
    <x v="5"/>
    <s v="Handout"/>
    <n v="5"/>
    <n v="1"/>
    <n v="-0.8"/>
    <x v="2"/>
    <x v="1"/>
  </r>
  <r>
    <n v="228"/>
    <n v="7"/>
    <x v="6"/>
    <s v="Quiz"/>
    <n v="10"/>
    <n v="10"/>
    <n v="0"/>
    <x v="0"/>
    <x v="3"/>
  </r>
  <r>
    <n v="228"/>
    <n v="8"/>
    <x v="7"/>
    <s v="Video"/>
    <n v="5"/>
    <n v="5"/>
    <n v="0"/>
    <x v="0"/>
    <x v="0"/>
  </r>
  <r>
    <n v="229"/>
    <n v="1"/>
    <x v="0"/>
    <s v="Video"/>
    <n v="4"/>
    <n v="4"/>
    <n v="0"/>
    <x v="0"/>
    <x v="0"/>
  </r>
  <r>
    <n v="229"/>
    <n v="2"/>
    <x v="1"/>
    <s v="Text"/>
    <n v="15"/>
    <n v="20"/>
    <n v="0.33333333333333326"/>
    <x v="1"/>
    <x v="0"/>
  </r>
  <r>
    <n v="229"/>
    <n v="3"/>
    <x v="2"/>
    <s v="Übung"/>
    <n v="30"/>
    <n v="40"/>
    <n v="0.33333333333333326"/>
    <x v="1"/>
    <x v="3"/>
  </r>
  <r>
    <n v="229"/>
    <n v="4"/>
    <x v="3"/>
    <s v="Übung"/>
    <n v="30"/>
    <n v="24"/>
    <n v="-0.19999999999999996"/>
    <x v="0"/>
    <x v="1"/>
  </r>
  <r>
    <n v="229"/>
    <n v="5"/>
    <x v="4"/>
    <s v="Übung"/>
    <n v="30"/>
    <n v="40"/>
    <n v="0.33333333333333326"/>
    <x v="1"/>
    <x v="2"/>
  </r>
  <r>
    <n v="229"/>
    <n v="6"/>
    <x v="5"/>
    <s v="Handout"/>
    <n v="5"/>
    <n v="2"/>
    <n v="-0.6"/>
    <x v="2"/>
    <x v="1"/>
  </r>
  <r>
    <n v="229"/>
    <n v="7"/>
    <x v="6"/>
    <s v="Quiz"/>
    <n v="10"/>
    <n v="8"/>
    <n v="-0.19999999999999996"/>
    <x v="0"/>
    <x v="3"/>
  </r>
  <r>
    <n v="229"/>
    <n v="8"/>
    <x v="7"/>
    <s v="Video"/>
    <n v="5"/>
    <n v="5"/>
    <n v="0"/>
    <x v="0"/>
    <x v="0"/>
  </r>
  <r>
    <n v="230"/>
    <n v="1"/>
    <x v="0"/>
    <s v="Video"/>
    <n v="4"/>
    <n v="6"/>
    <n v="0.5"/>
    <x v="1"/>
    <x v="0"/>
  </r>
  <r>
    <n v="230"/>
    <n v="2"/>
    <x v="1"/>
    <s v="Text"/>
    <n v="15"/>
    <n v="21"/>
    <n v="0.39999999999999991"/>
    <x v="1"/>
    <x v="0"/>
  </r>
  <r>
    <n v="230"/>
    <n v="3"/>
    <x v="2"/>
    <s v="Übung"/>
    <n v="30"/>
    <n v="27"/>
    <n v="-9.9999999999999978E-2"/>
    <x v="0"/>
    <x v="3"/>
  </r>
  <r>
    <n v="230"/>
    <n v="4"/>
    <x v="3"/>
    <s v="Übung"/>
    <n v="30"/>
    <n v="21"/>
    <n v="-0.30000000000000004"/>
    <x v="0"/>
    <x v="1"/>
  </r>
  <r>
    <n v="230"/>
    <n v="5"/>
    <x v="4"/>
    <s v="Übung"/>
    <n v="30"/>
    <n v="48"/>
    <n v="0.60000000000000009"/>
    <x v="1"/>
    <x v="2"/>
  </r>
  <r>
    <n v="230"/>
    <n v="6"/>
    <x v="5"/>
    <s v="Handout"/>
    <n v="5"/>
    <n v="3"/>
    <n v="-0.4"/>
    <x v="2"/>
    <x v="0"/>
  </r>
  <r>
    <n v="230"/>
    <n v="7"/>
    <x v="6"/>
    <s v="Quiz"/>
    <n v="10"/>
    <n v="9"/>
    <n v="-9.9999999999999978E-2"/>
    <x v="0"/>
    <x v="3"/>
  </r>
  <r>
    <n v="230"/>
    <n v="8"/>
    <x v="7"/>
    <s v="Video"/>
    <n v="5"/>
    <n v="5"/>
    <n v="0"/>
    <x v="0"/>
    <x v="0"/>
  </r>
  <r>
    <n v="232"/>
    <n v="1"/>
    <x v="0"/>
    <s v="Video"/>
    <n v="4"/>
    <n v="4"/>
    <n v="0"/>
    <x v="0"/>
    <x v="0"/>
  </r>
  <r>
    <n v="232"/>
    <n v="2"/>
    <x v="1"/>
    <s v="Text"/>
    <n v="15"/>
    <n v="18"/>
    <n v="0.19999999999999996"/>
    <x v="0"/>
    <x v="0"/>
  </r>
  <r>
    <n v="232"/>
    <n v="3"/>
    <x v="2"/>
    <s v="Übung"/>
    <n v="30"/>
    <n v="29"/>
    <n v="-3.3333333333333326E-2"/>
    <x v="0"/>
    <x v="3"/>
  </r>
  <r>
    <n v="232"/>
    <n v="4"/>
    <x v="3"/>
    <s v="Übung"/>
    <n v="30"/>
    <n v="32"/>
    <n v="6.6666666666666652E-2"/>
    <x v="0"/>
    <x v="3"/>
  </r>
  <r>
    <n v="232"/>
    <n v="5"/>
    <x v="4"/>
    <s v="Übung"/>
    <n v="30"/>
    <n v="48"/>
    <n v="0.60000000000000009"/>
    <x v="1"/>
    <x v="2"/>
  </r>
  <r>
    <n v="232"/>
    <n v="6"/>
    <x v="5"/>
    <s v="Handout"/>
    <n v="5"/>
    <n v="2"/>
    <n v="-0.6"/>
    <x v="2"/>
    <x v="0"/>
  </r>
  <r>
    <n v="232"/>
    <n v="7"/>
    <x v="6"/>
    <s v="Quiz"/>
    <n v="10"/>
    <n v="9"/>
    <n v="-9.9999999999999978E-2"/>
    <x v="0"/>
    <x v="2"/>
  </r>
  <r>
    <n v="232"/>
    <n v="8"/>
    <x v="7"/>
    <s v="Video"/>
    <n v="5"/>
    <n v="5"/>
    <n v="0"/>
    <x v="0"/>
    <x v="0"/>
  </r>
  <r>
    <n v="233"/>
    <n v="1"/>
    <x v="0"/>
    <s v="Video"/>
    <n v="4"/>
    <n v="4"/>
    <n v="0"/>
    <x v="0"/>
    <x v="0"/>
  </r>
  <r>
    <n v="233"/>
    <n v="2"/>
    <x v="1"/>
    <s v="Text"/>
    <n v="15"/>
    <n v="15"/>
    <n v="0"/>
    <x v="0"/>
    <x v="0"/>
  </r>
  <r>
    <n v="233"/>
    <n v="3"/>
    <x v="2"/>
    <s v="Übung"/>
    <n v="30"/>
    <n v="28"/>
    <n v="-6.6666666666666652E-2"/>
    <x v="0"/>
    <x v="1"/>
  </r>
  <r>
    <n v="233"/>
    <n v="4"/>
    <x v="3"/>
    <s v="Übung"/>
    <n v="30"/>
    <n v="24"/>
    <n v="-0.19999999999999996"/>
    <x v="0"/>
    <x v="1"/>
  </r>
  <r>
    <n v="233"/>
    <n v="5"/>
    <x v="4"/>
    <s v="Übung"/>
    <n v="30"/>
    <n v="43"/>
    <n v="0.43333333333333335"/>
    <x v="1"/>
    <x v="2"/>
  </r>
  <r>
    <n v="233"/>
    <n v="6"/>
    <x v="5"/>
    <s v="Handout"/>
    <n v="5"/>
    <n v="1"/>
    <n v="-0.8"/>
    <x v="2"/>
    <x v="1"/>
  </r>
  <r>
    <n v="233"/>
    <n v="7"/>
    <x v="6"/>
    <s v="Quiz"/>
    <n v="10"/>
    <n v="8"/>
    <n v="-0.19999999999999996"/>
    <x v="0"/>
    <x v="3"/>
  </r>
  <r>
    <n v="233"/>
    <n v="8"/>
    <x v="7"/>
    <s v="Video"/>
    <n v="5"/>
    <n v="5"/>
    <n v="0"/>
    <x v="0"/>
    <x v="0"/>
  </r>
  <r>
    <n v="234"/>
    <n v="1"/>
    <x v="0"/>
    <s v="Video"/>
    <n v="4"/>
    <n v="4"/>
    <n v="0"/>
    <x v="0"/>
    <x v="0"/>
  </r>
  <r>
    <n v="234"/>
    <n v="2"/>
    <x v="1"/>
    <s v="Text"/>
    <n v="15"/>
    <n v="16"/>
    <n v="6.6666666666666652E-2"/>
    <x v="0"/>
    <x v="0"/>
  </r>
  <r>
    <n v="234"/>
    <n v="3"/>
    <x v="2"/>
    <s v="Übung"/>
    <n v="30"/>
    <n v="28"/>
    <n v="-6.6666666666666652E-2"/>
    <x v="0"/>
    <x v="3"/>
  </r>
  <r>
    <n v="234"/>
    <n v="4"/>
    <x v="3"/>
    <s v="Übung"/>
    <n v="30"/>
    <n v="30"/>
    <n v="0"/>
    <x v="0"/>
    <x v="3"/>
  </r>
  <r>
    <n v="234"/>
    <n v="5"/>
    <x v="4"/>
    <s v="Übung"/>
    <n v="30"/>
    <n v="46"/>
    <n v="0.53333333333333344"/>
    <x v="1"/>
    <x v="3"/>
  </r>
  <r>
    <n v="234"/>
    <n v="6"/>
    <x v="5"/>
    <s v="Handout"/>
    <n v="5"/>
    <n v="1"/>
    <n v="-0.8"/>
    <x v="2"/>
    <x v="1"/>
  </r>
  <r>
    <n v="234"/>
    <n v="7"/>
    <x v="6"/>
    <s v="Quiz"/>
    <n v="10"/>
    <n v="9"/>
    <n v="-9.9999999999999978E-2"/>
    <x v="0"/>
    <x v="3"/>
  </r>
  <r>
    <n v="234"/>
    <n v="8"/>
    <x v="7"/>
    <s v="Video"/>
    <n v="5"/>
    <n v="5"/>
    <n v="0"/>
    <x v="0"/>
    <x v="0"/>
  </r>
  <r>
    <n v="235"/>
    <n v="1"/>
    <x v="0"/>
    <s v="Video"/>
    <n v="4"/>
    <n v="4"/>
    <n v="0"/>
    <x v="0"/>
    <x v="0"/>
  </r>
  <r>
    <n v="235"/>
    <n v="2"/>
    <x v="1"/>
    <s v="Text"/>
    <n v="15"/>
    <n v="15"/>
    <n v="0"/>
    <x v="0"/>
    <x v="0"/>
  </r>
  <r>
    <n v="235"/>
    <n v="3"/>
    <x v="2"/>
    <s v="Übung"/>
    <n v="30"/>
    <n v="29"/>
    <n v="-3.3333333333333326E-2"/>
    <x v="0"/>
    <x v="1"/>
  </r>
  <r>
    <n v="235"/>
    <n v="4"/>
    <x v="3"/>
    <s v="Übung"/>
    <n v="30"/>
    <n v="24"/>
    <n v="-0.19999999999999996"/>
    <x v="0"/>
    <x v="3"/>
  </r>
  <r>
    <n v="235"/>
    <n v="5"/>
    <x v="4"/>
    <s v="Übung"/>
    <n v="30"/>
    <n v="42"/>
    <n v="0.39999999999999991"/>
    <x v="1"/>
    <x v="3"/>
  </r>
  <r>
    <n v="235"/>
    <n v="6"/>
    <x v="5"/>
    <s v="Handout"/>
    <n v="5"/>
    <n v="1"/>
    <n v="-0.8"/>
    <x v="2"/>
    <x v="1"/>
  </r>
  <r>
    <n v="235"/>
    <n v="7"/>
    <x v="6"/>
    <s v="Quiz"/>
    <n v="10"/>
    <n v="10"/>
    <n v="0"/>
    <x v="0"/>
    <x v="3"/>
  </r>
  <r>
    <n v="235"/>
    <n v="8"/>
    <x v="7"/>
    <s v="Video"/>
    <n v="5"/>
    <n v="5"/>
    <n v="0"/>
    <x v="0"/>
    <x v="1"/>
  </r>
  <r>
    <n v="236"/>
    <n v="1"/>
    <x v="0"/>
    <s v="Video"/>
    <n v="4"/>
    <n v="4"/>
    <n v="0"/>
    <x v="0"/>
    <x v="0"/>
  </r>
  <r>
    <n v="236"/>
    <n v="2"/>
    <x v="1"/>
    <s v="Text"/>
    <n v="15"/>
    <n v="19"/>
    <n v="0.26666666666666661"/>
    <x v="0"/>
    <x v="0"/>
  </r>
  <r>
    <n v="236"/>
    <n v="3"/>
    <x v="2"/>
    <s v="Übung"/>
    <n v="30"/>
    <n v="28"/>
    <n v="-6.6666666666666652E-2"/>
    <x v="0"/>
    <x v="3"/>
  </r>
  <r>
    <n v="236"/>
    <n v="4"/>
    <x v="3"/>
    <s v="Übung"/>
    <n v="30"/>
    <n v="22"/>
    <n v="-0.26666666666666672"/>
    <x v="0"/>
    <x v="2"/>
  </r>
  <r>
    <n v="236"/>
    <n v="5"/>
    <x v="4"/>
    <s v="Übung"/>
    <n v="30"/>
    <n v="46"/>
    <n v="0.53333333333333344"/>
    <x v="1"/>
    <x v="2"/>
  </r>
  <r>
    <n v="236"/>
    <n v="6"/>
    <x v="5"/>
    <s v="Handout"/>
    <n v="5"/>
    <n v="2"/>
    <n v="-0.6"/>
    <x v="2"/>
    <x v="1"/>
  </r>
  <r>
    <n v="236"/>
    <n v="7"/>
    <x v="6"/>
    <s v="Quiz"/>
    <n v="10"/>
    <n v="9"/>
    <n v="-9.9999999999999978E-2"/>
    <x v="0"/>
    <x v="2"/>
  </r>
  <r>
    <n v="236"/>
    <n v="8"/>
    <x v="7"/>
    <s v="Video"/>
    <n v="5"/>
    <n v="5"/>
    <n v="0"/>
    <x v="0"/>
    <x v="0"/>
  </r>
  <r>
    <n v="237"/>
    <n v="1"/>
    <x v="0"/>
    <s v="Video"/>
    <n v="4"/>
    <n v="4"/>
    <n v="0"/>
    <x v="0"/>
    <x v="0"/>
  </r>
  <r>
    <n v="237"/>
    <n v="2"/>
    <x v="1"/>
    <s v="Text"/>
    <n v="15"/>
    <n v="20"/>
    <n v="0.33333333333333326"/>
    <x v="1"/>
    <x v="1"/>
  </r>
  <r>
    <n v="237"/>
    <n v="3"/>
    <x v="2"/>
    <s v="Übung"/>
    <n v="30"/>
    <n v="22"/>
    <n v="-0.26666666666666672"/>
    <x v="0"/>
    <x v="1"/>
  </r>
  <r>
    <n v="237"/>
    <n v="4"/>
    <x v="3"/>
    <s v="Übung"/>
    <n v="30"/>
    <n v="32"/>
    <n v="6.6666666666666652E-2"/>
    <x v="0"/>
    <x v="1"/>
  </r>
  <r>
    <n v="237"/>
    <n v="5"/>
    <x v="4"/>
    <s v="Übung"/>
    <n v="30"/>
    <n v="42"/>
    <n v="0.39999999999999991"/>
    <x v="1"/>
    <x v="3"/>
  </r>
  <r>
    <n v="237"/>
    <n v="6"/>
    <x v="5"/>
    <s v="Handout"/>
    <n v="5"/>
    <n v="2"/>
    <n v="-0.6"/>
    <x v="2"/>
    <x v="1"/>
  </r>
  <r>
    <n v="237"/>
    <n v="7"/>
    <x v="6"/>
    <s v="Quiz"/>
    <n v="10"/>
    <n v="10"/>
    <n v="0"/>
    <x v="0"/>
    <x v="3"/>
  </r>
  <r>
    <n v="237"/>
    <n v="8"/>
    <x v="7"/>
    <s v="Video"/>
    <n v="5"/>
    <n v="9"/>
    <n v="0.8"/>
    <x v="3"/>
    <x v="0"/>
  </r>
  <r>
    <n v="239"/>
    <n v="1"/>
    <x v="0"/>
    <s v="Video"/>
    <n v="4"/>
    <n v="4"/>
    <n v="0"/>
    <x v="0"/>
    <x v="0"/>
  </r>
  <r>
    <n v="239"/>
    <n v="2"/>
    <x v="1"/>
    <s v="Text"/>
    <n v="15"/>
    <n v="20"/>
    <n v="0.33333333333333326"/>
    <x v="1"/>
    <x v="1"/>
  </r>
  <r>
    <n v="239"/>
    <n v="3"/>
    <x v="2"/>
    <s v="Übung"/>
    <n v="30"/>
    <n v="29"/>
    <n v="-3.3333333333333326E-2"/>
    <x v="0"/>
    <x v="3"/>
  </r>
  <r>
    <n v="239"/>
    <n v="4"/>
    <x v="3"/>
    <s v="Übung"/>
    <n v="30"/>
    <n v="31"/>
    <n v="3.3333333333333437E-2"/>
    <x v="0"/>
    <x v="3"/>
  </r>
  <r>
    <n v="239"/>
    <n v="5"/>
    <x v="4"/>
    <s v="Übung"/>
    <n v="30"/>
    <n v="38"/>
    <n v="0.26666666666666661"/>
    <x v="0"/>
    <x v="3"/>
  </r>
  <r>
    <n v="239"/>
    <n v="6"/>
    <x v="5"/>
    <s v="Handout"/>
    <n v="5"/>
    <n v="3"/>
    <n v="-0.4"/>
    <x v="2"/>
    <x v="1"/>
  </r>
  <r>
    <n v="239"/>
    <n v="7"/>
    <x v="6"/>
    <s v="Quiz"/>
    <n v="10"/>
    <n v="10"/>
    <n v="0"/>
    <x v="0"/>
    <x v="4"/>
  </r>
  <r>
    <n v="239"/>
    <n v="8"/>
    <x v="7"/>
    <s v="Video"/>
    <n v="5"/>
    <n v="5"/>
    <n v="0"/>
    <x v="0"/>
    <x v="0"/>
  </r>
  <r>
    <n v="240"/>
    <n v="1"/>
    <x v="0"/>
    <s v="Video"/>
    <n v="4"/>
    <n v="4"/>
    <n v="0"/>
    <x v="0"/>
    <x v="0"/>
  </r>
  <r>
    <n v="240"/>
    <n v="2"/>
    <x v="1"/>
    <s v="Text"/>
    <n v="15"/>
    <n v="16"/>
    <n v="6.6666666666666652E-2"/>
    <x v="0"/>
    <x v="0"/>
  </r>
  <r>
    <n v="240"/>
    <n v="3"/>
    <x v="2"/>
    <s v="Übung"/>
    <n v="30"/>
    <n v="27"/>
    <n v="-9.9999999999999978E-2"/>
    <x v="0"/>
    <x v="1"/>
  </r>
  <r>
    <n v="240"/>
    <n v="4"/>
    <x v="3"/>
    <s v="Übung"/>
    <n v="30"/>
    <n v="35"/>
    <n v="0.16666666666666674"/>
    <x v="0"/>
    <x v="3"/>
  </r>
  <r>
    <n v="240"/>
    <n v="5"/>
    <x v="4"/>
    <s v="Übung"/>
    <n v="30"/>
    <n v="51"/>
    <n v="0.7"/>
    <x v="3"/>
    <x v="3"/>
  </r>
  <r>
    <n v="240"/>
    <n v="6"/>
    <x v="5"/>
    <s v="Handout"/>
    <n v="5"/>
    <n v="1"/>
    <n v="-0.8"/>
    <x v="2"/>
    <x v="0"/>
  </r>
  <r>
    <n v="240"/>
    <n v="7"/>
    <x v="6"/>
    <s v="Quiz"/>
    <n v="10"/>
    <n v="8"/>
    <n v="-0.19999999999999996"/>
    <x v="0"/>
    <x v="3"/>
  </r>
  <r>
    <n v="240"/>
    <n v="8"/>
    <x v="7"/>
    <s v="Video"/>
    <n v="5"/>
    <n v="5"/>
    <n v="0"/>
    <x v="0"/>
    <x v="0"/>
  </r>
  <r>
    <n v="241"/>
    <n v="1"/>
    <x v="0"/>
    <s v="Video"/>
    <n v="4"/>
    <n v="4"/>
    <n v="0"/>
    <x v="0"/>
    <x v="0"/>
  </r>
  <r>
    <n v="241"/>
    <n v="2"/>
    <x v="1"/>
    <s v="Text"/>
    <n v="15"/>
    <n v="16"/>
    <n v="6.6666666666666652E-2"/>
    <x v="0"/>
    <x v="0"/>
  </r>
  <r>
    <n v="241"/>
    <n v="3"/>
    <x v="2"/>
    <s v="Übung"/>
    <n v="30"/>
    <n v="29"/>
    <n v="-3.3333333333333326E-2"/>
    <x v="0"/>
    <x v="1"/>
  </r>
  <r>
    <n v="241"/>
    <n v="4"/>
    <x v="3"/>
    <s v="Übung"/>
    <n v="30"/>
    <n v="20"/>
    <n v="-0.33333333333333337"/>
    <x v="2"/>
    <x v="3"/>
  </r>
  <r>
    <n v="241"/>
    <n v="5"/>
    <x v="4"/>
    <s v="Übung"/>
    <n v="30"/>
    <n v="46"/>
    <n v="0.53333333333333344"/>
    <x v="1"/>
    <x v="2"/>
  </r>
  <r>
    <n v="241"/>
    <n v="6"/>
    <x v="5"/>
    <s v="Handout"/>
    <n v="5"/>
    <n v="3"/>
    <n v="-0.4"/>
    <x v="2"/>
    <x v="1"/>
  </r>
  <r>
    <n v="241"/>
    <n v="7"/>
    <x v="6"/>
    <s v="Quiz"/>
    <n v="10"/>
    <n v="9"/>
    <n v="-9.9999999999999978E-2"/>
    <x v="0"/>
    <x v="2"/>
  </r>
  <r>
    <n v="241"/>
    <n v="8"/>
    <x v="7"/>
    <s v="Video"/>
    <n v="5"/>
    <n v="6"/>
    <n v="0.19999999999999996"/>
    <x v="0"/>
    <x v="0"/>
  </r>
  <r>
    <n v="243"/>
    <n v="1"/>
    <x v="0"/>
    <s v="Video"/>
    <n v="4"/>
    <n v="4"/>
    <n v="0"/>
    <x v="0"/>
    <x v="0"/>
  </r>
  <r>
    <n v="243"/>
    <n v="2"/>
    <x v="1"/>
    <s v="Text"/>
    <n v="15"/>
    <n v="16"/>
    <n v="6.6666666666666652E-2"/>
    <x v="0"/>
    <x v="1"/>
  </r>
  <r>
    <n v="243"/>
    <n v="3"/>
    <x v="2"/>
    <s v="Übung"/>
    <n v="30"/>
    <n v="28"/>
    <n v="-6.6666666666666652E-2"/>
    <x v="0"/>
    <x v="3"/>
  </r>
  <r>
    <n v="243"/>
    <n v="4"/>
    <x v="3"/>
    <s v="Übung"/>
    <n v="30"/>
    <n v="25"/>
    <n v="-0.16666666666666663"/>
    <x v="0"/>
    <x v="3"/>
  </r>
  <r>
    <n v="243"/>
    <n v="5"/>
    <x v="4"/>
    <s v="Übung"/>
    <n v="30"/>
    <n v="50"/>
    <n v="0.66666666666666674"/>
    <x v="3"/>
    <x v="3"/>
  </r>
  <r>
    <n v="243"/>
    <n v="6"/>
    <x v="5"/>
    <s v="Handout"/>
    <n v="5"/>
    <n v="1"/>
    <n v="-0.8"/>
    <x v="2"/>
    <x v="3"/>
  </r>
  <r>
    <n v="243"/>
    <n v="7"/>
    <x v="6"/>
    <s v="Quiz"/>
    <n v="10"/>
    <n v="11"/>
    <n v="0.10000000000000009"/>
    <x v="0"/>
    <x v="2"/>
  </r>
  <r>
    <n v="243"/>
    <n v="8"/>
    <x v="7"/>
    <s v="Video"/>
    <n v="5"/>
    <n v="5"/>
    <n v="0"/>
    <x v="0"/>
    <x v="0"/>
  </r>
  <r>
    <n v="245"/>
    <n v="1"/>
    <x v="0"/>
    <s v="Video"/>
    <n v="4"/>
    <n v="4"/>
    <n v="0"/>
    <x v="0"/>
    <x v="0"/>
  </r>
  <r>
    <n v="245"/>
    <n v="2"/>
    <x v="1"/>
    <s v="Text"/>
    <n v="15"/>
    <n v="19"/>
    <n v="0.26666666666666661"/>
    <x v="0"/>
    <x v="1"/>
  </r>
  <r>
    <n v="245"/>
    <n v="3"/>
    <x v="2"/>
    <s v="Übung"/>
    <n v="30"/>
    <n v="29"/>
    <n v="-3.3333333333333326E-2"/>
    <x v="0"/>
    <x v="1"/>
  </r>
  <r>
    <n v="245"/>
    <n v="4"/>
    <x v="3"/>
    <s v="Übung"/>
    <n v="30"/>
    <n v="24"/>
    <n v="-0.19999999999999996"/>
    <x v="0"/>
    <x v="2"/>
  </r>
  <r>
    <n v="245"/>
    <n v="5"/>
    <x v="4"/>
    <s v="Übung"/>
    <n v="30"/>
    <n v="44"/>
    <n v="0.46666666666666656"/>
    <x v="1"/>
    <x v="3"/>
  </r>
  <r>
    <n v="245"/>
    <n v="6"/>
    <x v="5"/>
    <s v="Handout"/>
    <n v="5"/>
    <n v="3"/>
    <n v="-0.4"/>
    <x v="2"/>
    <x v="1"/>
  </r>
  <r>
    <n v="245"/>
    <n v="7"/>
    <x v="6"/>
    <s v="Quiz"/>
    <n v="10"/>
    <n v="9"/>
    <n v="-9.9999999999999978E-2"/>
    <x v="0"/>
    <x v="3"/>
  </r>
  <r>
    <n v="245"/>
    <n v="8"/>
    <x v="7"/>
    <s v="Video"/>
    <n v="5"/>
    <n v="5"/>
    <n v="0"/>
    <x v="0"/>
    <x v="0"/>
  </r>
  <r>
    <n v="246"/>
    <n v="1"/>
    <x v="0"/>
    <s v="Video"/>
    <n v="4"/>
    <n v="5"/>
    <n v="0.25"/>
    <x v="0"/>
    <x v="0"/>
  </r>
  <r>
    <n v="246"/>
    <n v="2"/>
    <x v="1"/>
    <s v="Text"/>
    <n v="15"/>
    <n v="15"/>
    <n v="0"/>
    <x v="0"/>
    <x v="0"/>
  </r>
  <r>
    <n v="246"/>
    <n v="3"/>
    <x v="2"/>
    <s v="Übung"/>
    <n v="30"/>
    <n v="29"/>
    <n v="-3.3333333333333326E-2"/>
    <x v="0"/>
    <x v="3"/>
  </r>
  <r>
    <n v="246"/>
    <n v="4"/>
    <x v="3"/>
    <s v="Übung"/>
    <n v="30"/>
    <n v="31"/>
    <n v="3.3333333333333437E-2"/>
    <x v="0"/>
    <x v="2"/>
  </r>
  <r>
    <n v="246"/>
    <n v="5"/>
    <x v="4"/>
    <s v="Übung"/>
    <n v="30"/>
    <n v="43"/>
    <n v="0.43333333333333335"/>
    <x v="1"/>
    <x v="3"/>
  </r>
  <r>
    <n v="246"/>
    <n v="6"/>
    <x v="5"/>
    <s v="Handout"/>
    <n v="5"/>
    <n v="1"/>
    <n v="-0.8"/>
    <x v="2"/>
    <x v="1"/>
  </r>
  <r>
    <n v="246"/>
    <n v="7"/>
    <x v="6"/>
    <s v="Quiz"/>
    <n v="10"/>
    <n v="11"/>
    <n v="0.10000000000000009"/>
    <x v="0"/>
    <x v="3"/>
  </r>
  <r>
    <n v="246"/>
    <n v="8"/>
    <x v="7"/>
    <s v="Video"/>
    <n v="5"/>
    <n v="5"/>
    <n v="0"/>
    <x v="0"/>
    <x v="1"/>
  </r>
  <r>
    <n v="247"/>
    <n v="1"/>
    <x v="0"/>
    <s v="Video"/>
    <n v="4"/>
    <n v="4"/>
    <n v="0"/>
    <x v="0"/>
    <x v="0"/>
  </r>
  <r>
    <n v="247"/>
    <n v="2"/>
    <x v="1"/>
    <s v="Text"/>
    <n v="15"/>
    <n v="20"/>
    <n v="0.33333333333333326"/>
    <x v="1"/>
    <x v="0"/>
  </r>
  <r>
    <n v="247"/>
    <n v="3"/>
    <x v="2"/>
    <s v="Übung"/>
    <n v="30"/>
    <n v="28"/>
    <n v="-6.6666666666666652E-2"/>
    <x v="0"/>
    <x v="1"/>
  </r>
  <r>
    <n v="247"/>
    <n v="4"/>
    <x v="3"/>
    <s v="Übung"/>
    <n v="30"/>
    <n v="22"/>
    <n v="-0.26666666666666672"/>
    <x v="0"/>
    <x v="3"/>
  </r>
  <r>
    <n v="247"/>
    <n v="5"/>
    <x v="4"/>
    <s v="Übung"/>
    <n v="30"/>
    <n v="47"/>
    <n v="0.56666666666666665"/>
    <x v="1"/>
    <x v="3"/>
  </r>
  <r>
    <n v="247"/>
    <n v="6"/>
    <x v="5"/>
    <s v="Handout"/>
    <n v="5"/>
    <n v="1"/>
    <n v="-0.8"/>
    <x v="2"/>
    <x v="1"/>
  </r>
  <r>
    <n v="247"/>
    <n v="7"/>
    <x v="6"/>
    <s v="Quiz"/>
    <n v="10"/>
    <n v="10"/>
    <n v="0"/>
    <x v="0"/>
    <x v="3"/>
  </r>
  <r>
    <n v="247"/>
    <n v="8"/>
    <x v="7"/>
    <s v="Video"/>
    <n v="5"/>
    <n v="5"/>
    <n v="0"/>
    <x v="0"/>
    <x v="0"/>
  </r>
  <r>
    <n v="248"/>
    <n v="1"/>
    <x v="0"/>
    <s v="Video"/>
    <n v="4"/>
    <n v="6"/>
    <n v="0.5"/>
    <x v="1"/>
    <x v="0"/>
  </r>
  <r>
    <n v="248"/>
    <n v="2"/>
    <x v="1"/>
    <s v="Text"/>
    <n v="15"/>
    <n v="18"/>
    <n v="0.19999999999999996"/>
    <x v="0"/>
    <x v="1"/>
  </r>
  <r>
    <n v="248"/>
    <n v="3"/>
    <x v="2"/>
    <s v="Übung"/>
    <n v="30"/>
    <n v="28"/>
    <n v="-6.6666666666666652E-2"/>
    <x v="0"/>
    <x v="3"/>
  </r>
  <r>
    <n v="248"/>
    <n v="4"/>
    <x v="3"/>
    <s v="Übung"/>
    <n v="30"/>
    <n v="21"/>
    <n v="-0.30000000000000004"/>
    <x v="0"/>
    <x v="3"/>
  </r>
  <r>
    <n v="248"/>
    <n v="5"/>
    <x v="4"/>
    <s v="Übung"/>
    <n v="30"/>
    <n v="47"/>
    <n v="0.56666666666666665"/>
    <x v="1"/>
    <x v="3"/>
  </r>
  <r>
    <n v="248"/>
    <n v="6"/>
    <x v="5"/>
    <s v="Handout"/>
    <n v="5"/>
    <n v="3"/>
    <n v="-0.4"/>
    <x v="2"/>
    <x v="1"/>
  </r>
  <r>
    <n v="248"/>
    <n v="7"/>
    <x v="6"/>
    <s v="Quiz"/>
    <n v="10"/>
    <n v="11"/>
    <n v="0.10000000000000009"/>
    <x v="0"/>
    <x v="3"/>
  </r>
  <r>
    <n v="248"/>
    <n v="8"/>
    <x v="7"/>
    <s v="Video"/>
    <n v="5"/>
    <n v="5"/>
    <n v="0"/>
    <x v="0"/>
    <x v="0"/>
  </r>
  <r>
    <n v="249"/>
    <n v="1"/>
    <x v="0"/>
    <s v="Video"/>
    <n v="4"/>
    <n v="4"/>
    <n v="0"/>
    <x v="0"/>
    <x v="0"/>
  </r>
  <r>
    <n v="249"/>
    <n v="2"/>
    <x v="1"/>
    <s v="Text"/>
    <n v="15"/>
    <n v="17"/>
    <n v="0.1333333333333333"/>
    <x v="0"/>
    <x v="0"/>
  </r>
  <r>
    <n v="249"/>
    <n v="3"/>
    <x v="2"/>
    <s v="Übung"/>
    <n v="30"/>
    <n v="28"/>
    <n v="-6.6666666666666652E-2"/>
    <x v="0"/>
    <x v="3"/>
  </r>
  <r>
    <n v="249"/>
    <n v="4"/>
    <x v="3"/>
    <s v="Übung"/>
    <n v="30"/>
    <n v="31"/>
    <n v="3.3333333333333437E-2"/>
    <x v="0"/>
    <x v="2"/>
  </r>
  <r>
    <n v="249"/>
    <n v="5"/>
    <x v="4"/>
    <s v="Übung"/>
    <n v="30"/>
    <n v="44"/>
    <n v="0.46666666666666656"/>
    <x v="1"/>
    <x v="3"/>
  </r>
  <r>
    <n v="249"/>
    <n v="6"/>
    <x v="5"/>
    <s v="Handout"/>
    <n v="5"/>
    <n v="1"/>
    <n v="-0.8"/>
    <x v="2"/>
    <x v="3"/>
  </r>
  <r>
    <n v="249"/>
    <n v="7"/>
    <x v="6"/>
    <s v="Quiz"/>
    <n v="10"/>
    <n v="10"/>
    <n v="0"/>
    <x v="0"/>
    <x v="3"/>
  </r>
  <r>
    <n v="249"/>
    <n v="8"/>
    <x v="7"/>
    <s v="Video"/>
    <n v="5"/>
    <n v="7"/>
    <n v="0.39999999999999991"/>
    <x v="1"/>
    <x v="0"/>
  </r>
  <r>
    <n v="251"/>
    <n v="1"/>
    <x v="0"/>
    <s v="Video"/>
    <n v="4"/>
    <n v="7"/>
    <n v="0.75"/>
    <x v="3"/>
    <x v="0"/>
  </r>
  <r>
    <n v="251"/>
    <n v="2"/>
    <x v="1"/>
    <s v="Text"/>
    <n v="15"/>
    <n v="19"/>
    <n v="0.26666666666666661"/>
    <x v="0"/>
    <x v="1"/>
  </r>
  <r>
    <n v="251"/>
    <n v="3"/>
    <x v="2"/>
    <s v="Übung"/>
    <n v="30"/>
    <n v="30"/>
    <n v="0"/>
    <x v="0"/>
    <x v="3"/>
  </r>
  <r>
    <n v="251"/>
    <n v="4"/>
    <x v="3"/>
    <s v="Übung"/>
    <n v="30"/>
    <n v="26"/>
    <n v="-0.1333333333333333"/>
    <x v="0"/>
    <x v="1"/>
  </r>
  <r>
    <n v="251"/>
    <n v="5"/>
    <x v="4"/>
    <s v="Übung"/>
    <n v="30"/>
    <n v="50"/>
    <n v="0.66666666666666674"/>
    <x v="3"/>
    <x v="2"/>
  </r>
  <r>
    <n v="251"/>
    <n v="6"/>
    <x v="5"/>
    <s v="Handout"/>
    <n v="5"/>
    <n v="2"/>
    <n v="-0.6"/>
    <x v="2"/>
    <x v="0"/>
  </r>
  <r>
    <n v="251"/>
    <n v="7"/>
    <x v="6"/>
    <s v="Quiz"/>
    <n v="10"/>
    <n v="11"/>
    <n v="0.10000000000000009"/>
    <x v="0"/>
    <x v="3"/>
  </r>
  <r>
    <n v="251"/>
    <n v="8"/>
    <x v="7"/>
    <s v="Video"/>
    <n v="5"/>
    <n v="5"/>
    <n v="0"/>
    <x v="0"/>
    <x v="0"/>
  </r>
  <r>
    <n v="252"/>
    <n v="1"/>
    <x v="0"/>
    <s v="Video"/>
    <n v="4"/>
    <n v="4"/>
    <n v="0"/>
    <x v="0"/>
    <x v="0"/>
  </r>
  <r>
    <n v="252"/>
    <n v="2"/>
    <x v="1"/>
    <s v="Text"/>
    <n v="15"/>
    <n v="18"/>
    <n v="0.19999999999999996"/>
    <x v="0"/>
    <x v="1"/>
  </r>
  <r>
    <n v="252"/>
    <n v="3"/>
    <x v="2"/>
    <s v="Übung"/>
    <n v="30"/>
    <n v="27"/>
    <n v="-9.9999999999999978E-2"/>
    <x v="0"/>
    <x v="3"/>
  </r>
  <r>
    <n v="252"/>
    <n v="4"/>
    <x v="3"/>
    <s v="Übung"/>
    <n v="30"/>
    <n v="24"/>
    <n v="-0.19999999999999996"/>
    <x v="0"/>
    <x v="3"/>
  </r>
  <r>
    <n v="252"/>
    <n v="5"/>
    <x v="4"/>
    <s v="Übung"/>
    <n v="30"/>
    <n v="45"/>
    <n v="0.5"/>
    <x v="1"/>
    <x v="3"/>
  </r>
  <r>
    <n v="252"/>
    <n v="6"/>
    <x v="5"/>
    <s v="Handout"/>
    <n v="5"/>
    <n v="3"/>
    <n v="-0.4"/>
    <x v="2"/>
    <x v="0"/>
  </r>
  <r>
    <n v="252"/>
    <n v="7"/>
    <x v="6"/>
    <s v="Quiz"/>
    <n v="10"/>
    <n v="10"/>
    <n v="0"/>
    <x v="0"/>
    <x v="3"/>
  </r>
  <r>
    <n v="252"/>
    <n v="8"/>
    <x v="7"/>
    <s v="Video"/>
    <n v="5"/>
    <n v="5"/>
    <n v="0"/>
    <x v="0"/>
    <x v="0"/>
  </r>
  <r>
    <n v="253"/>
    <n v="1"/>
    <x v="0"/>
    <s v="Video"/>
    <n v="4"/>
    <n v="4"/>
    <n v="0"/>
    <x v="0"/>
    <x v="0"/>
  </r>
  <r>
    <n v="253"/>
    <n v="2"/>
    <x v="1"/>
    <s v="Text"/>
    <n v="15"/>
    <n v="20"/>
    <n v="0.33333333333333326"/>
    <x v="1"/>
    <x v="1"/>
  </r>
  <r>
    <n v="253"/>
    <n v="3"/>
    <x v="2"/>
    <s v="Übung"/>
    <n v="30"/>
    <n v="28"/>
    <n v="-6.6666666666666652E-2"/>
    <x v="0"/>
    <x v="1"/>
  </r>
  <r>
    <n v="253"/>
    <n v="4"/>
    <x v="3"/>
    <s v="Übung"/>
    <n v="30"/>
    <n v="35"/>
    <n v="0.16666666666666674"/>
    <x v="0"/>
    <x v="3"/>
  </r>
  <r>
    <n v="253"/>
    <n v="5"/>
    <x v="4"/>
    <s v="Übung"/>
    <n v="30"/>
    <n v="49"/>
    <n v="0.6333333333333333"/>
    <x v="3"/>
    <x v="2"/>
  </r>
  <r>
    <n v="253"/>
    <n v="6"/>
    <x v="5"/>
    <s v="Handout"/>
    <n v="5"/>
    <n v="4"/>
    <n v="-0.19999999999999996"/>
    <x v="0"/>
    <x v="3"/>
  </r>
  <r>
    <n v="253"/>
    <n v="7"/>
    <x v="6"/>
    <s v="Quiz"/>
    <n v="10"/>
    <n v="9"/>
    <n v="-9.9999999999999978E-2"/>
    <x v="0"/>
    <x v="4"/>
  </r>
  <r>
    <n v="253"/>
    <n v="8"/>
    <x v="7"/>
    <s v="Video"/>
    <n v="5"/>
    <n v="8"/>
    <n v="0.60000000000000009"/>
    <x v="1"/>
    <x v="0"/>
  </r>
  <r>
    <n v="255"/>
    <n v="1"/>
    <x v="0"/>
    <s v="Video"/>
    <n v="4"/>
    <n v="4"/>
    <n v="0"/>
    <x v="0"/>
    <x v="0"/>
  </r>
  <r>
    <n v="255"/>
    <n v="2"/>
    <x v="1"/>
    <s v="Text"/>
    <n v="15"/>
    <n v="17"/>
    <n v="0.1333333333333333"/>
    <x v="0"/>
    <x v="0"/>
  </r>
  <r>
    <n v="255"/>
    <n v="3"/>
    <x v="2"/>
    <s v="Übung"/>
    <n v="30"/>
    <n v="28"/>
    <n v="-6.6666666666666652E-2"/>
    <x v="0"/>
    <x v="3"/>
  </r>
  <r>
    <n v="255"/>
    <n v="4"/>
    <x v="3"/>
    <s v="Übung"/>
    <n v="30"/>
    <n v="32"/>
    <n v="6.6666666666666652E-2"/>
    <x v="0"/>
    <x v="3"/>
  </r>
  <r>
    <n v="255"/>
    <n v="5"/>
    <x v="4"/>
    <s v="Übung"/>
    <n v="30"/>
    <n v="43"/>
    <n v="0.43333333333333335"/>
    <x v="1"/>
    <x v="3"/>
  </r>
  <r>
    <n v="255"/>
    <n v="6"/>
    <x v="5"/>
    <s v="Handout"/>
    <n v="5"/>
    <n v="2"/>
    <n v="-0.6"/>
    <x v="2"/>
    <x v="0"/>
  </r>
  <r>
    <n v="255"/>
    <n v="7"/>
    <x v="6"/>
    <s v="Quiz"/>
    <n v="10"/>
    <n v="9"/>
    <n v="-9.9999999999999978E-2"/>
    <x v="0"/>
    <x v="2"/>
  </r>
  <r>
    <n v="255"/>
    <n v="8"/>
    <x v="7"/>
    <s v="Video"/>
    <n v="5"/>
    <n v="5"/>
    <n v="0"/>
    <x v="0"/>
    <x v="0"/>
  </r>
  <r>
    <n v="256"/>
    <n v="1"/>
    <x v="0"/>
    <s v="Video"/>
    <n v="4"/>
    <n v="4"/>
    <n v="0"/>
    <x v="0"/>
    <x v="0"/>
  </r>
  <r>
    <n v="256"/>
    <n v="2"/>
    <x v="1"/>
    <s v="Text"/>
    <n v="15"/>
    <n v="19"/>
    <n v="0.26666666666666661"/>
    <x v="0"/>
    <x v="0"/>
  </r>
  <r>
    <n v="256"/>
    <n v="3"/>
    <x v="2"/>
    <s v="Übung"/>
    <n v="30"/>
    <n v="28"/>
    <n v="-6.6666666666666652E-2"/>
    <x v="0"/>
    <x v="3"/>
  </r>
  <r>
    <n v="256"/>
    <n v="4"/>
    <x v="3"/>
    <s v="Übung"/>
    <n v="30"/>
    <n v="24"/>
    <n v="-0.19999999999999996"/>
    <x v="0"/>
    <x v="3"/>
  </r>
  <r>
    <n v="256"/>
    <n v="5"/>
    <x v="4"/>
    <s v="Übung"/>
    <n v="30"/>
    <n v="41"/>
    <n v="0.3666666666666667"/>
    <x v="1"/>
    <x v="2"/>
  </r>
  <r>
    <n v="256"/>
    <n v="6"/>
    <x v="5"/>
    <s v="Handout"/>
    <n v="5"/>
    <n v="2"/>
    <n v="-0.6"/>
    <x v="2"/>
    <x v="1"/>
  </r>
  <r>
    <n v="256"/>
    <n v="7"/>
    <x v="6"/>
    <s v="Quiz"/>
    <n v="10"/>
    <n v="9"/>
    <n v="-9.9999999999999978E-2"/>
    <x v="0"/>
    <x v="2"/>
  </r>
  <r>
    <n v="256"/>
    <n v="8"/>
    <x v="7"/>
    <s v="Video"/>
    <n v="5"/>
    <n v="5"/>
    <n v="0"/>
    <x v="0"/>
    <x v="0"/>
  </r>
  <r>
    <n v="257"/>
    <n v="1"/>
    <x v="0"/>
    <s v="Video"/>
    <n v="4"/>
    <n v="4"/>
    <n v="0"/>
    <x v="0"/>
    <x v="0"/>
  </r>
  <r>
    <n v="257"/>
    <n v="2"/>
    <x v="1"/>
    <s v="Text"/>
    <n v="15"/>
    <n v="16"/>
    <n v="6.6666666666666652E-2"/>
    <x v="0"/>
    <x v="0"/>
  </r>
  <r>
    <n v="257"/>
    <n v="3"/>
    <x v="2"/>
    <s v="Übung"/>
    <n v="30"/>
    <n v="28"/>
    <n v="-6.6666666666666652E-2"/>
    <x v="0"/>
    <x v="1"/>
  </r>
  <r>
    <n v="257"/>
    <n v="4"/>
    <x v="3"/>
    <s v="Übung"/>
    <n v="30"/>
    <n v="27"/>
    <n v="-9.9999999999999978E-2"/>
    <x v="0"/>
    <x v="3"/>
  </r>
  <r>
    <n v="257"/>
    <n v="5"/>
    <x v="4"/>
    <s v="Übung"/>
    <n v="30"/>
    <n v="47"/>
    <n v="0.56666666666666665"/>
    <x v="1"/>
    <x v="4"/>
  </r>
  <r>
    <n v="257"/>
    <n v="6"/>
    <x v="5"/>
    <s v="Handout"/>
    <n v="5"/>
    <n v="2"/>
    <n v="-0.6"/>
    <x v="2"/>
    <x v="1"/>
  </r>
  <r>
    <n v="257"/>
    <n v="7"/>
    <x v="6"/>
    <s v="Quiz"/>
    <n v="10"/>
    <n v="10"/>
    <n v="0"/>
    <x v="0"/>
    <x v="3"/>
  </r>
  <r>
    <n v="257"/>
    <n v="8"/>
    <x v="7"/>
    <s v="Video"/>
    <n v="5"/>
    <n v="5"/>
    <n v="0"/>
    <x v="0"/>
    <x v="0"/>
  </r>
  <r>
    <n v="258"/>
    <n v="1"/>
    <x v="0"/>
    <s v="Video"/>
    <n v="4"/>
    <n v="4"/>
    <n v="0"/>
    <x v="0"/>
    <x v="0"/>
  </r>
  <r>
    <n v="258"/>
    <n v="2"/>
    <x v="1"/>
    <s v="Text"/>
    <n v="15"/>
    <n v="15"/>
    <n v="0"/>
    <x v="0"/>
    <x v="1"/>
  </r>
  <r>
    <n v="258"/>
    <n v="3"/>
    <x v="2"/>
    <s v="Übung"/>
    <n v="30"/>
    <n v="30"/>
    <n v="0"/>
    <x v="0"/>
    <x v="1"/>
  </r>
  <r>
    <n v="258"/>
    <n v="4"/>
    <x v="3"/>
    <s v="Übung"/>
    <n v="30"/>
    <n v="17"/>
    <n v="-0.43333333333333335"/>
    <x v="2"/>
    <x v="3"/>
  </r>
  <r>
    <n v="258"/>
    <n v="5"/>
    <x v="4"/>
    <s v="Übung"/>
    <n v="30"/>
    <n v="50"/>
    <n v="0.66666666666666674"/>
    <x v="3"/>
    <x v="2"/>
  </r>
  <r>
    <n v="258"/>
    <n v="6"/>
    <x v="5"/>
    <s v="Handout"/>
    <n v="5"/>
    <n v="3"/>
    <n v="-0.4"/>
    <x v="2"/>
    <x v="0"/>
  </r>
  <r>
    <n v="258"/>
    <n v="7"/>
    <x v="6"/>
    <s v="Quiz"/>
    <n v="10"/>
    <n v="10"/>
    <n v="0"/>
    <x v="0"/>
    <x v="2"/>
  </r>
  <r>
    <n v="258"/>
    <n v="8"/>
    <x v="7"/>
    <s v="Video"/>
    <n v="5"/>
    <n v="5"/>
    <n v="0"/>
    <x v="0"/>
    <x v="0"/>
  </r>
  <r>
    <n v="259"/>
    <n v="1"/>
    <x v="0"/>
    <s v="Video"/>
    <n v="4"/>
    <n v="4"/>
    <n v="0"/>
    <x v="0"/>
    <x v="0"/>
  </r>
  <r>
    <n v="259"/>
    <n v="2"/>
    <x v="1"/>
    <s v="Text"/>
    <n v="15"/>
    <n v="19"/>
    <n v="0.26666666666666661"/>
    <x v="0"/>
    <x v="1"/>
  </r>
  <r>
    <n v="259"/>
    <n v="3"/>
    <x v="2"/>
    <s v="Übung"/>
    <n v="30"/>
    <n v="29"/>
    <n v="-3.3333333333333326E-2"/>
    <x v="0"/>
    <x v="3"/>
  </r>
  <r>
    <n v="259"/>
    <n v="4"/>
    <x v="3"/>
    <s v="Übung"/>
    <n v="30"/>
    <n v="25"/>
    <n v="-0.16666666666666663"/>
    <x v="0"/>
    <x v="3"/>
  </r>
  <r>
    <n v="259"/>
    <n v="5"/>
    <x v="4"/>
    <s v="Übung"/>
    <n v="30"/>
    <n v="41"/>
    <n v="0.3666666666666667"/>
    <x v="1"/>
    <x v="3"/>
  </r>
  <r>
    <n v="259"/>
    <n v="6"/>
    <x v="5"/>
    <s v="Handout"/>
    <n v="5"/>
    <n v="1"/>
    <n v="-0.8"/>
    <x v="2"/>
    <x v="1"/>
  </r>
  <r>
    <n v="259"/>
    <n v="7"/>
    <x v="6"/>
    <s v="Quiz"/>
    <n v="10"/>
    <n v="10"/>
    <n v="0"/>
    <x v="0"/>
    <x v="3"/>
  </r>
  <r>
    <n v="259"/>
    <n v="8"/>
    <x v="7"/>
    <s v="Video"/>
    <n v="5"/>
    <n v="5"/>
    <n v="0"/>
    <x v="0"/>
    <x v="0"/>
  </r>
  <r>
    <n v="260"/>
    <n v="1"/>
    <x v="0"/>
    <s v="Video"/>
    <n v="4"/>
    <n v="7"/>
    <n v="0.75"/>
    <x v="3"/>
    <x v="0"/>
  </r>
  <r>
    <n v="260"/>
    <n v="2"/>
    <x v="1"/>
    <s v="Text"/>
    <n v="15"/>
    <n v="20"/>
    <n v="0.33333333333333326"/>
    <x v="1"/>
    <x v="0"/>
  </r>
  <r>
    <n v="260"/>
    <n v="3"/>
    <x v="2"/>
    <s v="Übung"/>
    <n v="30"/>
    <n v="27"/>
    <n v="-9.9999999999999978E-2"/>
    <x v="0"/>
    <x v="3"/>
  </r>
  <r>
    <n v="260"/>
    <n v="4"/>
    <x v="3"/>
    <s v="Übung"/>
    <n v="30"/>
    <n v="27"/>
    <n v="-9.9999999999999978E-2"/>
    <x v="0"/>
    <x v="3"/>
  </r>
  <r>
    <n v="260"/>
    <n v="5"/>
    <x v="4"/>
    <s v="Übung"/>
    <n v="30"/>
    <n v="51"/>
    <n v="0.7"/>
    <x v="3"/>
    <x v="2"/>
  </r>
  <r>
    <n v="260"/>
    <n v="6"/>
    <x v="5"/>
    <s v="Handout"/>
    <n v="5"/>
    <n v="2"/>
    <n v="-0.6"/>
    <x v="2"/>
    <x v="1"/>
  </r>
  <r>
    <n v="260"/>
    <n v="7"/>
    <x v="6"/>
    <s v="Quiz"/>
    <n v="10"/>
    <n v="10"/>
    <n v="0"/>
    <x v="0"/>
    <x v="3"/>
  </r>
  <r>
    <n v="260"/>
    <n v="8"/>
    <x v="7"/>
    <s v="Video"/>
    <n v="5"/>
    <n v="5"/>
    <n v="0"/>
    <x v="0"/>
    <x v="0"/>
  </r>
  <r>
    <n v="261"/>
    <n v="1"/>
    <x v="0"/>
    <s v="Video"/>
    <n v="4"/>
    <n v="4"/>
    <n v="0"/>
    <x v="0"/>
    <x v="0"/>
  </r>
  <r>
    <n v="261"/>
    <n v="2"/>
    <x v="1"/>
    <s v="Text"/>
    <n v="15"/>
    <n v="18"/>
    <n v="0.19999999999999996"/>
    <x v="0"/>
    <x v="0"/>
  </r>
  <r>
    <n v="261"/>
    <n v="3"/>
    <x v="2"/>
    <s v="Übung"/>
    <n v="30"/>
    <n v="28"/>
    <n v="-6.6666666666666652E-2"/>
    <x v="0"/>
    <x v="2"/>
  </r>
  <r>
    <n v="261"/>
    <n v="4"/>
    <x v="3"/>
    <s v="Übung"/>
    <n v="30"/>
    <n v="24"/>
    <n v="-0.19999999999999996"/>
    <x v="0"/>
    <x v="3"/>
  </r>
  <r>
    <n v="261"/>
    <n v="5"/>
    <x v="4"/>
    <s v="Übung"/>
    <n v="30"/>
    <n v="43"/>
    <n v="0.43333333333333335"/>
    <x v="1"/>
    <x v="2"/>
  </r>
  <r>
    <n v="261"/>
    <n v="6"/>
    <x v="5"/>
    <s v="Handout"/>
    <n v="5"/>
    <n v="1"/>
    <n v="-0.8"/>
    <x v="2"/>
    <x v="1"/>
  </r>
  <r>
    <n v="261"/>
    <n v="7"/>
    <x v="6"/>
    <s v="Quiz"/>
    <n v="10"/>
    <n v="9"/>
    <n v="-9.9999999999999978E-2"/>
    <x v="0"/>
    <x v="3"/>
  </r>
  <r>
    <n v="261"/>
    <n v="8"/>
    <x v="7"/>
    <s v="Video"/>
    <n v="5"/>
    <n v="5"/>
    <n v="0"/>
    <x v="0"/>
    <x v="0"/>
  </r>
  <r>
    <n v="263"/>
    <n v="1"/>
    <x v="0"/>
    <s v="Video"/>
    <n v="4"/>
    <n v="4"/>
    <n v="0"/>
    <x v="0"/>
    <x v="0"/>
  </r>
  <r>
    <n v="263"/>
    <n v="2"/>
    <x v="1"/>
    <s v="Text"/>
    <n v="15"/>
    <n v="18"/>
    <n v="0.19999999999999996"/>
    <x v="0"/>
    <x v="0"/>
  </r>
  <r>
    <n v="263"/>
    <n v="3"/>
    <x v="2"/>
    <s v="Übung"/>
    <n v="30"/>
    <n v="29"/>
    <n v="-3.3333333333333326E-2"/>
    <x v="0"/>
    <x v="1"/>
  </r>
  <r>
    <n v="263"/>
    <n v="4"/>
    <x v="3"/>
    <s v="Übung"/>
    <n v="30"/>
    <n v="29"/>
    <n v="-3.3333333333333326E-2"/>
    <x v="0"/>
    <x v="3"/>
  </r>
  <r>
    <n v="263"/>
    <n v="5"/>
    <x v="4"/>
    <s v="Übung"/>
    <n v="30"/>
    <n v="43"/>
    <n v="0.43333333333333335"/>
    <x v="1"/>
    <x v="3"/>
  </r>
  <r>
    <n v="263"/>
    <n v="6"/>
    <x v="5"/>
    <s v="Handout"/>
    <n v="5"/>
    <n v="2"/>
    <n v="-0.6"/>
    <x v="2"/>
    <x v="1"/>
  </r>
  <r>
    <n v="263"/>
    <n v="7"/>
    <x v="6"/>
    <s v="Quiz"/>
    <n v="10"/>
    <n v="9"/>
    <n v="-9.9999999999999978E-2"/>
    <x v="0"/>
    <x v="3"/>
  </r>
  <r>
    <n v="263"/>
    <n v="8"/>
    <x v="7"/>
    <s v="Video"/>
    <n v="5"/>
    <n v="5"/>
    <n v="0"/>
    <x v="0"/>
    <x v="0"/>
  </r>
  <r>
    <n v="264"/>
    <n v="1"/>
    <x v="0"/>
    <s v="Video"/>
    <n v="4"/>
    <n v="4"/>
    <n v="0"/>
    <x v="0"/>
    <x v="0"/>
  </r>
  <r>
    <n v="264"/>
    <n v="2"/>
    <x v="1"/>
    <s v="Text"/>
    <n v="15"/>
    <n v="15"/>
    <n v="0"/>
    <x v="0"/>
    <x v="1"/>
  </r>
  <r>
    <n v="264"/>
    <n v="3"/>
    <x v="2"/>
    <s v="Übung"/>
    <n v="30"/>
    <n v="28"/>
    <n v="-6.6666666666666652E-2"/>
    <x v="0"/>
    <x v="3"/>
  </r>
  <r>
    <n v="264"/>
    <n v="4"/>
    <x v="3"/>
    <s v="Übung"/>
    <n v="30"/>
    <n v="33"/>
    <n v="0.10000000000000009"/>
    <x v="0"/>
    <x v="3"/>
  </r>
  <r>
    <n v="264"/>
    <n v="5"/>
    <x v="4"/>
    <s v="Übung"/>
    <n v="30"/>
    <n v="52"/>
    <n v="0.73333333333333339"/>
    <x v="3"/>
    <x v="2"/>
  </r>
  <r>
    <n v="264"/>
    <n v="6"/>
    <x v="5"/>
    <s v="Handout"/>
    <n v="5"/>
    <n v="1"/>
    <n v="-0.8"/>
    <x v="2"/>
    <x v="3"/>
  </r>
  <r>
    <n v="264"/>
    <n v="7"/>
    <x v="6"/>
    <s v="Quiz"/>
    <n v="10"/>
    <n v="9"/>
    <n v="-9.9999999999999978E-2"/>
    <x v="0"/>
    <x v="3"/>
  </r>
  <r>
    <n v="264"/>
    <n v="8"/>
    <x v="7"/>
    <s v="Video"/>
    <n v="5"/>
    <n v="5"/>
    <n v="0"/>
    <x v="0"/>
    <x v="0"/>
  </r>
  <r>
    <n v="265"/>
    <n v="1"/>
    <x v="0"/>
    <s v="Video"/>
    <n v="4"/>
    <n v="4"/>
    <n v="0"/>
    <x v="0"/>
    <x v="1"/>
  </r>
  <r>
    <n v="265"/>
    <n v="2"/>
    <x v="1"/>
    <s v="Text"/>
    <n v="15"/>
    <n v="15"/>
    <n v="0"/>
    <x v="0"/>
    <x v="1"/>
  </r>
  <r>
    <n v="265"/>
    <n v="3"/>
    <x v="2"/>
    <s v="Übung"/>
    <n v="30"/>
    <n v="29"/>
    <n v="-3.3333333333333326E-2"/>
    <x v="0"/>
    <x v="1"/>
  </r>
  <r>
    <n v="265"/>
    <n v="4"/>
    <x v="3"/>
    <s v="Übung"/>
    <n v="30"/>
    <n v="28"/>
    <n v="-6.6666666666666652E-2"/>
    <x v="0"/>
    <x v="3"/>
  </r>
  <r>
    <n v="265"/>
    <n v="5"/>
    <x v="4"/>
    <s v="Übung"/>
    <n v="30"/>
    <n v="48"/>
    <n v="0.60000000000000009"/>
    <x v="1"/>
    <x v="2"/>
  </r>
  <r>
    <n v="265"/>
    <n v="6"/>
    <x v="5"/>
    <s v="Handout"/>
    <n v="5"/>
    <n v="2"/>
    <n v="-0.6"/>
    <x v="2"/>
    <x v="1"/>
  </r>
  <r>
    <n v="265"/>
    <n v="7"/>
    <x v="6"/>
    <s v="Quiz"/>
    <n v="10"/>
    <n v="8"/>
    <n v="-0.19999999999999996"/>
    <x v="0"/>
    <x v="3"/>
  </r>
  <r>
    <n v="265"/>
    <n v="8"/>
    <x v="7"/>
    <s v="Video"/>
    <n v="5"/>
    <n v="5"/>
    <n v="0"/>
    <x v="0"/>
    <x v="0"/>
  </r>
  <r>
    <n v="266"/>
    <n v="1"/>
    <x v="0"/>
    <s v="Video"/>
    <n v="4"/>
    <n v="4"/>
    <n v="0"/>
    <x v="0"/>
    <x v="0"/>
  </r>
  <r>
    <n v="266"/>
    <n v="2"/>
    <x v="1"/>
    <s v="Text"/>
    <n v="15"/>
    <n v="17"/>
    <n v="0.1333333333333333"/>
    <x v="0"/>
    <x v="1"/>
  </r>
  <r>
    <n v="266"/>
    <n v="3"/>
    <x v="2"/>
    <s v="Übung"/>
    <n v="30"/>
    <n v="24"/>
    <n v="-0.19999999999999996"/>
    <x v="0"/>
    <x v="3"/>
  </r>
  <r>
    <n v="266"/>
    <n v="4"/>
    <x v="3"/>
    <s v="Übung"/>
    <n v="30"/>
    <n v="24"/>
    <n v="-0.19999999999999996"/>
    <x v="0"/>
    <x v="3"/>
  </r>
  <r>
    <n v="266"/>
    <n v="5"/>
    <x v="4"/>
    <s v="Übung"/>
    <n v="30"/>
    <n v="41"/>
    <n v="0.3666666666666667"/>
    <x v="1"/>
    <x v="2"/>
  </r>
  <r>
    <n v="266"/>
    <n v="6"/>
    <x v="5"/>
    <s v="Handout"/>
    <n v="5"/>
    <n v="1"/>
    <n v="-0.8"/>
    <x v="2"/>
    <x v="0"/>
  </r>
  <r>
    <n v="266"/>
    <n v="7"/>
    <x v="6"/>
    <s v="Quiz"/>
    <n v="10"/>
    <n v="11"/>
    <n v="0.10000000000000009"/>
    <x v="0"/>
    <x v="3"/>
  </r>
  <r>
    <n v="266"/>
    <n v="8"/>
    <x v="7"/>
    <s v="Video"/>
    <n v="5"/>
    <n v="5"/>
    <n v="0"/>
    <x v="0"/>
    <x v="0"/>
  </r>
  <r>
    <n v="269"/>
    <n v="1"/>
    <x v="0"/>
    <s v="Video"/>
    <n v="4"/>
    <n v="4"/>
    <n v="0"/>
    <x v="0"/>
    <x v="0"/>
  </r>
  <r>
    <n v="269"/>
    <n v="2"/>
    <x v="1"/>
    <s v="Text"/>
    <n v="15"/>
    <n v="18"/>
    <n v="0.19999999999999996"/>
    <x v="0"/>
    <x v="1"/>
  </r>
  <r>
    <n v="269"/>
    <n v="3"/>
    <x v="2"/>
    <s v="Übung"/>
    <n v="30"/>
    <n v="29"/>
    <n v="-3.3333333333333326E-2"/>
    <x v="0"/>
    <x v="1"/>
  </r>
  <r>
    <n v="269"/>
    <n v="4"/>
    <x v="3"/>
    <s v="Übung"/>
    <n v="30"/>
    <n v="24"/>
    <n v="-0.19999999999999996"/>
    <x v="0"/>
    <x v="1"/>
  </r>
  <r>
    <n v="269"/>
    <n v="5"/>
    <x v="4"/>
    <s v="Übung"/>
    <n v="30"/>
    <n v="41"/>
    <n v="0.3666666666666667"/>
    <x v="1"/>
    <x v="2"/>
  </r>
  <r>
    <n v="269"/>
    <n v="6"/>
    <x v="5"/>
    <s v="Handout"/>
    <n v="5"/>
    <n v="3"/>
    <n v="-0.4"/>
    <x v="2"/>
    <x v="1"/>
  </r>
  <r>
    <n v="269"/>
    <n v="7"/>
    <x v="6"/>
    <s v="Quiz"/>
    <n v="10"/>
    <n v="11"/>
    <n v="0.10000000000000009"/>
    <x v="0"/>
    <x v="3"/>
  </r>
  <r>
    <n v="269"/>
    <n v="8"/>
    <x v="7"/>
    <s v="Video"/>
    <n v="5"/>
    <n v="5"/>
    <n v="0"/>
    <x v="0"/>
    <x v="0"/>
  </r>
  <r>
    <n v="271"/>
    <n v="1"/>
    <x v="0"/>
    <s v="Video"/>
    <n v="4"/>
    <n v="4"/>
    <n v="0"/>
    <x v="0"/>
    <x v="0"/>
  </r>
  <r>
    <n v="271"/>
    <n v="2"/>
    <x v="1"/>
    <s v="Text"/>
    <n v="15"/>
    <n v="19"/>
    <n v="0.26666666666666661"/>
    <x v="0"/>
    <x v="0"/>
  </r>
  <r>
    <n v="271"/>
    <n v="3"/>
    <x v="2"/>
    <s v="Übung"/>
    <n v="30"/>
    <n v="27"/>
    <n v="-9.9999999999999978E-2"/>
    <x v="0"/>
    <x v="3"/>
  </r>
  <r>
    <n v="271"/>
    <n v="4"/>
    <x v="3"/>
    <s v="Übung"/>
    <n v="30"/>
    <n v="27"/>
    <n v="-9.9999999999999978E-2"/>
    <x v="0"/>
    <x v="3"/>
  </r>
  <r>
    <n v="271"/>
    <n v="5"/>
    <x v="4"/>
    <s v="Übung"/>
    <n v="30"/>
    <n v="55"/>
    <n v="0.83333333333333326"/>
    <x v="3"/>
    <x v="3"/>
  </r>
  <r>
    <n v="271"/>
    <n v="6"/>
    <x v="5"/>
    <s v="Handout"/>
    <n v="5"/>
    <n v="2"/>
    <n v="-0.6"/>
    <x v="2"/>
    <x v="0"/>
  </r>
  <r>
    <n v="271"/>
    <n v="7"/>
    <x v="6"/>
    <s v="Quiz"/>
    <n v="10"/>
    <n v="9"/>
    <n v="-9.9999999999999978E-2"/>
    <x v="0"/>
    <x v="3"/>
  </r>
  <r>
    <n v="271"/>
    <n v="8"/>
    <x v="7"/>
    <s v="Video"/>
    <n v="5"/>
    <n v="5"/>
    <n v="0"/>
    <x v="0"/>
    <x v="0"/>
  </r>
  <r>
    <n v="273"/>
    <n v="1"/>
    <x v="0"/>
    <s v="Video"/>
    <n v="4"/>
    <n v="5"/>
    <n v="0.25"/>
    <x v="0"/>
    <x v="0"/>
  </r>
  <r>
    <n v="273"/>
    <n v="2"/>
    <x v="1"/>
    <s v="Text"/>
    <n v="15"/>
    <n v="20"/>
    <n v="0.33333333333333326"/>
    <x v="1"/>
    <x v="1"/>
  </r>
  <r>
    <n v="273"/>
    <n v="3"/>
    <x v="2"/>
    <s v="Übung"/>
    <n v="30"/>
    <n v="29"/>
    <n v="-3.3333333333333326E-2"/>
    <x v="0"/>
    <x v="3"/>
  </r>
  <r>
    <n v="273"/>
    <n v="4"/>
    <x v="3"/>
    <s v="Übung"/>
    <n v="30"/>
    <n v="22"/>
    <n v="-0.26666666666666672"/>
    <x v="0"/>
    <x v="1"/>
  </r>
  <r>
    <n v="273"/>
    <n v="5"/>
    <x v="4"/>
    <s v="Übung"/>
    <n v="30"/>
    <n v="43"/>
    <n v="0.43333333333333335"/>
    <x v="1"/>
    <x v="2"/>
  </r>
  <r>
    <n v="273"/>
    <n v="6"/>
    <x v="5"/>
    <s v="Handout"/>
    <n v="5"/>
    <n v="1"/>
    <n v="-0.8"/>
    <x v="2"/>
    <x v="1"/>
  </r>
  <r>
    <n v="273"/>
    <n v="7"/>
    <x v="6"/>
    <s v="Quiz"/>
    <n v="10"/>
    <n v="8"/>
    <n v="-0.19999999999999996"/>
    <x v="0"/>
    <x v="3"/>
  </r>
  <r>
    <n v="273"/>
    <n v="8"/>
    <x v="7"/>
    <s v="Video"/>
    <n v="5"/>
    <n v="5"/>
    <n v="0"/>
    <x v="0"/>
    <x v="0"/>
  </r>
  <r>
    <n v="274"/>
    <n v="1"/>
    <x v="0"/>
    <s v="Video"/>
    <n v="4"/>
    <n v="5"/>
    <n v="0.25"/>
    <x v="0"/>
    <x v="0"/>
  </r>
  <r>
    <n v="274"/>
    <n v="2"/>
    <x v="1"/>
    <s v="Text"/>
    <n v="15"/>
    <n v="18"/>
    <n v="0.19999999999999996"/>
    <x v="0"/>
    <x v="1"/>
  </r>
  <r>
    <n v="274"/>
    <n v="3"/>
    <x v="2"/>
    <s v="Übung"/>
    <n v="30"/>
    <n v="28"/>
    <n v="-6.6666666666666652E-2"/>
    <x v="0"/>
    <x v="1"/>
  </r>
  <r>
    <n v="274"/>
    <n v="4"/>
    <x v="3"/>
    <s v="Übung"/>
    <n v="30"/>
    <n v="15"/>
    <n v="-0.5"/>
    <x v="2"/>
    <x v="1"/>
  </r>
  <r>
    <n v="274"/>
    <n v="5"/>
    <x v="4"/>
    <s v="Übung"/>
    <n v="30"/>
    <n v="41"/>
    <n v="0.3666666666666667"/>
    <x v="1"/>
    <x v="3"/>
  </r>
  <r>
    <n v="274"/>
    <n v="6"/>
    <x v="5"/>
    <s v="Handout"/>
    <n v="5"/>
    <n v="1"/>
    <n v="-0.8"/>
    <x v="2"/>
    <x v="0"/>
  </r>
  <r>
    <n v="274"/>
    <n v="7"/>
    <x v="6"/>
    <s v="Quiz"/>
    <n v="10"/>
    <n v="10"/>
    <n v="0"/>
    <x v="0"/>
    <x v="3"/>
  </r>
  <r>
    <n v="274"/>
    <n v="8"/>
    <x v="7"/>
    <s v="Video"/>
    <n v="5"/>
    <n v="5"/>
    <n v="0"/>
    <x v="0"/>
    <x v="0"/>
  </r>
  <r>
    <n v="275"/>
    <n v="1"/>
    <x v="0"/>
    <s v="Video"/>
    <n v="4"/>
    <n v="4"/>
    <n v="0"/>
    <x v="0"/>
    <x v="0"/>
  </r>
  <r>
    <n v="275"/>
    <n v="2"/>
    <x v="1"/>
    <s v="Text"/>
    <n v="15"/>
    <n v="19"/>
    <n v="0.26666666666666661"/>
    <x v="0"/>
    <x v="1"/>
  </r>
  <r>
    <n v="275"/>
    <n v="3"/>
    <x v="2"/>
    <s v="Übung"/>
    <n v="30"/>
    <n v="30"/>
    <n v="0"/>
    <x v="0"/>
    <x v="3"/>
  </r>
  <r>
    <n v="275"/>
    <n v="4"/>
    <x v="3"/>
    <s v="Übung"/>
    <n v="30"/>
    <n v="28"/>
    <n v="-6.6666666666666652E-2"/>
    <x v="0"/>
    <x v="3"/>
  </r>
  <r>
    <n v="275"/>
    <n v="5"/>
    <x v="4"/>
    <s v="Übung"/>
    <n v="30"/>
    <n v="50"/>
    <n v="0.66666666666666674"/>
    <x v="3"/>
    <x v="2"/>
  </r>
  <r>
    <n v="275"/>
    <n v="6"/>
    <x v="5"/>
    <s v="Handout"/>
    <n v="5"/>
    <n v="1"/>
    <n v="-0.8"/>
    <x v="2"/>
    <x v="1"/>
  </r>
  <r>
    <n v="275"/>
    <n v="7"/>
    <x v="6"/>
    <s v="Quiz"/>
    <n v="10"/>
    <n v="11"/>
    <n v="0.10000000000000009"/>
    <x v="0"/>
    <x v="2"/>
  </r>
  <r>
    <n v="275"/>
    <n v="8"/>
    <x v="7"/>
    <s v="Video"/>
    <n v="5"/>
    <n v="6"/>
    <n v="0.19999999999999996"/>
    <x v="0"/>
    <x v="0"/>
  </r>
  <r>
    <n v="276"/>
    <n v="1"/>
    <x v="0"/>
    <s v="Video"/>
    <n v="4"/>
    <n v="4"/>
    <n v="0"/>
    <x v="0"/>
    <x v="0"/>
  </r>
  <r>
    <n v="276"/>
    <n v="2"/>
    <x v="1"/>
    <s v="Text"/>
    <n v="15"/>
    <n v="19"/>
    <n v="0.26666666666666661"/>
    <x v="0"/>
    <x v="1"/>
  </r>
  <r>
    <n v="276"/>
    <n v="3"/>
    <x v="2"/>
    <s v="Übung"/>
    <n v="30"/>
    <n v="36"/>
    <n v="0.19999999999999996"/>
    <x v="0"/>
    <x v="3"/>
  </r>
  <r>
    <n v="276"/>
    <n v="4"/>
    <x v="3"/>
    <s v="Übung"/>
    <n v="30"/>
    <n v="18"/>
    <n v="-0.4"/>
    <x v="2"/>
    <x v="3"/>
  </r>
  <r>
    <n v="276"/>
    <n v="5"/>
    <x v="4"/>
    <s v="Übung"/>
    <n v="30"/>
    <n v="50"/>
    <n v="0.66666666666666674"/>
    <x v="3"/>
    <x v="2"/>
  </r>
  <r>
    <n v="276"/>
    <n v="6"/>
    <x v="5"/>
    <s v="Handout"/>
    <n v="5"/>
    <n v="1"/>
    <n v="-0.8"/>
    <x v="2"/>
    <x v="1"/>
  </r>
  <r>
    <n v="276"/>
    <n v="7"/>
    <x v="6"/>
    <s v="Quiz"/>
    <n v="10"/>
    <n v="10"/>
    <n v="0"/>
    <x v="0"/>
    <x v="2"/>
  </r>
  <r>
    <n v="276"/>
    <n v="8"/>
    <x v="7"/>
    <s v="Video"/>
    <n v="5"/>
    <n v="8"/>
    <n v="0.60000000000000009"/>
    <x v="1"/>
    <x v="0"/>
  </r>
  <r>
    <n v="277"/>
    <n v="1"/>
    <x v="0"/>
    <s v="Video"/>
    <n v="4"/>
    <n v="4"/>
    <n v="0"/>
    <x v="0"/>
    <x v="0"/>
  </r>
  <r>
    <n v="277"/>
    <n v="2"/>
    <x v="1"/>
    <s v="Text"/>
    <n v="15"/>
    <n v="15"/>
    <n v="0"/>
    <x v="0"/>
    <x v="1"/>
  </r>
  <r>
    <n v="277"/>
    <n v="3"/>
    <x v="2"/>
    <s v="Übung"/>
    <n v="30"/>
    <n v="29"/>
    <n v="-3.3333333333333326E-2"/>
    <x v="0"/>
    <x v="3"/>
  </r>
  <r>
    <n v="277"/>
    <n v="4"/>
    <x v="3"/>
    <s v="Übung"/>
    <n v="30"/>
    <n v="28"/>
    <n v="-6.6666666666666652E-2"/>
    <x v="0"/>
    <x v="3"/>
  </r>
  <r>
    <n v="277"/>
    <n v="5"/>
    <x v="4"/>
    <s v="Übung"/>
    <n v="30"/>
    <n v="55"/>
    <n v="0.83333333333333326"/>
    <x v="3"/>
    <x v="3"/>
  </r>
  <r>
    <n v="277"/>
    <n v="6"/>
    <x v="5"/>
    <s v="Handout"/>
    <n v="5"/>
    <n v="1"/>
    <n v="-0.8"/>
    <x v="2"/>
    <x v="0"/>
  </r>
  <r>
    <n v="277"/>
    <n v="7"/>
    <x v="6"/>
    <s v="Quiz"/>
    <n v="10"/>
    <n v="8"/>
    <n v="-0.19999999999999996"/>
    <x v="0"/>
    <x v="3"/>
  </r>
  <r>
    <n v="277"/>
    <n v="8"/>
    <x v="7"/>
    <s v="Video"/>
    <n v="5"/>
    <n v="5"/>
    <n v="0"/>
    <x v="0"/>
    <x v="0"/>
  </r>
  <r>
    <n v="278"/>
    <n v="1"/>
    <x v="0"/>
    <s v="Video"/>
    <n v="4"/>
    <n v="4"/>
    <n v="0"/>
    <x v="0"/>
    <x v="0"/>
  </r>
  <r>
    <n v="278"/>
    <n v="2"/>
    <x v="1"/>
    <s v="Text"/>
    <n v="15"/>
    <n v="18"/>
    <n v="0.19999999999999996"/>
    <x v="0"/>
    <x v="1"/>
  </r>
  <r>
    <n v="278"/>
    <n v="3"/>
    <x v="2"/>
    <s v="Übung"/>
    <n v="30"/>
    <n v="28"/>
    <n v="-6.6666666666666652E-2"/>
    <x v="0"/>
    <x v="3"/>
  </r>
  <r>
    <n v="278"/>
    <n v="4"/>
    <x v="3"/>
    <s v="Übung"/>
    <n v="30"/>
    <n v="22"/>
    <n v="-0.26666666666666672"/>
    <x v="0"/>
    <x v="2"/>
  </r>
  <r>
    <n v="278"/>
    <n v="5"/>
    <x v="4"/>
    <s v="Übung"/>
    <n v="30"/>
    <n v="55"/>
    <n v="0.83333333333333326"/>
    <x v="3"/>
    <x v="2"/>
  </r>
  <r>
    <n v="278"/>
    <n v="6"/>
    <x v="5"/>
    <s v="Handout"/>
    <n v="5"/>
    <n v="2"/>
    <n v="-0.6"/>
    <x v="2"/>
    <x v="3"/>
  </r>
  <r>
    <n v="278"/>
    <n v="7"/>
    <x v="6"/>
    <s v="Quiz"/>
    <n v="10"/>
    <n v="10"/>
    <n v="0"/>
    <x v="0"/>
    <x v="3"/>
  </r>
  <r>
    <n v="278"/>
    <n v="8"/>
    <x v="7"/>
    <s v="Video"/>
    <n v="5"/>
    <n v="5"/>
    <n v="0"/>
    <x v="0"/>
    <x v="0"/>
  </r>
  <r>
    <n v="279"/>
    <n v="1"/>
    <x v="0"/>
    <s v="Video"/>
    <n v="4"/>
    <n v="4"/>
    <n v="0"/>
    <x v="0"/>
    <x v="0"/>
  </r>
  <r>
    <n v="279"/>
    <n v="2"/>
    <x v="1"/>
    <s v="Text"/>
    <n v="15"/>
    <n v="19"/>
    <n v="0.26666666666666661"/>
    <x v="0"/>
    <x v="0"/>
  </r>
  <r>
    <n v="279"/>
    <n v="3"/>
    <x v="2"/>
    <s v="Übung"/>
    <n v="30"/>
    <n v="28"/>
    <n v="-6.6666666666666652E-2"/>
    <x v="0"/>
    <x v="3"/>
  </r>
  <r>
    <n v="279"/>
    <n v="4"/>
    <x v="3"/>
    <s v="Übung"/>
    <n v="30"/>
    <n v="18"/>
    <n v="-0.4"/>
    <x v="2"/>
    <x v="3"/>
  </r>
  <r>
    <n v="279"/>
    <n v="5"/>
    <x v="4"/>
    <s v="Übung"/>
    <n v="30"/>
    <n v="46"/>
    <n v="0.53333333333333344"/>
    <x v="1"/>
    <x v="3"/>
  </r>
  <r>
    <n v="279"/>
    <n v="6"/>
    <x v="5"/>
    <s v="Handout"/>
    <n v="5"/>
    <n v="1"/>
    <n v="-0.8"/>
    <x v="2"/>
    <x v="1"/>
  </r>
  <r>
    <n v="279"/>
    <n v="7"/>
    <x v="6"/>
    <s v="Quiz"/>
    <n v="10"/>
    <n v="10"/>
    <n v="0"/>
    <x v="0"/>
    <x v="3"/>
  </r>
  <r>
    <n v="279"/>
    <n v="8"/>
    <x v="7"/>
    <s v="Video"/>
    <n v="5"/>
    <n v="5"/>
    <n v="0"/>
    <x v="0"/>
    <x v="0"/>
  </r>
  <r>
    <n v="280"/>
    <n v="1"/>
    <x v="0"/>
    <s v="Video"/>
    <n v="4"/>
    <n v="4"/>
    <n v="0"/>
    <x v="0"/>
    <x v="0"/>
  </r>
  <r>
    <n v="280"/>
    <n v="2"/>
    <x v="1"/>
    <s v="Text"/>
    <n v="15"/>
    <n v="15"/>
    <n v="0"/>
    <x v="0"/>
    <x v="0"/>
  </r>
  <r>
    <n v="280"/>
    <n v="3"/>
    <x v="2"/>
    <s v="Übung"/>
    <n v="30"/>
    <n v="30"/>
    <n v="0"/>
    <x v="0"/>
    <x v="3"/>
  </r>
  <r>
    <n v="280"/>
    <n v="4"/>
    <x v="3"/>
    <s v="Übung"/>
    <n v="30"/>
    <n v="30"/>
    <n v="0"/>
    <x v="0"/>
    <x v="2"/>
  </r>
  <r>
    <n v="280"/>
    <n v="5"/>
    <x v="4"/>
    <s v="Übung"/>
    <n v="30"/>
    <n v="47"/>
    <n v="0.56666666666666665"/>
    <x v="1"/>
    <x v="3"/>
  </r>
  <r>
    <n v="280"/>
    <n v="6"/>
    <x v="5"/>
    <s v="Handout"/>
    <n v="5"/>
    <n v="1"/>
    <n v="-0.8"/>
    <x v="2"/>
    <x v="1"/>
  </r>
  <r>
    <n v="280"/>
    <n v="7"/>
    <x v="6"/>
    <s v="Quiz"/>
    <n v="10"/>
    <n v="11"/>
    <n v="0.10000000000000009"/>
    <x v="0"/>
    <x v="3"/>
  </r>
  <r>
    <n v="280"/>
    <n v="8"/>
    <x v="7"/>
    <s v="Video"/>
    <n v="5"/>
    <n v="5"/>
    <n v="0"/>
    <x v="0"/>
    <x v="0"/>
  </r>
  <r>
    <n v="282"/>
    <n v="1"/>
    <x v="0"/>
    <s v="Video"/>
    <n v="4"/>
    <n v="4"/>
    <n v="0"/>
    <x v="0"/>
    <x v="0"/>
  </r>
  <r>
    <n v="282"/>
    <n v="2"/>
    <x v="1"/>
    <s v="Text"/>
    <n v="15"/>
    <n v="17"/>
    <n v="0.1333333333333333"/>
    <x v="0"/>
    <x v="0"/>
  </r>
  <r>
    <n v="282"/>
    <n v="3"/>
    <x v="2"/>
    <s v="Übung"/>
    <n v="30"/>
    <n v="29"/>
    <n v="-3.3333333333333326E-2"/>
    <x v="0"/>
    <x v="1"/>
  </r>
  <r>
    <n v="282"/>
    <n v="4"/>
    <x v="3"/>
    <s v="Übung"/>
    <n v="30"/>
    <n v="24"/>
    <n v="-0.19999999999999996"/>
    <x v="0"/>
    <x v="3"/>
  </r>
  <r>
    <n v="282"/>
    <n v="5"/>
    <x v="4"/>
    <s v="Übung"/>
    <n v="30"/>
    <n v="53"/>
    <n v="0.76666666666666661"/>
    <x v="3"/>
    <x v="3"/>
  </r>
  <r>
    <n v="282"/>
    <n v="6"/>
    <x v="5"/>
    <s v="Handout"/>
    <n v="5"/>
    <n v="3"/>
    <n v="-0.4"/>
    <x v="2"/>
    <x v="1"/>
  </r>
  <r>
    <n v="282"/>
    <n v="7"/>
    <x v="6"/>
    <s v="Quiz"/>
    <n v="10"/>
    <n v="8"/>
    <n v="-0.19999999999999996"/>
    <x v="0"/>
    <x v="3"/>
  </r>
  <r>
    <n v="282"/>
    <n v="8"/>
    <x v="7"/>
    <s v="Video"/>
    <n v="5"/>
    <n v="5"/>
    <n v="0"/>
    <x v="0"/>
    <x v="0"/>
  </r>
  <r>
    <n v="284"/>
    <n v="1"/>
    <x v="0"/>
    <s v="Video"/>
    <n v="4"/>
    <n v="4"/>
    <n v="0"/>
    <x v="0"/>
    <x v="0"/>
  </r>
  <r>
    <n v="284"/>
    <n v="2"/>
    <x v="1"/>
    <s v="Text"/>
    <n v="15"/>
    <n v="17"/>
    <n v="0.1333333333333333"/>
    <x v="0"/>
    <x v="0"/>
  </r>
  <r>
    <n v="284"/>
    <n v="3"/>
    <x v="2"/>
    <s v="Übung"/>
    <n v="30"/>
    <n v="30"/>
    <n v="0"/>
    <x v="0"/>
    <x v="3"/>
  </r>
  <r>
    <n v="284"/>
    <n v="4"/>
    <x v="3"/>
    <s v="Übung"/>
    <n v="30"/>
    <n v="25"/>
    <n v="-0.16666666666666663"/>
    <x v="0"/>
    <x v="2"/>
  </r>
  <r>
    <n v="284"/>
    <n v="5"/>
    <x v="4"/>
    <s v="Übung"/>
    <n v="30"/>
    <n v="44"/>
    <n v="0.46666666666666656"/>
    <x v="1"/>
    <x v="2"/>
  </r>
  <r>
    <n v="284"/>
    <n v="6"/>
    <x v="5"/>
    <s v="Handout"/>
    <n v="5"/>
    <n v="1"/>
    <n v="-0.8"/>
    <x v="2"/>
    <x v="1"/>
  </r>
  <r>
    <n v="284"/>
    <n v="7"/>
    <x v="6"/>
    <s v="Quiz"/>
    <n v="10"/>
    <n v="10"/>
    <n v="0"/>
    <x v="0"/>
    <x v="2"/>
  </r>
  <r>
    <n v="284"/>
    <n v="8"/>
    <x v="7"/>
    <s v="Video"/>
    <n v="5"/>
    <n v="5"/>
    <n v="0"/>
    <x v="0"/>
    <x v="0"/>
  </r>
  <r>
    <n v="285"/>
    <n v="1"/>
    <x v="0"/>
    <s v="Video"/>
    <n v="4"/>
    <n v="4"/>
    <n v="0"/>
    <x v="0"/>
    <x v="0"/>
  </r>
  <r>
    <n v="285"/>
    <n v="2"/>
    <x v="1"/>
    <s v="Text"/>
    <n v="15"/>
    <n v="19"/>
    <n v="0.26666666666666661"/>
    <x v="0"/>
    <x v="1"/>
  </r>
  <r>
    <n v="285"/>
    <n v="3"/>
    <x v="2"/>
    <s v="Übung"/>
    <n v="30"/>
    <n v="29"/>
    <n v="-3.3333333333333326E-2"/>
    <x v="0"/>
    <x v="3"/>
  </r>
  <r>
    <n v="285"/>
    <n v="4"/>
    <x v="3"/>
    <s v="Übung"/>
    <n v="30"/>
    <n v="21"/>
    <n v="-0.30000000000000004"/>
    <x v="0"/>
    <x v="3"/>
  </r>
  <r>
    <n v="285"/>
    <n v="5"/>
    <x v="4"/>
    <s v="Übung"/>
    <n v="30"/>
    <n v="53"/>
    <n v="0.76666666666666661"/>
    <x v="3"/>
    <x v="2"/>
  </r>
  <r>
    <n v="285"/>
    <n v="6"/>
    <x v="5"/>
    <s v="Handout"/>
    <n v="5"/>
    <n v="1"/>
    <n v="-0.8"/>
    <x v="2"/>
    <x v="1"/>
  </r>
  <r>
    <n v="285"/>
    <n v="7"/>
    <x v="6"/>
    <s v="Quiz"/>
    <n v="10"/>
    <n v="11"/>
    <n v="0.10000000000000009"/>
    <x v="0"/>
    <x v="3"/>
  </r>
  <r>
    <n v="285"/>
    <n v="8"/>
    <x v="7"/>
    <s v="Video"/>
    <n v="5"/>
    <n v="9"/>
    <n v="0.8"/>
    <x v="3"/>
    <x v="0"/>
  </r>
  <r>
    <n v="286"/>
    <n v="1"/>
    <x v="0"/>
    <s v="Video"/>
    <n v="4"/>
    <n v="4"/>
    <n v="0"/>
    <x v="0"/>
    <x v="0"/>
  </r>
  <r>
    <n v="286"/>
    <n v="2"/>
    <x v="1"/>
    <s v="Text"/>
    <n v="15"/>
    <n v="18"/>
    <n v="0.19999999999999996"/>
    <x v="0"/>
    <x v="1"/>
  </r>
  <r>
    <n v="286"/>
    <n v="3"/>
    <x v="2"/>
    <s v="Übung"/>
    <n v="30"/>
    <n v="29"/>
    <n v="-3.3333333333333326E-2"/>
    <x v="0"/>
    <x v="1"/>
  </r>
  <r>
    <n v="286"/>
    <n v="4"/>
    <x v="3"/>
    <s v="Übung"/>
    <n v="30"/>
    <n v="29"/>
    <n v="-3.3333333333333326E-2"/>
    <x v="0"/>
    <x v="1"/>
  </r>
  <r>
    <n v="286"/>
    <n v="5"/>
    <x v="4"/>
    <s v="Übung"/>
    <n v="30"/>
    <n v="47"/>
    <n v="0.56666666666666665"/>
    <x v="1"/>
    <x v="2"/>
  </r>
  <r>
    <n v="286"/>
    <n v="6"/>
    <x v="5"/>
    <s v="Handout"/>
    <n v="5"/>
    <n v="3"/>
    <n v="-0.4"/>
    <x v="2"/>
    <x v="1"/>
  </r>
  <r>
    <n v="286"/>
    <n v="7"/>
    <x v="6"/>
    <s v="Quiz"/>
    <n v="10"/>
    <n v="11"/>
    <n v="0.10000000000000009"/>
    <x v="0"/>
    <x v="3"/>
  </r>
  <r>
    <n v="286"/>
    <n v="8"/>
    <x v="7"/>
    <s v="Video"/>
    <n v="5"/>
    <n v="5"/>
    <n v="0"/>
    <x v="0"/>
    <x v="0"/>
  </r>
  <r>
    <n v="287"/>
    <n v="1"/>
    <x v="0"/>
    <s v="Video"/>
    <n v="4"/>
    <n v="4"/>
    <n v="0"/>
    <x v="0"/>
    <x v="1"/>
  </r>
  <r>
    <n v="287"/>
    <n v="2"/>
    <x v="1"/>
    <s v="Text"/>
    <n v="15"/>
    <n v="19"/>
    <n v="0.26666666666666661"/>
    <x v="0"/>
    <x v="0"/>
  </r>
  <r>
    <n v="287"/>
    <n v="3"/>
    <x v="2"/>
    <s v="Übung"/>
    <n v="30"/>
    <n v="29"/>
    <n v="-3.3333333333333326E-2"/>
    <x v="0"/>
    <x v="1"/>
  </r>
  <r>
    <n v="287"/>
    <n v="4"/>
    <x v="3"/>
    <s v="Übung"/>
    <n v="30"/>
    <n v="27"/>
    <n v="-9.9999999999999978E-2"/>
    <x v="0"/>
    <x v="3"/>
  </r>
  <r>
    <n v="287"/>
    <n v="5"/>
    <x v="4"/>
    <s v="Übung"/>
    <n v="30"/>
    <n v="40"/>
    <n v="0.33333333333333326"/>
    <x v="1"/>
    <x v="3"/>
  </r>
  <r>
    <n v="287"/>
    <n v="6"/>
    <x v="5"/>
    <s v="Handout"/>
    <n v="5"/>
    <n v="2"/>
    <n v="-0.6"/>
    <x v="2"/>
    <x v="3"/>
  </r>
  <r>
    <n v="287"/>
    <n v="7"/>
    <x v="6"/>
    <s v="Quiz"/>
    <n v="10"/>
    <n v="11"/>
    <n v="0.10000000000000009"/>
    <x v="0"/>
    <x v="3"/>
  </r>
  <r>
    <n v="287"/>
    <n v="8"/>
    <x v="7"/>
    <s v="Video"/>
    <n v="5"/>
    <n v="5"/>
    <n v="0"/>
    <x v="0"/>
    <x v="0"/>
  </r>
  <r>
    <n v="288"/>
    <n v="1"/>
    <x v="0"/>
    <s v="Video"/>
    <n v="4"/>
    <n v="4"/>
    <n v="0"/>
    <x v="0"/>
    <x v="0"/>
  </r>
  <r>
    <n v="288"/>
    <n v="2"/>
    <x v="1"/>
    <s v="Text"/>
    <n v="15"/>
    <n v="19"/>
    <n v="0.26666666666666661"/>
    <x v="0"/>
    <x v="0"/>
  </r>
  <r>
    <n v="288"/>
    <n v="3"/>
    <x v="2"/>
    <s v="Übung"/>
    <n v="30"/>
    <n v="28"/>
    <n v="-6.6666666666666652E-2"/>
    <x v="0"/>
    <x v="1"/>
  </r>
  <r>
    <n v="288"/>
    <n v="4"/>
    <x v="3"/>
    <s v="Übung"/>
    <n v="30"/>
    <n v="27"/>
    <n v="-9.9999999999999978E-2"/>
    <x v="0"/>
    <x v="4"/>
  </r>
  <r>
    <n v="288"/>
    <n v="5"/>
    <x v="4"/>
    <s v="Übung"/>
    <n v="30"/>
    <n v="44"/>
    <n v="0.46666666666666656"/>
    <x v="1"/>
    <x v="2"/>
  </r>
  <r>
    <n v="288"/>
    <n v="6"/>
    <x v="5"/>
    <s v="Handout"/>
    <n v="5"/>
    <n v="2"/>
    <n v="-0.6"/>
    <x v="2"/>
    <x v="0"/>
  </r>
  <r>
    <n v="288"/>
    <n v="7"/>
    <x v="6"/>
    <s v="Quiz"/>
    <n v="10"/>
    <n v="11"/>
    <n v="0.10000000000000009"/>
    <x v="0"/>
    <x v="2"/>
  </r>
  <r>
    <n v="288"/>
    <n v="8"/>
    <x v="7"/>
    <s v="Video"/>
    <n v="5"/>
    <n v="5"/>
    <n v="0"/>
    <x v="0"/>
    <x v="0"/>
  </r>
  <r>
    <n v="289"/>
    <n v="1"/>
    <x v="0"/>
    <s v="Video"/>
    <n v="4"/>
    <n v="5"/>
    <n v="0.25"/>
    <x v="0"/>
    <x v="0"/>
  </r>
  <r>
    <n v="289"/>
    <n v="2"/>
    <x v="1"/>
    <s v="Text"/>
    <n v="15"/>
    <n v="16"/>
    <n v="6.6666666666666652E-2"/>
    <x v="0"/>
    <x v="0"/>
  </r>
  <r>
    <n v="289"/>
    <n v="3"/>
    <x v="2"/>
    <s v="Übung"/>
    <n v="30"/>
    <n v="29"/>
    <n v="-3.3333333333333326E-2"/>
    <x v="0"/>
    <x v="1"/>
  </r>
  <r>
    <n v="289"/>
    <n v="4"/>
    <x v="3"/>
    <s v="Übung"/>
    <n v="30"/>
    <n v="25"/>
    <n v="-0.16666666666666663"/>
    <x v="0"/>
    <x v="3"/>
  </r>
  <r>
    <n v="289"/>
    <n v="5"/>
    <x v="4"/>
    <s v="Übung"/>
    <n v="30"/>
    <n v="52"/>
    <n v="0.73333333333333339"/>
    <x v="3"/>
    <x v="2"/>
  </r>
  <r>
    <n v="289"/>
    <n v="6"/>
    <x v="5"/>
    <s v="Handout"/>
    <n v="5"/>
    <n v="1"/>
    <n v="-0.8"/>
    <x v="2"/>
    <x v="1"/>
  </r>
  <r>
    <n v="289"/>
    <n v="7"/>
    <x v="6"/>
    <s v="Quiz"/>
    <n v="10"/>
    <n v="10"/>
    <n v="0"/>
    <x v="0"/>
    <x v="3"/>
  </r>
  <r>
    <n v="289"/>
    <n v="8"/>
    <x v="7"/>
    <s v="Video"/>
    <n v="5"/>
    <n v="5"/>
    <n v="0"/>
    <x v="0"/>
    <x v="0"/>
  </r>
  <r>
    <n v="290"/>
    <n v="1"/>
    <x v="0"/>
    <s v="Video"/>
    <n v="4"/>
    <n v="4"/>
    <n v="0"/>
    <x v="0"/>
    <x v="0"/>
  </r>
  <r>
    <n v="290"/>
    <n v="2"/>
    <x v="1"/>
    <s v="Text"/>
    <n v="15"/>
    <n v="17"/>
    <n v="0.1333333333333333"/>
    <x v="0"/>
    <x v="0"/>
  </r>
  <r>
    <n v="290"/>
    <n v="3"/>
    <x v="2"/>
    <s v="Übung"/>
    <n v="30"/>
    <n v="28"/>
    <n v="-6.6666666666666652E-2"/>
    <x v="0"/>
    <x v="1"/>
  </r>
  <r>
    <n v="290"/>
    <n v="4"/>
    <x v="3"/>
    <s v="Übung"/>
    <n v="30"/>
    <n v="17"/>
    <n v="-0.43333333333333335"/>
    <x v="2"/>
    <x v="1"/>
  </r>
  <r>
    <n v="290"/>
    <n v="5"/>
    <x v="4"/>
    <s v="Übung"/>
    <n v="30"/>
    <n v="44"/>
    <n v="0.46666666666666656"/>
    <x v="1"/>
    <x v="2"/>
  </r>
  <r>
    <n v="290"/>
    <n v="6"/>
    <x v="5"/>
    <s v="Handout"/>
    <n v="5"/>
    <n v="2"/>
    <n v="-0.6"/>
    <x v="2"/>
    <x v="1"/>
  </r>
  <r>
    <n v="290"/>
    <n v="7"/>
    <x v="6"/>
    <s v="Quiz"/>
    <n v="10"/>
    <n v="10"/>
    <n v="0"/>
    <x v="0"/>
    <x v="3"/>
  </r>
  <r>
    <n v="290"/>
    <n v="8"/>
    <x v="7"/>
    <s v="Video"/>
    <n v="5"/>
    <n v="6"/>
    <n v="0.19999999999999996"/>
    <x v="0"/>
    <x v="0"/>
  </r>
  <r>
    <n v="293"/>
    <n v="1"/>
    <x v="0"/>
    <s v="Video"/>
    <n v="4"/>
    <n v="7"/>
    <n v="0.75"/>
    <x v="3"/>
    <x v="0"/>
  </r>
  <r>
    <n v="293"/>
    <n v="2"/>
    <x v="1"/>
    <s v="Text"/>
    <n v="15"/>
    <n v="17"/>
    <n v="0.1333333333333333"/>
    <x v="0"/>
    <x v="1"/>
  </r>
  <r>
    <n v="293"/>
    <n v="3"/>
    <x v="2"/>
    <s v="Übung"/>
    <n v="30"/>
    <n v="30"/>
    <n v="0"/>
    <x v="0"/>
    <x v="1"/>
  </r>
  <r>
    <n v="293"/>
    <n v="4"/>
    <x v="3"/>
    <s v="Übung"/>
    <n v="30"/>
    <n v="23"/>
    <n v="-0.23333333333333328"/>
    <x v="0"/>
    <x v="3"/>
  </r>
  <r>
    <n v="293"/>
    <n v="5"/>
    <x v="4"/>
    <s v="Übung"/>
    <n v="30"/>
    <n v="37"/>
    <n v="0.23333333333333339"/>
    <x v="0"/>
    <x v="2"/>
  </r>
  <r>
    <n v="293"/>
    <n v="6"/>
    <x v="5"/>
    <s v="Handout"/>
    <n v="5"/>
    <n v="3"/>
    <n v="-0.4"/>
    <x v="2"/>
    <x v="1"/>
  </r>
  <r>
    <n v="293"/>
    <n v="7"/>
    <x v="6"/>
    <s v="Quiz"/>
    <n v="10"/>
    <n v="10"/>
    <n v="0"/>
    <x v="0"/>
    <x v="2"/>
  </r>
  <r>
    <n v="293"/>
    <n v="8"/>
    <x v="7"/>
    <s v="Video"/>
    <n v="5"/>
    <n v="5"/>
    <n v="0"/>
    <x v="0"/>
    <x v="1"/>
  </r>
  <r>
    <n v="294"/>
    <n v="1"/>
    <x v="0"/>
    <s v="Video"/>
    <n v="4"/>
    <n v="4"/>
    <n v="0"/>
    <x v="0"/>
    <x v="0"/>
  </r>
  <r>
    <n v="294"/>
    <n v="2"/>
    <x v="1"/>
    <s v="Text"/>
    <n v="15"/>
    <n v="16"/>
    <n v="6.6666666666666652E-2"/>
    <x v="0"/>
    <x v="1"/>
  </r>
  <r>
    <n v="294"/>
    <n v="3"/>
    <x v="2"/>
    <s v="Übung"/>
    <n v="30"/>
    <n v="27"/>
    <n v="-9.9999999999999978E-2"/>
    <x v="0"/>
    <x v="1"/>
  </r>
  <r>
    <n v="294"/>
    <n v="4"/>
    <x v="3"/>
    <s v="Übung"/>
    <n v="30"/>
    <n v="29"/>
    <n v="-3.3333333333333326E-2"/>
    <x v="0"/>
    <x v="3"/>
  </r>
  <r>
    <n v="294"/>
    <n v="5"/>
    <x v="4"/>
    <s v="Übung"/>
    <n v="30"/>
    <n v="45"/>
    <n v="0.5"/>
    <x v="1"/>
    <x v="2"/>
  </r>
  <r>
    <n v="294"/>
    <n v="6"/>
    <x v="5"/>
    <s v="Handout"/>
    <n v="5"/>
    <n v="1"/>
    <n v="-0.8"/>
    <x v="2"/>
    <x v="1"/>
  </r>
  <r>
    <n v="294"/>
    <n v="7"/>
    <x v="6"/>
    <s v="Quiz"/>
    <n v="10"/>
    <n v="10"/>
    <n v="0"/>
    <x v="0"/>
    <x v="3"/>
  </r>
  <r>
    <n v="294"/>
    <n v="8"/>
    <x v="7"/>
    <s v="Video"/>
    <n v="5"/>
    <n v="5"/>
    <n v="0"/>
    <x v="0"/>
    <x v="0"/>
  </r>
  <r>
    <n v="295"/>
    <n v="1"/>
    <x v="0"/>
    <s v="Video"/>
    <n v="4"/>
    <n v="4"/>
    <n v="0"/>
    <x v="0"/>
    <x v="0"/>
  </r>
  <r>
    <n v="295"/>
    <n v="2"/>
    <x v="1"/>
    <s v="Text"/>
    <n v="15"/>
    <n v="18"/>
    <n v="0.19999999999999996"/>
    <x v="0"/>
    <x v="1"/>
  </r>
  <r>
    <n v="295"/>
    <n v="3"/>
    <x v="2"/>
    <s v="Übung"/>
    <n v="30"/>
    <n v="28"/>
    <n v="-6.6666666666666652E-2"/>
    <x v="0"/>
    <x v="3"/>
  </r>
  <r>
    <n v="295"/>
    <n v="4"/>
    <x v="3"/>
    <s v="Übung"/>
    <n v="30"/>
    <n v="32"/>
    <n v="6.6666666666666652E-2"/>
    <x v="0"/>
    <x v="3"/>
  </r>
  <r>
    <n v="295"/>
    <n v="5"/>
    <x v="4"/>
    <s v="Übung"/>
    <n v="30"/>
    <n v="45"/>
    <n v="0.5"/>
    <x v="1"/>
    <x v="2"/>
  </r>
  <r>
    <n v="295"/>
    <n v="6"/>
    <x v="5"/>
    <s v="Handout"/>
    <n v="5"/>
    <n v="1"/>
    <n v="-0.8"/>
    <x v="2"/>
    <x v="1"/>
  </r>
  <r>
    <n v="295"/>
    <n v="7"/>
    <x v="6"/>
    <s v="Quiz"/>
    <n v="10"/>
    <n v="9"/>
    <n v="-9.9999999999999978E-2"/>
    <x v="0"/>
    <x v="2"/>
  </r>
  <r>
    <n v="295"/>
    <n v="8"/>
    <x v="7"/>
    <s v="Video"/>
    <n v="5"/>
    <n v="5"/>
    <n v="0"/>
    <x v="0"/>
    <x v="0"/>
  </r>
  <r>
    <n v="296"/>
    <n v="1"/>
    <x v="0"/>
    <s v="Video"/>
    <n v="4"/>
    <n v="4"/>
    <n v="0"/>
    <x v="0"/>
    <x v="0"/>
  </r>
  <r>
    <n v="296"/>
    <n v="2"/>
    <x v="1"/>
    <s v="Text"/>
    <n v="15"/>
    <n v="18"/>
    <n v="0.19999999999999996"/>
    <x v="0"/>
    <x v="0"/>
  </r>
  <r>
    <n v="296"/>
    <n v="3"/>
    <x v="2"/>
    <s v="Übung"/>
    <n v="30"/>
    <n v="29"/>
    <n v="-3.3333333333333326E-2"/>
    <x v="0"/>
    <x v="1"/>
  </r>
  <r>
    <n v="296"/>
    <n v="4"/>
    <x v="3"/>
    <s v="Übung"/>
    <n v="30"/>
    <n v="23"/>
    <n v="-0.23333333333333328"/>
    <x v="0"/>
    <x v="1"/>
  </r>
  <r>
    <n v="296"/>
    <n v="5"/>
    <x v="4"/>
    <s v="Übung"/>
    <n v="30"/>
    <n v="38"/>
    <n v="0.26666666666666661"/>
    <x v="0"/>
    <x v="3"/>
  </r>
  <r>
    <n v="296"/>
    <n v="6"/>
    <x v="5"/>
    <s v="Handout"/>
    <n v="5"/>
    <n v="1"/>
    <n v="-0.8"/>
    <x v="2"/>
    <x v="0"/>
  </r>
  <r>
    <n v="296"/>
    <n v="7"/>
    <x v="6"/>
    <s v="Quiz"/>
    <n v="10"/>
    <n v="8"/>
    <n v="-0.19999999999999996"/>
    <x v="0"/>
    <x v="3"/>
  </r>
  <r>
    <n v="296"/>
    <n v="8"/>
    <x v="7"/>
    <s v="Video"/>
    <n v="5"/>
    <n v="5"/>
    <n v="0"/>
    <x v="0"/>
    <x v="0"/>
  </r>
  <r>
    <n v="298"/>
    <n v="1"/>
    <x v="0"/>
    <s v="Video"/>
    <n v="4"/>
    <n v="4"/>
    <n v="0"/>
    <x v="0"/>
    <x v="0"/>
  </r>
  <r>
    <n v="298"/>
    <n v="2"/>
    <x v="1"/>
    <s v="Text"/>
    <n v="15"/>
    <n v="19"/>
    <n v="0.26666666666666661"/>
    <x v="0"/>
    <x v="0"/>
  </r>
  <r>
    <n v="298"/>
    <n v="3"/>
    <x v="2"/>
    <s v="Übung"/>
    <n v="30"/>
    <n v="29"/>
    <n v="-3.3333333333333326E-2"/>
    <x v="0"/>
    <x v="3"/>
  </r>
  <r>
    <n v="298"/>
    <n v="4"/>
    <x v="3"/>
    <s v="Übung"/>
    <n v="30"/>
    <n v="21"/>
    <n v="-0.30000000000000004"/>
    <x v="0"/>
    <x v="1"/>
  </r>
  <r>
    <n v="298"/>
    <n v="5"/>
    <x v="4"/>
    <s v="Übung"/>
    <n v="30"/>
    <n v="42"/>
    <n v="0.39999999999999991"/>
    <x v="1"/>
    <x v="2"/>
  </r>
  <r>
    <n v="298"/>
    <n v="6"/>
    <x v="5"/>
    <s v="Handout"/>
    <n v="5"/>
    <n v="3"/>
    <n v="-0.4"/>
    <x v="2"/>
    <x v="1"/>
  </r>
  <r>
    <n v="298"/>
    <n v="7"/>
    <x v="6"/>
    <s v="Quiz"/>
    <n v="10"/>
    <n v="8"/>
    <n v="-0.19999999999999996"/>
    <x v="0"/>
    <x v="2"/>
  </r>
  <r>
    <n v="298"/>
    <n v="8"/>
    <x v="7"/>
    <s v="Video"/>
    <n v="5"/>
    <n v="5"/>
    <n v="0"/>
    <x v="0"/>
    <x v="0"/>
  </r>
  <r>
    <n v="299"/>
    <n v="1"/>
    <x v="0"/>
    <s v="Video"/>
    <n v="4"/>
    <n v="6"/>
    <n v="0.5"/>
    <x v="1"/>
    <x v="0"/>
  </r>
  <r>
    <n v="299"/>
    <n v="2"/>
    <x v="1"/>
    <s v="Text"/>
    <n v="15"/>
    <n v="18"/>
    <n v="0.19999999999999996"/>
    <x v="0"/>
    <x v="1"/>
  </r>
  <r>
    <n v="299"/>
    <n v="3"/>
    <x v="2"/>
    <s v="Übung"/>
    <n v="30"/>
    <n v="29"/>
    <n v="-3.3333333333333326E-2"/>
    <x v="0"/>
    <x v="3"/>
  </r>
  <r>
    <n v="299"/>
    <n v="4"/>
    <x v="3"/>
    <s v="Übung"/>
    <n v="30"/>
    <n v="34"/>
    <n v="0.1333333333333333"/>
    <x v="0"/>
    <x v="1"/>
  </r>
  <r>
    <n v="299"/>
    <n v="5"/>
    <x v="4"/>
    <s v="Übung"/>
    <n v="30"/>
    <n v="43"/>
    <n v="0.43333333333333335"/>
    <x v="1"/>
    <x v="2"/>
  </r>
  <r>
    <n v="299"/>
    <n v="6"/>
    <x v="5"/>
    <s v="Handout"/>
    <n v="5"/>
    <n v="1"/>
    <n v="-0.8"/>
    <x v="2"/>
    <x v="3"/>
  </r>
  <r>
    <n v="299"/>
    <n v="7"/>
    <x v="6"/>
    <s v="Quiz"/>
    <n v="10"/>
    <n v="10"/>
    <n v="0"/>
    <x v="0"/>
    <x v="2"/>
  </r>
  <r>
    <n v="299"/>
    <n v="8"/>
    <x v="7"/>
    <s v="Video"/>
    <n v="5"/>
    <n v="5"/>
    <n v="0"/>
    <x v="0"/>
    <x v="0"/>
  </r>
  <r>
    <n v="300"/>
    <n v="1"/>
    <x v="0"/>
    <s v="Video"/>
    <n v="4"/>
    <n v="4"/>
    <n v="0"/>
    <x v="0"/>
    <x v="0"/>
  </r>
  <r>
    <n v="300"/>
    <n v="2"/>
    <x v="1"/>
    <s v="Text"/>
    <n v="15"/>
    <n v="19"/>
    <n v="0.26666666666666661"/>
    <x v="0"/>
    <x v="0"/>
  </r>
  <r>
    <n v="300"/>
    <n v="3"/>
    <x v="2"/>
    <s v="Übung"/>
    <n v="30"/>
    <n v="25"/>
    <n v="-0.16666666666666663"/>
    <x v="0"/>
    <x v="3"/>
  </r>
  <r>
    <n v="300"/>
    <n v="4"/>
    <x v="3"/>
    <s v="Übung"/>
    <n v="30"/>
    <n v="23"/>
    <n v="-0.23333333333333328"/>
    <x v="0"/>
    <x v="1"/>
  </r>
  <r>
    <n v="300"/>
    <n v="5"/>
    <x v="4"/>
    <s v="Übung"/>
    <n v="30"/>
    <n v="49"/>
    <n v="0.6333333333333333"/>
    <x v="3"/>
    <x v="3"/>
  </r>
  <r>
    <n v="300"/>
    <n v="6"/>
    <x v="5"/>
    <s v="Handout"/>
    <n v="5"/>
    <n v="1"/>
    <n v="-0.8"/>
    <x v="2"/>
    <x v="1"/>
  </r>
  <r>
    <n v="300"/>
    <n v="7"/>
    <x v="6"/>
    <s v="Quiz"/>
    <n v="10"/>
    <n v="10"/>
    <n v="0"/>
    <x v="0"/>
    <x v="3"/>
  </r>
  <r>
    <n v="300"/>
    <n v="8"/>
    <x v="7"/>
    <s v="Video"/>
    <n v="5"/>
    <n v="5"/>
    <n v="0"/>
    <x v="0"/>
    <x v="0"/>
  </r>
  <r>
    <n v="301"/>
    <n v="1"/>
    <x v="0"/>
    <s v="Video"/>
    <n v="4"/>
    <n v="4"/>
    <n v="0"/>
    <x v="0"/>
    <x v="1"/>
  </r>
  <r>
    <n v="301"/>
    <n v="2"/>
    <x v="1"/>
    <s v="Text"/>
    <n v="15"/>
    <n v="17"/>
    <n v="0.1333333333333333"/>
    <x v="0"/>
    <x v="1"/>
  </r>
  <r>
    <n v="301"/>
    <n v="3"/>
    <x v="2"/>
    <s v="Übung"/>
    <n v="30"/>
    <n v="29"/>
    <n v="-3.3333333333333326E-2"/>
    <x v="0"/>
    <x v="3"/>
  </r>
  <r>
    <n v="301"/>
    <n v="4"/>
    <x v="3"/>
    <s v="Übung"/>
    <n v="30"/>
    <n v="32"/>
    <n v="6.6666666666666652E-2"/>
    <x v="0"/>
    <x v="3"/>
  </r>
  <r>
    <n v="301"/>
    <n v="5"/>
    <x v="4"/>
    <s v="Übung"/>
    <n v="30"/>
    <n v="46"/>
    <n v="0.53333333333333344"/>
    <x v="1"/>
    <x v="2"/>
  </r>
  <r>
    <n v="301"/>
    <n v="6"/>
    <x v="5"/>
    <s v="Handout"/>
    <n v="5"/>
    <n v="3"/>
    <n v="-0.4"/>
    <x v="2"/>
    <x v="1"/>
  </r>
  <r>
    <n v="301"/>
    <n v="7"/>
    <x v="6"/>
    <s v="Quiz"/>
    <n v="10"/>
    <n v="10"/>
    <n v="0"/>
    <x v="0"/>
    <x v="2"/>
  </r>
  <r>
    <n v="301"/>
    <n v="8"/>
    <x v="7"/>
    <s v="Video"/>
    <n v="5"/>
    <n v="6"/>
    <n v="0.19999999999999996"/>
    <x v="0"/>
    <x v="0"/>
  </r>
  <r>
    <n v="303"/>
    <n v="1"/>
    <x v="0"/>
    <s v="Video"/>
    <n v="4"/>
    <n v="4"/>
    <n v="0"/>
    <x v="0"/>
    <x v="0"/>
  </r>
  <r>
    <n v="303"/>
    <n v="2"/>
    <x v="1"/>
    <s v="Text"/>
    <n v="15"/>
    <n v="19"/>
    <n v="0.26666666666666661"/>
    <x v="0"/>
    <x v="3"/>
  </r>
  <r>
    <n v="303"/>
    <n v="3"/>
    <x v="2"/>
    <s v="Übung"/>
    <n v="30"/>
    <n v="29"/>
    <n v="-3.3333333333333326E-2"/>
    <x v="0"/>
    <x v="1"/>
  </r>
  <r>
    <n v="303"/>
    <n v="4"/>
    <x v="3"/>
    <s v="Übung"/>
    <n v="30"/>
    <n v="36"/>
    <n v="0.19999999999999996"/>
    <x v="0"/>
    <x v="2"/>
  </r>
  <r>
    <n v="303"/>
    <n v="5"/>
    <x v="4"/>
    <s v="Übung"/>
    <n v="30"/>
    <n v="53"/>
    <n v="0.76666666666666661"/>
    <x v="3"/>
    <x v="2"/>
  </r>
  <r>
    <n v="303"/>
    <n v="6"/>
    <x v="5"/>
    <s v="Handout"/>
    <n v="5"/>
    <n v="1"/>
    <n v="-0.8"/>
    <x v="2"/>
    <x v="1"/>
  </r>
  <r>
    <n v="303"/>
    <n v="7"/>
    <x v="6"/>
    <s v="Quiz"/>
    <n v="10"/>
    <n v="11"/>
    <n v="0.10000000000000009"/>
    <x v="0"/>
    <x v="3"/>
  </r>
  <r>
    <n v="303"/>
    <n v="8"/>
    <x v="7"/>
    <s v="Video"/>
    <n v="5"/>
    <n v="5"/>
    <n v="0"/>
    <x v="0"/>
    <x v="0"/>
  </r>
  <r>
    <n v="304"/>
    <n v="1"/>
    <x v="0"/>
    <s v="Video"/>
    <n v="4"/>
    <n v="5"/>
    <n v="0.25"/>
    <x v="0"/>
    <x v="0"/>
  </r>
  <r>
    <n v="304"/>
    <n v="2"/>
    <x v="1"/>
    <s v="Text"/>
    <n v="15"/>
    <n v="19"/>
    <n v="0.26666666666666661"/>
    <x v="0"/>
    <x v="0"/>
  </r>
  <r>
    <n v="304"/>
    <n v="3"/>
    <x v="2"/>
    <s v="Übung"/>
    <n v="30"/>
    <n v="27"/>
    <n v="-9.9999999999999978E-2"/>
    <x v="0"/>
    <x v="3"/>
  </r>
  <r>
    <n v="304"/>
    <n v="4"/>
    <x v="3"/>
    <s v="Übung"/>
    <n v="30"/>
    <n v="24"/>
    <n v="-0.19999999999999996"/>
    <x v="0"/>
    <x v="3"/>
  </r>
  <r>
    <n v="304"/>
    <n v="5"/>
    <x v="4"/>
    <s v="Übung"/>
    <n v="30"/>
    <n v="48"/>
    <n v="0.60000000000000009"/>
    <x v="1"/>
    <x v="2"/>
  </r>
  <r>
    <n v="304"/>
    <n v="6"/>
    <x v="5"/>
    <s v="Handout"/>
    <n v="5"/>
    <n v="1"/>
    <n v="-0.8"/>
    <x v="2"/>
    <x v="1"/>
  </r>
  <r>
    <n v="304"/>
    <n v="7"/>
    <x v="6"/>
    <s v="Quiz"/>
    <n v="10"/>
    <n v="10"/>
    <n v="0"/>
    <x v="0"/>
    <x v="3"/>
  </r>
  <r>
    <n v="304"/>
    <n v="8"/>
    <x v="7"/>
    <s v="Video"/>
    <n v="5"/>
    <n v="7"/>
    <n v="0.39999999999999991"/>
    <x v="1"/>
    <x v="0"/>
  </r>
  <r>
    <n v="305"/>
    <n v="1"/>
    <x v="0"/>
    <s v="Video"/>
    <n v="4"/>
    <n v="4"/>
    <n v="0"/>
    <x v="0"/>
    <x v="0"/>
  </r>
  <r>
    <n v="305"/>
    <n v="2"/>
    <x v="1"/>
    <s v="Text"/>
    <n v="15"/>
    <n v="22"/>
    <n v="0.46666666666666656"/>
    <x v="1"/>
    <x v="0"/>
  </r>
  <r>
    <n v="305"/>
    <n v="3"/>
    <x v="2"/>
    <s v="Übung"/>
    <n v="30"/>
    <n v="28"/>
    <n v="-6.6666666666666652E-2"/>
    <x v="0"/>
    <x v="1"/>
  </r>
  <r>
    <n v="305"/>
    <n v="4"/>
    <x v="3"/>
    <s v="Übung"/>
    <n v="30"/>
    <n v="20"/>
    <n v="-0.33333333333333337"/>
    <x v="2"/>
    <x v="2"/>
  </r>
  <r>
    <n v="305"/>
    <n v="5"/>
    <x v="4"/>
    <s v="Übung"/>
    <n v="30"/>
    <n v="42"/>
    <n v="0.39999999999999991"/>
    <x v="1"/>
    <x v="2"/>
  </r>
  <r>
    <n v="305"/>
    <n v="6"/>
    <x v="5"/>
    <s v="Handout"/>
    <n v="5"/>
    <n v="1"/>
    <n v="-0.8"/>
    <x v="2"/>
    <x v="3"/>
  </r>
  <r>
    <n v="305"/>
    <n v="7"/>
    <x v="6"/>
    <s v="Quiz"/>
    <n v="10"/>
    <n v="10"/>
    <n v="0"/>
    <x v="0"/>
    <x v="2"/>
  </r>
  <r>
    <n v="305"/>
    <n v="8"/>
    <x v="7"/>
    <s v="Video"/>
    <n v="5"/>
    <n v="5"/>
    <n v="0"/>
    <x v="0"/>
    <x v="0"/>
  </r>
  <r>
    <n v="307"/>
    <n v="1"/>
    <x v="0"/>
    <s v="Video"/>
    <n v="4"/>
    <n v="4"/>
    <n v="0"/>
    <x v="0"/>
    <x v="0"/>
  </r>
  <r>
    <n v="307"/>
    <n v="2"/>
    <x v="1"/>
    <s v="Text"/>
    <n v="15"/>
    <n v="17"/>
    <n v="0.1333333333333333"/>
    <x v="0"/>
    <x v="1"/>
  </r>
  <r>
    <n v="307"/>
    <n v="3"/>
    <x v="2"/>
    <s v="Übung"/>
    <n v="30"/>
    <n v="30"/>
    <n v="0"/>
    <x v="0"/>
    <x v="1"/>
  </r>
  <r>
    <n v="307"/>
    <n v="4"/>
    <x v="3"/>
    <s v="Übung"/>
    <n v="30"/>
    <n v="25"/>
    <n v="-0.16666666666666663"/>
    <x v="0"/>
    <x v="3"/>
  </r>
  <r>
    <n v="307"/>
    <n v="5"/>
    <x v="4"/>
    <s v="Übung"/>
    <n v="30"/>
    <n v="47"/>
    <n v="0.56666666666666665"/>
    <x v="1"/>
    <x v="2"/>
  </r>
  <r>
    <n v="307"/>
    <n v="6"/>
    <x v="5"/>
    <s v="Handout"/>
    <n v="5"/>
    <n v="1"/>
    <n v="-0.8"/>
    <x v="2"/>
    <x v="1"/>
  </r>
  <r>
    <n v="307"/>
    <n v="7"/>
    <x v="6"/>
    <s v="Quiz"/>
    <n v="10"/>
    <n v="11"/>
    <n v="0.10000000000000009"/>
    <x v="0"/>
    <x v="3"/>
  </r>
  <r>
    <n v="307"/>
    <n v="8"/>
    <x v="7"/>
    <s v="Video"/>
    <n v="5"/>
    <n v="6"/>
    <n v="0.19999999999999996"/>
    <x v="0"/>
    <x v="0"/>
  </r>
  <r>
    <n v="309"/>
    <n v="1"/>
    <x v="0"/>
    <s v="Video"/>
    <n v="4"/>
    <n v="4"/>
    <n v="0"/>
    <x v="0"/>
    <x v="0"/>
  </r>
  <r>
    <n v="309"/>
    <n v="2"/>
    <x v="1"/>
    <s v="Text"/>
    <n v="15"/>
    <n v="17"/>
    <n v="0.1333333333333333"/>
    <x v="0"/>
    <x v="0"/>
  </r>
  <r>
    <n v="309"/>
    <n v="3"/>
    <x v="2"/>
    <s v="Übung"/>
    <n v="30"/>
    <n v="29"/>
    <n v="-3.3333333333333326E-2"/>
    <x v="0"/>
    <x v="1"/>
  </r>
  <r>
    <n v="309"/>
    <n v="4"/>
    <x v="3"/>
    <s v="Übung"/>
    <n v="30"/>
    <n v="26"/>
    <n v="-0.1333333333333333"/>
    <x v="0"/>
    <x v="3"/>
  </r>
  <r>
    <n v="309"/>
    <n v="5"/>
    <x v="4"/>
    <s v="Übung"/>
    <n v="30"/>
    <n v="39"/>
    <n v="0.30000000000000004"/>
    <x v="0"/>
    <x v="2"/>
  </r>
  <r>
    <n v="309"/>
    <n v="6"/>
    <x v="5"/>
    <s v="Handout"/>
    <n v="5"/>
    <n v="2"/>
    <n v="-0.6"/>
    <x v="2"/>
    <x v="1"/>
  </r>
  <r>
    <n v="309"/>
    <n v="7"/>
    <x v="6"/>
    <s v="Quiz"/>
    <n v="10"/>
    <n v="9"/>
    <n v="-9.9999999999999978E-2"/>
    <x v="0"/>
    <x v="3"/>
  </r>
  <r>
    <n v="309"/>
    <n v="8"/>
    <x v="7"/>
    <s v="Video"/>
    <n v="5"/>
    <n v="5"/>
    <n v="0"/>
    <x v="0"/>
    <x v="0"/>
  </r>
  <r>
    <n v="310"/>
    <n v="1"/>
    <x v="0"/>
    <s v="Video"/>
    <n v="4"/>
    <n v="4"/>
    <n v="0"/>
    <x v="0"/>
    <x v="0"/>
  </r>
  <r>
    <n v="310"/>
    <n v="2"/>
    <x v="1"/>
    <s v="Text"/>
    <n v="15"/>
    <n v="20"/>
    <n v="0.33333333333333326"/>
    <x v="1"/>
    <x v="1"/>
  </r>
  <r>
    <n v="310"/>
    <n v="3"/>
    <x v="2"/>
    <s v="Übung"/>
    <n v="30"/>
    <n v="29"/>
    <n v="-3.3333333333333326E-2"/>
    <x v="0"/>
    <x v="3"/>
  </r>
  <r>
    <n v="310"/>
    <n v="4"/>
    <x v="3"/>
    <s v="Übung"/>
    <n v="30"/>
    <n v="32"/>
    <n v="6.6666666666666652E-2"/>
    <x v="0"/>
    <x v="3"/>
  </r>
  <r>
    <n v="310"/>
    <n v="5"/>
    <x v="4"/>
    <s v="Übung"/>
    <n v="30"/>
    <n v="39"/>
    <n v="0.30000000000000004"/>
    <x v="0"/>
    <x v="2"/>
  </r>
  <r>
    <n v="310"/>
    <n v="6"/>
    <x v="5"/>
    <s v="Handout"/>
    <n v="5"/>
    <n v="1"/>
    <n v="-0.8"/>
    <x v="2"/>
    <x v="1"/>
  </r>
  <r>
    <n v="310"/>
    <n v="7"/>
    <x v="6"/>
    <s v="Quiz"/>
    <n v="10"/>
    <n v="10"/>
    <n v="0"/>
    <x v="0"/>
    <x v="2"/>
  </r>
  <r>
    <n v="310"/>
    <n v="8"/>
    <x v="7"/>
    <s v="Video"/>
    <n v="5"/>
    <n v="5"/>
    <n v="0"/>
    <x v="0"/>
    <x v="0"/>
  </r>
  <r>
    <n v="313"/>
    <n v="1"/>
    <x v="0"/>
    <s v="Video"/>
    <n v="4"/>
    <n v="4"/>
    <n v="0"/>
    <x v="0"/>
    <x v="0"/>
  </r>
  <r>
    <n v="313"/>
    <n v="2"/>
    <x v="1"/>
    <s v="Text"/>
    <n v="15"/>
    <n v="17"/>
    <n v="0.1333333333333333"/>
    <x v="0"/>
    <x v="0"/>
  </r>
  <r>
    <n v="313"/>
    <n v="3"/>
    <x v="2"/>
    <s v="Übung"/>
    <n v="30"/>
    <n v="28"/>
    <n v="-6.6666666666666652E-2"/>
    <x v="0"/>
    <x v="1"/>
  </r>
  <r>
    <n v="313"/>
    <n v="4"/>
    <x v="3"/>
    <s v="Übung"/>
    <n v="30"/>
    <n v="21"/>
    <n v="-0.30000000000000004"/>
    <x v="0"/>
    <x v="3"/>
  </r>
  <r>
    <n v="313"/>
    <n v="5"/>
    <x v="4"/>
    <s v="Übung"/>
    <n v="30"/>
    <n v="40"/>
    <n v="0.33333333333333326"/>
    <x v="1"/>
    <x v="3"/>
  </r>
  <r>
    <n v="313"/>
    <n v="6"/>
    <x v="5"/>
    <s v="Handout"/>
    <n v="5"/>
    <n v="3"/>
    <n v="-0.4"/>
    <x v="2"/>
    <x v="1"/>
  </r>
  <r>
    <n v="313"/>
    <n v="7"/>
    <x v="6"/>
    <s v="Quiz"/>
    <n v="10"/>
    <n v="9"/>
    <n v="-9.9999999999999978E-2"/>
    <x v="0"/>
    <x v="3"/>
  </r>
  <r>
    <n v="313"/>
    <n v="8"/>
    <x v="7"/>
    <s v="Video"/>
    <n v="5"/>
    <n v="5"/>
    <n v="0"/>
    <x v="0"/>
    <x v="0"/>
  </r>
  <r>
    <n v="314"/>
    <n v="1"/>
    <x v="0"/>
    <s v="Video"/>
    <n v="4"/>
    <n v="7"/>
    <n v="0.75"/>
    <x v="3"/>
    <x v="0"/>
  </r>
  <r>
    <n v="314"/>
    <n v="2"/>
    <x v="1"/>
    <s v="Text"/>
    <n v="15"/>
    <n v="18"/>
    <n v="0.19999999999999996"/>
    <x v="0"/>
    <x v="0"/>
  </r>
  <r>
    <n v="314"/>
    <n v="3"/>
    <x v="2"/>
    <s v="Übung"/>
    <n v="30"/>
    <n v="30"/>
    <n v="0"/>
    <x v="0"/>
    <x v="1"/>
  </r>
  <r>
    <n v="314"/>
    <n v="4"/>
    <x v="3"/>
    <s v="Übung"/>
    <n v="30"/>
    <n v="26"/>
    <n v="-0.1333333333333333"/>
    <x v="0"/>
    <x v="3"/>
  </r>
  <r>
    <n v="314"/>
    <n v="5"/>
    <x v="4"/>
    <s v="Übung"/>
    <n v="30"/>
    <n v="43"/>
    <n v="0.43333333333333335"/>
    <x v="1"/>
    <x v="2"/>
  </r>
  <r>
    <n v="314"/>
    <n v="6"/>
    <x v="5"/>
    <s v="Handout"/>
    <n v="5"/>
    <n v="1"/>
    <n v="-0.8"/>
    <x v="2"/>
    <x v="1"/>
  </r>
  <r>
    <n v="314"/>
    <n v="7"/>
    <x v="6"/>
    <s v="Quiz"/>
    <n v="10"/>
    <n v="8"/>
    <n v="-0.19999999999999996"/>
    <x v="0"/>
    <x v="3"/>
  </r>
  <r>
    <n v="314"/>
    <n v="8"/>
    <x v="7"/>
    <s v="Video"/>
    <n v="5"/>
    <n v="7"/>
    <n v="0.39999999999999991"/>
    <x v="1"/>
    <x v="0"/>
  </r>
  <r>
    <n v="315"/>
    <n v="1"/>
    <x v="0"/>
    <s v="Video"/>
    <n v="4"/>
    <n v="7"/>
    <n v="0.75"/>
    <x v="3"/>
    <x v="0"/>
  </r>
  <r>
    <n v="315"/>
    <n v="2"/>
    <x v="1"/>
    <s v="Text"/>
    <n v="15"/>
    <n v="18"/>
    <n v="0.19999999999999996"/>
    <x v="0"/>
    <x v="1"/>
  </r>
  <r>
    <n v="315"/>
    <n v="3"/>
    <x v="2"/>
    <s v="Übung"/>
    <n v="30"/>
    <n v="29"/>
    <n v="-3.3333333333333326E-2"/>
    <x v="0"/>
    <x v="3"/>
  </r>
  <r>
    <n v="315"/>
    <n v="4"/>
    <x v="3"/>
    <s v="Übung"/>
    <n v="30"/>
    <n v="32"/>
    <n v="6.6666666666666652E-2"/>
    <x v="0"/>
    <x v="3"/>
  </r>
  <r>
    <n v="315"/>
    <n v="5"/>
    <x v="4"/>
    <s v="Übung"/>
    <n v="30"/>
    <n v="50"/>
    <n v="0.66666666666666674"/>
    <x v="3"/>
    <x v="2"/>
  </r>
  <r>
    <n v="315"/>
    <n v="6"/>
    <x v="5"/>
    <s v="Handout"/>
    <n v="5"/>
    <n v="1"/>
    <n v="-0.8"/>
    <x v="2"/>
    <x v="1"/>
  </r>
  <r>
    <n v="315"/>
    <n v="7"/>
    <x v="6"/>
    <s v="Quiz"/>
    <n v="10"/>
    <n v="9"/>
    <n v="-9.9999999999999978E-2"/>
    <x v="0"/>
    <x v="3"/>
  </r>
  <r>
    <n v="315"/>
    <n v="8"/>
    <x v="7"/>
    <s v="Video"/>
    <n v="5"/>
    <n v="5"/>
    <n v="0"/>
    <x v="0"/>
    <x v="0"/>
  </r>
  <r>
    <n v="316"/>
    <n v="1"/>
    <x v="0"/>
    <s v="Video"/>
    <n v="4"/>
    <n v="4"/>
    <n v="0"/>
    <x v="0"/>
    <x v="0"/>
  </r>
  <r>
    <n v="316"/>
    <n v="2"/>
    <x v="1"/>
    <s v="Text"/>
    <n v="15"/>
    <n v="17"/>
    <n v="0.1333333333333333"/>
    <x v="0"/>
    <x v="3"/>
  </r>
  <r>
    <n v="316"/>
    <n v="3"/>
    <x v="2"/>
    <s v="Übung"/>
    <n v="30"/>
    <n v="28"/>
    <n v="-6.6666666666666652E-2"/>
    <x v="0"/>
    <x v="1"/>
  </r>
  <r>
    <n v="316"/>
    <n v="4"/>
    <x v="3"/>
    <s v="Übung"/>
    <n v="30"/>
    <n v="28"/>
    <n v="-6.6666666666666652E-2"/>
    <x v="0"/>
    <x v="3"/>
  </r>
  <r>
    <n v="316"/>
    <n v="5"/>
    <x v="4"/>
    <s v="Übung"/>
    <n v="30"/>
    <n v="31"/>
    <n v="3.3333333333333437E-2"/>
    <x v="0"/>
    <x v="4"/>
  </r>
  <r>
    <n v="316"/>
    <n v="6"/>
    <x v="5"/>
    <s v="Handout"/>
    <n v="5"/>
    <n v="1"/>
    <n v="-0.8"/>
    <x v="2"/>
    <x v="1"/>
  </r>
  <r>
    <n v="316"/>
    <n v="7"/>
    <x v="6"/>
    <s v="Quiz"/>
    <n v="10"/>
    <n v="10"/>
    <n v="0"/>
    <x v="0"/>
    <x v="3"/>
  </r>
  <r>
    <n v="316"/>
    <n v="8"/>
    <x v="7"/>
    <s v="Video"/>
    <n v="5"/>
    <n v="5"/>
    <n v="0"/>
    <x v="0"/>
    <x v="0"/>
  </r>
  <r>
    <n v="317"/>
    <n v="1"/>
    <x v="0"/>
    <s v="Video"/>
    <n v="4"/>
    <n v="4"/>
    <n v="0"/>
    <x v="0"/>
    <x v="0"/>
  </r>
  <r>
    <n v="317"/>
    <n v="2"/>
    <x v="1"/>
    <s v="Text"/>
    <n v="15"/>
    <n v="21"/>
    <n v="0.39999999999999991"/>
    <x v="1"/>
    <x v="1"/>
  </r>
  <r>
    <n v="317"/>
    <n v="3"/>
    <x v="2"/>
    <s v="Übung"/>
    <n v="30"/>
    <n v="30"/>
    <n v="0"/>
    <x v="0"/>
    <x v="1"/>
  </r>
  <r>
    <n v="317"/>
    <n v="4"/>
    <x v="3"/>
    <s v="Übung"/>
    <n v="30"/>
    <n v="24"/>
    <n v="-0.19999999999999996"/>
    <x v="0"/>
    <x v="3"/>
  </r>
  <r>
    <n v="317"/>
    <n v="5"/>
    <x v="4"/>
    <s v="Übung"/>
    <n v="30"/>
    <n v="46"/>
    <n v="0.53333333333333344"/>
    <x v="1"/>
    <x v="3"/>
  </r>
  <r>
    <n v="317"/>
    <n v="6"/>
    <x v="5"/>
    <s v="Handout"/>
    <n v="5"/>
    <n v="3"/>
    <n v="-0.4"/>
    <x v="2"/>
    <x v="3"/>
  </r>
  <r>
    <n v="317"/>
    <n v="7"/>
    <x v="6"/>
    <s v="Quiz"/>
    <n v="10"/>
    <n v="10"/>
    <n v="0"/>
    <x v="0"/>
    <x v="3"/>
  </r>
  <r>
    <n v="317"/>
    <n v="8"/>
    <x v="7"/>
    <s v="Video"/>
    <n v="5"/>
    <n v="6"/>
    <n v="0.19999999999999996"/>
    <x v="0"/>
    <x v="1"/>
  </r>
  <r>
    <n v="318"/>
    <n v="1"/>
    <x v="0"/>
    <s v="Video"/>
    <n v="4"/>
    <n v="4"/>
    <n v="0"/>
    <x v="0"/>
    <x v="0"/>
  </r>
  <r>
    <n v="318"/>
    <n v="2"/>
    <x v="1"/>
    <s v="Text"/>
    <n v="15"/>
    <n v="19"/>
    <n v="0.26666666666666661"/>
    <x v="0"/>
    <x v="1"/>
  </r>
  <r>
    <n v="318"/>
    <n v="3"/>
    <x v="2"/>
    <s v="Übung"/>
    <n v="30"/>
    <n v="28"/>
    <n v="-6.6666666666666652E-2"/>
    <x v="0"/>
    <x v="1"/>
  </r>
  <r>
    <n v="318"/>
    <n v="4"/>
    <x v="3"/>
    <s v="Übung"/>
    <n v="30"/>
    <n v="21"/>
    <n v="-0.30000000000000004"/>
    <x v="0"/>
    <x v="3"/>
  </r>
  <r>
    <n v="318"/>
    <n v="5"/>
    <x v="4"/>
    <s v="Übung"/>
    <n v="30"/>
    <n v="44"/>
    <n v="0.46666666666666656"/>
    <x v="1"/>
    <x v="2"/>
  </r>
  <r>
    <n v="318"/>
    <n v="6"/>
    <x v="5"/>
    <s v="Handout"/>
    <n v="5"/>
    <n v="1"/>
    <n v="-0.8"/>
    <x v="2"/>
    <x v="0"/>
  </r>
  <r>
    <n v="318"/>
    <n v="7"/>
    <x v="6"/>
    <s v="Quiz"/>
    <n v="10"/>
    <n v="8"/>
    <n v="-0.19999999999999996"/>
    <x v="0"/>
    <x v="3"/>
  </r>
  <r>
    <n v="318"/>
    <n v="8"/>
    <x v="7"/>
    <s v="Video"/>
    <n v="5"/>
    <n v="5"/>
    <n v="0"/>
    <x v="0"/>
    <x v="0"/>
  </r>
  <r>
    <n v="319"/>
    <n v="1"/>
    <x v="0"/>
    <s v="Video"/>
    <n v="4"/>
    <n v="4"/>
    <n v="0"/>
    <x v="0"/>
    <x v="0"/>
  </r>
  <r>
    <n v="319"/>
    <n v="2"/>
    <x v="1"/>
    <s v="Text"/>
    <n v="15"/>
    <n v="17"/>
    <n v="0.1333333333333333"/>
    <x v="0"/>
    <x v="0"/>
  </r>
  <r>
    <n v="319"/>
    <n v="3"/>
    <x v="2"/>
    <s v="Übung"/>
    <n v="30"/>
    <n v="30"/>
    <n v="0"/>
    <x v="0"/>
    <x v="3"/>
  </r>
  <r>
    <n v="319"/>
    <n v="4"/>
    <x v="3"/>
    <s v="Übung"/>
    <n v="30"/>
    <n v="27"/>
    <n v="-9.9999999999999978E-2"/>
    <x v="0"/>
    <x v="1"/>
  </r>
  <r>
    <n v="319"/>
    <n v="5"/>
    <x v="4"/>
    <s v="Übung"/>
    <n v="30"/>
    <n v="46"/>
    <n v="0.53333333333333344"/>
    <x v="1"/>
    <x v="2"/>
  </r>
  <r>
    <n v="319"/>
    <n v="6"/>
    <x v="5"/>
    <s v="Handout"/>
    <n v="5"/>
    <n v="1"/>
    <n v="-0.8"/>
    <x v="2"/>
    <x v="1"/>
  </r>
  <r>
    <n v="319"/>
    <n v="7"/>
    <x v="6"/>
    <s v="Quiz"/>
    <n v="10"/>
    <n v="9"/>
    <n v="-9.9999999999999978E-2"/>
    <x v="0"/>
    <x v="2"/>
  </r>
  <r>
    <n v="319"/>
    <n v="8"/>
    <x v="7"/>
    <s v="Video"/>
    <n v="5"/>
    <n v="5"/>
    <n v="0"/>
    <x v="0"/>
    <x v="0"/>
  </r>
  <r>
    <n v="320"/>
    <n v="1"/>
    <x v="0"/>
    <s v="Video"/>
    <n v="4"/>
    <n v="4"/>
    <n v="0"/>
    <x v="0"/>
    <x v="0"/>
  </r>
  <r>
    <n v="320"/>
    <n v="2"/>
    <x v="1"/>
    <s v="Text"/>
    <n v="15"/>
    <n v="20"/>
    <n v="0.33333333333333326"/>
    <x v="1"/>
    <x v="0"/>
  </r>
  <r>
    <n v="320"/>
    <n v="3"/>
    <x v="2"/>
    <s v="Übung"/>
    <n v="30"/>
    <n v="30"/>
    <n v="0"/>
    <x v="0"/>
    <x v="1"/>
  </r>
  <r>
    <n v="320"/>
    <n v="4"/>
    <x v="3"/>
    <s v="Übung"/>
    <n v="30"/>
    <n v="21"/>
    <n v="-0.30000000000000004"/>
    <x v="0"/>
    <x v="3"/>
  </r>
  <r>
    <n v="320"/>
    <n v="5"/>
    <x v="4"/>
    <s v="Übung"/>
    <n v="30"/>
    <n v="43"/>
    <n v="0.43333333333333335"/>
    <x v="1"/>
    <x v="2"/>
  </r>
  <r>
    <n v="320"/>
    <n v="6"/>
    <x v="5"/>
    <s v="Handout"/>
    <n v="5"/>
    <n v="2"/>
    <n v="-0.6"/>
    <x v="2"/>
    <x v="3"/>
  </r>
  <r>
    <n v="320"/>
    <n v="7"/>
    <x v="6"/>
    <s v="Quiz"/>
    <n v="10"/>
    <n v="11"/>
    <n v="0.10000000000000009"/>
    <x v="0"/>
    <x v="3"/>
  </r>
  <r>
    <n v="320"/>
    <n v="8"/>
    <x v="7"/>
    <s v="Video"/>
    <n v="5"/>
    <n v="5"/>
    <n v="0"/>
    <x v="0"/>
    <x v="1"/>
  </r>
  <r>
    <n v="321"/>
    <n v="1"/>
    <x v="0"/>
    <s v="Video"/>
    <n v="4"/>
    <n v="4"/>
    <n v="0"/>
    <x v="0"/>
    <x v="0"/>
  </r>
  <r>
    <n v="321"/>
    <n v="2"/>
    <x v="1"/>
    <s v="Text"/>
    <n v="15"/>
    <n v="16"/>
    <n v="6.6666666666666652E-2"/>
    <x v="0"/>
    <x v="0"/>
  </r>
  <r>
    <n v="321"/>
    <n v="3"/>
    <x v="2"/>
    <s v="Übung"/>
    <n v="30"/>
    <n v="29"/>
    <n v="-3.3333333333333326E-2"/>
    <x v="0"/>
    <x v="3"/>
  </r>
  <r>
    <n v="321"/>
    <n v="4"/>
    <x v="3"/>
    <s v="Übung"/>
    <n v="30"/>
    <n v="34"/>
    <n v="0.1333333333333333"/>
    <x v="0"/>
    <x v="3"/>
  </r>
  <r>
    <n v="321"/>
    <n v="5"/>
    <x v="4"/>
    <s v="Übung"/>
    <n v="30"/>
    <n v="48"/>
    <n v="0.60000000000000009"/>
    <x v="1"/>
    <x v="2"/>
  </r>
  <r>
    <n v="321"/>
    <n v="6"/>
    <x v="5"/>
    <s v="Handout"/>
    <n v="5"/>
    <n v="1"/>
    <n v="-0.8"/>
    <x v="2"/>
    <x v="1"/>
  </r>
  <r>
    <n v="321"/>
    <n v="7"/>
    <x v="6"/>
    <s v="Quiz"/>
    <n v="10"/>
    <n v="9"/>
    <n v="-9.9999999999999978E-2"/>
    <x v="0"/>
    <x v="3"/>
  </r>
  <r>
    <n v="321"/>
    <n v="8"/>
    <x v="7"/>
    <s v="Video"/>
    <n v="5"/>
    <n v="5"/>
    <n v="0"/>
    <x v="0"/>
    <x v="0"/>
  </r>
  <r>
    <n v="322"/>
    <n v="1"/>
    <x v="0"/>
    <s v="Video"/>
    <n v="4"/>
    <n v="4"/>
    <n v="0"/>
    <x v="0"/>
    <x v="0"/>
  </r>
  <r>
    <n v="322"/>
    <n v="2"/>
    <x v="1"/>
    <s v="Text"/>
    <n v="15"/>
    <n v="18"/>
    <n v="0.19999999999999996"/>
    <x v="0"/>
    <x v="0"/>
  </r>
  <r>
    <n v="322"/>
    <n v="3"/>
    <x v="2"/>
    <s v="Übung"/>
    <n v="30"/>
    <n v="42"/>
    <n v="0.39999999999999991"/>
    <x v="1"/>
    <x v="2"/>
  </r>
  <r>
    <n v="322"/>
    <n v="4"/>
    <x v="3"/>
    <s v="Übung"/>
    <n v="30"/>
    <n v="29"/>
    <n v="-3.3333333333333326E-2"/>
    <x v="0"/>
    <x v="1"/>
  </r>
  <r>
    <n v="322"/>
    <n v="5"/>
    <x v="4"/>
    <s v="Übung"/>
    <n v="30"/>
    <n v="42"/>
    <n v="0.39999999999999991"/>
    <x v="1"/>
    <x v="2"/>
  </r>
  <r>
    <n v="322"/>
    <n v="6"/>
    <x v="5"/>
    <s v="Handout"/>
    <n v="5"/>
    <n v="2"/>
    <n v="-0.6"/>
    <x v="2"/>
    <x v="1"/>
  </r>
  <r>
    <n v="322"/>
    <n v="7"/>
    <x v="6"/>
    <s v="Quiz"/>
    <n v="10"/>
    <n v="10"/>
    <n v="0"/>
    <x v="0"/>
    <x v="2"/>
  </r>
  <r>
    <n v="322"/>
    <n v="8"/>
    <x v="7"/>
    <s v="Video"/>
    <n v="5"/>
    <n v="5"/>
    <n v="0"/>
    <x v="0"/>
    <x v="0"/>
  </r>
  <r>
    <n v="323"/>
    <n v="1"/>
    <x v="0"/>
    <s v="Video"/>
    <n v="4"/>
    <n v="4"/>
    <n v="0"/>
    <x v="0"/>
    <x v="0"/>
  </r>
  <r>
    <n v="323"/>
    <n v="2"/>
    <x v="1"/>
    <s v="Text"/>
    <n v="15"/>
    <n v="20"/>
    <n v="0.33333333333333326"/>
    <x v="1"/>
    <x v="0"/>
  </r>
  <r>
    <n v="323"/>
    <n v="3"/>
    <x v="2"/>
    <s v="Übung"/>
    <n v="30"/>
    <n v="27"/>
    <n v="-9.9999999999999978E-2"/>
    <x v="0"/>
    <x v="1"/>
  </r>
  <r>
    <n v="323"/>
    <n v="4"/>
    <x v="3"/>
    <s v="Übung"/>
    <n v="30"/>
    <n v="33"/>
    <n v="0.10000000000000009"/>
    <x v="0"/>
    <x v="3"/>
  </r>
  <r>
    <n v="323"/>
    <n v="5"/>
    <x v="4"/>
    <s v="Übung"/>
    <n v="30"/>
    <n v="39"/>
    <n v="0.30000000000000004"/>
    <x v="0"/>
    <x v="2"/>
  </r>
  <r>
    <n v="323"/>
    <n v="6"/>
    <x v="5"/>
    <s v="Handout"/>
    <n v="5"/>
    <n v="1"/>
    <n v="-0.8"/>
    <x v="2"/>
    <x v="0"/>
  </r>
  <r>
    <n v="323"/>
    <n v="7"/>
    <x v="6"/>
    <s v="Quiz"/>
    <n v="10"/>
    <n v="11"/>
    <n v="0.10000000000000009"/>
    <x v="0"/>
    <x v="2"/>
  </r>
  <r>
    <n v="323"/>
    <n v="8"/>
    <x v="7"/>
    <s v="Video"/>
    <n v="5"/>
    <n v="5"/>
    <n v="0"/>
    <x v="0"/>
    <x v="0"/>
  </r>
  <r>
    <n v="324"/>
    <n v="1"/>
    <x v="0"/>
    <s v="Video"/>
    <n v="4"/>
    <n v="4"/>
    <n v="0"/>
    <x v="0"/>
    <x v="0"/>
  </r>
  <r>
    <n v="324"/>
    <n v="2"/>
    <x v="1"/>
    <s v="Text"/>
    <n v="15"/>
    <n v="19"/>
    <n v="0.26666666666666661"/>
    <x v="0"/>
    <x v="3"/>
  </r>
  <r>
    <n v="324"/>
    <n v="3"/>
    <x v="2"/>
    <s v="Übung"/>
    <n v="30"/>
    <n v="28"/>
    <n v="-6.6666666666666652E-2"/>
    <x v="0"/>
    <x v="3"/>
  </r>
  <r>
    <n v="324"/>
    <n v="4"/>
    <x v="3"/>
    <s v="Übung"/>
    <n v="30"/>
    <n v="25"/>
    <n v="-0.16666666666666663"/>
    <x v="0"/>
    <x v="3"/>
  </r>
  <r>
    <n v="324"/>
    <n v="5"/>
    <x v="4"/>
    <s v="Übung"/>
    <n v="30"/>
    <n v="51"/>
    <n v="0.7"/>
    <x v="3"/>
    <x v="3"/>
  </r>
  <r>
    <n v="324"/>
    <n v="6"/>
    <x v="5"/>
    <s v="Handout"/>
    <n v="5"/>
    <n v="2"/>
    <n v="-0.6"/>
    <x v="2"/>
    <x v="1"/>
  </r>
  <r>
    <n v="324"/>
    <n v="7"/>
    <x v="6"/>
    <s v="Quiz"/>
    <n v="10"/>
    <n v="12"/>
    <n v="0.19999999999999996"/>
    <x v="0"/>
    <x v="2"/>
  </r>
  <r>
    <n v="324"/>
    <n v="8"/>
    <x v="7"/>
    <s v="Video"/>
    <n v="5"/>
    <n v="5"/>
    <n v="0"/>
    <x v="0"/>
    <x v="0"/>
  </r>
  <r>
    <n v="325"/>
    <n v="1"/>
    <x v="0"/>
    <s v="Video"/>
    <n v="4"/>
    <n v="6"/>
    <n v="0.5"/>
    <x v="1"/>
    <x v="0"/>
  </r>
  <r>
    <n v="325"/>
    <n v="2"/>
    <x v="1"/>
    <s v="Text"/>
    <n v="15"/>
    <n v="15"/>
    <n v="0"/>
    <x v="0"/>
    <x v="0"/>
  </r>
  <r>
    <n v="325"/>
    <n v="3"/>
    <x v="2"/>
    <s v="Übung"/>
    <n v="30"/>
    <n v="30"/>
    <n v="0"/>
    <x v="0"/>
    <x v="1"/>
  </r>
  <r>
    <n v="325"/>
    <n v="4"/>
    <x v="3"/>
    <s v="Übung"/>
    <n v="30"/>
    <n v="28"/>
    <n v="-6.6666666666666652E-2"/>
    <x v="0"/>
    <x v="3"/>
  </r>
  <r>
    <n v="325"/>
    <n v="5"/>
    <x v="4"/>
    <s v="Übung"/>
    <n v="30"/>
    <n v="42"/>
    <n v="0.39999999999999991"/>
    <x v="1"/>
    <x v="2"/>
  </r>
  <r>
    <n v="325"/>
    <n v="6"/>
    <x v="5"/>
    <s v="Handout"/>
    <n v="5"/>
    <n v="1"/>
    <n v="-0.8"/>
    <x v="2"/>
    <x v="1"/>
  </r>
  <r>
    <n v="325"/>
    <n v="7"/>
    <x v="6"/>
    <s v="Quiz"/>
    <n v="10"/>
    <n v="9"/>
    <n v="-9.9999999999999978E-2"/>
    <x v="0"/>
    <x v="2"/>
  </r>
  <r>
    <n v="325"/>
    <n v="8"/>
    <x v="7"/>
    <s v="Video"/>
    <n v="5"/>
    <n v="8"/>
    <n v="0.60000000000000009"/>
    <x v="1"/>
    <x v="0"/>
  </r>
  <r>
    <n v="326"/>
    <n v="1"/>
    <x v="0"/>
    <s v="Video"/>
    <n v="4"/>
    <n v="5"/>
    <n v="0.25"/>
    <x v="0"/>
    <x v="0"/>
  </r>
  <r>
    <n v="326"/>
    <n v="2"/>
    <x v="1"/>
    <s v="Text"/>
    <n v="15"/>
    <n v="20"/>
    <n v="0.33333333333333326"/>
    <x v="1"/>
    <x v="0"/>
  </r>
  <r>
    <n v="326"/>
    <n v="3"/>
    <x v="2"/>
    <s v="Übung"/>
    <n v="30"/>
    <n v="28"/>
    <n v="-6.6666666666666652E-2"/>
    <x v="0"/>
    <x v="1"/>
  </r>
  <r>
    <n v="326"/>
    <n v="4"/>
    <x v="3"/>
    <s v="Übung"/>
    <n v="30"/>
    <n v="26"/>
    <n v="-0.1333333333333333"/>
    <x v="0"/>
    <x v="2"/>
  </r>
  <r>
    <n v="326"/>
    <n v="5"/>
    <x v="4"/>
    <s v="Übung"/>
    <n v="30"/>
    <n v="36"/>
    <n v="0.19999999999999996"/>
    <x v="0"/>
    <x v="2"/>
  </r>
  <r>
    <n v="326"/>
    <n v="6"/>
    <x v="5"/>
    <s v="Handout"/>
    <n v="5"/>
    <n v="1"/>
    <n v="-0.8"/>
    <x v="2"/>
    <x v="1"/>
  </r>
  <r>
    <n v="326"/>
    <n v="7"/>
    <x v="6"/>
    <s v="Quiz"/>
    <n v="10"/>
    <n v="11"/>
    <n v="0.10000000000000009"/>
    <x v="0"/>
    <x v="2"/>
  </r>
  <r>
    <n v="326"/>
    <n v="8"/>
    <x v="7"/>
    <s v="Video"/>
    <n v="5"/>
    <n v="5"/>
    <n v="0"/>
    <x v="0"/>
    <x v="0"/>
  </r>
  <r>
    <n v="328"/>
    <n v="1"/>
    <x v="0"/>
    <s v="Video"/>
    <n v="4"/>
    <n v="4"/>
    <n v="0"/>
    <x v="0"/>
    <x v="0"/>
  </r>
  <r>
    <n v="328"/>
    <n v="2"/>
    <x v="1"/>
    <s v="Text"/>
    <n v="15"/>
    <n v="19"/>
    <n v="0.26666666666666661"/>
    <x v="0"/>
    <x v="1"/>
  </r>
  <r>
    <n v="328"/>
    <n v="3"/>
    <x v="2"/>
    <s v="Übung"/>
    <n v="30"/>
    <n v="21"/>
    <n v="-0.30000000000000004"/>
    <x v="0"/>
    <x v="1"/>
  </r>
  <r>
    <n v="328"/>
    <n v="4"/>
    <x v="3"/>
    <s v="Übung"/>
    <n v="30"/>
    <n v="22"/>
    <n v="-0.26666666666666672"/>
    <x v="0"/>
    <x v="3"/>
  </r>
  <r>
    <n v="328"/>
    <n v="5"/>
    <x v="4"/>
    <s v="Übung"/>
    <n v="30"/>
    <n v="42"/>
    <n v="0.39999999999999991"/>
    <x v="1"/>
    <x v="3"/>
  </r>
  <r>
    <n v="328"/>
    <n v="6"/>
    <x v="5"/>
    <s v="Handout"/>
    <n v="5"/>
    <n v="1"/>
    <n v="-0.8"/>
    <x v="2"/>
    <x v="0"/>
  </r>
  <r>
    <n v="328"/>
    <n v="7"/>
    <x v="6"/>
    <s v="Quiz"/>
    <n v="10"/>
    <n v="8"/>
    <n v="-0.19999999999999996"/>
    <x v="0"/>
    <x v="3"/>
  </r>
  <r>
    <n v="328"/>
    <n v="8"/>
    <x v="7"/>
    <s v="Video"/>
    <n v="5"/>
    <n v="5"/>
    <n v="0"/>
    <x v="0"/>
    <x v="0"/>
  </r>
  <r>
    <n v="329"/>
    <n v="1"/>
    <x v="0"/>
    <s v="Video"/>
    <n v="4"/>
    <n v="4"/>
    <n v="0"/>
    <x v="0"/>
    <x v="0"/>
  </r>
  <r>
    <n v="329"/>
    <n v="2"/>
    <x v="1"/>
    <s v="Text"/>
    <n v="15"/>
    <n v="20"/>
    <n v="0.33333333333333326"/>
    <x v="1"/>
    <x v="0"/>
  </r>
  <r>
    <n v="329"/>
    <n v="3"/>
    <x v="2"/>
    <s v="Übung"/>
    <n v="30"/>
    <n v="28"/>
    <n v="-6.6666666666666652E-2"/>
    <x v="0"/>
    <x v="3"/>
  </r>
  <r>
    <n v="329"/>
    <n v="4"/>
    <x v="3"/>
    <s v="Übung"/>
    <n v="30"/>
    <n v="27"/>
    <n v="-9.9999999999999978E-2"/>
    <x v="0"/>
    <x v="1"/>
  </r>
  <r>
    <n v="329"/>
    <n v="5"/>
    <x v="4"/>
    <s v="Übung"/>
    <n v="30"/>
    <n v="40"/>
    <n v="0.33333333333333326"/>
    <x v="1"/>
    <x v="2"/>
  </r>
  <r>
    <n v="329"/>
    <n v="6"/>
    <x v="5"/>
    <s v="Handout"/>
    <n v="5"/>
    <n v="4"/>
    <n v="-0.19999999999999996"/>
    <x v="0"/>
    <x v="1"/>
  </r>
  <r>
    <n v="329"/>
    <n v="7"/>
    <x v="6"/>
    <s v="Quiz"/>
    <n v="10"/>
    <n v="11"/>
    <n v="0.10000000000000009"/>
    <x v="0"/>
    <x v="3"/>
  </r>
  <r>
    <n v="329"/>
    <n v="8"/>
    <x v="7"/>
    <s v="Video"/>
    <n v="5"/>
    <n v="5"/>
    <n v="0"/>
    <x v="0"/>
    <x v="0"/>
  </r>
  <r>
    <n v="330"/>
    <n v="1"/>
    <x v="0"/>
    <s v="Video"/>
    <n v="4"/>
    <n v="4"/>
    <n v="0"/>
    <x v="0"/>
    <x v="0"/>
  </r>
  <r>
    <n v="330"/>
    <n v="2"/>
    <x v="1"/>
    <s v="Text"/>
    <n v="15"/>
    <n v="15"/>
    <n v="0"/>
    <x v="0"/>
    <x v="3"/>
  </r>
  <r>
    <n v="330"/>
    <n v="3"/>
    <x v="2"/>
    <s v="Übung"/>
    <n v="30"/>
    <n v="29"/>
    <n v="-3.3333333333333326E-2"/>
    <x v="0"/>
    <x v="3"/>
  </r>
  <r>
    <n v="330"/>
    <n v="4"/>
    <x v="3"/>
    <s v="Übung"/>
    <n v="30"/>
    <n v="27"/>
    <n v="-9.9999999999999978E-2"/>
    <x v="0"/>
    <x v="1"/>
  </r>
  <r>
    <n v="330"/>
    <n v="5"/>
    <x v="4"/>
    <s v="Übung"/>
    <n v="30"/>
    <n v="46"/>
    <n v="0.53333333333333344"/>
    <x v="1"/>
    <x v="3"/>
  </r>
  <r>
    <n v="330"/>
    <n v="6"/>
    <x v="5"/>
    <s v="Handout"/>
    <n v="5"/>
    <n v="2"/>
    <n v="-0.6"/>
    <x v="2"/>
    <x v="1"/>
  </r>
  <r>
    <n v="330"/>
    <n v="7"/>
    <x v="6"/>
    <s v="Quiz"/>
    <n v="10"/>
    <n v="8"/>
    <n v="-0.19999999999999996"/>
    <x v="0"/>
    <x v="3"/>
  </r>
  <r>
    <n v="330"/>
    <n v="8"/>
    <x v="7"/>
    <s v="Video"/>
    <n v="5"/>
    <n v="5"/>
    <n v="0"/>
    <x v="0"/>
    <x v="0"/>
  </r>
  <r>
    <n v="331"/>
    <n v="1"/>
    <x v="0"/>
    <s v="Video"/>
    <n v="4"/>
    <n v="4"/>
    <n v="0"/>
    <x v="0"/>
    <x v="0"/>
  </r>
  <r>
    <n v="331"/>
    <n v="2"/>
    <x v="1"/>
    <s v="Text"/>
    <n v="15"/>
    <n v="15"/>
    <n v="0"/>
    <x v="0"/>
    <x v="1"/>
  </r>
  <r>
    <n v="331"/>
    <n v="3"/>
    <x v="2"/>
    <s v="Übung"/>
    <n v="30"/>
    <n v="30"/>
    <n v="0"/>
    <x v="0"/>
    <x v="3"/>
  </r>
  <r>
    <n v="331"/>
    <n v="4"/>
    <x v="3"/>
    <s v="Übung"/>
    <n v="30"/>
    <n v="33"/>
    <n v="0.10000000000000009"/>
    <x v="0"/>
    <x v="1"/>
  </r>
  <r>
    <n v="331"/>
    <n v="5"/>
    <x v="4"/>
    <s v="Übung"/>
    <n v="30"/>
    <n v="48"/>
    <n v="0.60000000000000009"/>
    <x v="1"/>
    <x v="3"/>
  </r>
  <r>
    <n v="331"/>
    <n v="6"/>
    <x v="5"/>
    <s v="Handout"/>
    <n v="5"/>
    <n v="1"/>
    <n v="-0.8"/>
    <x v="2"/>
    <x v="1"/>
  </r>
  <r>
    <n v="331"/>
    <n v="7"/>
    <x v="6"/>
    <s v="Quiz"/>
    <n v="10"/>
    <n v="11"/>
    <n v="0.10000000000000009"/>
    <x v="0"/>
    <x v="2"/>
  </r>
  <r>
    <n v="331"/>
    <n v="8"/>
    <x v="7"/>
    <s v="Video"/>
    <n v="5"/>
    <n v="5"/>
    <n v="0"/>
    <x v="0"/>
    <x v="0"/>
  </r>
  <r>
    <n v="332"/>
    <n v="1"/>
    <x v="0"/>
    <s v="Video"/>
    <n v="4"/>
    <n v="4"/>
    <n v="0"/>
    <x v="0"/>
    <x v="0"/>
  </r>
  <r>
    <n v="332"/>
    <n v="2"/>
    <x v="1"/>
    <s v="Text"/>
    <n v="15"/>
    <n v="20"/>
    <n v="0.33333333333333326"/>
    <x v="1"/>
    <x v="0"/>
  </r>
  <r>
    <n v="332"/>
    <n v="3"/>
    <x v="2"/>
    <s v="Übung"/>
    <n v="30"/>
    <n v="29"/>
    <n v="-3.3333333333333326E-2"/>
    <x v="0"/>
    <x v="3"/>
  </r>
  <r>
    <n v="332"/>
    <n v="4"/>
    <x v="3"/>
    <s v="Übung"/>
    <n v="30"/>
    <n v="24"/>
    <n v="-0.19999999999999996"/>
    <x v="0"/>
    <x v="3"/>
  </r>
  <r>
    <n v="332"/>
    <n v="5"/>
    <x v="4"/>
    <s v="Übung"/>
    <n v="30"/>
    <n v="53"/>
    <n v="0.76666666666666661"/>
    <x v="3"/>
    <x v="3"/>
  </r>
  <r>
    <n v="332"/>
    <n v="6"/>
    <x v="5"/>
    <s v="Handout"/>
    <n v="5"/>
    <n v="1"/>
    <n v="-0.8"/>
    <x v="2"/>
    <x v="1"/>
  </r>
  <r>
    <n v="332"/>
    <n v="7"/>
    <x v="6"/>
    <s v="Quiz"/>
    <n v="10"/>
    <n v="8"/>
    <n v="-0.19999999999999996"/>
    <x v="0"/>
    <x v="3"/>
  </r>
  <r>
    <n v="332"/>
    <n v="8"/>
    <x v="7"/>
    <s v="Video"/>
    <n v="5"/>
    <n v="5"/>
    <n v="0"/>
    <x v="0"/>
    <x v="0"/>
  </r>
  <r>
    <n v="333"/>
    <n v="1"/>
    <x v="0"/>
    <s v="Video"/>
    <n v="4"/>
    <n v="4"/>
    <n v="0"/>
    <x v="0"/>
    <x v="0"/>
  </r>
  <r>
    <n v="333"/>
    <n v="2"/>
    <x v="1"/>
    <s v="Text"/>
    <n v="15"/>
    <n v="16"/>
    <n v="6.6666666666666652E-2"/>
    <x v="0"/>
    <x v="0"/>
  </r>
  <r>
    <n v="333"/>
    <n v="3"/>
    <x v="2"/>
    <s v="Übung"/>
    <n v="30"/>
    <n v="37"/>
    <n v="0.23333333333333339"/>
    <x v="0"/>
    <x v="3"/>
  </r>
  <r>
    <n v="333"/>
    <n v="4"/>
    <x v="3"/>
    <s v="Übung"/>
    <n v="30"/>
    <n v="28"/>
    <n v="-6.6666666666666652E-2"/>
    <x v="0"/>
    <x v="3"/>
  </r>
  <r>
    <n v="333"/>
    <n v="5"/>
    <x v="4"/>
    <s v="Übung"/>
    <n v="30"/>
    <n v="53"/>
    <n v="0.76666666666666661"/>
    <x v="3"/>
    <x v="3"/>
  </r>
  <r>
    <n v="333"/>
    <n v="6"/>
    <x v="5"/>
    <s v="Handout"/>
    <n v="5"/>
    <n v="2"/>
    <n v="-0.6"/>
    <x v="2"/>
    <x v="1"/>
  </r>
  <r>
    <n v="333"/>
    <n v="7"/>
    <x v="6"/>
    <s v="Quiz"/>
    <n v="10"/>
    <n v="9"/>
    <n v="-9.9999999999999978E-2"/>
    <x v="0"/>
    <x v="2"/>
  </r>
  <r>
    <n v="333"/>
    <n v="8"/>
    <x v="7"/>
    <s v="Video"/>
    <n v="5"/>
    <n v="5"/>
    <n v="0"/>
    <x v="0"/>
    <x v="0"/>
  </r>
  <r>
    <n v="334"/>
    <n v="1"/>
    <x v="0"/>
    <s v="Video"/>
    <n v="4"/>
    <n v="4"/>
    <n v="0"/>
    <x v="0"/>
    <x v="0"/>
  </r>
  <r>
    <n v="334"/>
    <n v="2"/>
    <x v="1"/>
    <s v="Text"/>
    <n v="15"/>
    <n v="18"/>
    <n v="0.19999999999999996"/>
    <x v="0"/>
    <x v="1"/>
  </r>
  <r>
    <n v="334"/>
    <n v="3"/>
    <x v="2"/>
    <s v="Übung"/>
    <n v="30"/>
    <n v="29"/>
    <n v="-3.3333333333333326E-2"/>
    <x v="0"/>
    <x v="1"/>
  </r>
  <r>
    <n v="334"/>
    <n v="4"/>
    <x v="3"/>
    <s v="Übung"/>
    <n v="30"/>
    <n v="24"/>
    <n v="-0.19999999999999996"/>
    <x v="0"/>
    <x v="2"/>
  </r>
  <r>
    <n v="334"/>
    <n v="5"/>
    <x v="4"/>
    <s v="Übung"/>
    <n v="30"/>
    <n v="48"/>
    <n v="0.60000000000000009"/>
    <x v="1"/>
    <x v="2"/>
  </r>
  <r>
    <n v="334"/>
    <n v="6"/>
    <x v="5"/>
    <s v="Handout"/>
    <n v="5"/>
    <n v="3"/>
    <n v="-0.4"/>
    <x v="2"/>
    <x v="1"/>
  </r>
  <r>
    <n v="334"/>
    <n v="7"/>
    <x v="6"/>
    <s v="Quiz"/>
    <n v="10"/>
    <n v="10"/>
    <n v="0"/>
    <x v="0"/>
    <x v="2"/>
  </r>
  <r>
    <n v="334"/>
    <n v="8"/>
    <x v="7"/>
    <s v="Video"/>
    <n v="5"/>
    <n v="5"/>
    <n v="0"/>
    <x v="0"/>
    <x v="0"/>
  </r>
  <r>
    <n v="335"/>
    <n v="1"/>
    <x v="0"/>
    <s v="Video"/>
    <n v="4"/>
    <n v="4"/>
    <n v="0"/>
    <x v="0"/>
    <x v="0"/>
  </r>
  <r>
    <n v="335"/>
    <n v="2"/>
    <x v="1"/>
    <s v="Text"/>
    <n v="15"/>
    <n v="16"/>
    <n v="6.6666666666666652E-2"/>
    <x v="0"/>
    <x v="1"/>
  </r>
  <r>
    <n v="335"/>
    <n v="3"/>
    <x v="2"/>
    <s v="Übung"/>
    <n v="30"/>
    <n v="29"/>
    <n v="-3.3333333333333326E-2"/>
    <x v="0"/>
    <x v="3"/>
  </r>
  <r>
    <n v="335"/>
    <n v="4"/>
    <x v="3"/>
    <s v="Übung"/>
    <n v="30"/>
    <n v="28"/>
    <n v="-6.6666666666666652E-2"/>
    <x v="0"/>
    <x v="3"/>
  </r>
  <r>
    <n v="335"/>
    <n v="5"/>
    <x v="4"/>
    <s v="Übung"/>
    <n v="30"/>
    <n v="50"/>
    <n v="0.66666666666666674"/>
    <x v="3"/>
    <x v="2"/>
  </r>
  <r>
    <n v="335"/>
    <n v="6"/>
    <x v="5"/>
    <s v="Handout"/>
    <n v="5"/>
    <n v="2"/>
    <n v="-0.6"/>
    <x v="2"/>
    <x v="1"/>
  </r>
  <r>
    <n v="335"/>
    <n v="7"/>
    <x v="6"/>
    <s v="Quiz"/>
    <n v="10"/>
    <n v="10"/>
    <n v="0"/>
    <x v="0"/>
    <x v="3"/>
  </r>
  <r>
    <n v="335"/>
    <n v="8"/>
    <x v="7"/>
    <s v="Video"/>
    <n v="5"/>
    <n v="5"/>
    <n v="0"/>
    <x v="0"/>
    <x v="0"/>
  </r>
  <r>
    <n v="336"/>
    <n v="1"/>
    <x v="0"/>
    <s v="Video"/>
    <n v="4"/>
    <n v="4"/>
    <n v="0"/>
    <x v="0"/>
    <x v="0"/>
  </r>
  <r>
    <n v="336"/>
    <n v="2"/>
    <x v="1"/>
    <s v="Text"/>
    <n v="15"/>
    <n v="17"/>
    <n v="0.1333333333333333"/>
    <x v="0"/>
    <x v="0"/>
  </r>
  <r>
    <n v="336"/>
    <n v="3"/>
    <x v="2"/>
    <s v="Übung"/>
    <n v="30"/>
    <n v="30"/>
    <n v="0"/>
    <x v="0"/>
    <x v="1"/>
  </r>
  <r>
    <n v="336"/>
    <n v="4"/>
    <x v="3"/>
    <s v="Übung"/>
    <n v="30"/>
    <n v="18"/>
    <n v="-0.4"/>
    <x v="2"/>
    <x v="3"/>
  </r>
  <r>
    <n v="336"/>
    <n v="5"/>
    <x v="4"/>
    <s v="Übung"/>
    <n v="30"/>
    <n v="48"/>
    <n v="0.60000000000000009"/>
    <x v="1"/>
    <x v="2"/>
  </r>
  <r>
    <n v="336"/>
    <n v="6"/>
    <x v="5"/>
    <s v="Handout"/>
    <n v="5"/>
    <n v="2"/>
    <n v="-0.6"/>
    <x v="2"/>
    <x v="3"/>
  </r>
  <r>
    <n v="336"/>
    <n v="7"/>
    <x v="6"/>
    <s v="Quiz"/>
    <n v="10"/>
    <n v="8"/>
    <n v="-0.19999999999999996"/>
    <x v="0"/>
    <x v="3"/>
  </r>
  <r>
    <n v="336"/>
    <n v="8"/>
    <x v="7"/>
    <s v="Video"/>
    <n v="5"/>
    <n v="5"/>
    <n v="0"/>
    <x v="0"/>
    <x v="0"/>
  </r>
  <r>
    <n v="337"/>
    <n v="1"/>
    <x v="0"/>
    <s v="Video"/>
    <n v="4"/>
    <n v="6"/>
    <n v="0.5"/>
    <x v="1"/>
    <x v="0"/>
  </r>
  <r>
    <n v="337"/>
    <n v="2"/>
    <x v="1"/>
    <s v="Text"/>
    <n v="15"/>
    <n v="20"/>
    <n v="0.33333333333333326"/>
    <x v="1"/>
    <x v="0"/>
  </r>
  <r>
    <n v="337"/>
    <n v="3"/>
    <x v="2"/>
    <s v="Übung"/>
    <n v="30"/>
    <n v="28"/>
    <n v="-6.6666666666666652E-2"/>
    <x v="0"/>
    <x v="1"/>
  </r>
  <r>
    <n v="337"/>
    <n v="4"/>
    <x v="3"/>
    <s v="Übung"/>
    <n v="30"/>
    <n v="21"/>
    <n v="-0.30000000000000004"/>
    <x v="0"/>
    <x v="3"/>
  </r>
  <r>
    <n v="337"/>
    <n v="5"/>
    <x v="4"/>
    <s v="Übung"/>
    <n v="30"/>
    <n v="45"/>
    <n v="0.5"/>
    <x v="1"/>
    <x v="2"/>
  </r>
  <r>
    <n v="337"/>
    <n v="6"/>
    <x v="5"/>
    <s v="Handout"/>
    <n v="5"/>
    <n v="4"/>
    <n v="-0.19999999999999996"/>
    <x v="0"/>
    <x v="1"/>
  </r>
  <r>
    <n v="337"/>
    <n v="7"/>
    <x v="6"/>
    <s v="Quiz"/>
    <n v="10"/>
    <n v="12"/>
    <n v="0.19999999999999996"/>
    <x v="0"/>
    <x v="3"/>
  </r>
  <r>
    <n v="337"/>
    <n v="8"/>
    <x v="7"/>
    <s v="Video"/>
    <n v="5"/>
    <n v="5"/>
    <n v="0"/>
    <x v="0"/>
    <x v="0"/>
  </r>
  <r>
    <n v="338"/>
    <n v="1"/>
    <x v="0"/>
    <s v="Video"/>
    <n v="4"/>
    <n v="4"/>
    <n v="0"/>
    <x v="0"/>
    <x v="0"/>
  </r>
  <r>
    <n v="338"/>
    <n v="2"/>
    <x v="1"/>
    <s v="Text"/>
    <n v="15"/>
    <n v="18"/>
    <n v="0.19999999999999996"/>
    <x v="0"/>
    <x v="0"/>
  </r>
  <r>
    <n v="338"/>
    <n v="3"/>
    <x v="2"/>
    <s v="Übung"/>
    <n v="30"/>
    <n v="22"/>
    <n v="-0.26666666666666672"/>
    <x v="0"/>
    <x v="3"/>
  </r>
  <r>
    <n v="338"/>
    <n v="4"/>
    <x v="3"/>
    <s v="Übung"/>
    <n v="30"/>
    <n v="18"/>
    <n v="-0.4"/>
    <x v="2"/>
    <x v="3"/>
  </r>
  <r>
    <n v="338"/>
    <n v="5"/>
    <x v="4"/>
    <s v="Übung"/>
    <n v="30"/>
    <n v="51"/>
    <n v="0.7"/>
    <x v="3"/>
    <x v="3"/>
  </r>
  <r>
    <n v="338"/>
    <n v="6"/>
    <x v="5"/>
    <s v="Handout"/>
    <n v="5"/>
    <n v="1"/>
    <n v="-0.8"/>
    <x v="2"/>
    <x v="1"/>
  </r>
  <r>
    <n v="338"/>
    <n v="7"/>
    <x v="6"/>
    <s v="Quiz"/>
    <n v="10"/>
    <n v="10"/>
    <n v="0"/>
    <x v="0"/>
    <x v="3"/>
  </r>
  <r>
    <n v="338"/>
    <n v="8"/>
    <x v="7"/>
    <s v="Video"/>
    <n v="5"/>
    <n v="5"/>
    <n v="0"/>
    <x v="0"/>
    <x v="0"/>
  </r>
  <r>
    <n v="341"/>
    <n v="1"/>
    <x v="0"/>
    <s v="Video"/>
    <n v="4"/>
    <n v="4"/>
    <n v="0"/>
    <x v="0"/>
    <x v="0"/>
  </r>
  <r>
    <n v="341"/>
    <n v="2"/>
    <x v="1"/>
    <s v="Text"/>
    <n v="15"/>
    <n v="18"/>
    <n v="0.19999999999999996"/>
    <x v="0"/>
    <x v="1"/>
  </r>
  <r>
    <n v="341"/>
    <n v="3"/>
    <x v="2"/>
    <s v="Übung"/>
    <n v="30"/>
    <n v="29"/>
    <n v="-3.3333333333333326E-2"/>
    <x v="0"/>
    <x v="1"/>
  </r>
  <r>
    <n v="341"/>
    <n v="4"/>
    <x v="3"/>
    <s v="Übung"/>
    <n v="30"/>
    <n v="30"/>
    <n v="0"/>
    <x v="0"/>
    <x v="3"/>
  </r>
  <r>
    <n v="341"/>
    <n v="5"/>
    <x v="4"/>
    <s v="Übung"/>
    <n v="30"/>
    <n v="51"/>
    <n v="0.7"/>
    <x v="3"/>
    <x v="2"/>
  </r>
  <r>
    <n v="341"/>
    <n v="6"/>
    <x v="5"/>
    <s v="Handout"/>
    <n v="5"/>
    <n v="1"/>
    <n v="-0.8"/>
    <x v="2"/>
    <x v="1"/>
  </r>
  <r>
    <n v="341"/>
    <n v="7"/>
    <x v="6"/>
    <s v="Quiz"/>
    <n v="10"/>
    <n v="10"/>
    <n v="0"/>
    <x v="0"/>
    <x v="2"/>
  </r>
  <r>
    <n v="341"/>
    <n v="8"/>
    <x v="7"/>
    <s v="Video"/>
    <n v="5"/>
    <n v="7"/>
    <n v="0.39999999999999991"/>
    <x v="1"/>
    <x v="0"/>
  </r>
  <r>
    <n v="342"/>
    <n v="1"/>
    <x v="0"/>
    <s v="Video"/>
    <n v="4"/>
    <n v="4"/>
    <n v="0"/>
    <x v="0"/>
    <x v="0"/>
  </r>
  <r>
    <n v="342"/>
    <n v="2"/>
    <x v="1"/>
    <s v="Text"/>
    <n v="15"/>
    <n v="22"/>
    <n v="0.46666666666666656"/>
    <x v="1"/>
    <x v="1"/>
  </r>
  <r>
    <n v="342"/>
    <n v="3"/>
    <x v="2"/>
    <s v="Übung"/>
    <n v="30"/>
    <n v="30"/>
    <n v="0"/>
    <x v="0"/>
    <x v="1"/>
  </r>
  <r>
    <n v="342"/>
    <n v="4"/>
    <x v="3"/>
    <s v="Übung"/>
    <n v="30"/>
    <n v="25"/>
    <n v="-0.16666666666666663"/>
    <x v="0"/>
    <x v="3"/>
  </r>
  <r>
    <n v="342"/>
    <n v="5"/>
    <x v="4"/>
    <s v="Übung"/>
    <n v="30"/>
    <n v="50"/>
    <n v="0.66666666666666674"/>
    <x v="3"/>
    <x v="2"/>
  </r>
  <r>
    <n v="342"/>
    <n v="6"/>
    <x v="5"/>
    <s v="Handout"/>
    <n v="5"/>
    <n v="3"/>
    <n v="-0.4"/>
    <x v="2"/>
    <x v="1"/>
  </r>
  <r>
    <n v="342"/>
    <n v="7"/>
    <x v="6"/>
    <s v="Quiz"/>
    <n v="10"/>
    <n v="8"/>
    <n v="-0.19999999999999996"/>
    <x v="0"/>
    <x v="3"/>
  </r>
  <r>
    <n v="342"/>
    <n v="8"/>
    <x v="7"/>
    <s v="Video"/>
    <n v="5"/>
    <n v="7"/>
    <n v="0.39999999999999991"/>
    <x v="1"/>
    <x v="0"/>
  </r>
  <r>
    <n v="343"/>
    <n v="1"/>
    <x v="0"/>
    <s v="Video"/>
    <n v="4"/>
    <n v="4"/>
    <n v="0"/>
    <x v="0"/>
    <x v="0"/>
  </r>
  <r>
    <n v="343"/>
    <n v="2"/>
    <x v="1"/>
    <s v="Text"/>
    <n v="15"/>
    <n v="16"/>
    <n v="6.6666666666666652E-2"/>
    <x v="0"/>
    <x v="0"/>
  </r>
  <r>
    <n v="343"/>
    <n v="3"/>
    <x v="2"/>
    <s v="Übung"/>
    <n v="30"/>
    <n v="29"/>
    <n v="-3.3333333333333326E-2"/>
    <x v="0"/>
    <x v="3"/>
  </r>
  <r>
    <n v="343"/>
    <n v="4"/>
    <x v="3"/>
    <s v="Übung"/>
    <n v="30"/>
    <n v="24"/>
    <n v="-0.19999999999999996"/>
    <x v="0"/>
    <x v="3"/>
  </r>
  <r>
    <n v="343"/>
    <n v="5"/>
    <x v="4"/>
    <s v="Übung"/>
    <n v="30"/>
    <n v="48"/>
    <n v="0.60000000000000009"/>
    <x v="1"/>
    <x v="2"/>
  </r>
  <r>
    <n v="343"/>
    <n v="6"/>
    <x v="5"/>
    <s v="Handout"/>
    <n v="5"/>
    <n v="3"/>
    <n v="-0.4"/>
    <x v="2"/>
    <x v="1"/>
  </r>
  <r>
    <n v="343"/>
    <n v="7"/>
    <x v="6"/>
    <s v="Quiz"/>
    <n v="10"/>
    <n v="8"/>
    <n v="-0.19999999999999996"/>
    <x v="0"/>
    <x v="4"/>
  </r>
  <r>
    <n v="343"/>
    <n v="8"/>
    <x v="7"/>
    <s v="Video"/>
    <n v="5"/>
    <n v="5"/>
    <n v="0"/>
    <x v="0"/>
    <x v="0"/>
  </r>
  <r>
    <n v="345"/>
    <n v="1"/>
    <x v="0"/>
    <s v="Video"/>
    <n v="4"/>
    <n v="4"/>
    <n v="0"/>
    <x v="0"/>
    <x v="0"/>
  </r>
  <r>
    <n v="345"/>
    <n v="2"/>
    <x v="1"/>
    <s v="Text"/>
    <n v="15"/>
    <n v="16"/>
    <n v="6.6666666666666652E-2"/>
    <x v="0"/>
    <x v="0"/>
  </r>
  <r>
    <n v="345"/>
    <n v="3"/>
    <x v="2"/>
    <s v="Übung"/>
    <n v="30"/>
    <n v="27"/>
    <n v="-9.9999999999999978E-2"/>
    <x v="0"/>
    <x v="3"/>
  </r>
  <r>
    <n v="345"/>
    <n v="4"/>
    <x v="3"/>
    <s v="Übung"/>
    <n v="30"/>
    <n v="25"/>
    <n v="-0.16666666666666663"/>
    <x v="0"/>
    <x v="1"/>
  </r>
  <r>
    <n v="345"/>
    <n v="5"/>
    <x v="4"/>
    <s v="Übung"/>
    <n v="30"/>
    <n v="43"/>
    <n v="0.43333333333333335"/>
    <x v="1"/>
    <x v="2"/>
  </r>
  <r>
    <n v="345"/>
    <n v="6"/>
    <x v="5"/>
    <s v="Handout"/>
    <n v="5"/>
    <n v="1"/>
    <n v="-0.8"/>
    <x v="2"/>
    <x v="1"/>
  </r>
  <r>
    <n v="345"/>
    <n v="7"/>
    <x v="6"/>
    <s v="Quiz"/>
    <n v="10"/>
    <n v="10"/>
    <n v="0"/>
    <x v="0"/>
    <x v="2"/>
  </r>
  <r>
    <n v="345"/>
    <n v="8"/>
    <x v="7"/>
    <s v="Video"/>
    <n v="5"/>
    <n v="5"/>
    <n v="0"/>
    <x v="0"/>
    <x v="0"/>
  </r>
  <r>
    <n v="348"/>
    <n v="1"/>
    <x v="0"/>
    <s v="Video"/>
    <n v="4"/>
    <n v="4"/>
    <n v="0"/>
    <x v="0"/>
    <x v="0"/>
  </r>
  <r>
    <n v="348"/>
    <n v="2"/>
    <x v="1"/>
    <s v="Text"/>
    <n v="15"/>
    <n v="16"/>
    <n v="6.6666666666666652E-2"/>
    <x v="0"/>
    <x v="1"/>
  </r>
  <r>
    <n v="348"/>
    <n v="3"/>
    <x v="2"/>
    <s v="Übung"/>
    <n v="30"/>
    <n v="28"/>
    <n v="-6.6666666666666652E-2"/>
    <x v="0"/>
    <x v="1"/>
  </r>
  <r>
    <n v="348"/>
    <n v="4"/>
    <x v="3"/>
    <s v="Übung"/>
    <n v="30"/>
    <n v="41"/>
    <n v="0.3666666666666667"/>
    <x v="1"/>
    <x v="2"/>
  </r>
  <r>
    <n v="348"/>
    <n v="5"/>
    <x v="4"/>
    <s v="Übung"/>
    <n v="30"/>
    <n v="43"/>
    <n v="0.43333333333333335"/>
    <x v="1"/>
    <x v="2"/>
  </r>
  <r>
    <n v="348"/>
    <n v="6"/>
    <x v="5"/>
    <s v="Handout"/>
    <n v="5"/>
    <n v="1"/>
    <n v="-0.8"/>
    <x v="2"/>
    <x v="1"/>
  </r>
  <r>
    <n v="348"/>
    <n v="7"/>
    <x v="6"/>
    <s v="Quiz"/>
    <n v="10"/>
    <n v="9"/>
    <n v="-9.9999999999999978E-2"/>
    <x v="0"/>
    <x v="3"/>
  </r>
  <r>
    <n v="348"/>
    <n v="8"/>
    <x v="7"/>
    <s v="Video"/>
    <n v="5"/>
    <n v="5"/>
    <n v="0"/>
    <x v="0"/>
    <x v="0"/>
  </r>
  <r>
    <n v="349"/>
    <n v="1"/>
    <x v="0"/>
    <s v="Video"/>
    <n v="4"/>
    <n v="4"/>
    <n v="0"/>
    <x v="0"/>
    <x v="0"/>
  </r>
  <r>
    <n v="349"/>
    <n v="2"/>
    <x v="1"/>
    <s v="Text"/>
    <n v="15"/>
    <n v="15"/>
    <n v="0"/>
    <x v="0"/>
    <x v="0"/>
  </r>
  <r>
    <n v="349"/>
    <n v="3"/>
    <x v="2"/>
    <s v="Übung"/>
    <n v="30"/>
    <n v="28"/>
    <n v="-6.6666666666666652E-2"/>
    <x v="0"/>
    <x v="3"/>
  </r>
  <r>
    <n v="349"/>
    <n v="4"/>
    <x v="3"/>
    <s v="Übung"/>
    <n v="30"/>
    <n v="28"/>
    <n v="-6.6666666666666652E-2"/>
    <x v="0"/>
    <x v="2"/>
  </r>
  <r>
    <n v="349"/>
    <n v="5"/>
    <x v="4"/>
    <s v="Übung"/>
    <n v="30"/>
    <n v="42"/>
    <n v="0.39999999999999991"/>
    <x v="1"/>
    <x v="4"/>
  </r>
  <r>
    <n v="349"/>
    <n v="6"/>
    <x v="5"/>
    <s v="Handout"/>
    <n v="5"/>
    <n v="3"/>
    <n v="-0.4"/>
    <x v="2"/>
    <x v="0"/>
  </r>
  <r>
    <n v="349"/>
    <n v="7"/>
    <x v="6"/>
    <s v="Quiz"/>
    <n v="10"/>
    <n v="10"/>
    <n v="0"/>
    <x v="0"/>
    <x v="2"/>
  </r>
  <r>
    <n v="349"/>
    <n v="8"/>
    <x v="7"/>
    <s v="Video"/>
    <n v="5"/>
    <n v="5"/>
    <n v="0"/>
    <x v="0"/>
    <x v="1"/>
  </r>
  <r>
    <n v="350"/>
    <n v="1"/>
    <x v="0"/>
    <s v="Video"/>
    <n v="4"/>
    <n v="4"/>
    <n v="0"/>
    <x v="0"/>
    <x v="0"/>
  </r>
  <r>
    <n v="350"/>
    <n v="2"/>
    <x v="1"/>
    <s v="Text"/>
    <n v="15"/>
    <n v="15"/>
    <n v="0"/>
    <x v="0"/>
    <x v="0"/>
  </r>
  <r>
    <n v="350"/>
    <n v="3"/>
    <x v="2"/>
    <s v="Übung"/>
    <n v="30"/>
    <n v="27"/>
    <n v="-9.9999999999999978E-2"/>
    <x v="0"/>
    <x v="1"/>
  </r>
  <r>
    <n v="350"/>
    <n v="4"/>
    <x v="3"/>
    <s v="Übung"/>
    <n v="30"/>
    <n v="23"/>
    <n v="-0.23333333333333328"/>
    <x v="0"/>
    <x v="1"/>
  </r>
  <r>
    <n v="350"/>
    <n v="5"/>
    <x v="4"/>
    <s v="Übung"/>
    <n v="30"/>
    <n v="53"/>
    <n v="0.76666666666666661"/>
    <x v="3"/>
    <x v="3"/>
  </r>
  <r>
    <n v="350"/>
    <n v="6"/>
    <x v="5"/>
    <s v="Handout"/>
    <n v="5"/>
    <n v="3"/>
    <n v="-0.4"/>
    <x v="2"/>
    <x v="1"/>
  </r>
  <r>
    <n v="350"/>
    <n v="7"/>
    <x v="6"/>
    <s v="Quiz"/>
    <n v="10"/>
    <n v="8"/>
    <n v="-0.19999999999999996"/>
    <x v="0"/>
    <x v="3"/>
  </r>
  <r>
    <n v="350"/>
    <n v="8"/>
    <x v="7"/>
    <s v="Video"/>
    <n v="5"/>
    <n v="5"/>
    <n v="0"/>
    <x v="0"/>
    <x v="0"/>
  </r>
  <r>
    <n v="351"/>
    <n v="1"/>
    <x v="0"/>
    <s v="Video"/>
    <n v="4"/>
    <n v="4"/>
    <n v="0"/>
    <x v="0"/>
    <x v="0"/>
  </r>
  <r>
    <n v="351"/>
    <n v="2"/>
    <x v="1"/>
    <s v="Text"/>
    <n v="15"/>
    <n v="16"/>
    <n v="6.6666666666666652E-2"/>
    <x v="0"/>
    <x v="1"/>
  </r>
  <r>
    <n v="351"/>
    <n v="3"/>
    <x v="2"/>
    <s v="Übung"/>
    <n v="30"/>
    <n v="27"/>
    <n v="-9.9999999999999978E-2"/>
    <x v="0"/>
    <x v="3"/>
  </r>
  <r>
    <n v="351"/>
    <n v="4"/>
    <x v="3"/>
    <s v="Übung"/>
    <n v="30"/>
    <n v="32"/>
    <n v="6.6666666666666652E-2"/>
    <x v="0"/>
    <x v="3"/>
  </r>
  <r>
    <n v="351"/>
    <n v="5"/>
    <x v="4"/>
    <s v="Übung"/>
    <n v="30"/>
    <n v="43"/>
    <n v="0.43333333333333335"/>
    <x v="1"/>
    <x v="2"/>
  </r>
  <r>
    <n v="351"/>
    <n v="6"/>
    <x v="5"/>
    <s v="Handout"/>
    <n v="5"/>
    <n v="2"/>
    <n v="-0.6"/>
    <x v="2"/>
    <x v="1"/>
  </r>
  <r>
    <n v="351"/>
    <n v="7"/>
    <x v="6"/>
    <s v="Quiz"/>
    <n v="10"/>
    <n v="9"/>
    <n v="-9.9999999999999978E-2"/>
    <x v="0"/>
    <x v="3"/>
  </r>
  <r>
    <n v="351"/>
    <n v="8"/>
    <x v="7"/>
    <s v="Video"/>
    <n v="5"/>
    <n v="9"/>
    <n v="0.8"/>
    <x v="3"/>
    <x v="0"/>
  </r>
  <r>
    <n v="353"/>
    <n v="1"/>
    <x v="0"/>
    <s v="Video"/>
    <n v="4"/>
    <n v="4"/>
    <n v="0"/>
    <x v="0"/>
    <x v="0"/>
  </r>
  <r>
    <n v="353"/>
    <n v="2"/>
    <x v="1"/>
    <s v="Text"/>
    <n v="15"/>
    <n v="17"/>
    <n v="0.1333333333333333"/>
    <x v="0"/>
    <x v="1"/>
  </r>
  <r>
    <n v="353"/>
    <n v="3"/>
    <x v="2"/>
    <s v="Übung"/>
    <n v="30"/>
    <n v="29"/>
    <n v="-3.3333333333333326E-2"/>
    <x v="0"/>
    <x v="3"/>
  </r>
  <r>
    <n v="353"/>
    <n v="4"/>
    <x v="3"/>
    <s v="Übung"/>
    <n v="30"/>
    <n v="31"/>
    <n v="3.3333333333333437E-2"/>
    <x v="0"/>
    <x v="3"/>
  </r>
  <r>
    <n v="353"/>
    <n v="5"/>
    <x v="4"/>
    <s v="Übung"/>
    <n v="30"/>
    <n v="52"/>
    <n v="0.73333333333333339"/>
    <x v="3"/>
    <x v="2"/>
  </r>
  <r>
    <n v="353"/>
    <n v="6"/>
    <x v="5"/>
    <s v="Handout"/>
    <n v="5"/>
    <n v="3"/>
    <n v="-0.4"/>
    <x v="2"/>
    <x v="1"/>
  </r>
  <r>
    <n v="353"/>
    <n v="7"/>
    <x v="6"/>
    <s v="Quiz"/>
    <n v="10"/>
    <n v="8"/>
    <n v="-0.19999999999999996"/>
    <x v="0"/>
    <x v="2"/>
  </r>
  <r>
    <n v="353"/>
    <n v="8"/>
    <x v="7"/>
    <s v="Video"/>
    <n v="5"/>
    <n v="5"/>
    <n v="0"/>
    <x v="0"/>
    <x v="0"/>
  </r>
  <r>
    <n v="354"/>
    <n v="1"/>
    <x v="0"/>
    <s v="Video"/>
    <n v="4"/>
    <n v="4"/>
    <n v="0"/>
    <x v="0"/>
    <x v="0"/>
  </r>
  <r>
    <n v="354"/>
    <n v="2"/>
    <x v="1"/>
    <s v="Text"/>
    <n v="15"/>
    <n v="15"/>
    <n v="0"/>
    <x v="0"/>
    <x v="0"/>
  </r>
  <r>
    <n v="354"/>
    <n v="3"/>
    <x v="2"/>
    <s v="Übung"/>
    <n v="30"/>
    <n v="28"/>
    <n v="-6.6666666666666652E-2"/>
    <x v="0"/>
    <x v="3"/>
  </r>
  <r>
    <n v="354"/>
    <n v="4"/>
    <x v="3"/>
    <s v="Übung"/>
    <n v="30"/>
    <n v="30"/>
    <n v="0"/>
    <x v="0"/>
    <x v="3"/>
  </r>
  <r>
    <n v="354"/>
    <n v="5"/>
    <x v="4"/>
    <s v="Übung"/>
    <n v="30"/>
    <n v="42"/>
    <n v="0.39999999999999991"/>
    <x v="1"/>
    <x v="2"/>
  </r>
  <r>
    <n v="354"/>
    <n v="6"/>
    <x v="5"/>
    <s v="Handout"/>
    <n v="5"/>
    <n v="2"/>
    <n v="-0.6"/>
    <x v="2"/>
    <x v="1"/>
  </r>
  <r>
    <n v="354"/>
    <n v="7"/>
    <x v="6"/>
    <s v="Quiz"/>
    <n v="10"/>
    <n v="9"/>
    <n v="-9.9999999999999978E-2"/>
    <x v="0"/>
    <x v="2"/>
  </r>
  <r>
    <n v="354"/>
    <n v="8"/>
    <x v="7"/>
    <s v="Video"/>
    <n v="5"/>
    <n v="5"/>
    <n v="0"/>
    <x v="0"/>
    <x v="0"/>
  </r>
  <r>
    <n v="355"/>
    <n v="1"/>
    <x v="0"/>
    <s v="Video"/>
    <n v="4"/>
    <n v="4"/>
    <n v="0"/>
    <x v="0"/>
    <x v="0"/>
  </r>
  <r>
    <n v="355"/>
    <n v="2"/>
    <x v="1"/>
    <s v="Text"/>
    <n v="15"/>
    <n v="21"/>
    <n v="0.39999999999999991"/>
    <x v="1"/>
    <x v="0"/>
  </r>
  <r>
    <n v="355"/>
    <n v="3"/>
    <x v="2"/>
    <s v="Übung"/>
    <n v="30"/>
    <n v="29"/>
    <n v="-3.3333333333333326E-2"/>
    <x v="0"/>
    <x v="1"/>
  </r>
  <r>
    <n v="355"/>
    <n v="4"/>
    <x v="3"/>
    <s v="Übung"/>
    <n v="30"/>
    <n v="20"/>
    <n v="-0.33333333333333337"/>
    <x v="2"/>
    <x v="3"/>
  </r>
  <r>
    <n v="355"/>
    <n v="5"/>
    <x v="4"/>
    <s v="Übung"/>
    <n v="30"/>
    <n v="41"/>
    <n v="0.3666666666666667"/>
    <x v="1"/>
    <x v="3"/>
  </r>
  <r>
    <n v="355"/>
    <n v="6"/>
    <x v="5"/>
    <s v="Handout"/>
    <n v="5"/>
    <n v="2"/>
    <n v="-0.6"/>
    <x v="2"/>
    <x v="1"/>
  </r>
  <r>
    <n v="355"/>
    <n v="7"/>
    <x v="6"/>
    <s v="Quiz"/>
    <n v="10"/>
    <n v="10"/>
    <n v="0"/>
    <x v="0"/>
    <x v="3"/>
  </r>
  <r>
    <n v="355"/>
    <n v="8"/>
    <x v="7"/>
    <s v="Video"/>
    <n v="5"/>
    <n v="5"/>
    <n v="0"/>
    <x v="0"/>
    <x v="0"/>
  </r>
  <r>
    <n v="357"/>
    <n v="1"/>
    <x v="0"/>
    <s v="Video"/>
    <n v="4"/>
    <n v="4"/>
    <n v="0"/>
    <x v="0"/>
    <x v="0"/>
  </r>
  <r>
    <n v="357"/>
    <n v="2"/>
    <x v="1"/>
    <s v="Text"/>
    <n v="15"/>
    <n v="18"/>
    <n v="0.19999999999999996"/>
    <x v="0"/>
    <x v="1"/>
  </r>
  <r>
    <n v="357"/>
    <n v="3"/>
    <x v="2"/>
    <s v="Übung"/>
    <n v="30"/>
    <n v="26"/>
    <n v="-0.1333333333333333"/>
    <x v="0"/>
    <x v="3"/>
  </r>
  <r>
    <n v="357"/>
    <n v="4"/>
    <x v="3"/>
    <s v="Übung"/>
    <n v="30"/>
    <n v="28"/>
    <n v="-6.6666666666666652E-2"/>
    <x v="0"/>
    <x v="1"/>
  </r>
  <r>
    <n v="357"/>
    <n v="5"/>
    <x v="4"/>
    <s v="Übung"/>
    <n v="30"/>
    <n v="47"/>
    <n v="0.56666666666666665"/>
    <x v="1"/>
    <x v="2"/>
  </r>
  <r>
    <n v="357"/>
    <n v="6"/>
    <x v="5"/>
    <s v="Handout"/>
    <n v="5"/>
    <n v="2"/>
    <n v="-0.6"/>
    <x v="2"/>
    <x v="0"/>
  </r>
  <r>
    <n v="357"/>
    <n v="7"/>
    <x v="6"/>
    <s v="Quiz"/>
    <n v="10"/>
    <n v="10"/>
    <n v="0"/>
    <x v="0"/>
    <x v="2"/>
  </r>
  <r>
    <n v="357"/>
    <n v="8"/>
    <x v="7"/>
    <s v="Video"/>
    <n v="5"/>
    <n v="5"/>
    <n v="0"/>
    <x v="0"/>
    <x v="0"/>
  </r>
  <r>
    <n v="359"/>
    <n v="1"/>
    <x v="0"/>
    <s v="Video"/>
    <n v="4"/>
    <n v="4"/>
    <n v="0"/>
    <x v="0"/>
    <x v="0"/>
  </r>
  <r>
    <n v="359"/>
    <n v="2"/>
    <x v="1"/>
    <s v="Text"/>
    <n v="15"/>
    <n v="19"/>
    <n v="0.26666666666666661"/>
    <x v="0"/>
    <x v="0"/>
  </r>
  <r>
    <n v="359"/>
    <n v="3"/>
    <x v="2"/>
    <s v="Übung"/>
    <n v="30"/>
    <n v="29"/>
    <n v="-3.3333333333333326E-2"/>
    <x v="0"/>
    <x v="3"/>
  </r>
  <r>
    <n v="359"/>
    <n v="4"/>
    <x v="3"/>
    <s v="Übung"/>
    <n v="30"/>
    <n v="28"/>
    <n v="-6.6666666666666652E-2"/>
    <x v="0"/>
    <x v="3"/>
  </r>
  <r>
    <n v="359"/>
    <n v="5"/>
    <x v="4"/>
    <s v="Übung"/>
    <n v="30"/>
    <n v="47"/>
    <n v="0.56666666666666665"/>
    <x v="1"/>
    <x v="4"/>
  </r>
  <r>
    <n v="359"/>
    <n v="6"/>
    <x v="5"/>
    <s v="Handout"/>
    <n v="5"/>
    <n v="1"/>
    <n v="-0.8"/>
    <x v="2"/>
    <x v="3"/>
  </r>
  <r>
    <n v="359"/>
    <n v="7"/>
    <x v="6"/>
    <s v="Quiz"/>
    <n v="10"/>
    <n v="10"/>
    <n v="0"/>
    <x v="0"/>
    <x v="2"/>
  </r>
  <r>
    <n v="359"/>
    <n v="8"/>
    <x v="7"/>
    <s v="Video"/>
    <n v="5"/>
    <n v="5"/>
    <n v="0"/>
    <x v="0"/>
    <x v="0"/>
  </r>
  <r>
    <n v="360"/>
    <n v="1"/>
    <x v="0"/>
    <s v="Video"/>
    <n v="4"/>
    <n v="4"/>
    <n v="0"/>
    <x v="0"/>
    <x v="1"/>
  </r>
  <r>
    <n v="360"/>
    <n v="2"/>
    <x v="1"/>
    <s v="Text"/>
    <n v="15"/>
    <n v="17"/>
    <n v="0.1333333333333333"/>
    <x v="0"/>
    <x v="0"/>
  </r>
  <r>
    <n v="360"/>
    <n v="3"/>
    <x v="2"/>
    <s v="Übung"/>
    <n v="30"/>
    <n v="31"/>
    <n v="3.3333333333333437E-2"/>
    <x v="0"/>
    <x v="1"/>
  </r>
  <r>
    <n v="360"/>
    <n v="4"/>
    <x v="3"/>
    <s v="Übung"/>
    <n v="30"/>
    <n v="20"/>
    <n v="-0.33333333333333337"/>
    <x v="2"/>
    <x v="3"/>
  </r>
  <r>
    <n v="360"/>
    <n v="5"/>
    <x v="4"/>
    <s v="Übung"/>
    <n v="30"/>
    <n v="33"/>
    <n v="0.10000000000000009"/>
    <x v="0"/>
    <x v="4"/>
  </r>
  <r>
    <n v="360"/>
    <n v="6"/>
    <x v="5"/>
    <s v="Handout"/>
    <n v="5"/>
    <n v="1"/>
    <n v="-0.8"/>
    <x v="2"/>
    <x v="1"/>
  </r>
  <r>
    <n v="360"/>
    <n v="7"/>
    <x v="6"/>
    <s v="Quiz"/>
    <n v="10"/>
    <n v="11"/>
    <n v="0.10000000000000009"/>
    <x v="0"/>
    <x v="3"/>
  </r>
  <r>
    <n v="360"/>
    <n v="8"/>
    <x v="7"/>
    <s v="Video"/>
    <n v="5"/>
    <n v="6"/>
    <n v="0.19999999999999996"/>
    <x v="0"/>
    <x v="0"/>
  </r>
  <r>
    <n v="361"/>
    <n v="1"/>
    <x v="0"/>
    <s v="Video"/>
    <n v="4"/>
    <n v="4"/>
    <n v="0"/>
    <x v="0"/>
    <x v="0"/>
  </r>
  <r>
    <n v="361"/>
    <n v="2"/>
    <x v="1"/>
    <s v="Text"/>
    <n v="15"/>
    <n v="19"/>
    <n v="0.26666666666666661"/>
    <x v="0"/>
    <x v="0"/>
  </r>
  <r>
    <n v="361"/>
    <n v="3"/>
    <x v="2"/>
    <s v="Übung"/>
    <n v="30"/>
    <n v="27"/>
    <n v="-9.9999999999999978E-2"/>
    <x v="0"/>
    <x v="1"/>
  </r>
  <r>
    <n v="361"/>
    <n v="4"/>
    <x v="3"/>
    <s v="Übung"/>
    <n v="30"/>
    <n v="30"/>
    <n v="0"/>
    <x v="0"/>
    <x v="3"/>
  </r>
  <r>
    <n v="361"/>
    <n v="5"/>
    <x v="4"/>
    <s v="Übung"/>
    <n v="30"/>
    <n v="50"/>
    <n v="0.66666666666666674"/>
    <x v="3"/>
    <x v="2"/>
  </r>
  <r>
    <n v="361"/>
    <n v="6"/>
    <x v="5"/>
    <s v="Handout"/>
    <n v="5"/>
    <n v="1"/>
    <n v="-0.8"/>
    <x v="2"/>
    <x v="1"/>
  </r>
  <r>
    <n v="361"/>
    <n v="7"/>
    <x v="6"/>
    <s v="Quiz"/>
    <n v="10"/>
    <n v="10"/>
    <n v="0"/>
    <x v="0"/>
    <x v="3"/>
  </r>
  <r>
    <n v="361"/>
    <n v="8"/>
    <x v="7"/>
    <s v="Video"/>
    <n v="5"/>
    <n v="5"/>
    <n v="0"/>
    <x v="0"/>
    <x v="0"/>
  </r>
  <r>
    <n v="362"/>
    <n v="1"/>
    <x v="0"/>
    <s v="Video"/>
    <n v="4"/>
    <n v="4"/>
    <n v="0"/>
    <x v="0"/>
    <x v="0"/>
  </r>
  <r>
    <n v="362"/>
    <n v="2"/>
    <x v="1"/>
    <s v="Text"/>
    <n v="15"/>
    <n v="16"/>
    <n v="6.6666666666666652E-2"/>
    <x v="0"/>
    <x v="1"/>
  </r>
  <r>
    <n v="362"/>
    <n v="3"/>
    <x v="2"/>
    <s v="Übung"/>
    <n v="30"/>
    <n v="39"/>
    <n v="0.30000000000000004"/>
    <x v="0"/>
    <x v="1"/>
  </r>
  <r>
    <n v="362"/>
    <n v="4"/>
    <x v="3"/>
    <s v="Übung"/>
    <n v="30"/>
    <n v="23"/>
    <n v="-0.23333333333333328"/>
    <x v="0"/>
    <x v="3"/>
  </r>
  <r>
    <n v="362"/>
    <n v="5"/>
    <x v="4"/>
    <s v="Übung"/>
    <n v="30"/>
    <n v="46"/>
    <n v="0.53333333333333344"/>
    <x v="1"/>
    <x v="2"/>
  </r>
  <r>
    <n v="362"/>
    <n v="6"/>
    <x v="5"/>
    <s v="Handout"/>
    <n v="5"/>
    <n v="2"/>
    <n v="-0.6"/>
    <x v="2"/>
    <x v="1"/>
  </r>
  <r>
    <n v="362"/>
    <n v="7"/>
    <x v="6"/>
    <s v="Quiz"/>
    <n v="10"/>
    <n v="11"/>
    <n v="0.10000000000000009"/>
    <x v="0"/>
    <x v="2"/>
  </r>
  <r>
    <n v="362"/>
    <n v="8"/>
    <x v="7"/>
    <s v="Video"/>
    <n v="5"/>
    <n v="5"/>
    <n v="0"/>
    <x v="0"/>
    <x v="0"/>
  </r>
  <r>
    <n v="363"/>
    <n v="1"/>
    <x v="0"/>
    <s v="Video"/>
    <n v="4"/>
    <n v="4"/>
    <n v="0"/>
    <x v="0"/>
    <x v="0"/>
  </r>
  <r>
    <n v="363"/>
    <n v="2"/>
    <x v="1"/>
    <s v="Text"/>
    <n v="15"/>
    <n v="17"/>
    <n v="0.1333333333333333"/>
    <x v="0"/>
    <x v="0"/>
  </r>
  <r>
    <n v="363"/>
    <n v="3"/>
    <x v="2"/>
    <s v="Übung"/>
    <n v="30"/>
    <n v="28"/>
    <n v="-6.6666666666666652E-2"/>
    <x v="0"/>
    <x v="3"/>
  </r>
  <r>
    <n v="363"/>
    <n v="4"/>
    <x v="3"/>
    <s v="Übung"/>
    <n v="30"/>
    <n v="19"/>
    <n v="-0.3666666666666667"/>
    <x v="2"/>
    <x v="3"/>
  </r>
  <r>
    <n v="363"/>
    <n v="5"/>
    <x v="4"/>
    <s v="Übung"/>
    <n v="30"/>
    <n v="46"/>
    <n v="0.53333333333333344"/>
    <x v="1"/>
    <x v="3"/>
  </r>
  <r>
    <n v="363"/>
    <n v="6"/>
    <x v="5"/>
    <s v="Handout"/>
    <n v="5"/>
    <n v="2"/>
    <n v="-0.6"/>
    <x v="2"/>
    <x v="1"/>
  </r>
  <r>
    <n v="363"/>
    <n v="7"/>
    <x v="6"/>
    <s v="Quiz"/>
    <n v="10"/>
    <n v="9"/>
    <n v="-9.9999999999999978E-2"/>
    <x v="0"/>
    <x v="3"/>
  </r>
  <r>
    <n v="363"/>
    <n v="8"/>
    <x v="7"/>
    <s v="Video"/>
    <n v="5"/>
    <n v="5"/>
    <n v="0"/>
    <x v="0"/>
    <x v="0"/>
  </r>
  <r>
    <n v="364"/>
    <n v="1"/>
    <x v="0"/>
    <s v="Video"/>
    <n v="4"/>
    <n v="4"/>
    <n v="0"/>
    <x v="0"/>
    <x v="1"/>
  </r>
  <r>
    <n v="364"/>
    <n v="2"/>
    <x v="1"/>
    <s v="Text"/>
    <n v="15"/>
    <n v="21"/>
    <n v="0.39999999999999991"/>
    <x v="1"/>
    <x v="1"/>
  </r>
  <r>
    <n v="364"/>
    <n v="3"/>
    <x v="2"/>
    <s v="Übung"/>
    <n v="30"/>
    <n v="28"/>
    <n v="-6.6666666666666652E-2"/>
    <x v="0"/>
    <x v="3"/>
  </r>
  <r>
    <n v="364"/>
    <n v="4"/>
    <x v="3"/>
    <s v="Übung"/>
    <n v="30"/>
    <n v="24"/>
    <n v="-0.19999999999999996"/>
    <x v="0"/>
    <x v="1"/>
  </r>
  <r>
    <n v="364"/>
    <n v="5"/>
    <x v="4"/>
    <s v="Übung"/>
    <n v="30"/>
    <n v="47"/>
    <n v="0.56666666666666665"/>
    <x v="1"/>
    <x v="2"/>
  </r>
  <r>
    <n v="364"/>
    <n v="6"/>
    <x v="5"/>
    <s v="Handout"/>
    <n v="5"/>
    <n v="1"/>
    <n v="-0.8"/>
    <x v="2"/>
    <x v="1"/>
  </r>
  <r>
    <n v="364"/>
    <n v="7"/>
    <x v="6"/>
    <s v="Quiz"/>
    <n v="10"/>
    <n v="10"/>
    <n v="0"/>
    <x v="0"/>
    <x v="2"/>
  </r>
  <r>
    <n v="364"/>
    <n v="8"/>
    <x v="7"/>
    <s v="Video"/>
    <n v="5"/>
    <n v="5"/>
    <n v="0"/>
    <x v="0"/>
    <x v="0"/>
  </r>
  <r>
    <n v="365"/>
    <n v="1"/>
    <x v="0"/>
    <s v="Video"/>
    <n v="4"/>
    <n v="4"/>
    <n v="0"/>
    <x v="0"/>
    <x v="0"/>
  </r>
  <r>
    <n v="365"/>
    <n v="2"/>
    <x v="1"/>
    <s v="Text"/>
    <n v="15"/>
    <n v="18"/>
    <n v="0.19999999999999996"/>
    <x v="0"/>
    <x v="1"/>
  </r>
  <r>
    <n v="365"/>
    <n v="3"/>
    <x v="2"/>
    <s v="Übung"/>
    <n v="30"/>
    <n v="28"/>
    <n v="-6.6666666666666652E-2"/>
    <x v="0"/>
    <x v="1"/>
  </r>
  <r>
    <n v="365"/>
    <n v="4"/>
    <x v="3"/>
    <s v="Übung"/>
    <n v="30"/>
    <n v="40"/>
    <n v="0.33333333333333326"/>
    <x v="1"/>
    <x v="4"/>
  </r>
  <r>
    <n v="365"/>
    <n v="5"/>
    <x v="4"/>
    <s v="Übung"/>
    <n v="30"/>
    <n v="48"/>
    <n v="0.60000000000000009"/>
    <x v="1"/>
    <x v="4"/>
  </r>
  <r>
    <n v="365"/>
    <n v="6"/>
    <x v="5"/>
    <s v="Handout"/>
    <n v="5"/>
    <n v="1"/>
    <n v="-0.8"/>
    <x v="2"/>
    <x v="1"/>
  </r>
  <r>
    <n v="365"/>
    <n v="7"/>
    <x v="6"/>
    <s v="Quiz"/>
    <n v="10"/>
    <n v="9"/>
    <n v="-9.9999999999999978E-2"/>
    <x v="0"/>
    <x v="3"/>
  </r>
  <r>
    <n v="365"/>
    <n v="8"/>
    <x v="7"/>
    <s v="Video"/>
    <n v="5"/>
    <n v="5"/>
    <n v="0"/>
    <x v="0"/>
    <x v="0"/>
  </r>
  <r>
    <n v="366"/>
    <n v="1"/>
    <x v="0"/>
    <s v="Video"/>
    <n v="4"/>
    <n v="4"/>
    <n v="0"/>
    <x v="0"/>
    <x v="0"/>
  </r>
  <r>
    <n v="366"/>
    <n v="2"/>
    <x v="1"/>
    <s v="Text"/>
    <n v="15"/>
    <n v="15"/>
    <n v="0"/>
    <x v="0"/>
    <x v="0"/>
  </r>
  <r>
    <n v="366"/>
    <n v="3"/>
    <x v="2"/>
    <s v="Übung"/>
    <n v="30"/>
    <n v="29"/>
    <n v="-3.3333333333333326E-2"/>
    <x v="0"/>
    <x v="1"/>
  </r>
  <r>
    <n v="366"/>
    <n v="4"/>
    <x v="3"/>
    <s v="Übung"/>
    <n v="30"/>
    <n v="30"/>
    <n v="0"/>
    <x v="0"/>
    <x v="3"/>
  </r>
  <r>
    <n v="366"/>
    <n v="5"/>
    <x v="4"/>
    <s v="Übung"/>
    <n v="30"/>
    <n v="48"/>
    <n v="0.60000000000000009"/>
    <x v="1"/>
    <x v="2"/>
  </r>
  <r>
    <n v="366"/>
    <n v="6"/>
    <x v="5"/>
    <s v="Handout"/>
    <n v="5"/>
    <n v="1"/>
    <n v="-0.8"/>
    <x v="2"/>
    <x v="1"/>
  </r>
  <r>
    <n v="366"/>
    <n v="7"/>
    <x v="6"/>
    <s v="Quiz"/>
    <n v="10"/>
    <n v="10"/>
    <n v="0"/>
    <x v="0"/>
    <x v="2"/>
  </r>
  <r>
    <n v="366"/>
    <n v="8"/>
    <x v="7"/>
    <s v="Video"/>
    <n v="5"/>
    <n v="7"/>
    <n v="0.39999999999999991"/>
    <x v="1"/>
    <x v="0"/>
  </r>
  <r>
    <n v="367"/>
    <n v="1"/>
    <x v="0"/>
    <s v="Video"/>
    <n v="4"/>
    <n v="4"/>
    <n v="0"/>
    <x v="0"/>
    <x v="0"/>
  </r>
  <r>
    <n v="367"/>
    <n v="2"/>
    <x v="1"/>
    <s v="Text"/>
    <n v="15"/>
    <n v="15"/>
    <n v="0"/>
    <x v="0"/>
    <x v="0"/>
  </r>
  <r>
    <n v="367"/>
    <n v="3"/>
    <x v="2"/>
    <s v="Übung"/>
    <n v="30"/>
    <n v="30"/>
    <n v="0"/>
    <x v="0"/>
    <x v="1"/>
  </r>
  <r>
    <n v="367"/>
    <n v="4"/>
    <x v="3"/>
    <s v="Übung"/>
    <n v="30"/>
    <n v="22"/>
    <n v="-0.26666666666666672"/>
    <x v="0"/>
    <x v="3"/>
  </r>
  <r>
    <n v="367"/>
    <n v="5"/>
    <x v="4"/>
    <s v="Übung"/>
    <n v="30"/>
    <n v="40"/>
    <n v="0.33333333333333326"/>
    <x v="1"/>
    <x v="2"/>
  </r>
  <r>
    <n v="367"/>
    <n v="6"/>
    <x v="5"/>
    <s v="Handout"/>
    <n v="5"/>
    <n v="1"/>
    <n v="-0.8"/>
    <x v="2"/>
    <x v="1"/>
  </r>
  <r>
    <n v="367"/>
    <n v="7"/>
    <x v="6"/>
    <s v="Quiz"/>
    <n v="10"/>
    <n v="9"/>
    <n v="-9.9999999999999978E-2"/>
    <x v="0"/>
    <x v="3"/>
  </r>
  <r>
    <n v="367"/>
    <n v="8"/>
    <x v="7"/>
    <s v="Video"/>
    <n v="5"/>
    <n v="8"/>
    <n v="0.60000000000000009"/>
    <x v="1"/>
    <x v="0"/>
  </r>
  <r>
    <n v="368"/>
    <n v="1"/>
    <x v="0"/>
    <s v="Video"/>
    <n v="4"/>
    <n v="4"/>
    <n v="0"/>
    <x v="0"/>
    <x v="0"/>
  </r>
  <r>
    <n v="368"/>
    <n v="2"/>
    <x v="1"/>
    <s v="Text"/>
    <n v="15"/>
    <n v="16"/>
    <n v="6.6666666666666652E-2"/>
    <x v="0"/>
    <x v="0"/>
  </r>
  <r>
    <n v="368"/>
    <n v="3"/>
    <x v="2"/>
    <s v="Übung"/>
    <n v="30"/>
    <n v="26"/>
    <n v="-0.1333333333333333"/>
    <x v="0"/>
    <x v="2"/>
  </r>
  <r>
    <n v="368"/>
    <n v="4"/>
    <x v="3"/>
    <s v="Übung"/>
    <n v="30"/>
    <n v="18"/>
    <n v="-0.4"/>
    <x v="2"/>
    <x v="3"/>
  </r>
  <r>
    <n v="368"/>
    <n v="5"/>
    <x v="4"/>
    <s v="Übung"/>
    <n v="30"/>
    <n v="51"/>
    <n v="0.7"/>
    <x v="3"/>
    <x v="2"/>
  </r>
  <r>
    <n v="368"/>
    <n v="6"/>
    <x v="5"/>
    <s v="Handout"/>
    <n v="5"/>
    <n v="1"/>
    <n v="-0.8"/>
    <x v="2"/>
    <x v="0"/>
  </r>
  <r>
    <n v="368"/>
    <n v="7"/>
    <x v="6"/>
    <s v="Quiz"/>
    <n v="10"/>
    <n v="9"/>
    <n v="-9.9999999999999978E-2"/>
    <x v="0"/>
    <x v="3"/>
  </r>
  <r>
    <n v="368"/>
    <n v="8"/>
    <x v="7"/>
    <s v="Video"/>
    <n v="5"/>
    <n v="5"/>
    <n v="0"/>
    <x v="0"/>
    <x v="0"/>
  </r>
  <r>
    <n v="369"/>
    <n v="1"/>
    <x v="0"/>
    <s v="Video"/>
    <n v="4"/>
    <n v="5"/>
    <n v="0.25"/>
    <x v="0"/>
    <x v="0"/>
  </r>
  <r>
    <n v="369"/>
    <n v="2"/>
    <x v="1"/>
    <s v="Text"/>
    <n v="15"/>
    <n v="15"/>
    <n v="0"/>
    <x v="0"/>
    <x v="0"/>
  </r>
  <r>
    <n v="369"/>
    <n v="3"/>
    <x v="2"/>
    <s v="Übung"/>
    <n v="30"/>
    <n v="27"/>
    <n v="-9.9999999999999978E-2"/>
    <x v="0"/>
    <x v="3"/>
  </r>
  <r>
    <n v="369"/>
    <n v="4"/>
    <x v="3"/>
    <s v="Übung"/>
    <n v="30"/>
    <n v="21"/>
    <n v="-0.30000000000000004"/>
    <x v="0"/>
    <x v="3"/>
  </r>
  <r>
    <n v="369"/>
    <n v="5"/>
    <x v="4"/>
    <s v="Übung"/>
    <n v="30"/>
    <n v="51"/>
    <n v="0.7"/>
    <x v="3"/>
    <x v="3"/>
  </r>
  <r>
    <n v="369"/>
    <n v="6"/>
    <x v="5"/>
    <s v="Handout"/>
    <n v="5"/>
    <n v="2"/>
    <n v="-0.6"/>
    <x v="2"/>
    <x v="1"/>
  </r>
  <r>
    <n v="369"/>
    <n v="7"/>
    <x v="6"/>
    <s v="Quiz"/>
    <n v="10"/>
    <n v="10"/>
    <n v="0"/>
    <x v="0"/>
    <x v="2"/>
  </r>
  <r>
    <n v="369"/>
    <n v="8"/>
    <x v="7"/>
    <s v="Video"/>
    <n v="5"/>
    <n v="5"/>
    <n v="0"/>
    <x v="0"/>
    <x v="0"/>
  </r>
  <r>
    <n v="370"/>
    <n v="1"/>
    <x v="0"/>
    <s v="Video"/>
    <n v="4"/>
    <n v="4"/>
    <n v="0"/>
    <x v="0"/>
    <x v="0"/>
  </r>
  <r>
    <n v="370"/>
    <n v="2"/>
    <x v="1"/>
    <s v="Text"/>
    <n v="15"/>
    <n v="16"/>
    <n v="6.6666666666666652E-2"/>
    <x v="0"/>
    <x v="1"/>
  </r>
  <r>
    <n v="370"/>
    <n v="3"/>
    <x v="2"/>
    <s v="Übung"/>
    <n v="30"/>
    <n v="27"/>
    <n v="-9.9999999999999978E-2"/>
    <x v="0"/>
    <x v="1"/>
  </r>
  <r>
    <n v="370"/>
    <n v="4"/>
    <x v="3"/>
    <s v="Übung"/>
    <n v="30"/>
    <n v="34"/>
    <n v="0.1333333333333333"/>
    <x v="0"/>
    <x v="1"/>
  </r>
  <r>
    <n v="370"/>
    <n v="5"/>
    <x v="4"/>
    <s v="Übung"/>
    <n v="30"/>
    <n v="49"/>
    <n v="0.6333333333333333"/>
    <x v="3"/>
    <x v="2"/>
  </r>
  <r>
    <n v="370"/>
    <n v="6"/>
    <x v="5"/>
    <s v="Handout"/>
    <n v="5"/>
    <n v="2"/>
    <n v="-0.6"/>
    <x v="2"/>
    <x v="1"/>
  </r>
  <r>
    <n v="370"/>
    <n v="7"/>
    <x v="6"/>
    <s v="Quiz"/>
    <n v="10"/>
    <n v="9"/>
    <n v="-9.9999999999999978E-2"/>
    <x v="0"/>
    <x v="3"/>
  </r>
  <r>
    <n v="370"/>
    <n v="8"/>
    <x v="7"/>
    <s v="Video"/>
    <n v="5"/>
    <n v="5"/>
    <n v="0"/>
    <x v="0"/>
    <x v="0"/>
  </r>
  <r>
    <n v="371"/>
    <n v="1"/>
    <x v="0"/>
    <s v="Video"/>
    <n v="4"/>
    <n v="4"/>
    <n v="0"/>
    <x v="0"/>
    <x v="0"/>
  </r>
  <r>
    <n v="371"/>
    <n v="2"/>
    <x v="1"/>
    <s v="Text"/>
    <n v="15"/>
    <n v="20"/>
    <n v="0.33333333333333326"/>
    <x v="1"/>
    <x v="1"/>
  </r>
  <r>
    <n v="371"/>
    <n v="3"/>
    <x v="2"/>
    <s v="Übung"/>
    <n v="30"/>
    <n v="35"/>
    <n v="0.16666666666666674"/>
    <x v="0"/>
    <x v="3"/>
  </r>
  <r>
    <n v="371"/>
    <n v="4"/>
    <x v="3"/>
    <s v="Übung"/>
    <n v="30"/>
    <n v="30"/>
    <n v="0"/>
    <x v="0"/>
    <x v="3"/>
  </r>
  <r>
    <n v="371"/>
    <n v="5"/>
    <x v="4"/>
    <s v="Übung"/>
    <n v="30"/>
    <n v="54"/>
    <n v="0.8"/>
    <x v="3"/>
    <x v="2"/>
  </r>
  <r>
    <n v="371"/>
    <n v="6"/>
    <x v="5"/>
    <s v="Handout"/>
    <n v="5"/>
    <n v="1"/>
    <n v="-0.8"/>
    <x v="2"/>
    <x v="1"/>
  </r>
  <r>
    <n v="371"/>
    <n v="7"/>
    <x v="6"/>
    <s v="Quiz"/>
    <n v="10"/>
    <n v="9"/>
    <n v="-9.9999999999999978E-2"/>
    <x v="0"/>
    <x v="2"/>
  </r>
  <r>
    <n v="371"/>
    <n v="8"/>
    <x v="7"/>
    <s v="Video"/>
    <n v="5"/>
    <n v="5"/>
    <n v="0"/>
    <x v="0"/>
    <x v="1"/>
  </r>
  <r>
    <n v="372"/>
    <n v="1"/>
    <x v="0"/>
    <s v="Video"/>
    <n v="4"/>
    <n v="4"/>
    <n v="0"/>
    <x v="0"/>
    <x v="1"/>
  </r>
  <r>
    <n v="372"/>
    <n v="2"/>
    <x v="1"/>
    <s v="Text"/>
    <n v="15"/>
    <n v="19"/>
    <n v="0.26666666666666661"/>
    <x v="0"/>
    <x v="0"/>
  </r>
  <r>
    <n v="372"/>
    <n v="3"/>
    <x v="2"/>
    <s v="Übung"/>
    <n v="30"/>
    <n v="29"/>
    <n v="-3.3333333333333326E-2"/>
    <x v="0"/>
    <x v="3"/>
  </r>
  <r>
    <n v="372"/>
    <n v="4"/>
    <x v="3"/>
    <s v="Übung"/>
    <n v="30"/>
    <n v="29"/>
    <n v="-3.3333333333333326E-2"/>
    <x v="0"/>
    <x v="3"/>
  </r>
  <r>
    <n v="372"/>
    <n v="5"/>
    <x v="4"/>
    <s v="Übung"/>
    <n v="30"/>
    <n v="42"/>
    <n v="0.39999999999999991"/>
    <x v="1"/>
    <x v="2"/>
  </r>
  <r>
    <n v="372"/>
    <n v="6"/>
    <x v="5"/>
    <s v="Handout"/>
    <n v="5"/>
    <n v="3"/>
    <n v="-0.4"/>
    <x v="2"/>
    <x v="1"/>
  </r>
  <r>
    <n v="372"/>
    <n v="7"/>
    <x v="6"/>
    <s v="Quiz"/>
    <n v="10"/>
    <n v="8"/>
    <n v="-0.19999999999999996"/>
    <x v="0"/>
    <x v="3"/>
  </r>
  <r>
    <n v="372"/>
    <n v="8"/>
    <x v="7"/>
    <s v="Video"/>
    <n v="5"/>
    <n v="5"/>
    <n v="0"/>
    <x v="0"/>
    <x v="0"/>
  </r>
  <r>
    <n v="373"/>
    <n v="1"/>
    <x v="0"/>
    <s v="Video"/>
    <n v="4"/>
    <n v="6"/>
    <n v="0.5"/>
    <x v="1"/>
    <x v="0"/>
  </r>
  <r>
    <n v="373"/>
    <n v="2"/>
    <x v="1"/>
    <s v="Text"/>
    <n v="15"/>
    <n v="22"/>
    <n v="0.46666666666666656"/>
    <x v="1"/>
    <x v="1"/>
  </r>
  <r>
    <n v="373"/>
    <n v="3"/>
    <x v="2"/>
    <s v="Übung"/>
    <n v="30"/>
    <n v="28"/>
    <n v="-6.6666666666666652E-2"/>
    <x v="0"/>
    <x v="3"/>
  </r>
  <r>
    <n v="373"/>
    <n v="4"/>
    <x v="3"/>
    <s v="Übung"/>
    <n v="30"/>
    <n v="35"/>
    <n v="0.16666666666666674"/>
    <x v="0"/>
    <x v="3"/>
  </r>
  <r>
    <n v="373"/>
    <n v="5"/>
    <x v="4"/>
    <s v="Übung"/>
    <n v="30"/>
    <n v="41"/>
    <n v="0.3666666666666667"/>
    <x v="1"/>
    <x v="3"/>
  </r>
  <r>
    <n v="373"/>
    <n v="6"/>
    <x v="5"/>
    <s v="Handout"/>
    <n v="5"/>
    <n v="1"/>
    <n v="-0.8"/>
    <x v="2"/>
    <x v="3"/>
  </r>
  <r>
    <n v="373"/>
    <n v="7"/>
    <x v="6"/>
    <s v="Quiz"/>
    <n v="10"/>
    <n v="9"/>
    <n v="-9.9999999999999978E-2"/>
    <x v="0"/>
    <x v="3"/>
  </r>
  <r>
    <n v="373"/>
    <n v="8"/>
    <x v="7"/>
    <s v="Video"/>
    <n v="5"/>
    <n v="5"/>
    <n v="0"/>
    <x v="0"/>
    <x v="0"/>
  </r>
  <r>
    <n v="374"/>
    <n v="1"/>
    <x v="0"/>
    <s v="Video"/>
    <n v="4"/>
    <n v="4"/>
    <n v="0"/>
    <x v="0"/>
    <x v="0"/>
  </r>
  <r>
    <n v="374"/>
    <n v="2"/>
    <x v="1"/>
    <s v="Text"/>
    <n v="15"/>
    <n v="21"/>
    <n v="0.39999999999999991"/>
    <x v="1"/>
    <x v="0"/>
  </r>
  <r>
    <n v="374"/>
    <n v="3"/>
    <x v="2"/>
    <s v="Übung"/>
    <n v="30"/>
    <n v="30"/>
    <n v="0"/>
    <x v="0"/>
    <x v="1"/>
  </r>
  <r>
    <n v="374"/>
    <n v="4"/>
    <x v="3"/>
    <s v="Übung"/>
    <n v="30"/>
    <n v="33"/>
    <n v="0.10000000000000009"/>
    <x v="0"/>
    <x v="3"/>
  </r>
  <r>
    <n v="374"/>
    <n v="5"/>
    <x v="4"/>
    <s v="Übung"/>
    <n v="30"/>
    <n v="42"/>
    <n v="0.39999999999999991"/>
    <x v="1"/>
    <x v="3"/>
  </r>
  <r>
    <n v="374"/>
    <n v="6"/>
    <x v="5"/>
    <s v="Handout"/>
    <n v="5"/>
    <n v="3"/>
    <n v="-0.4"/>
    <x v="2"/>
    <x v="1"/>
  </r>
  <r>
    <n v="374"/>
    <n v="7"/>
    <x v="6"/>
    <s v="Quiz"/>
    <n v="10"/>
    <n v="8"/>
    <n v="-0.19999999999999996"/>
    <x v="0"/>
    <x v="3"/>
  </r>
  <r>
    <n v="374"/>
    <n v="8"/>
    <x v="7"/>
    <s v="Video"/>
    <n v="5"/>
    <n v="5"/>
    <n v="0"/>
    <x v="0"/>
    <x v="0"/>
  </r>
  <r>
    <n v="375"/>
    <n v="1"/>
    <x v="0"/>
    <s v="Video"/>
    <n v="4"/>
    <n v="4"/>
    <n v="0"/>
    <x v="0"/>
    <x v="0"/>
  </r>
  <r>
    <n v="375"/>
    <n v="2"/>
    <x v="1"/>
    <s v="Text"/>
    <n v="15"/>
    <n v="21"/>
    <n v="0.39999999999999991"/>
    <x v="1"/>
    <x v="1"/>
  </r>
  <r>
    <n v="375"/>
    <n v="3"/>
    <x v="2"/>
    <s v="Übung"/>
    <n v="30"/>
    <n v="30"/>
    <n v="0"/>
    <x v="0"/>
    <x v="3"/>
  </r>
  <r>
    <n v="375"/>
    <n v="4"/>
    <x v="3"/>
    <s v="Übung"/>
    <n v="30"/>
    <n v="27"/>
    <n v="-9.9999999999999978E-2"/>
    <x v="0"/>
    <x v="1"/>
  </r>
  <r>
    <n v="375"/>
    <n v="5"/>
    <x v="4"/>
    <s v="Übung"/>
    <n v="30"/>
    <n v="42"/>
    <n v="0.39999999999999991"/>
    <x v="1"/>
    <x v="2"/>
  </r>
  <r>
    <n v="375"/>
    <n v="6"/>
    <x v="5"/>
    <s v="Handout"/>
    <n v="5"/>
    <n v="1"/>
    <n v="-0.8"/>
    <x v="2"/>
    <x v="0"/>
  </r>
  <r>
    <n v="375"/>
    <n v="7"/>
    <x v="6"/>
    <s v="Quiz"/>
    <n v="10"/>
    <n v="9"/>
    <n v="-9.9999999999999978E-2"/>
    <x v="0"/>
    <x v="2"/>
  </r>
  <r>
    <n v="375"/>
    <n v="8"/>
    <x v="7"/>
    <s v="Video"/>
    <n v="5"/>
    <n v="5"/>
    <n v="0"/>
    <x v="0"/>
    <x v="0"/>
  </r>
  <r>
    <n v="376"/>
    <n v="1"/>
    <x v="0"/>
    <s v="Video"/>
    <n v="4"/>
    <n v="4"/>
    <n v="0"/>
    <x v="0"/>
    <x v="0"/>
  </r>
  <r>
    <n v="376"/>
    <n v="2"/>
    <x v="1"/>
    <s v="Text"/>
    <n v="15"/>
    <n v="16"/>
    <n v="6.6666666666666652E-2"/>
    <x v="0"/>
    <x v="1"/>
  </r>
  <r>
    <n v="376"/>
    <n v="3"/>
    <x v="2"/>
    <s v="Übung"/>
    <n v="30"/>
    <n v="30"/>
    <n v="0"/>
    <x v="0"/>
    <x v="3"/>
  </r>
  <r>
    <n v="376"/>
    <n v="4"/>
    <x v="3"/>
    <s v="Übung"/>
    <n v="30"/>
    <n v="22"/>
    <n v="-0.26666666666666672"/>
    <x v="0"/>
    <x v="3"/>
  </r>
  <r>
    <n v="376"/>
    <n v="5"/>
    <x v="4"/>
    <s v="Übung"/>
    <n v="30"/>
    <n v="44"/>
    <n v="0.46666666666666656"/>
    <x v="1"/>
    <x v="2"/>
  </r>
  <r>
    <n v="376"/>
    <n v="6"/>
    <x v="5"/>
    <s v="Handout"/>
    <n v="5"/>
    <n v="3"/>
    <n v="-0.4"/>
    <x v="2"/>
    <x v="1"/>
  </r>
  <r>
    <n v="376"/>
    <n v="7"/>
    <x v="6"/>
    <s v="Quiz"/>
    <n v="10"/>
    <n v="8"/>
    <n v="-0.19999999999999996"/>
    <x v="0"/>
    <x v="3"/>
  </r>
  <r>
    <n v="376"/>
    <n v="8"/>
    <x v="7"/>
    <s v="Video"/>
    <n v="5"/>
    <n v="6"/>
    <n v="0.19999999999999996"/>
    <x v="0"/>
    <x v="0"/>
  </r>
  <r>
    <n v="377"/>
    <n v="1"/>
    <x v="0"/>
    <s v="Video"/>
    <n v="4"/>
    <n v="4"/>
    <n v="0"/>
    <x v="0"/>
    <x v="0"/>
  </r>
  <r>
    <n v="377"/>
    <n v="2"/>
    <x v="1"/>
    <s v="Text"/>
    <n v="15"/>
    <n v="17"/>
    <n v="0.1333333333333333"/>
    <x v="0"/>
    <x v="0"/>
  </r>
  <r>
    <n v="377"/>
    <n v="3"/>
    <x v="2"/>
    <s v="Übung"/>
    <n v="30"/>
    <n v="29"/>
    <n v="-3.3333333333333326E-2"/>
    <x v="0"/>
    <x v="1"/>
  </r>
  <r>
    <n v="377"/>
    <n v="4"/>
    <x v="3"/>
    <s v="Übung"/>
    <n v="30"/>
    <n v="22"/>
    <n v="-0.26666666666666672"/>
    <x v="0"/>
    <x v="3"/>
  </r>
  <r>
    <n v="377"/>
    <n v="5"/>
    <x v="4"/>
    <s v="Übung"/>
    <n v="30"/>
    <n v="45"/>
    <n v="0.5"/>
    <x v="1"/>
    <x v="3"/>
  </r>
  <r>
    <n v="377"/>
    <n v="6"/>
    <x v="5"/>
    <s v="Handout"/>
    <n v="5"/>
    <n v="1"/>
    <n v="-0.8"/>
    <x v="2"/>
    <x v="1"/>
  </r>
  <r>
    <n v="377"/>
    <n v="7"/>
    <x v="6"/>
    <s v="Quiz"/>
    <n v="10"/>
    <n v="9"/>
    <n v="-9.9999999999999978E-2"/>
    <x v="0"/>
    <x v="3"/>
  </r>
  <r>
    <n v="377"/>
    <n v="8"/>
    <x v="7"/>
    <s v="Video"/>
    <n v="5"/>
    <n v="5"/>
    <n v="0"/>
    <x v="0"/>
    <x v="0"/>
  </r>
  <r>
    <n v="378"/>
    <n v="1"/>
    <x v="0"/>
    <s v="Video"/>
    <n v="4"/>
    <n v="4"/>
    <n v="0"/>
    <x v="0"/>
    <x v="0"/>
  </r>
  <r>
    <n v="378"/>
    <n v="2"/>
    <x v="1"/>
    <s v="Text"/>
    <n v="15"/>
    <n v="17"/>
    <n v="0.1333333333333333"/>
    <x v="0"/>
    <x v="1"/>
  </r>
  <r>
    <n v="378"/>
    <n v="3"/>
    <x v="2"/>
    <s v="Übung"/>
    <n v="30"/>
    <n v="29"/>
    <n v="-3.3333333333333326E-2"/>
    <x v="0"/>
    <x v="1"/>
  </r>
  <r>
    <n v="378"/>
    <n v="4"/>
    <x v="3"/>
    <s v="Übung"/>
    <n v="30"/>
    <n v="26"/>
    <n v="-0.1333333333333333"/>
    <x v="0"/>
    <x v="3"/>
  </r>
  <r>
    <n v="378"/>
    <n v="5"/>
    <x v="4"/>
    <s v="Übung"/>
    <n v="30"/>
    <n v="40"/>
    <n v="0.33333333333333326"/>
    <x v="1"/>
    <x v="3"/>
  </r>
  <r>
    <n v="378"/>
    <n v="6"/>
    <x v="5"/>
    <s v="Handout"/>
    <n v="5"/>
    <n v="1"/>
    <n v="-0.8"/>
    <x v="2"/>
    <x v="1"/>
  </r>
  <r>
    <n v="378"/>
    <n v="7"/>
    <x v="6"/>
    <s v="Quiz"/>
    <n v="10"/>
    <n v="10"/>
    <n v="0"/>
    <x v="0"/>
    <x v="3"/>
  </r>
  <r>
    <n v="378"/>
    <n v="8"/>
    <x v="7"/>
    <s v="Video"/>
    <n v="5"/>
    <n v="5"/>
    <n v="0"/>
    <x v="0"/>
    <x v="0"/>
  </r>
  <r>
    <n v="379"/>
    <n v="1"/>
    <x v="0"/>
    <s v="Video"/>
    <n v="4"/>
    <n v="4"/>
    <n v="0"/>
    <x v="0"/>
    <x v="0"/>
  </r>
  <r>
    <n v="379"/>
    <n v="2"/>
    <x v="1"/>
    <s v="Text"/>
    <n v="15"/>
    <n v="22"/>
    <n v="0.46666666666666656"/>
    <x v="1"/>
    <x v="0"/>
  </r>
  <r>
    <n v="379"/>
    <n v="3"/>
    <x v="2"/>
    <s v="Übung"/>
    <n v="30"/>
    <n v="27"/>
    <n v="-9.9999999999999978E-2"/>
    <x v="0"/>
    <x v="1"/>
  </r>
  <r>
    <n v="379"/>
    <n v="4"/>
    <x v="3"/>
    <s v="Übung"/>
    <n v="30"/>
    <n v="25"/>
    <n v="-0.16666666666666663"/>
    <x v="0"/>
    <x v="3"/>
  </r>
  <r>
    <n v="379"/>
    <n v="5"/>
    <x v="4"/>
    <s v="Übung"/>
    <n v="30"/>
    <n v="39"/>
    <n v="0.30000000000000004"/>
    <x v="0"/>
    <x v="2"/>
  </r>
  <r>
    <n v="379"/>
    <n v="6"/>
    <x v="5"/>
    <s v="Handout"/>
    <n v="5"/>
    <n v="2"/>
    <n v="-0.6"/>
    <x v="2"/>
    <x v="1"/>
  </r>
  <r>
    <n v="379"/>
    <n v="7"/>
    <x v="6"/>
    <s v="Quiz"/>
    <n v="10"/>
    <n v="8"/>
    <n v="-0.19999999999999996"/>
    <x v="0"/>
    <x v="3"/>
  </r>
  <r>
    <n v="379"/>
    <n v="8"/>
    <x v="7"/>
    <s v="Video"/>
    <n v="5"/>
    <n v="5"/>
    <n v="0"/>
    <x v="0"/>
    <x v="0"/>
  </r>
  <r>
    <n v="380"/>
    <n v="1"/>
    <x v="0"/>
    <s v="Video"/>
    <n v="4"/>
    <n v="4"/>
    <n v="0"/>
    <x v="0"/>
    <x v="0"/>
  </r>
  <r>
    <n v="380"/>
    <n v="2"/>
    <x v="1"/>
    <s v="Text"/>
    <n v="15"/>
    <n v="16"/>
    <n v="6.6666666666666652E-2"/>
    <x v="0"/>
    <x v="0"/>
  </r>
  <r>
    <n v="380"/>
    <n v="3"/>
    <x v="2"/>
    <s v="Übung"/>
    <n v="30"/>
    <n v="29"/>
    <n v="-3.3333333333333326E-2"/>
    <x v="0"/>
    <x v="3"/>
  </r>
  <r>
    <n v="380"/>
    <n v="4"/>
    <x v="3"/>
    <s v="Übung"/>
    <n v="30"/>
    <n v="22"/>
    <n v="-0.26666666666666672"/>
    <x v="0"/>
    <x v="3"/>
  </r>
  <r>
    <n v="380"/>
    <n v="5"/>
    <x v="4"/>
    <s v="Übung"/>
    <n v="30"/>
    <n v="55"/>
    <n v="0.83333333333333326"/>
    <x v="3"/>
    <x v="2"/>
  </r>
  <r>
    <n v="380"/>
    <n v="6"/>
    <x v="5"/>
    <s v="Handout"/>
    <n v="5"/>
    <n v="1"/>
    <n v="-0.8"/>
    <x v="2"/>
    <x v="3"/>
  </r>
  <r>
    <n v="380"/>
    <n v="7"/>
    <x v="6"/>
    <s v="Quiz"/>
    <n v="10"/>
    <n v="11"/>
    <n v="0.10000000000000009"/>
    <x v="0"/>
    <x v="3"/>
  </r>
  <r>
    <n v="380"/>
    <n v="8"/>
    <x v="7"/>
    <s v="Video"/>
    <n v="5"/>
    <n v="5"/>
    <n v="0"/>
    <x v="0"/>
    <x v="0"/>
  </r>
  <r>
    <n v="381"/>
    <n v="1"/>
    <x v="0"/>
    <s v="Video"/>
    <n v="4"/>
    <n v="4"/>
    <n v="0"/>
    <x v="0"/>
    <x v="0"/>
  </r>
  <r>
    <n v="381"/>
    <n v="2"/>
    <x v="1"/>
    <s v="Text"/>
    <n v="15"/>
    <n v="17"/>
    <n v="0.1333333333333333"/>
    <x v="0"/>
    <x v="1"/>
  </r>
  <r>
    <n v="381"/>
    <n v="3"/>
    <x v="2"/>
    <s v="Übung"/>
    <n v="30"/>
    <n v="28"/>
    <n v="-6.6666666666666652E-2"/>
    <x v="0"/>
    <x v="3"/>
  </r>
  <r>
    <n v="381"/>
    <n v="4"/>
    <x v="3"/>
    <s v="Übung"/>
    <n v="30"/>
    <n v="29"/>
    <n v="-3.3333333333333326E-2"/>
    <x v="0"/>
    <x v="3"/>
  </r>
  <r>
    <n v="381"/>
    <n v="5"/>
    <x v="4"/>
    <s v="Übung"/>
    <n v="30"/>
    <n v="40"/>
    <n v="0.33333333333333326"/>
    <x v="1"/>
    <x v="2"/>
  </r>
  <r>
    <n v="381"/>
    <n v="6"/>
    <x v="5"/>
    <s v="Handout"/>
    <n v="5"/>
    <n v="2"/>
    <n v="-0.6"/>
    <x v="2"/>
    <x v="1"/>
  </r>
  <r>
    <n v="381"/>
    <n v="7"/>
    <x v="6"/>
    <s v="Quiz"/>
    <n v="10"/>
    <n v="9"/>
    <n v="-9.9999999999999978E-2"/>
    <x v="0"/>
    <x v="3"/>
  </r>
  <r>
    <n v="381"/>
    <n v="8"/>
    <x v="7"/>
    <s v="Video"/>
    <n v="5"/>
    <n v="5"/>
    <n v="0"/>
    <x v="0"/>
    <x v="0"/>
  </r>
  <r>
    <n v="382"/>
    <n v="1"/>
    <x v="0"/>
    <s v="Video"/>
    <n v="4"/>
    <n v="4"/>
    <n v="0"/>
    <x v="0"/>
    <x v="0"/>
  </r>
  <r>
    <n v="382"/>
    <n v="2"/>
    <x v="1"/>
    <s v="Text"/>
    <n v="15"/>
    <n v="17"/>
    <n v="0.1333333333333333"/>
    <x v="0"/>
    <x v="0"/>
  </r>
  <r>
    <n v="382"/>
    <n v="3"/>
    <x v="2"/>
    <s v="Übung"/>
    <n v="30"/>
    <n v="30"/>
    <n v="0"/>
    <x v="0"/>
    <x v="3"/>
  </r>
  <r>
    <n v="382"/>
    <n v="4"/>
    <x v="3"/>
    <s v="Übung"/>
    <n v="30"/>
    <n v="30"/>
    <n v="0"/>
    <x v="0"/>
    <x v="3"/>
  </r>
  <r>
    <n v="382"/>
    <n v="5"/>
    <x v="4"/>
    <s v="Übung"/>
    <n v="30"/>
    <n v="52"/>
    <n v="0.73333333333333339"/>
    <x v="3"/>
    <x v="2"/>
  </r>
  <r>
    <n v="382"/>
    <n v="6"/>
    <x v="5"/>
    <s v="Handout"/>
    <n v="5"/>
    <n v="1"/>
    <n v="-0.8"/>
    <x v="2"/>
    <x v="3"/>
  </r>
  <r>
    <n v="382"/>
    <n v="7"/>
    <x v="6"/>
    <s v="Quiz"/>
    <n v="10"/>
    <n v="11"/>
    <n v="0.10000000000000009"/>
    <x v="0"/>
    <x v="2"/>
  </r>
  <r>
    <n v="382"/>
    <n v="8"/>
    <x v="7"/>
    <s v="Video"/>
    <n v="5"/>
    <n v="5"/>
    <n v="0"/>
    <x v="0"/>
    <x v="0"/>
  </r>
  <r>
    <n v="383"/>
    <n v="1"/>
    <x v="0"/>
    <s v="Video"/>
    <n v="4"/>
    <n v="4"/>
    <n v="0"/>
    <x v="0"/>
    <x v="0"/>
  </r>
  <r>
    <n v="383"/>
    <n v="2"/>
    <x v="1"/>
    <s v="Text"/>
    <n v="15"/>
    <n v="19"/>
    <n v="0.26666666666666661"/>
    <x v="0"/>
    <x v="0"/>
  </r>
  <r>
    <n v="383"/>
    <n v="3"/>
    <x v="2"/>
    <s v="Übung"/>
    <n v="30"/>
    <n v="27"/>
    <n v="-9.9999999999999978E-2"/>
    <x v="0"/>
    <x v="3"/>
  </r>
  <r>
    <n v="383"/>
    <n v="4"/>
    <x v="3"/>
    <s v="Übung"/>
    <n v="30"/>
    <n v="16"/>
    <n v="-0.46666666666666667"/>
    <x v="2"/>
    <x v="3"/>
  </r>
  <r>
    <n v="383"/>
    <n v="5"/>
    <x v="4"/>
    <s v="Übung"/>
    <n v="30"/>
    <n v="48"/>
    <n v="0.60000000000000009"/>
    <x v="1"/>
    <x v="3"/>
  </r>
  <r>
    <n v="383"/>
    <n v="6"/>
    <x v="5"/>
    <s v="Handout"/>
    <n v="5"/>
    <n v="2"/>
    <n v="-0.6"/>
    <x v="2"/>
    <x v="1"/>
  </r>
  <r>
    <n v="383"/>
    <n v="7"/>
    <x v="6"/>
    <s v="Quiz"/>
    <n v="10"/>
    <n v="8"/>
    <n v="-0.19999999999999996"/>
    <x v="0"/>
    <x v="3"/>
  </r>
  <r>
    <n v="383"/>
    <n v="8"/>
    <x v="7"/>
    <s v="Video"/>
    <n v="5"/>
    <n v="8"/>
    <n v="0.60000000000000009"/>
    <x v="1"/>
    <x v="0"/>
  </r>
  <r>
    <n v="384"/>
    <n v="1"/>
    <x v="0"/>
    <s v="Video"/>
    <n v="4"/>
    <n v="4"/>
    <n v="0"/>
    <x v="0"/>
    <x v="0"/>
  </r>
  <r>
    <n v="384"/>
    <n v="2"/>
    <x v="1"/>
    <s v="Text"/>
    <n v="15"/>
    <n v="18"/>
    <n v="0.19999999999999996"/>
    <x v="0"/>
    <x v="1"/>
  </r>
  <r>
    <n v="384"/>
    <n v="3"/>
    <x v="2"/>
    <s v="Übung"/>
    <n v="30"/>
    <n v="29"/>
    <n v="-3.3333333333333326E-2"/>
    <x v="0"/>
    <x v="1"/>
  </r>
  <r>
    <n v="384"/>
    <n v="4"/>
    <x v="3"/>
    <s v="Übung"/>
    <n v="30"/>
    <n v="23"/>
    <n v="-0.23333333333333328"/>
    <x v="0"/>
    <x v="3"/>
  </r>
  <r>
    <n v="384"/>
    <n v="5"/>
    <x v="4"/>
    <s v="Übung"/>
    <n v="30"/>
    <n v="45"/>
    <n v="0.5"/>
    <x v="1"/>
    <x v="3"/>
  </r>
  <r>
    <n v="384"/>
    <n v="6"/>
    <x v="5"/>
    <s v="Handout"/>
    <n v="5"/>
    <n v="2"/>
    <n v="-0.6"/>
    <x v="2"/>
    <x v="1"/>
  </r>
  <r>
    <n v="384"/>
    <n v="7"/>
    <x v="6"/>
    <s v="Quiz"/>
    <n v="10"/>
    <n v="8"/>
    <n v="-0.19999999999999996"/>
    <x v="0"/>
    <x v="3"/>
  </r>
  <r>
    <n v="384"/>
    <n v="8"/>
    <x v="7"/>
    <s v="Video"/>
    <n v="5"/>
    <n v="5"/>
    <n v="0"/>
    <x v="0"/>
    <x v="0"/>
  </r>
  <r>
    <n v="385"/>
    <n v="1"/>
    <x v="0"/>
    <s v="Video"/>
    <n v="4"/>
    <n v="4"/>
    <n v="0"/>
    <x v="0"/>
    <x v="0"/>
  </r>
  <r>
    <n v="385"/>
    <n v="2"/>
    <x v="1"/>
    <s v="Text"/>
    <n v="15"/>
    <n v="15"/>
    <n v="0"/>
    <x v="0"/>
    <x v="1"/>
  </r>
  <r>
    <n v="385"/>
    <n v="3"/>
    <x v="2"/>
    <s v="Übung"/>
    <n v="30"/>
    <n v="28"/>
    <n v="-6.6666666666666652E-2"/>
    <x v="0"/>
    <x v="1"/>
  </r>
  <r>
    <n v="385"/>
    <n v="4"/>
    <x v="3"/>
    <s v="Übung"/>
    <n v="30"/>
    <n v="29"/>
    <n v="-3.3333333333333326E-2"/>
    <x v="0"/>
    <x v="3"/>
  </r>
  <r>
    <n v="385"/>
    <n v="5"/>
    <x v="4"/>
    <s v="Übung"/>
    <n v="30"/>
    <n v="48"/>
    <n v="0.60000000000000009"/>
    <x v="1"/>
    <x v="2"/>
  </r>
  <r>
    <n v="385"/>
    <n v="6"/>
    <x v="5"/>
    <s v="Handout"/>
    <n v="5"/>
    <n v="2"/>
    <n v="-0.6"/>
    <x v="2"/>
    <x v="1"/>
  </r>
  <r>
    <n v="385"/>
    <n v="7"/>
    <x v="6"/>
    <s v="Quiz"/>
    <n v="10"/>
    <n v="8"/>
    <n v="-0.19999999999999996"/>
    <x v="0"/>
    <x v="3"/>
  </r>
  <r>
    <n v="385"/>
    <n v="8"/>
    <x v="7"/>
    <s v="Video"/>
    <n v="5"/>
    <n v="5"/>
    <n v="0"/>
    <x v="0"/>
    <x v="0"/>
  </r>
  <r>
    <n v="386"/>
    <n v="1"/>
    <x v="0"/>
    <s v="Video"/>
    <n v="4"/>
    <n v="4"/>
    <n v="0"/>
    <x v="0"/>
    <x v="0"/>
  </r>
  <r>
    <n v="386"/>
    <n v="2"/>
    <x v="1"/>
    <s v="Text"/>
    <n v="15"/>
    <n v="17"/>
    <n v="0.1333333333333333"/>
    <x v="0"/>
    <x v="0"/>
  </r>
  <r>
    <n v="386"/>
    <n v="3"/>
    <x v="2"/>
    <s v="Übung"/>
    <n v="30"/>
    <n v="29"/>
    <n v="-3.3333333333333326E-2"/>
    <x v="0"/>
    <x v="1"/>
  </r>
  <r>
    <n v="386"/>
    <n v="4"/>
    <x v="3"/>
    <s v="Übung"/>
    <n v="30"/>
    <n v="24"/>
    <n v="-0.19999999999999996"/>
    <x v="0"/>
    <x v="3"/>
  </r>
  <r>
    <n v="386"/>
    <n v="5"/>
    <x v="4"/>
    <s v="Übung"/>
    <n v="30"/>
    <n v="42"/>
    <n v="0.39999999999999991"/>
    <x v="1"/>
    <x v="2"/>
  </r>
  <r>
    <n v="386"/>
    <n v="6"/>
    <x v="5"/>
    <s v="Handout"/>
    <n v="5"/>
    <n v="2"/>
    <n v="-0.6"/>
    <x v="2"/>
    <x v="3"/>
  </r>
  <r>
    <n v="386"/>
    <n v="7"/>
    <x v="6"/>
    <s v="Quiz"/>
    <n v="10"/>
    <n v="9"/>
    <n v="-9.9999999999999978E-2"/>
    <x v="0"/>
    <x v="3"/>
  </r>
  <r>
    <n v="386"/>
    <n v="8"/>
    <x v="7"/>
    <s v="Video"/>
    <n v="5"/>
    <n v="7"/>
    <n v="0.39999999999999991"/>
    <x v="1"/>
    <x v="0"/>
  </r>
  <r>
    <n v="388"/>
    <n v="1"/>
    <x v="0"/>
    <s v="Video"/>
    <n v="4"/>
    <n v="4"/>
    <n v="0"/>
    <x v="0"/>
    <x v="0"/>
  </r>
  <r>
    <n v="388"/>
    <n v="2"/>
    <x v="1"/>
    <s v="Text"/>
    <n v="15"/>
    <n v="15"/>
    <n v="0"/>
    <x v="0"/>
    <x v="0"/>
  </r>
  <r>
    <n v="388"/>
    <n v="3"/>
    <x v="2"/>
    <s v="Übung"/>
    <n v="30"/>
    <n v="29"/>
    <n v="-3.3333333333333326E-2"/>
    <x v="0"/>
    <x v="3"/>
  </r>
  <r>
    <n v="388"/>
    <n v="4"/>
    <x v="3"/>
    <s v="Übung"/>
    <n v="30"/>
    <n v="28"/>
    <n v="-6.6666666666666652E-2"/>
    <x v="0"/>
    <x v="1"/>
  </r>
  <r>
    <n v="388"/>
    <n v="5"/>
    <x v="4"/>
    <s v="Übung"/>
    <n v="30"/>
    <n v="47"/>
    <n v="0.56666666666666665"/>
    <x v="1"/>
    <x v="2"/>
  </r>
  <r>
    <n v="388"/>
    <n v="6"/>
    <x v="5"/>
    <s v="Handout"/>
    <n v="5"/>
    <n v="2"/>
    <n v="-0.6"/>
    <x v="2"/>
    <x v="0"/>
  </r>
  <r>
    <n v="388"/>
    <n v="7"/>
    <x v="6"/>
    <s v="Quiz"/>
    <n v="10"/>
    <n v="8"/>
    <n v="-0.19999999999999996"/>
    <x v="0"/>
    <x v="2"/>
  </r>
  <r>
    <n v="388"/>
    <n v="8"/>
    <x v="7"/>
    <s v="Video"/>
    <n v="5"/>
    <n v="5"/>
    <n v="0"/>
    <x v="0"/>
    <x v="1"/>
  </r>
  <r>
    <n v="390"/>
    <n v="1"/>
    <x v="0"/>
    <s v="Video"/>
    <n v="4"/>
    <n v="4"/>
    <n v="0"/>
    <x v="0"/>
    <x v="0"/>
  </r>
  <r>
    <n v="390"/>
    <n v="2"/>
    <x v="1"/>
    <s v="Text"/>
    <n v="15"/>
    <n v="19"/>
    <n v="0.26666666666666661"/>
    <x v="0"/>
    <x v="1"/>
  </r>
  <r>
    <n v="390"/>
    <n v="3"/>
    <x v="2"/>
    <s v="Übung"/>
    <n v="30"/>
    <n v="29"/>
    <n v="-3.3333333333333326E-2"/>
    <x v="0"/>
    <x v="3"/>
  </r>
  <r>
    <n v="390"/>
    <n v="4"/>
    <x v="3"/>
    <s v="Übung"/>
    <n v="30"/>
    <n v="25"/>
    <n v="-0.16666666666666663"/>
    <x v="0"/>
    <x v="1"/>
  </r>
  <r>
    <n v="390"/>
    <n v="5"/>
    <x v="4"/>
    <s v="Übung"/>
    <n v="30"/>
    <n v="52"/>
    <n v="0.73333333333333339"/>
    <x v="3"/>
    <x v="3"/>
  </r>
  <r>
    <n v="390"/>
    <n v="6"/>
    <x v="5"/>
    <s v="Handout"/>
    <n v="5"/>
    <n v="1"/>
    <n v="-0.8"/>
    <x v="2"/>
    <x v="1"/>
  </r>
  <r>
    <n v="390"/>
    <n v="7"/>
    <x v="6"/>
    <s v="Quiz"/>
    <n v="10"/>
    <n v="11"/>
    <n v="0.10000000000000009"/>
    <x v="0"/>
    <x v="3"/>
  </r>
  <r>
    <n v="390"/>
    <n v="8"/>
    <x v="7"/>
    <s v="Video"/>
    <n v="5"/>
    <n v="5"/>
    <n v="0"/>
    <x v="0"/>
    <x v="0"/>
  </r>
  <r>
    <n v="391"/>
    <n v="1"/>
    <x v="0"/>
    <s v="Video"/>
    <n v="4"/>
    <n v="4"/>
    <n v="0"/>
    <x v="0"/>
    <x v="0"/>
  </r>
  <r>
    <n v="391"/>
    <n v="2"/>
    <x v="1"/>
    <s v="Text"/>
    <n v="15"/>
    <n v="19"/>
    <n v="0.26666666666666661"/>
    <x v="0"/>
    <x v="1"/>
  </r>
  <r>
    <n v="391"/>
    <n v="3"/>
    <x v="2"/>
    <s v="Übung"/>
    <n v="30"/>
    <n v="27"/>
    <n v="-9.9999999999999978E-2"/>
    <x v="0"/>
    <x v="1"/>
  </r>
  <r>
    <n v="391"/>
    <n v="4"/>
    <x v="3"/>
    <s v="Übung"/>
    <n v="30"/>
    <n v="23"/>
    <n v="-0.23333333333333328"/>
    <x v="0"/>
    <x v="3"/>
  </r>
  <r>
    <n v="391"/>
    <n v="5"/>
    <x v="4"/>
    <s v="Übung"/>
    <n v="30"/>
    <n v="45"/>
    <n v="0.5"/>
    <x v="1"/>
    <x v="3"/>
  </r>
  <r>
    <n v="391"/>
    <n v="6"/>
    <x v="5"/>
    <s v="Handout"/>
    <n v="5"/>
    <n v="2"/>
    <n v="-0.6"/>
    <x v="2"/>
    <x v="1"/>
  </r>
  <r>
    <n v="391"/>
    <n v="7"/>
    <x v="6"/>
    <s v="Quiz"/>
    <n v="10"/>
    <n v="8"/>
    <n v="-0.19999999999999996"/>
    <x v="0"/>
    <x v="2"/>
  </r>
  <r>
    <n v="391"/>
    <n v="8"/>
    <x v="7"/>
    <s v="Video"/>
    <n v="5"/>
    <n v="5"/>
    <n v="0"/>
    <x v="0"/>
    <x v="0"/>
  </r>
  <r>
    <n v="393"/>
    <n v="1"/>
    <x v="0"/>
    <s v="Video"/>
    <n v="4"/>
    <n v="4"/>
    <n v="0"/>
    <x v="0"/>
    <x v="0"/>
  </r>
  <r>
    <n v="393"/>
    <n v="2"/>
    <x v="1"/>
    <s v="Text"/>
    <n v="15"/>
    <n v="16"/>
    <n v="6.6666666666666652E-2"/>
    <x v="0"/>
    <x v="1"/>
  </r>
  <r>
    <n v="393"/>
    <n v="3"/>
    <x v="2"/>
    <s v="Übung"/>
    <n v="30"/>
    <n v="28"/>
    <n v="-6.6666666666666652E-2"/>
    <x v="0"/>
    <x v="3"/>
  </r>
  <r>
    <n v="393"/>
    <n v="4"/>
    <x v="3"/>
    <s v="Übung"/>
    <n v="30"/>
    <n v="31"/>
    <n v="3.3333333333333437E-2"/>
    <x v="0"/>
    <x v="3"/>
  </r>
  <r>
    <n v="393"/>
    <n v="5"/>
    <x v="4"/>
    <s v="Übung"/>
    <n v="30"/>
    <n v="40"/>
    <n v="0.33333333333333326"/>
    <x v="1"/>
    <x v="2"/>
  </r>
  <r>
    <n v="393"/>
    <n v="6"/>
    <x v="5"/>
    <s v="Handout"/>
    <n v="5"/>
    <n v="1"/>
    <n v="-0.8"/>
    <x v="2"/>
    <x v="3"/>
  </r>
  <r>
    <n v="393"/>
    <n v="7"/>
    <x v="6"/>
    <s v="Quiz"/>
    <n v="10"/>
    <n v="10"/>
    <n v="0"/>
    <x v="0"/>
    <x v="3"/>
  </r>
  <r>
    <n v="393"/>
    <n v="8"/>
    <x v="7"/>
    <s v="Video"/>
    <n v="5"/>
    <n v="5"/>
    <n v="0"/>
    <x v="0"/>
    <x v="0"/>
  </r>
  <r>
    <n v="394"/>
    <n v="1"/>
    <x v="0"/>
    <s v="Video"/>
    <n v="4"/>
    <n v="6"/>
    <n v="0.5"/>
    <x v="1"/>
    <x v="0"/>
  </r>
  <r>
    <n v="394"/>
    <n v="2"/>
    <x v="1"/>
    <s v="Text"/>
    <n v="15"/>
    <n v="20"/>
    <n v="0.33333333333333326"/>
    <x v="1"/>
    <x v="0"/>
  </r>
  <r>
    <n v="394"/>
    <n v="3"/>
    <x v="2"/>
    <s v="Übung"/>
    <n v="30"/>
    <n v="27"/>
    <n v="-9.9999999999999978E-2"/>
    <x v="0"/>
    <x v="3"/>
  </r>
  <r>
    <n v="394"/>
    <n v="4"/>
    <x v="3"/>
    <s v="Übung"/>
    <n v="30"/>
    <n v="22"/>
    <n v="-0.26666666666666672"/>
    <x v="0"/>
    <x v="1"/>
  </r>
  <r>
    <n v="394"/>
    <n v="5"/>
    <x v="4"/>
    <s v="Übung"/>
    <n v="30"/>
    <n v="47"/>
    <n v="0.56666666666666665"/>
    <x v="1"/>
    <x v="2"/>
  </r>
  <r>
    <n v="394"/>
    <n v="6"/>
    <x v="5"/>
    <s v="Handout"/>
    <n v="5"/>
    <n v="1"/>
    <n v="-0.8"/>
    <x v="2"/>
    <x v="1"/>
  </r>
  <r>
    <n v="394"/>
    <n v="7"/>
    <x v="6"/>
    <s v="Quiz"/>
    <n v="10"/>
    <n v="10"/>
    <n v="0"/>
    <x v="0"/>
    <x v="2"/>
  </r>
  <r>
    <n v="394"/>
    <n v="8"/>
    <x v="7"/>
    <s v="Video"/>
    <n v="5"/>
    <n v="5"/>
    <n v="0"/>
    <x v="0"/>
    <x v="0"/>
  </r>
  <r>
    <n v="395"/>
    <n v="1"/>
    <x v="0"/>
    <s v="Video"/>
    <n v="4"/>
    <n v="4"/>
    <n v="0"/>
    <x v="0"/>
    <x v="0"/>
  </r>
  <r>
    <n v="395"/>
    <n v="2"/>
    <x v="1"/>
    <s v="Text"/>
    <n v="15"/>
    <n v="19"/>
    <n v="0.26666666666666661"/>
    <x v="0"/>
    <x v="1"/>
  </r>
  <r>
    <n v="395"/>
    <n v="3"/>
    <x v="2"/>
    <s v="Übung"/>
    <n v="30"/>
    <n v="31"/>
    <n v="3.3333333333333437E-2"/>
    <x v="0"/>
    <x v="3"/>
  </r>
  <r>
    <n v="395"/>
    <n v="4"/>
    <x v="3"/>
    <s v="Übung"/>
    <n v="30"/>
    <n v="20"/>
    <n v="-0.33333333333333337"/>
    <x v="2"/>
    <x v="1"/>
  </r>
  <r>
    <n v="395"/>
    <n v="5"/>
    <x v="4"/>
    <s v="Übung"/>
    <n v="30"/>
    <n v="42"/>
    <n v="0.39999999999999991"/>
    <x v="1"/>
    <x v="3"/>
  </r>
  <r>
    <n v="395"/>
    <n v="6"/>
    <x v="5"/>
    <s v="Handout"/>
    <n v="5"/>
    <n v="3"/>
    <n v="-0.4"/>
    <x v="2"/>
    <x v="1"/>
  </r>
  <r>
    <n v="395"/>
    <n v="7"/>
    <x v="6"/>
    <s v="Quiz"/>
    <n v="10"/>
    <n v="9"/>
    <n v="-9.9999999999999978E-2"/>
    <x v="0"/>
    <x v="3"/>
  </r>
  <r>
    <n v="395"/>
    <n v="8"/>
    <x v="7"/>
    <s v="Video"/>
    <n v="5"/>
    <n v="5"/>
    <n v="0"/>
    <x v="0"/>
    <x v="0"/>
  </r>
  <r>
    <n v="396"/>
    <n v="1"/>
    <x v="0"/>
    <s v="Video"/>
    <n v="4"/>
    <n v="4"/>
    <n v="0"/>
    <x v="0"/>
    <x v="0"/>
  </r>
  <r>
    <n v="396"/>
    <n v="2"/>
    <x v="1"/>
    <s v="Text"/>
    <n v="15"/>
    <n v="22"/>
    <n v="0.46666666666666656"/>
    <x v="1"/>
    <x v="1"/>
  </r>
  <r>
    <n v="396"/>
    <n v="3"/>
    <x v="2"/>
    <s v="Übung"/>
    <n v="30"/>
    <n v="30"/>
    <n v="0"/>
    <x v="0"/>
    <x v="3"/>
  </r>
  <r>
    <n v="396"/>
    <n v="4"/>
    <x v="3"/>
    <s v="Übung"/>
    <n v="30"/>
    <n v="28"/>
    <n v="-6.6666666666666652E-2"/>
    <x v="0"/>
    <x v="3"/>
  </r>
  <r>
    <n v="396"/>
    <n v="5"/>
    <x v="4"/>
    <s v="Übung"/>
    <n v="30"/>
    <n v="45"/>
    <n v="0.5"/>
    <x v="1"/>
    <x v="3"/>
  </r>
  <r>
    <n v="396"/>
    <n v="6"/>
    <x v="5"/>
    <s v="Handout"/>
    <n v="5"/>
    <n v="4"/>
    <n v="-0.19999999999999996"/>
    <x v="0"/>
    <x v="3"/>
  </r>
  <r>
    <n v="396"/>
    <n v="7"/>
    <x v="6"/>
    <s v="Quiz"/>
    <n v="10"/>
    <n v="10"/>
    <n v="0"/>
    <x v="0"/>
    <x v="2"/>
  </r>
  <r>
    <n v="396"/>
    <n v="8"/>
    <x v="7"/>
    <s v="Video"/>
    <n v="5"/>
    <n v="9"/>
    <n v="0.8"/>
    <x v="3"/>
    <x v="0"/>
  </r>
  <r>
    <n v="398"/>
    <n v="1"/>
    <x v="0"/>
    <s v="Video"/>
    <n v="4"/>
    <n v="4"/>
    <n v="0"/>
    <x v="0"/>
    <x v="0"/>
  </r>
  <r>
    <n v="398"/>
    <n v="2"/>
    <x v="1"/>
    <s v="Text"/>
    <n v="15"/>
    <n v="19"/>
    <n v="0.26666666666666661"/>
    <x v="0"/>
    <x v="0"/>
  </r>
  <r>
    <n v="398"/>
    <n v="3"/>
    <x v="2"/>
    <s v="Übung"/>
    <n v="30"/>
    <n v="29"/>
    <n v="-3.3333333333333326E-2"/>
    <x v="0"/>
    <x v="1"/>
  </r>
  <r>
    <n v="398"/>
    <n v="4"/>
    <x v="3"/>
    <s v="Übung"/>
    <n v="30"/>
    <n v="33"/>
    <n v="0.10000000000000009"/>
    <x v="0"/>
    <x v="3"/>
  </r>
  <r>
    <n v="398"/>
    <n v="5"/>
    <x v="4"/>
    <s v="Übung"/>
    <n v="30"/>
    <n v="47"/>
    <n v="0.56666666666666665"/>
    <x v="1"/>
    <x v="2"/>
  </r>
  <r>
    <n v="398"/>
    <n v="6"/>
    <x v="5"/>
    <s v="Handout"/>
    <n v="5"/>
    <n v="2"/>
    <n v="-0.6"/>
    <x v="2"/>
    <x v="1"/>
  </r>
  <r>
    <n v="398"/>
    <n v="7"/>
    <x v="6"/>
    <s v="Quiz"/>
    <n v="10"/>
    <n v="11"/>
    <n v="0.10000000000000009"/>
    <x v="0"/>
    <x v="2"/>
  </r>
  <r>
    <n v="398"/>
    <n v="8"/>
    <x v="7"/>
    <s v="Video"/>
    <n v="5"/>
    <n v="5"/>
    <n v="0"/>
    <x v="0"/>
    <x v="0"/>
  </r>
  <r>
    <n v="399"/>
    <n v="1"/>
    <x v="0"/>
    <s v="Video"/>
    <n v="4"/>
    <n v="4"/>
    <n v="0"/>
    <x v="0"/>
    <x v="0"/>
  </r>
  <r>
    <n v="399"/>
    <n v="2"/>
    <x v="1"/>
    <s v="Text"/>
    <n v="15"/>
    <n v="17"/>
    <n v="0.1333333333333333"/>
    <x v="0"/>
    <x v="1"/>
  </r>
  <r>
    <n v="399"/>
    <n v="3"/>
    <x v="2"/>
    <s v="Übung"/>
    <n v="30"/>
    <n v="29"/>
    <n v="-3.3333333333333326E-2"/>
    <x v="0"/>
    <x v="3"/>
  </r>
  <r>
    <n v="399"/>
    <n v="4"/>
    <x v="3"/>
    <s v="Übung"/>
    <n v="30"/>
    <n v="30"/>
    <n v="0"/>
    <x v="0"/>
    <x v="2"/>
  </r>
  <r>
    <n v="399"/>
    <n v="5"/>
    <x v="4"/>
    <s v="Übung"/>
    <n v="30"/>
    <n v="51"/>
    <n v="0.7"/>
    <x v="3"/>
    <x v="2"/>
  </r>
  <r>
    <n v="399"/>
    <n v="6"/>
    <x v="5"/>
    <s v="Handout"/>
    <n v="5"/>
    <n v="1"/>
    <n v="-0.8"/>
    <x v="2"/>
    <x v="0"/>
  </r>
  <r>
    <n v="399"/>
    <n v="7"/>
    <x v="6"/>
    <s v="Quiz"/>
    <n v="10"/>
    <n v="10"/>
    <n v="0"/>
    <x v="0"/>
    <x v="3"/>
  </r>
  <r>
    <n v="399"/>
    <n v="8"/>
    <x v="7"/>
    <s v="Video"/>
    <n v="5"/>
    <n v="5"/>
    <n v="0"/>
    <x v="0"/>
    <x v="0"/>
  </r>
  <r>
    <n v="400"/>
    <n v="1"/>
    <x v="0"/>
    <s v="Video"/>
    <n v="4"/>
    <n v="4"/>
    <n v="0"/>
    <x v="0"/>
    <x v="0"/>
  </r>
  <r>
    <n v="400"/>
    <n v="2"/>
    <x v="1"/>
    <s v="Text"/>
    <n v="15"/>
    <n v="17"/>
    <n v="0.1333333333333333"/>
    <x v="0"/>
    <x v="0"/>
  </r>
  <r>
    <n v="400"/>
    <n v="3"/>
    <x v="2"/>
    <s v="Übung"/>
    <n v="30"/>
    <n v="29"/>
    <n v="-3.3333333333333326E-2"/>
    <x v="0"/>
    <x v="3"/>
  </r>
  <r>
    <n v="400"/>
    <n v="4"/>
    <x v="3"/>
    <s v="Übung"/>
    <n v="30"/>
    <n v="41"/>
    <n v="0.3666666666666667"/>
    <x v="1"/>
    <x v="4"/>
  </r>
  <r>
    <n v="400"/>
    <n v="5"/>
    <x v="4"/>
    <s v="Übung"/>
    <n v="30"/>
    <n v="44"/>
    <n v="0.46666666666666656"/>
    <x v="1"/>
    <x v="2"/>
  </r>
  <r>
    <n v="400"/>
    <n v="6"/>
    <x v="5"/>
    <s v="Handout"/>
    <n v="5"/>
    <n v="2"/>
    <n v="-0.6"/>
    <x v="2"/>
    <x v="1"/>
  </r>
  <r>
    <n v="400"/>
    <n v="7"/>
    <x v="6"/>
    <s v="Quiz"/>
    <n v="10"/>
    <n v="10"/>
    <n v="0"/>
    <x v="0"/>
    <x v="3"/>
  </r>
  <r>
    <n v="400"/>
    <n v="8"/>
    <x v="7"/>
    <s v="Video"/>
    <n v="5"/>
    <n v="5"/>
    <n v="0"/>
    <x v="0"/>
    <x v="0"/>
  </r>
  <r>
    <n v="401"/>
    <n v="1"/>
    <x v="0"/>
    <s v="Video"/>
    <n v="4"/>
    <n v="4"/>
    <n v="0"/>
    <x v="0"/>
    <x v="0"/>
  </r>
  <r>
    <n v="401"/>
    <n v="2"/>
    <x v="1"/>
    <s v="Text"/>
    <n v="15"/>
    <n v="15"/>
    <n v="0"/>
    <x v="0"/>
    <x v="1"/>
  </r>
  <r>
    <n v="401"/>
    <n v="3"/>
    <x v="2"/>
    <s v="Übung"/>
    <n v="30"/>
    <n v="28"/>
    <n v="-6.6666666666666652E-2"/>
    <x v="0"/>
    <x v="3"/>
  </r>
  <r>
    <n v="401"/>
    <n v="4"/>
    <x v="3"/>
    <s v="Übung"/>
    <n v="30"/>
    <n v="32"/>
    <n v="6.6666666666666652E-2"/>
    <x v="0"/>
    <x v="1"/>
  </r>
  <r>
    <n v="401"/>
    <n v="5"/>
    <x v="4"/>
    <s v="Übung"/>
    <n v="30"/>
    <n v="50"/>
    <n v="0.66666666666666674"/>
    <x v="3"/>
    <x v="2"/>
  </r>
  <r>
    <n v="401"/>
    <n v="6"/>
    <x v="5"/>
    <s v="Handout"/>
    <n v="5"/>
    <n v="1"/>
    <n v="-0.8"/>
    <x v="2"/>
    <x v="1"/>
  </r>
  <r>
    <n v="401"/>
    <n v="7"/>
    <x v="6"/>
    <s v="Quiz"/>
    <n v="10"/>
    <n v="10"/>
    <n v="0"/>
    <x v="0"/>
    <x v="2"/>
  </r>
  <r>
    <n v="401"/>
    <n v="8"/>
    <x v="7"/>
    <s v="Video"/>
    <n v="5"/>
    <n v="5"/>
    <n v="0"/>
    <x v="0"/>
    <x v="0"/>
  </r>
  <r>
    <n v="403"/>
    <n v="1"/>
    <x v="0"/>
    <s v="Video"/>
    <n v="4"/>
    <n v="4"/>
    <n v="0"/>
    <x v="0"/>
    <x v="0"/>
  </r>
  <r>
    <n v="403"/>
    <n v="2"/>
    <x v="1"/>
    <s v="Text"/>
    <n v="15"/>
    <n v="18"/>
    <n v="0.19999999999999996"/>
    <x v="0"/>
    <x v="0"/>
  </r>
  <r>
    <n v="403"/>
    <n v="3"/>
    <x v="2"/>
    <s v="Übung"/>
    <n v="30"/>
    <n v="27"/>
    <n v="-9.9999999999999978E-2"/>
    <x v="0"/>
    <x v="1"/>
  </r>
  <r>
    <n v="403"/>
    <n v="4"/>
    <x v="3"/>
    <s v="Übung"/>
    <n v="30"/>
    <n v="32"/>
    <n v="6.6666666666666652E-2"/>
    <x v="0"/>
    <x v="3"/>
  </r>
  <r>
    <n v="403"/>
    <n v="5"/>
    <x v="4"/>
    <s v="Übung"/>
    <n v="30"/>
    <n v="55"/>
    <n v="0.83333333333333326"/>
    <x v="3"/>
    <x v="4"/>
  </r>
  <r>
    <n v="403"/>
    <n v="6"/>
    <x v="5"/>
    <s v="Handout"/>
    <n v="5"/>
    <n v="2"/>
    <n v="-0.6"/>
    <x v="2"/>
    <x v="0"/>
  </r>
  <r>
    <n v="403"/>
    <n v="7"/>
    <x v="6"/>
    <s v="Quiz"/>
    <n v="10"/>
    <n v="9"/>
    <n v="-9.9999999999999978E-2"/>
    <x v="0"/>
    <x v="3"/>
  </r>
  <r>
    <n v="403"/>
    <n v="8"/>
    <x v="7"/>
    <s v="Video"/>
    <n v="5"/>
    <n v="5"/>
    <n v="0"/>
    <x v="0"/>
    <x v="0"/>
  </r>
  <r>
    <n v="404"/>
    <n v="1"/>
    <x v="0"/>
    <s v="Video"/>
    <n v="4"/>
    <n v="4"/>
    <n v="0"/>
    <x v="0"/>
    <x v="1"/>
  </r>
  <r>
    <n v="404"/>
    <n v="2"/>
    <x v="1"/>
    <s v="Text"/>
    <n v="15"/>
    <n v="15"/>
    <n v="0"/>
    <x v="0"/>
    <x v="0"/>
  </r>
  <r>
    <n v="404"/>
    <n v="3"/>
    <x v="2"/>
    <s v="Übung"/>
    <n v="30"/>
    <n v="30"/>
    <n v="0"/>
    <x v="0"/>
    <x v="1"/>
  </r>
  <r>
    <n v="404"/>
    <n v="4"/>
    <x v="3"/>
    <s v="Übung"/>
    <n v="30"/>
    <n v="29"/>
    <n v="-3.3333333333333326E-2"/>
    <x v="0"/>
    <x v="3"/>
  </r>
  <r>
    <n v="404"/>
    <n v="5"/>
    <x v="4"/>
    <s v="Übung"/>
    <n v="30"/>
    <n v="35"/>
    <n v="0.16666666666666674"/>
    <x v="0"/>
    <x v="2"/>
  </r>
  <r>
    <n v="404"/>
    <n v="6"/>
    <x v="5"/>
    <s v="Handout"/>
    <n v="5"/>
    <n v="1"/>
    <n v="-0.8"/>
    <x v="2"/>
    <x v="1"/>
  </r>
  <r>
    <n v="404"/>
    <n v="7"/>
    <x v="6"/>
    <s v="Quiz"/>
    <n v="10"/>
    <n v="9"/>
    <n v="-9.9999999999999978E-2"/>
    <x v="0"/>
    <x v="3"/>
  </r>
  <r>
    <n v="404"/>
    <n v="8"/>
    <x v="7"/>
    <s v="Video"/>
    <n v="5"/>
    <n v="5"/>
    <n v="0"/>
    <x v="0"/>
    <x v="0"/>
  </r>
  <r>
    <n v="405"/>
    <n v="1"/>
    <x v="0"/>
    <s v="Video"/>
    <n v="4"/>
    <n v="4"/>
    <n v="0"/>
    <x v="0"/>
    <x v="0"/>
  </r>
  <r>
    <n v="405"/>
    <n v="2"/>
    <x v="1"/>
    <s v="Text"/>
    <n v="15"/>
    <n v="17"/>
    <n v="0.1333333333333333"/>
    <x v="0"/>
    <x v="1"/>
  </r>
  <r>
    <n v="405"/>
    <n v="3"/>
    <x v="2"/>
    <s v="Übung"/>
    <n v="30"/>
    <n v="28"/>
    <n v="-6.6666666666666652E-2"/>
    <x v="0"/>
    <x v="1"/>
  </r>
  <r>
    <n v="405"/>
    <n v="4"/>
    <x v="3"/>
    <s v="Übung"/>
    <n v="30"/>
    <n v="28"/>
    <n v="-6.6666666666666652E-2"/>
    <x v="0"/>
    <x v="3"/>
  </r>
  <r>
    <n v="405"/>
    <n v="5"/>
    <x v="4"/>
    <s v="Übung"/>
    <n v="30"/>
    <n v="46"/>
    <n v="0.53333333333333344"/>
    <x v="1"/>
    <x v="3"/>
  </r>
  <r>
    <n v="405"/>
    <n v="6"/>
    <x v="5"/>
    <s v="Handout"/>
    <n v="5"/>
    <n v="1"/>
    <n v="-0.8"/>
    <x v="2"/>
    <x v="0"/>
  </r>
  <r>
    <n v="405"/>
    <n v="7"/>
    <x v="6"/>
    <s v="Quiz"/>
    <n v="10"/>
    <n v="10"/>
    <n v="0"/>
    <x v="0"/>
    <x v="2"/>
  </r>
  <r>
    <n v="405"/>
    <n v="8"/>
    <x v="7"/>
    <s v="Video"/>
    <n v="5"/>
    <n v="5"/>
    <n v="0"/>
    <x v="0"/>
    <x v="0"/>
  </r>
  <r>
    <n v="407"/>
    <n v="1"/>
    <x v="0"/>
    <s v="Video"/>
    <n v="4"/>
    <n v="4"/>
    <n v="0"/>
    <x v="0"/>
    <x v="0"/>
  </r>
  <r>
    <n v="407"/>
    <n v="2"/>
    <x v="1"/>
    <s v="Text"/>
    <n v="15"/>
    <n v="15"/>
    <n v="0"/>
    <x v="0"/>
    <x v="1"/>
  </r>
  <r>
    <n v="407"/>
    <n v="3"/>
    <x v="2"/>
    <s v="Übung"/>
    <n v="30"/>
    <n v="29"/>
    <n v="-3.3333333333333326E-2"/>
    <x v="0"/>
    <x v="1"/>
  </r>
  <r>
    <n v="407"/>
    <n v="4"/>
    <x v="3"/>
    <s v="Übung"/>
    <n v="30"/>
    <n v="23"/>
    <n v="-0.23333333333333328"/>
    <x v="0"/>
    <x v="3"/>
  </r>
  <r>
    <n v="407"/>
    <n v="5"/>
    <x v="4"/>
    <s v="Übung"/>
    <n v="30"/>
    <n v="55"/>
    <n v="0.83333333333333326"/>
    <x v="3"/>
    <x v="3"/>
  </r>
  <r>
    <n v="407"/>
    <n v="6"/>
    <x v="5"/>
    <s v="Handout"/>
    <n v="5"/>
    <n v="1"/>
    <n v="-0.8"/>
    <x v="2"/>
    <x v="1"/>
  </r>
  <r>
    <n v="407"/>
    <n v="7"/>
    <x v="6"/>
    <s v="Quiz"/>
    <n v="10"/>
    <n v="10"/>
    <n v="0"/>
    <x v="0"/>
    <x v="3"/>
  </r>
  <r>
    <n v="407"/>
    <n v="8"/>
    <x v="7"/>
    <s v="Video"/>
    <n v="5"/>
    <n v="5"/>
    <n v="0"/>
    <x v="0"/>
    <x v="0"/>
  </r>
  <r>
    <n v="408"/>
    <n v="1"/>
    <x v="0"/>
    <s v="Video"/>
    <n v="4"/>
    <n v="6"/>
    <n v="0.5"/>
    <x v="1"/>
    <x v="0"/>
  </r>
  <r>
    <n v="408"/>
    <n v="2"/>
    <x v="1"/>
    <s v="Text"/>
    <n v="15"/>
    <n v="18"/>
    <n v="0.19999999999999996"/>
    <x v="0"/>
    <x v="1"/>
  </r>
  <r>
    <n v="408"/>
    <n v="3"/>
    <x v="2"/>
    <s v="Übung"/>
    <n v="30"/>
    <n v="31"/>
    <n v="3.3333333333333437E-2"/>
    <x v="0"/>
    <x v="2"/>
  </r>
  <r>
    <n v="408"/>
    <n v="4"/>
    <x v="3"/>
    <s v="Übung"/>
    <n v="30"/>
    <n v="33"/>
    <n v="0.10000000000000009"/>
    <x v="0"/>
    <x v="2"/>
  </r>
  <r>
    <n v="408"/>
    <n v="5"/>
    <x v="4"/>
    <s v="Übung"/>
    <n v="30"/>
    <n v="40"/>
    <n v="0.33333333333333326"/>
    <x v="1"/>
    <x v="3"/>
  </r>
  <r>
    <n v="408"/>
    <n v="6"/>
    <x v="5"/>
    <s v="Handout"/>
    <n v="5"/>
    <n v="1"/>
    <n v="-0.8"/>
    <x v="2"/>
    <x v="0"/>
  </r>
  <r>
    <n v="408"/>
    <n v="7"/>
    <x v="6"/>
    <s v="Quiz"/>
    <n v="10"/>
    <n v="11"/>
    <n v="0.10000000000000009"/>
    <x v="0"/>
    <x v="3"/>
  </r>
  <r>
    <n v="408"/>
    <n v="8"/>
    <x v="7"/>
    <s v="Video"/>
    <n v="5"/>
    <n v="6"/>
    <n v="0.19999999999999996"/>
    <x v="0"/>
    <x v="0"/>
  </r>
  <r>
    <n v="410"/>
    <n v="1"/>
    <x v="0"/>
    <s v="Video"/>
    <n v="4"/>
    <n v="4"/>
    <n v="0"/>
    <x v="0"/>
    <x v="0"/>
  </r>
  <r>
    <n v="410"/>
    <n v="2"/>
    <x v="1"/>
    <s v="Text"/>
    <n v="15"/>
    <n v="18"/>
    <n v="0.19999999999999996"/>
    <x v="0"/>
    <x v="1"/>
  </r>
  <r>
    <n v="410"/>
    <n v="3"/>
    <x v="2"/>
    <s v="Übung"/>
    <n v="30"/>
    <n v="29"/>
    <n v="-3.3333333333333326E-2"/>
    <x v="0"/>
    <x v="1"/>
  </r>
  <r>
    <n v="410"/>
    <n v="4"/>
    <x v="3"/>
    <s v="Übung"/>
    <n v="30"/>
    <n v="25"/>
    <n v="-0.16666666666666663"/>
    <x v="0"/>
    <x v="1"/>
  </r>
  <r>
    <n v="410"/>
    <n v="5"/>
    <x v="4"/>
    <s v="Übung"/>
    <n v="30"/>
    <n v="50"/>
    <n v="0.66666666666666674"/>
    <x v="3"/>
    <x v="2"/>
  </r>
  <r>
    <n v="410"/>
    <n v="6"/>
    <x v="5"/>
    <s v="Handout"/>
    <n v="5"/>
    <n v="2"/>
    <n v="-0.6"/>
    <x v="2"/>
    <x v="0"/>
  </r>
  <r>
    <n v="410"/>
    <n v="7"/>
    <x v="6"/>
    <s v="Quiz"/>
    <n v="10"/>
    <n v="11"/>
    <n v="0.10000000000000009"/>
    <x v="0"/>
    <x v="3"/>
  </r>
  <r>
    <n v="410"/>
    <n v="8"/>
    <x v="7"/>
    <s v="Video"/>
    <n v="5"/>
    <n v="5"/>
    <n v="0"/>
    <x v="0"/>
    <x v="0"/>
  </r>
  <r>
    <n v="412"/>
    <n v="1"/>
    <x v="0"/>
    <s v="Video"/>
    <n v="4"/>
    <n v="4"/>
    <n v="0"/>
    <x v="0"/>
    <x v="0"/>
  </r>
  <r>
    <n v="412"/>
    <n v="2"/>
    <x v="1"/>
    <s v="Text"/>
    <n v="15"/>
    <n v="20"/>
    <n v="0.33333333333333326"/>
    <x v="1"/>
    <x v="1"/>
  </r>
  <r>
    <n v="412"/>
    <n v="3"/>
    <x v="2"/>
    <s v="Übung"/>
    <n v="30"/>
    <n v="27"/>
    <n v="-9.9999999999999978E-2"/>
    <x v="0"/>
    <x v="1"/>
  </r>
  <r>
    <n v="412"/>
    <n v="4"/>
    <x v="3"/>
    <s v="Übung"/>
    <n v="30"/>
    <n v="29"/>
    <n v="-3.3333333333333326E-2"/>
    <x v="0"/>
    <x v="2"/>
  </r>
  <r>
    <n v="412"/>
    <n v="5"/>
    <x v="4"/>
    <s v="Übung"/>
    <n v="30"/>
    <n v="49"/>
    <n v="0.6333333333333333"/>
    <x v="3"/>
    <x v="2"/>
  </r>
  <r>
    <n v="412"/>
    <n v="6"/>
    <x v="5"/>
    <s v="Handout"/>
    <n v="5"/>
    <n v="1"/>
    <n v="-0.8"/>
    <x v="2"/>
    <x v="1"/>
  </r>
  <r>
    <n v="412"/>
    <n v="7"/>
    <x v="6"/>
    <s v="Quiz"/>
    <n v="10"/>
    <n v="10"/>
    <n v="0"/>
    <x v="0"/>
    <x v="3"/>
  </r>
  <r>
    <n v="412"/>
    <n v="8"/>
    <x v="7"/>
    <s v="Video"/>
    <n v="5"/>
    <n v="5"/>
    <n v="0"/>
    <x v="0"/>
    <x v="0"/>
  </r>
  <r>
    <n v="416"/>
    <n v="1"/>
    <x v="0"/>
    <s v="Video"/>
    <n v="4"/>
    <n v="4"/>
    <n v="0"/>
    <x v="0"/>
    <x v="0"/>
  </r>
  <r>
    <n v="416"/>
    <n v="2"/>
    <x v="1"/>
    <s v="Text"/>
    <n v="15"/>
    <n v="19"/>
    <n v="0.26666666666666661"/>
    <x v="0"/>
    <x v="0"/>
  </r>
  <r>
    <n v="416"/>
    <n v="3"/>
    <x v="2"/>
    <s v="Übung"/>
    <n v="30"/>
    <n v="30"/>
    <n v="0"/>
    <x v="0"/>
    <x v="1"/>
  </r>
  <r>
    <n v="416"/>
    <n v="4"/>
    <x v="3"/>
    <s v="Übung"/>
    <n v="30"/>
    <n v="30"/>
    <n v="0"/>
    <x v="0"/>
    <x v="2"/>
  </r>
  <r>
    <n v="416"/>
    <n v="5"/>
    <x v="4"/>
    <s v="Übung"/>
    <n v="30"/>
    <n v="39"/>
    <n v="0.30000000000000004"/>
    <x v="0"/>
    <x v="3"/>
  </r>
  <r>
    <n v="416"/>
    <n v="6"/>
    <x v="5"/>
    <s v="Handout"/>
    <n v="5"/>
    <n v="2"/>
    <n v="-0.6"/>
    <x v="2"/>
    <x v="1"/>
  </r>
  <r>
    <n v="416"/>
    <n v="7"/>
    <x v="6"/>
    <s v="Quiz"/>
    <n v="10"/>
    <n v="9"/>
    <n v="-9.9999999999999978E-2"/>
    <x v="0"/>
    <x v="3"/>
  </r>
  <r>
    <n v="416"/>
    <n v="8"/>
    <x v="7"/>
    <s v="Video"/>
    <n v="5"/>
    <n v="5"/>
    <n v="0"/>
    <x v="0"/>
    <x v="0"/>
  </r>
  <r>
    <n v="417"/>
    <n v="1"/>
    <x v="0"/>
    <s v="Video"/>
    <n v="4"/>
    <n v="4"/>
    <n v="0"/>
    <x v="0"/>
    <x v="0"/>
  </r>
  <r>
    <n v="417"/>
    <n v="2"/>
    <x v="1"/>
    <s v="Text"/>
    <n v="15"/>
    <n v="16"/>
    <n v="6.6666666666666652E-2"/>
    <x v="0"/>
    <x v="0"/>
  </r>
  <r>
    <n v="417"/>
    <n v="3"/>
    <x v="2"/>
    <s v="Übung"/>
    <n v="30"/>
    <n v="29"/>
    <n v="-3.3333333333333326E-2"/>
    <x v="0"/>
    <x v="3"/>
  </r>
  <r>
    <n v="417"/>
    <n v="4"/>
    <x v="3"/>
    <s v="Übung"/>
    <n v="30"/>
    <n v="35"/>
    <n v="0.16666666666666674"/>
    <x v="0"/>
    <x v="3"/>
  </r>
  <r>
    <n v="417"/>
    <n v="5"/>
    <x v="4"/>
    <s v="Übung"/>
    <n v="30"/>
    <n v="50"/>
    <n v="0.66666666666666674"/>
    <x v="3"/>
    <x v="2"/>
  </r>
  <r>
    <n v="417"/>
    <n v="6"/>
    <x v="5"/>
    <s v="Handout"/>
    <n v="5"/>
    <n v="2"/>
    <n v="-0.6"/>
    <x v="2"/>
    <x v="1"/>
  </r>
  <r>
    <n v="417"/>
    <n v="7"/>
    <x v="6"/>
    <s v="Quiz"/>
    <n v="10"/>
    <n v="8"/>
    <n v="-0.19999999999999996"/>
    <x v="0"/>
    <x v="3"/>
  </r>
  <r>
    <n v="417"/>
    <n v="8"/>
    <x v="7"/>
    <s v="Video"/>
    <n v="5"/>
    <n v="5"/>
    <n v="0"/>
    <x v="0"/>
    <x v="0"/>
  </r>
  <r>
    <n v="418"/>
    <n v="1"/>
    <x v="0"/>
    <s v="Video"/>
    <n v="4"/>
    <n v="4"/>
    <n v="0"/>
    <x v="0"/>
    <x v="1"/>
  </r>
  <r>
    <n v="418"/>
    <n v="2"/>
    <x v="1"/>
    <s v="Text"/>
    <n v="15"/>
    <n v="15"/>
    <n v="0"/>
    <x v="0"/>
    <x v="1"/>
  </r>
  <r>
    <n v="418"/>
    <n v="3"/>
    <x v="2"/>
    <s v="Übung"/>
    <n v="30"/>
    <n v="26"/>
    <n v="-0.1333333333333333"/>
    <x v="0"/>
    <x v="3"/>
  </r>
  <r>
    <n v="418"/>
    <n v="4"/>
    <x v="3"/>
    <s v="Übung"/>
    <n v="30"/>
    <n v="21"/>
    <n v="-0.30000000000000004"/>
    <x v="0"/>
    <x v="3"/>
  </r>
  <r>
    <n v="418"/>
    <n v="5"/>
    <x v="4"/>
    <s v="Übung"/>
    <n v="30"/>
    <n v="45"/>
    <n v="0.5"/>
    <x v="1"/>
    <x v="2"/>
  </r>
  <r>
    <n v="418"/>
    <n v="6"/>
    <x v="5"/>
    <s v="Handout"/>
    <n v="5"/>
    <n v="1"/>
    <n v="-0.8"/>
    <x v="2"/>
    <x v="3"/>
  </r>
  <r>
    <n v="418"/>
    <n v="7"/>
    <x v="6"/>
    <s v="Quiz"/>
    <n v="10"/>
    <n v="8"/>
    <n v="-0.19999999999999996"/>
    <x v="0"/>
    <x v="3"/>
  </r>
  <r>
    <n v="418"/>
    <n v="8"/>
    <x v="7"/>
    <s v="Video"/>
    <n v="5"/>
    <n v="5"/>
    <n v="0"/>
    <x v="0"/>
    <x v="0"/>
  </r>
  <r>
    <n v="419"/>
    <n v="1"/>
    <x v="0"/>
    <s v="Video"/>
    <n v="4"/>
    <n v="4"/>
    <n v="0"/>
    <x v="0"/>
    <x v="0"/>
  </r>
  <r>
    <n v="419"/>
    <n v="2"/>
    <x v="1"/>
    <s v="Text"/>
    <n v="15"/>
    <n v="18"/>
    <n v="0.19999999999999996"/>
    <x v="0"/>
    <x v="0"/>
  </r>
  <r>
    <n v="419"/>
    <n v="3"/>
    <x v="2"/>
    <s v="Übung"/>
    <n v="30"/>
    <n v="28"/>
    <n v="-6.6666666666666652E-2"/>
    <x v="0"/>
    <x v="1"/>
  </r>
  <r>
    <n v="419"/>
    <n v="4"/>
    <x v="3"/>
    <s v="Übung"/>
    <n v="30"/>
    <n v="35"/>
    <n v="0.16666666666666674"/>
    <x v="0"/>
    <x v="3"/>
  </r>
  <r>
    <n v="419"/>
    <n v="5"/>
    <x v="4"/>
    <s v="Übung"/>
    <n v="30"/>
    <n v="50"/>
    <n v="0.66666666666666674"/>
    <x v="3"/>
    <x v="2"/>
  </r>
  <r>
    <n v="419"/>
    <n v="6"/>
    <x v="5"/>
    <s v="Handout"/>
    <n v="5"/>
    <n v="2"/>
    <n v="-0.6"/>
    <x v="2"/>
    <x v="1"/>
  </r>
  <r>
    <n v="419"/>
    <n v="7"/>
    <x v="6"/>
    <s v="Quiz"/>
    <n v="10"/>
    <n v="10"/>
    <n v="0"/>
    <x v="0"/>
    <x v="2"/>
  </r>
  <r>
    <n v="419"/>
    <n v="8"/>
    <x v="7"/>
    <s v="Video"/>
    <n v="5"/>
    <n v="5"/>
    <n v="0"/>
    <x v="0"/>
    <x v="0"/>
  </r>
  <r>
    <n v="421"/>
    <n v="1"/>
    <x v="0"/>
    <s v="Video"/>
    <n v="4"/>
    <n v="4"/>
    <n v="0"/>
    <x v="0"/>
    <x v="0"/>
  </r>
  <r>
    <n v="421"/>
    <n v="2"/>
    <x v="1"/>
    <s v="Text"/>
    <n v="15"/>
    <n v="19"/>
    <n v="0.26666666666666661"/>
    <x v="0"/>
    <x v="1"/>
  </r>
  <r>
    <n v="421"/>
    <n v="3"/>
    <x v="2"/>
    <s v="Übung"/>
    <n v="30"/>
    <n v="29"/>
    <n v="-3.3333333333333326E-2"/>
    <x v="0"/>
    <x v="1"/>
  </r>
  <r>
    <n v="421"/>
    <n v="4"/>
    <x v="3"/>
    <s v="Übung"/>
    <n v="30"/>
    <n v="20"/>
    <n v="-0.33333333333333337"/>
    <x v="2"/>
    <x v="1"/>
  </r>
  <r>
    <n v="421"/>
    <n v="5"/>
    <x v="4"/>
    <s v="Übung"/>
    <n v="30"/>
    <n v="39"/>
    <n v="0.30000000000000004"/>
    <x v="0"/>
    <x v="3"/>
  </r>
  <r>
    <n v="421"/>
    <n v="6"/>
    <x v="5"/>
    <s v="Handout"/>
    <n v="5"/>
    <n v="1"/>
    <n v="-0.8"/>
    <x v="2"/>
    <x v="1"/>
  </r>
  <r>
    <n v="421"/>
    <n v="7"/>
    <x v="6"/>
    <s v="Quiz"/>
    <n v="10"/>
    <n v="10"/>
    <n v="0"/>
    <x v="0"/>
    <x v="2"/>
  </r>
  <r>
    <n v="421"/>
    <n v="8"/>
    <x v="7"/>
    <s v="Video"/>
    <n v="5"/>
    <n v="5"/>
    <n v="0"/>
    <x v="0"/>
    <x v="0"/>
  </r>
  <r>
    <n v="422"/>
    <n v="1"/>
    <x v="0"/>
    <s v="Video"/>
    <n v="4"/>
    <n v="4"/>
    <n v="0"/>
    <x v="0"/>
    <x v="0"/>
  </r>
  <r>
    <n v="422"/>
    <n v="2"/>
    <x v="1"/>
    <s v="Text"/>
    <n v="15"/>
    <n v="21"/>
    <n v="0.39999999999999991"/>
    <x v="1"/>
    <x v="0"/>
  </r>
  <r>
    <n v="422"/>
    <n v="3"/>
    <x v="2"/>
    <s v="Übung"/>
    <n v="30"/>
    <n v="26"/>
    <n v="-0.1333333333333333"/>
    <x v="0"/>
    <x v="3"/>
  </r>
  <r>
    <n v="422"/>
    <n v="4"/>
    <x v="3"/>
    <s v="Übung"/>
    <n v="30"/>
    <n v="28"/>
    <n v="-6.6666666666666652E-2"/>
    <x v="0"/>
    <x v="3"/>
  </r>
  <r>
    <n v="422"/>
    <n v="5"/>
    <x v="4"/>
    <s v="Übung"/>
    <n v="30"/>
    <n v="42"/>
    <n v="0.39999999999999991"/>
    <x v="1"/>
    <x v="2"/>
  </r>
  <r>
    <n v="422"/>
    <n v="6"/>
    <x v="5"/>
    <s v="Handout"/>
    <n v="5"/>
    <n v="1"/>
    <n v="-0.8"/>
    <x v="2"/>
    <x v="3"/>
  </r>
  <r>
    <n v="422"/>
    <n v="7"/>
    <x v="6"/>
    <s v="Quiz"/>
    <n v="10"/>
    <n v="9"/>
    <n v="-9.9999999999999978E-2"/>
    <x v="0"/>
    <x v="3"/>
  </r>
  <r>
    <n v="422"/>
    <n v="8"/>
    <x v="7"/>
    <s v="Video"/>
    <n v="5"/>
    <n v="5"/>
    <n v="0"/>
    <x v="0"/>
    <x v="0"/>
  </r>
  <r>
    <n v="423"/>
    <n v="1"/>
    <x v="0"/>
    <s v="Video"/>
    <n v="4"/>
    <n v="7"/>
    <n v="0.75"/>
    <x v="3"/>
    <x v="0"/>
  </r>
  <r>
    <n v="423"/>
    <n v="2"/>
    <x v="1"/>
    <s v="Text"/>
    <n v="15"/>
    <n v="20"/>
    <n v="0.33333333333333326"/>
    <x v="1"/>
    <x v="0"/>
  </r>
  <r>
    <n v="423"/>
    <n v="3"/>
    <x v="2"/>
    <s v="Übung"/>
    <n v="30"/>
    <n v="29"/>
    <n v="-3.3333333333333326E-2"/>
    <x v="0"/>
    <x v="1"/>
  </r>
  <r>
    <n v="423"/>
    <n v="4"/>
    <x v="3"/>
    <s v="Übung"/>
    <n v="30"/>
    <n v="31"/>
    <n v="3.3333333333333437E-2"/>
    <x v="0"/>
    <x v="3"/>
  </r>
  <r>
    <n v="423"/>
    <n v="5"/>
    <x v="4"/>
    <s v="Übung"/>
    <n v="30"/>
    <n v="52"/>
    <n v="0.73333333333333339"/>
    <x v="3"/>
    <x v="3"/>
  </r>
  <r>
    <n v="423"/>
    <n v="6"/>
    <x v="5"/>
    <s v="Handout"/>
    <n v="5"/>
    <n v="2"/>
    <n v="-0.6"/>
    <x v="2"/>
    <x v="1"/>
  </r>
  <r>
    <n v="423"/>
    <n v="7"/>
    <x v="6"/>
    <s v="Quiz"/>
    <n v="10"/>
    <n v="8"/>
    <n v="-0.19999999999999996"/>
    <x v="0"/>
    <x v="3"/>
  </r>
  <r>
    <n v="423"/>
    <n v="8"/>
    <x v="7"/>
    <s v="Video"/>
    <n v="5"/>
    <n v="5"/>
    <n v="0"/>
    <x v="0"/>
    <x v="0"/>
  </r>
  <r>
    <n v="424"/>
    <n v="1"/>
    <x v="0"/>
    <s v="Video"/>
    <n v="4"/>
    <n v="4"/>
    <n v="0"/>
    <x v="0"/>
    <x v="0"/>
  </r>
  <r>
    <n v="424"/>
    <n v="2"/>
    <x v="1"/>
    <s v="Text"/>
    <n v="15"/>
    <n v="19"/>
    <n v="0.26666666666666661"/>
    <x v="0"/>
    <x v="0"/>
  </r>
  <r>
    <n v="424"/>
    <n v="3"/>
    <x v="2"/>
    <s v="Übung"/>
    <n v="30"/>
    <n v="28"/>
    <n v="-6.6666666666666652E-2"/>
    <x v="0"/>
    <x v="3"/>
  </r>
  <r>
    <n v="424"/>
    <n v="4"/>
    <x v="3"/>
    <s v="Übung"/>
    <n v="30"/>
    <n v="26"/>
    <n v="-0.1333333333333333"/>
    <x v="0"/>
    <x v="3"/>
  </r>
  <r>
    <n v="424"/>
    <n v="5"/>
    <x v="4"/>
    <s v="Übung"/>
    <n v="30"/>
    <n v="51"/>
    <n v="0.7"/>
    <x v="3"/>
    <x v="2"/>
  </r>
  <r>
    <n v="424"/>
    <n v="6"/>
    <x v="5"/>
    <s v="Handout"/>
    <n v="5"/>
    <n v="1"/>
    <n v="-0.8"/>
    <x v="2"/>
    <x v="0"/>
  </r>
  <r>
    <n v="424"/>
    <n v="7"/>
    <x v="6"/>
    <s v="Quiz"/>
    <n v="10"/>
    <n v="10"/>
    <n v="0"/>
    <x v="0"/>
    <x v="3"/>
  </r>
  <r>
    <n v="424"/>
    <n v="8"/>
    <x v="7"/>
    <s v="Video"/>
    <n v="5"/>
    <n v="8"/>
    <n v="0.60000000000000009"/>
    <x v="1"/>
    <x v="0"/>
  </r>
  <r>
    <n v="425"/>
    <n v="1"/>
    <x v="0"/>
    <s v="Video"/>
    <n v="4"/>
    <n v="4"/>
    <n v="0"/>
    <x v="0"/>
    <x v="0"/>
  </r>
  <r>
    <n v="425"/>
    <n v="2"/>
    <x v="1"/>
    <s v="Text"/>
    <n v="15"/>
    <n v="17"/>
    <n v="0.1333333333333333"/>
    <x v="0"/>
    <x v="1"/>
  </r>
  <r>
    <n v="425"/>
    <n v="3"/>
    <x v="2"/>
    <s v="Übung"/>
    <n v="30"/>
    <n v="29"/>
    <n v="-3.3333333333333326E-2"/>
    <x v="0"/>
    <x v="3"/>
  </r>
  <r>
    <n v="425"/>
    <n v="4"/>
    <x v="3"/>
    <s v="Übung"/>
    <n v="30"/>
    <n v="40"/>
    <n v="0.33333333333333326"/>
    <x v="1"/>
    <x v="4"/>
  </r>
  <r>
    <n v="425"/>
    <n v="5"/>
    <x v="4"/>
    <s v="Übung"/>
    <n v="30"/>
    <n v="44"/>
    <n v="0.46666666666666656"/>
    <x v="1"/>
    <x v="2"/>
  </r>
  <r>
    <n v="425"/>
    <n v="6"/>
    <x v="5"/>
    <s v="Handout"/>
    <n v="5"/>
    <n v="1"/>
    <n v="-0.8"/>
    <x v="2"/>
    <x v="1"/>
  </r>
  <r>
    <n v="425"/>
    <n v="7"/>
    <x v="6"/>
    <s v="Quiz"/>
    <n v="10"/>
    <n v="10"/>
    <n v="0"/>
    <x v="0"/>
    <x v="3"/>
  </r>
  <r>
    <n v="425"/>
    <n v="8"/>
    <x v="7"/>
    <s v="Video"/>
    <n v="5"/>
    <n v="5"/>
    <n v="0"/>
    <x v="0"/>
    <x v="0"/>
  </r>
  <r>
    <n v="426"/>
    <n v="1"/>
    <x v="0"/>
    <s v="Video"/>
    <n v="4"/>
    <n v="4"/>
    <n v="0"/>
    <x v="0"/>
    <x v="0"/>
  </r>
  <r>
    <n v="426"/>
    <n v="2"/>
    <x v="1"/>
    <s v="Text"/>
    <n v="15"/>
    <n v="16"/>
    <n v="6.6666666666666652E-2"/>
    <x v="0"/>
    <x v="1"/>
  </r>
  <r>
    <n v="426"/>
    <n v="3"/>
    <x v="2"/>
    <s v="Übung"/>
    <n v="30"/>
    <n v="31"/>
    <n v="3.3333333333333437E-2"/>
    <x v="0"/>
    <x v="3"/>
  </r>
  <r>
    <n v="426"/>
    <n v="4"/>
    <x v="3"/>
    <s v="Übung"/>
    <n v="30"/>
    <n v="23"/>
    <n v="-0.23333333333333328"/>
    <x v="0"/>
    <x v="1"/>
  </r>
  <r>
    <n v="426"/>
    <n v="5"/>
    <x v="4"/>
    <s v="Übung"/>
    <n v="30"/>
    <n v="38"/>
    <n v="0.26666666666666661"/>
    <x v="0"/>
    <x v="3"/>
  </r>
  <r>
    <n v="426"/>
    <n v="6"/>
    <x v="5"/>
    <s v="Handout"/>
    <n v="5"/>
    <n v="1"/>
    <n v="-0.8"/>
    <x v="2"/>
    <x v="1"/>
  </r>
  <r>
    <n v="426"/>
    <n v="7"/>
    <x v="6"/>
    <s v="Quiz"/>
    <n v="10"/>
    <n v="10"/>
    <n v="0"/>
    <x v="0"/>
    <x v="2"/>
  </r>
  <r>
    <n v="426"/>
    <n v="8"/>
    <x v="7"/>
    <s v="Video"/>
    <n v="5"/>
    <n v="5"/>
    <n v="0"/>
    <x v="0"/>
    <x v="0"/>
  </r>
  <r>
    <n v="428"/>
    <n v="1"/>
    <x v="0"/>
    <s v="Video"/>
    <n v="4"/>
    <n v="4"/>
    <n v="0"/>
    <x v="0"/>
    <x v="0"/>
  </r>
  <r>
    <n v="428"/>
    <n v="2"/>
    <x v="1"/>
    <s v="Text"/>
    <n v="15"/>
    <n v="18"/>
    <n v="0.19999999999999996"/>
    <x v="0"/>
    <x v="0"/>
  </r>
  <r>
    <n v="428"/>
    <n v="3"/>
    <x v="2"/>
    <s v="Übung"/>
    <n v="30"/>
    <n v="28"/>
    <n v="-6.6666666666666652E-2"/>
    <x v="0"/>
    <x v="3"/>
  </r>
  <r>
    <n v="428"/>
    <n v="4"/>
    <x v="3"/>
    <s v="Übung"/>
    <n v="30"/>
    <n v="25"/>
    <n v="-0.16666666666666663"/>
    <x v="0"/>
    <x v="3"/>
  </r>
  <r>
    <n v="428"/>
    <n v="5"/>
    <x v="4"/>
    <s v="Übung"/>
    <n v="30"/>
    <n v="52"/>
    <n v="0.73333333333333339"/>
    <x v="3"/>
    <x v="3"/>
  </r>
  <r>
    <n v="428"/>
    <n v="6"/>
    <x v="5"/>
    <s v="Handout"/>
    <n v="5"/>
    <n v="1"/>
    <n v="-0.8"/>
    <x v="2"/>
    <x v="1"/>
  </r>
  <r>
    <n v="428"/>
    <n v="7"/>
    <x v="6"/>
    <s v="Quiz"/>
    <n v="10"/>
    <n v="10"/>
    <n v="0"/>
    <x v="0"/>
    <x v="3"/>
  </r>
  <r>
    <n v="428"/>
    <n v="8"/>
    <x v="7"/>
    <s v="Video"/>
    <n v="5"/>
    <n v="5"/>
    <n v="0"/>
    <x v="0"/>
    <x v="0"/>
  </r>
  <r>
    <n v="429"/>
    <n v="1"/>
    <x v="0"/>
    <s v="Video"/>
    <n v="4"/>
    <n v="4"/>
    <n v="0"/>
    <x v="0"/>
    <x v="0"/>
  </r>
  <r>
    <n v="429"/>
    <n v="2"/>
    <x v="1"/>
    <s v="Text"/>
    <n v="15"/>
    <n v="17"/>
    <n v="0.1333333333333333"/>
    <x v="0"/>
    <x v="1"/>
  </r>
  <r>
    <n v="429"/>
    <n v="3"/>
    <x v="2"/>
    <s v="Übung"/>
    <n v="30"/>
    <n v="30"/>
    <n v="0"/>
    <x v="0"/>
    <x v="3"/>
  </r>
  <r>
    <n v="429"/>
    <n v="4"/>
    <x v="3"/>
    <s v="Übung"/>
    <n v="30"/>
    <n v="19"/>
    <n v="-0.3666666666666667"/>
    <x v="2"/>
    <x v="3"/>
  </r>
  <r>
    <n v="429"/>
    <n v="5"/>
    <x v="4"/>
    <s v="Übung"/>
    <n v="30"/>
    <n v="42"/>
    <n v="0.39999999999999991"/>
    <x v="1"/>
    <x v="2"/>
  </r>
  <r>
    <n v="429"/>
    <n v="6"/>
    <x v="5"/>
    <s v="Handout"/>
    <n v="5"/>
    <n v="3"/>
    <n v="-0.4"/>
    <x v="2"/>
    <x v="3"/>
  </r>
  <r>
    <n v="429"/>
    <n v="7"/>
    <x v="6"/>
    <s v="Quiz"/>
    <n v="10"/>
    <n v="9"/>
    <n v="-9.9999999999999978E-2"/>
    <x v="0"/>
    <x v="3"/>
  </r>
  <r>
    <n v="429"/>
    <n v="8"/>
    <x v="7"/>
    <s v="Video"/>
    <n v="5"/>
    <n v="5"/>
    <n v="0"/>
    <x v="0"/>
    <x v="0"/>
  </r>
  <r>
    <n v="430"/>
    <n v="1"/>
    <x v="0"/>
    <s v="Video"/>
    <n v="4"/>
    <n v="4"/>
    <n v="0"/>
    <x v="0"/>
    <x v="0"/>
  </r>
  <r>
    <n v="430"/>
    <n v="2"/>
    <x v="1"/>
    <s v="Text"/>
    <n v="15"/>
    <n v="18"/>
    <n v="0.19999999999999996"/>
    <x v="0"/>
    <x v="0"/>
  </r>
  <r>
    <n v="430"/>
    <n v="3"/>
    <x v="2"/>
    <s v="Übung"/>
    <n v="30"/>
    <n v="28"/>
    <n v="-6.6666666666666652E-2"/>
    <x v="0"/>
    <x v="1"/>
  </r>
  <r>
    <n v="430"/>
    <n v="4"/>
    <x v="3"/>
    <s v="Übung"/>
    <n v="30"/>
    <n v="21"/>
    <n v="-0.30000000000000004"/>
    <x v="0"/>
    <x v="2"/>
  </r>
  <r>
    <n v="430"/>
    <n v="5"/>
    <x v="4"/>
    <s v="Übung"/>
    <n v="30"/>
    <n v="43"/>
    <n v="0.43333333333333335"/>
    <x v="1"/>
    <x v="2"/>
  </r>
  <r>
    <n v="430"/>
    <n v="6"/>
    <x v="5"/>
    <s v="Handout"/>
    <n v="5"/>
    <n v="1"/>
    <n v="-0.8"/>
    <x v="2"/>
    <x v="0"/>
  </r>
  <r>
    <n v="430"/>
    <n v="7"/>
    <x v="6"/>
    <s v="Quiz"/>
    <n v="10"/>
    <n v="9"/>
    <n v="-9.9999999999999978E-2"/>
    <x v="0"/>
    <x v="2"/>
  </r>
  <r>
    <n v="430"/>
    <n v="8"/>
    <x v="7"/>
    <s v="Video"/>
    <n v="5"/>
    <n v="8"/>
    <n v="0.60000000000000009"/>
    <x v="1"/>
    <x v="0"/>
  </r>
  <r>
    <n v="431"/>
    <n v="1"/>
    <x v="0"/>
    <s v="Video"/>
    <n v="4"/>
    <n v="7"/>
    <n v="0.75"/>
    <x v="3"/>
    <x v="0"/>
  </r>
  <r>
    <n v="431"/>
    <n v="2"/>
    <x v="1"/>
    <s v="Text"/>
    <n v="15"/>
    <n v="15"/>
    <n v="0"/>
    <x v="0"/>
    <x v="1"/>
  </r>
  <r>
    <n v="431"/>
    <n v="3"/>
    <x v="2"/>
    <s v="Übung"/>
    <n v="30"/>
    <n v="30"/>
    <n v="0"/>
    <x v="0"/>
    <x v="1"/>
  </r>
  <r>
    <n v="431"/>
    <n v="4"/>
    <x v="3"/>
    <s v="Übung"/>
    <n v="30"/>
    <n v="25"/>
    <n v="-0.16666666666666663"/>
    <x v="0"/>
    <x v="3"/>
  </r>
  <r>
    <n v="431"/>
    <n v="5"/>
    <x v="4"/>
    <s v="Übung"/>
    <n v="30"/>
    <n v="48"/>
    <n v="0.60000000000000009"/>
    <x v="1"/>
    <x v="4"/>
  </r>
  <r>
    <n v="431"/>
    <n v="6"/>
    <x v="5"/>
    <s v="Handout"/>
    <n v="5"/>
    <n v="1"/>
    <n v="-0.8"/>
    <x v="2"/>
    <x v="0"/>
  </r>
  <r>
    <n v="431"/>
    <n v="7"/>
    <x v="6"/>
    <s v="Quiz"/>
    <n v="10"/>
    <n v="11"/>
    <n v="0.10000000000000009"/>
    <x v="0"/>
    <x v="3"/>
  </r>
  <r>
    <n v="431"/>
    <n v="8"/>
    <x v="7"/>
    <s v="Video"/>
    <n v="5"/>
    <n v="5"/>
    <n v="0"/>
    <x v="0"/>
    <x v="0"/>
  </r>
  <r>
    <n v="432"/>
    <n v="1"/>
    <x v="0"/>
    <s v="Video"/>
    <n v="4"/>
    <n v="4"/>
    <n v="0"/>
    <x v="0"/>
    <x v="1"/>
  </r>
  <r>
    <n v="432"/>
    <n v="2"/>
    <x v="1"/>
    <s v="Text"/>
    <n v="15"/>
    <n v="19"/>
    <n v="0.26666666666666661"/>
    <x v="0"/>
    <x v="1"/>
  </r>
  <r>
    <n v="432"/>
    <n v="3"/>
    <x v="2"/>
    <s v="Übung"/>
    <n v="30"/>
    <n v="29"/>
    <n v="-3.3333333333333326E-2"/>
    <x v="0"/>
    <x v="1"/>
  </r>
  <r>
    <n v="432"/>
    <n v="4"/>
    <x v="3"/>
    <s v="Übung"/>
    <n v="30"/>
    <n v="27"/>
    <n v="-9.9999999999999978E-2"/>
    <x v="0"/>
    <x v="3"/>
  </r>
  <r>
    <n v="432"/>
    <n v="5"/>
    <x v="4"/>
    <s v="Übung"/>
    <n v="30"/>
    <n v="42"/>
    <n v="0.39999999999999991"/>
    <x v="1"/>
    <x v="2"/>
  </r>
  <r>
    <n v="432"/>
    <n v="6"/>
    <x v="5"/>
    <s v="Handout"/>
    <n v="5"/>
    <n v="2"/>
    <n v="-0.6"/>
    <x v="2"/>
    <x v="1"/>
  </r>
  <r>
    <n v="432"/>
    <n v="7"/>
    <x v="6"/>
    <s v="Quiz"/>
    <n v="10"/>
    <n v="10"/>
    <n v="0"/>
    <x v="0"/>
    <x v="2"/>
  </r>
  <r>
    <n v="432"/>
    <n v="8"/>
    <x v="7"/>
    <s v="Video"/>
    <n v="5"/>
    <n v="5"/>
    <n v="0"/>
    <x v="0"/>
    <x v="0"/>
  </r>
  <r>
    <n v="433"/>
    <n v="1"/>
    <x v="0"/>
    <s v="Video"/>
    <n v="4"/>
    <n v="4"/>
    <n v="0"/>
    <x v="0"/>
    <x v="0"/>
  </r>
  <r>
    <n v="433"/>
    <n v="2"/>
    <x v="1"/>
    <s v="Text"/>
    <n v="15"/>
    <n v="22"/>
    <n v="0.46666666666666656"/>
    <x v="1"/>
    <x v="0"/>
  </r>
  <r>
    <n v="433"/>
    <n v="3"/>
    <x v="2"/>
    <s v="Übung"/>
    <n v="30"/>
    <n v="28"/>
    <n v="-6.6666666666666652E-2"/>
    <x v="0"/>
    <x v="3"/>
  </r>
  <r>
    <n v="433"/>
    <n v="4"/>
    <x v="3"/>
    <s v="Übung"/>
    <n v="30"/>
    <n v="30"/>
    <n v="0"/>
    <x v="0"/>
    <x v="3"/>
  </r>
  <r>
    <n v="433"/>
    <n v="5"/>
    <x v="4"/>
    <s v="Übung"/>
    <n v="30"/>
    <n v="45"/>
    <n v="0.5"/>
    <x v="1"/>
    <x v="3"/>
  </r>
  <r>
    <n v="433"/>
    <n v="6"/>
    <x v="5"/>
    <s v="Handout"/>
    <n v="5"/>
    <n v="1"/>
    <n v="-0.8"/>
    <x v="2"/>
    <x v="1"/>
  </r>
  <r>
    <n v="433"/>
    <n v="7"/>
    <x v="6"/>
    <s v="Quiz"/>
    <n v="10"/>
    <n v="8"/>
    <n v="-0.19999999999999996"/>
    <x v="0"/>
    <x v="2"/>
  </r>
  <r>
    <n v="433"/>
    <n v="8"/>
    <x v="7"/>
    <s v="Video"/>
    <n v="5"/>
    <n v="5"/>
    <n v="0"/>
    <x v="0"/>
    <x v="0"/>
  </r>
  <r>
    <n v="434"/>
    <n v="1"/>
    <x v="0"/>
    <s v="Video"/>
    <n v="4"/>
    <n v="4"/>
    <n v="0"/>
    <x v="0"/>
    <x v="0"/>
  </r>
  <r>
    <n v="434"/>
    <n v="2"/>
    <x v="1"/>
    <s v="Text"/>
    <n v="15"/>
    <n v="17"/>
    <n v="0.1333333333333333"/>
    <x v="0"/>
    <x v="0"/>
  </r>
  <r>
    <n v="434"/>
    <n v="3"/>
    <x v="2"/>
    <s v="Übung"/>
    <n v="30"/>
    <n v="27"/>
    <n v="-9.9999999999999978E-2"/>
    <x v="0"/>
    <x v="1"/>
  </r>
  <r>
    <n v="434"/>
    <n v="4"/>
    <x v="3"/>
    <s v="Übung"/>
    <n v="30"/>
    <n v="21"/>
    <n v="-0.30000000000000004"/>
    <x v="0"/>
    <x v="3"/>
  </r>
  <r>
    <n v="434"/>
    <n v="5"/>
    <x v="4"/>
    <s v="Übung"/>
    <n v="30"/>
    <n v="41"/>
    <n v="0.3666666666666667"/>
    <x v="1"/>
    <x v="4"/>
  </r>
  <r>
    <n v="434"/>
    <n v="6"/>
    <x v="5"/>
    <s v="Handout"/>
    <n v="5"/>
    <n v="3"/>
    <n v="-0.4"/>
    <x v="2"/>
    <x v="3"/>
  </r>
  <r>
    <n v="434"/>
    <n v="7"/>
    <x v="6"/>
    <s v="Quiz"/>
    <n v="10"/>
    <n v="11"/>
    <n v="0.10000000000000009"/>
    <x v="0"/>
    <x v="3"/>
  </r>
  <r>
    <n v="434"/>
    <n v="8"/>
    <x v="7"/>
    <s v="Video"/>
    <n v="5"/>
    <n v="5"/>
    <n v="0"/>
    <x v="0"/>
    <x v="0"/>
  </r>
  <r>
    <n v="436"/>
    <n v="1"/>
    <x v="0"/>
    <s v="Video"/>
    <n v="4"/>
    <n v="4"/>
    <n v="0"/>
    <x v="0"/>
    <x v="0"/>
  </r>
  <r>
    <n v="436"/>
    <n v="2"/>
    <x v="1"/>
    <s v="Text"/>
    <n v="15"/>
    <n v="20"/>
    <n v="0.33333333333333326"/>
    <x v="1"/>
    <x v="0"/>
  </r>
  <r>
    <n v="436"/>
    <n v="3"/>
    <x v="2"/>
    <s v="Übung"/>
    <n v="30"/>
    <n v="28"/>
    <n v="-6.6666666666666652E-2"/>
    <x v="0"/>
    <x v="1"/>
  </r>
  <r>
    <n v="436"/>
    <n v="4"/>
    <x v="3"/>
    <s v="Übung"/>
    <n v="30"/>
    <n v="22"/>
    <n v="-0.26666666666666672"/>
    <x v="0"/>
    <x v="3"/>
  </r>
  <r>
    <n v="436"/>
    <n v="5"/>
    <x v="4"/>
    <s v="Übung"/>
    <n v="30"/>
    <n v="41"/>
    <n v="0.3666666666666667"/>
    <x v="1"/>
    <x v="2"/>
  </r>
  <r>
    <n v="436"/>
    <n v="6"/>
    <x v="5"/>
    <s v="Handout"/>
    <n v="5"/>
    <n v="1"/>
    <n v="-0.8"/>
    <x v="2"/>
    <x v="1"/>
  </r>
  <r>
    <n v="436"/>
    <n v="7"/>
    <x v="6"/>
    <s v="Quiz"/>
    <n v="10"/>
    <n v="11"/>
    <n v="0.10000000000000009"/>
    <x v="0"/>
    <x v="3"/>
  </r>
  <r>
    <n v="436"/>
    <n v="8"/>
    <x v="7"/>
    <s v="Video"/>
    <n v="5"/>
    <n v="5"/>
    <n v="0"/>
    <x v="0"/>
    <x v="0"/>
  </r>
  <r>
    <n v="438"/>
    <n v="1"/>
    <x v="0"/>
    <s v="Video"/>
    <n v="4"/>
    <n v="4"/>
    <n v="0"/>
    <x v="0"/>
    <x v="0"/>
  </r>
  <r>
    <n v="438"/>
    <n v="2"/>
    <x v="1"/>
    <s v="Text"/>
    <n v="15"/>
    <n v="17"/>
    <n v="0.1333333333333333"/>
    <x v="0"/>
    <x v="1"/>
  </r>
  <r>
    <n v="438"/>
    <n v="3"/>
    <x v="2"/>
    <s v="Übung"/>
    <n v="30"/>
    <n v="29"/>
    <n v="-3.3333333333333326E-2"/>
    <x v="0"/>
    <x v="3"/>
  </r>
  <r>
    <n v="438"/>
    <n v="4"/>
    <x v="3"/>
    <s v="Übung"/>
    <n v="30"/>
    <n v="22"/>
    <n v="-0.26666666666666672"/>
    <x v="0"/>
    <x v="3"/>
  </r>
  <r>
    <n v="438"/>
    <n v="5"/>
    <x v="4"/>
    <s v="Übung"/>
    <n v="30"/>
    <n v="43"/>
    <n v="0.43333333333333335"/>
    <x v="1"/>
    <x v="4"/>
  </r>
  <r>
    <n v="438"/>
    <n v="6"/>
    <x v="5"/>
    <s v="Handout"/>
    <n v="5"/>
    <n v="2"/>
    <n v="-0.6"/>
    <x v="2"/>
    <x v="1"/>
  </r>
  <r>
    <n v="438"/>
    <n v="7"/>
    <x v="6"/>
    <s v="Quiz"/>
    <n v="10"/>
    <n v="10"/>
    <n v="0"/>
    <x v="0"/>
    <x v="2"/>
  </r>
  <r>
    <n v="438"/>
    <n v="8"/>
    <x v="7"/>
    <s v="Video"/>
    <n v="5"/>
    <n v="5"/>
    <n v="0"/>
    <x v="0"/>
    <x v="1"/>
  </r>
  <r>
    <n v="439"/>
    <n v="1"/>
    <x v="0"/>
    <s v="Video"/>
    <n v="4"/>
    <n v="4"/>
    <n v="0"/>
    <x v="0"/>
    <x v="0"/>
  </r>
  <r>
    <n v="439"/>
    <n v="2"/>
    <x v="1"/>
    <s v="Text"/>
    <n v="15"/>
    <n v="18"/>
    <n v="0.19999999999999996"/>
    <x v="0"/>
    <x v="1"/>
  </r>
  <r>
    <n v="439"/>
    <n v="3"/>
    <x v="2"/>
    <s v="Übung"/>
    <n v="30"/>
    <n v="29"/>
    <n v="-3.3333333333333326E-2"/>
    <x v="0"/>
    <x v="1"/>
  </r>
  <r>
    <n v="439"/>
    <n v="4"/>
    <x v="3"/>
    <s v="Übung"/>
    <n v="30"/>
    <n v="27"/>
    <n v="-9.9999999999999978E-2"/>
    <x v="0"/>
    <x v="3"/>
  </r>
  <r>
    <n v="439"/>
    <n v="5"/>
    <x v="4"/>
    <s v="Übung"/>
    <n v="30"/>
    <n v="42"/>
    <n v="0.39999999999999991"/>
    <x v="1"/>
    <x v="3"/>
  </r>
  <r>
    <n v="439"/>
    <n v="6"/>
    <x v="5"/>
    <s v="Handout"/>
    <n v="5"/>
    <n v="1"/>
    <n v="-0.8"/>
    <x v="2"/>
    <x v="1"/>
  </r>
  <r>
    <n v="439"/>
    <n v="7"/>
    <x v="6"/>
    <s v="Quiz"/>
    <n v="10"/>
    <n v="8"/>
    <n v="-0.19999999999999996"/>
    <x v="0"/>
    <x v="3"/>
  </r>
  <r>
    <n v="439"/>
    <n v="8"/>
    <x v="7"/>
    <s v="Video"/>
    <n v="5"/>
    <n v="5"/>
    <n v="0"/>
    <x v="0"/>
    <x v="0"/>
  </r>
  <r>
    <n v="440"/>
    <n v="1"/>
    <x v="0"/>
    <s v="Video"/>
    <n v="4"/>
    <n v="4"/>
    <n v="0"/>
    <x v="0"/>
    <x v="0"/>
  </r>
  <r>
    <n v="440"/>
    <n v="2"/>
    <x v="1"/>
    <s v="Text"/>
    <n v="15"/>
    <n v="18"/>
    <n v="0.19999999999999996"/>
    <x v="0"/>
    <x v="1"/>
  </r>
  <r>
    <n v="440"/>
    <n v="3"/>
    <x v="2"/>
    <s v="Übung"/>
    <n v="30"/>
    <n v="29"/>
    <n v="-3.3333333333333326E-2"/>
    <x v="0"/>
    <x v="1"/>
  </r>
  <r>
    <n v="440"/>
    <n v="4"/>
    <x v="3"/>
    <s v="Übung"/>
    <n v="30"/>
    <n v="20"/>
    <n v="-0.33333333333333337"/>
    <x v="2"/>
    <x v="1"/>
  </r>
  <r>
    <n v="440"/>
    <n v="5"/>
    <x v="4"/>
    <s v="Übung"/>
    <n v="30"/>
    <n v="48"/>
    <n v="0.60000000000000009"/>
    <x v="1"/>
    <x v="2"/>
  </r>
  <r>
    <n v="440"/>
    <n v="6"/>
    <x v="5"/>
    <s v="Handout"/>
    <n v="5"/>
    <n v="2"/>
    <n v="-0.6"/>
    <x v="2"/>
    <x v="1"/>
  </r>
  <r>
    <n v="440"/>
    <n v="7"/>
    <x v="6"/>
    <s v="Quiz"/>
    <n v="10"/>
    <n v="8"/>
    <n v="-0.19999999999999996"/>
    <x v="0"/>
    <x v="3"/>
  </r>
  <r>
    <n v="440"/>
    <n v="8"/>
    <x v="7"/>
    <s v="Video"/>
    <n v="5"/>
    <n v="9"/>
    <n v="0.8"/>
    <x v="3"/>
    <x v="0"/>
  </r>
  <r>
    <n v="441"/>
    <n v="1"/>
    <x v="0"/>
    <s v="Video"/>
    <n v="4"/>
    <n v="4"/>
    <n v="0"/>
    <x v="0"/>
    <x v="0"/>
  </r>
  <r>
    <n v="441"/>
    <n v="2"/>
    <x v="1"/>
    <s v="Text"/>
    <n v="15"/>
    <n v="19"/>
    <n v="0.26666666666666661"/>
    <x v="0"/>
    <x v="0"/>
  </r>
  <r>
    <n v="441"/>
    <n v="3"/>
    <x v="2"/>
    <s v="Übung"/>
    <n v="30"/>
    <n v="29"/>
    <n v="-3.3333333333333326E-2"/>
    <x v="0"/>
    <x v="1"/>
  </r>
  <r>
    <n v="441"/>
    <n v="4"/>
    <x v="3"/>
    <s v="Übung"/>
    <n v="30"/>
    <n v="21"/>
    <n v="-0.30000000000000004"/>
    <x v="0"/>
    <x v="2"/>
  </r>
  <r>
    <n v="441"/>
    <n v="5"/>
    <x v="4"/>
    <s v="Übung"/>
    <n v="30"/>
    <n v="47"/>
    <n v="0.56666666666666665"/>
    <x v="1"/>
    <x v="2"/>
  </r>
  <r>
    <n v="441"/>
    <n v="6"/>
    <x v="5"/>
    <s v="Handout"/>
    <n v="5"/>
    <n v="1"/>
    <n v="-0.8"/>
    <x v="2"/>
    <x v="3"/>
  </r>
  <r>
    <n v="441"/>
    <n v="7"/>
    <x v="6"/>
    <s v="Quiz"/>
    <n v="10"/>
    <n v="11"/>
    <n v="0.10000000000000009"/>
    <x v="0"/>
    <x v="2"/>
  </r>
  <r>
    <n v="441"/>
    <n v="8"/>
    <x v="7"/>
    <s v="Video"/>
    <n v="5"/>
    <n v="5"/>
    <n v="0"/>
    <x v="0"/>
    <x v="0"/>
  </r>
  <r>
    <n v="442"/>
    <n v="1"/>
    <x v="0"/>
    <s v="Video"/>
    <n v="4"/>
    <n v="6"/>
    <n v="0.5"/>
    <x v="1"/>
    <x v="0"/>
  </r>
  <r>
    <n v="442"/>
    <n v="2"/>
    <x v="1"/>
    <s v="Text"/>
    <n v="15"/>
    <n v="16"/>
    <n v="6.6666666666666652E-2"/>
    <x v="0"/>
    <x v="1"/>
  </r>
  <r>
    <n v="442"/>
    <n v="3"/>
    <x v="2"/>
    <s v="Übung"/>
    <n v="30"/>
    <n v="30"/>
    <n v="0"/>
    <x v="0"/>
    <x v="1"/>
  </r>
  <r>
    <n v="442"/>
    <n v="4"/>
    <x v="3"/>
    <s v="Übung"/>
    <n v="30"/>
    <n v="31"/>
    <n v="3.3333333333333437E-2"/>
    <x v="0"/>
    <x v="3"/>
  </r>
  <r>
    <n v="442"/>
    <n v="5"/>
    <x v="4"/>
    <s v="Übung"/>
    <n v="30"/>
    <n v="42"/>
    <n v="0.39999999999999991"/>
    <x v="1"/>
    <x v="2"/>
  </r>
  <r>
    <n v="442"/>
    <n v="6"/>
    <x v="5"/>
    <s v="Handout"/>
    <n v="5"/>
    <n v="2"/>
    <n v="-0.6"/>
    <x v="2"/>
    <x v="3"/>
  </r>
  <r>
    <n v="442"/>
    <n v="7"/>
    <x v="6"/>
    <s v="Quiz"/>
    <n v="10"/>
    <n v="9"/>
    <n v="-9.9999999999999978E-2"/>
    <x v="0"/>
    <x v="3"/>
  </r>
  <r>
    <n v="442"/>
    <n v="8"/>
    <x v="7"/>
    <s v="Video"/>
    <n v="5"/>
    <n v="5"/>
    <n v="0"/>
    <x v="0"/>
    <x v="0"/>
  </r>
  <r>
    <n v="443"/>
    <n v="1"/>
    <x v="0"/>
    <s v="Video"/>
    <n v="4"/>
    <n v="4"/>
    <n v="0"/>
    <x v="0"/>
    <x v="0"/>
  </r>
  <r>
    <n v="443"/>
    <n v="2"/>
    <x v="1"/>
    <s v="Text"/>
    <n v="15"/>
    <n v="16"/>
    <n v="6.6666666666666652E-2"/>
    <x v="0"/>
    <x v="0"/>
  </r>
  <r>
    <n v="443"/>
    <n v="3"/>
    <x v="2"/>
    <s v="Übung"/>
    <n v="30"/>
    <n v="27"/>
    <n v="-9.9999999999999978E-2"/>
    <x v="0"/>
    <x v="1"/>
  </r>
  <r>
    <n v="443"/>
    <n v="4"/>
    <x v="3"/>
    <s v="Übung"/>
    <n v="30"/>
    <n v="24"/>
    <n v="-0.19999999999999996"/>
    <x v="0"/>
    <x v="3"/>
  </r>
  <r>
    <n v="443"/>
    <n v="5"/>
    <x v="4"/>
    <s v="Übung"/>
    <n v="30"/>
    <n v="45"/>
    <n v="0.5"/>
    <x v="1"/>
    <x v="2"/>
  </r>
  <r>
    <n v="443"/>
    <n v="6"/>
    <x v="5"/>
    <s v="Handout"/>
    <n v="5"/>
    <n v="2"/>
    <n v="-0.6"/>
    <x v="2"/>
    <x v="0"/>
  </r>
  <r>
    <n v="443"/>
    <n v="7"/>
    <x v="6"/>
    <s v="Quiz"/>
    <n v="10"/>
    <n v="10"/>
    <n v="0"/>
    <x v="0"/>
    <x v="3"/>
  </r>
  <r>
    <n v="443"/>
    <n v="8"/>
    <x v="7"/>
    <s v="Video"/>
    <n v="5"/>
    <n v="9"/>
    <n v="0.8"/>
    <x v="3"/>
    <x v="0"/>
  </r>
  <r>
    <n v="444"/>
    <n v="1"/>
    <x v="0"/>
    <s v="Video"/>
    <n v="4"/>
    <n v="4"/>
    <n v="0"/>
    <x v="0"/>
    <x v="0"/>
  </r>
  <r>
    <n v="444"/>
    <n v="2"/>
    <x v="1"/>
    <s v="Text"/>
    <n v="15"/>
    <n v="15"/>
    <n v="0"/>
    <x v="0"/>
    <x v="1"/>
  </r>
  <r>
    <n v="444"/>
    <n v="3"/>
    <x v="2"/>
    <s v="Übung"/>
    <n v="30"/>
    <n v="27"/>
    <n v="-9.9999999999999978E-2"/>
    <x v="0"/>
    <x v="3"/>
  </r>
  <r>
    <n v="444"/>
    <n v="4"/>
    <x v="3"/>
    <s v="Übung"/>
    <n v="30"/>
    <n v="26"/>
    <n v="-0.1333333333333333"/>
    <x v="0"/>
    <x v="1"/>
  </r>
  <r>
    <n v="444"/>
    <n v="5"/>
    <x v="4"/>
    <s v="Übung"/>
    <n v="30"/>
    <n v="35"/>
    <n v="0.16666666666666674"/>
    <x v="0"/>
    <x v="2"/>
  </r>
  <r>
    <n v="444"/>
    <n v="6"/>
    <x v="5"/>
    <s v="Handout"/>
    <n v="5"/>
    <n v="4"/>
    <n v="-0.19999999999999996"/>
    <x v="0"/>
    <x v="1"/>
  </r>
  <r>
    <n v="444"/>
    <n v="7"/>
    <x v="6"/>
    <s v="Quiz"/>
    <n v="10"/>
    <n v="9"/>
    <n v="-9.9999999999999978E-2"/>
    <x v="0"/>
    <x v="2"/>
  </r>
  <r>
    <n v="444"/>
    <n v="8"/>
    <x v="7"/>
    <s v="Video"/>
    <n v="5"/>
    <n v="5"/>
    <n v="0"/>
    <x v="0"/>
    <x v="0"/>
  </r>
  <r>
    <n v="445"/>
    <n v="1"/>
    <x v="0"/>
    <s v="Video"/>
    <n v="4"/>
    <n v="7"/>
    <n v="0.75"/>
    <x v="3"/>
    <x v="0"/>
  </r>
  <r>
    <n v="445"/>
    <n v="2"/>
    <x v="1"/>
    <s v="Text"/>
    <n v="15"/>
    <n v="17"/>
    <n v="0.1333333333333333"/>
    <x v="0"/>
    <x v="1"/>
  </r>
  <r>
    <n v="445"/>
    <n v="3"/>
    <x v="2"/>
    <s v="Übung"/>
    <n v="30"/>
    <n v="27"/>
    <n v="-9.9999999999999978E-2"/>
    <x v="0"/>
    <x v="1"/>
  </r>
  <r>
    <n v="445"/>
    <n v="4"/>
    <x v="3"/>
    <s v="Übung"/>
    <n v="30"/>
    <n v="26"/>
    <n v="-0.1333333333333333"/>
    <x v="0"/>
    <x v="2"/>
  </r>
  <r>
    <n v="445"/>
    <n v="5"/>
    <x v="4"/>
    <s v="Übung"/>
    <n v="30"/>
    <n v="53"/>
    <n v="0.76666666666666661"/>
    <x v="3"/>
    <x v="2"/>
  </r>
  <r>
    <n v="445"/>
    <n v="6"/>
    <x v="5"/>
    <s v="Handout"/>
    <n v="5"/>
    <n v="1"/>
    <n v="-0.8"/>
    <x v="2"/>
    <x v="1"/>
  </r>
  <r>
    <n v="445"/>
    <n v="7"/>
    <x v="6"/>
    <s v="Quiz"/>
    <n v="10"/>
    <n v="10"/>
    <n v="0"/>
    <x v="0"/>
    <x v="3"/>
  </r>
  <r>
    <n v="445"/>
    <n v="8"/>
    <x v="7"/>
    <s v="Video"/>
    <n v="5"/>
    <n v="5"/>
    <n v="0"/>
    <x v="0"/>
    <x v="0"/>
  </r>
  <r>
    <n v="446"/>
    <n v="1"/>
    <x v="0"/>
    <s v="Video"/>
    <n v="4"/>
    <n v="4"/>
    <n v="0"/>
    <x v="0"/>
    <x v="0"/>
  </r>
  <r>
    <n v="446"/>
    <n v="2"/>
    <x v="1"/>
    <s v="Text"/>
    <n v="15"/>
    <n v="20"/>
    <n v="0.33333333333333326"/>
    <x v="1"/>
    <x v="1"/>
  </r>
  <r>
    <n v="446"/>
    <n v="3"/>
    <x v="2"/>
    <s v="Übung"/>
    <n v="30"/>
    <n v="30"/>
    <n v="0"/>
    <x v="0"/>
    <x v="3"/>
  </r>
  <r>
    <n v="446"/>
    <n v="4"/>
    <x v="3"/>
    <s v="Übung"/>
    <n v="30"/>
    <n v="24"/>
    <n v="-0.19999999999999996"/>
    <x v="0"/>
    <x v="3"/>
  </r>
  <r>
    <n v="446"/>
    <n v="5"/>
    <x v="4"/>
    <s v="Übung"/>
    <n v="30"/>
    <n v="53"/>
    <n v="0.76666666666666661"/>
    <x v="3"/>
    <x v="2"/>
  </r>
  <r>
    <n v="446"/>
    <n v="6"/>
    <x v="5"/>
    <s v="Handout"/>
    <n v="5"/>
    <n v="2"/>
    <n v="-0.6"/>
    <x v="2"/>
    <x v="1"/>
  </r>
  <r>
    <n v="446"/>
    <n v="7"/>
    <x v="6"/>
    <s v="Quiz"/>
    <n v="10"/>
    <n v="9"/>
    <n v="-9.9999999999999978E-2"/>
    <x v="0"/>
    <x v="3"/>
  </r>
  <r>
    <n v="446"/>
    <n v="8"/>
    <x v="7"/>
    <s v="Video"/>
    <n v="5"/>
    <n v="5"/>
    <n v="0"/>
    <x v="0"/>
    <x v="0"/>
  </r>
  <r>
    <n v="447"/>
    <n v="1"/>
    <x v="0"/>
    <s v="Video"/>
    <n v="4"/>
    <n v="4"/>
    <n v="0"/>
    <x v="0"/>
    <x v="0"/>
  </r>
  <r>
    <n v="447"/>
    <n v="2"/>
    <x v="1"/>
    <s v="Text"/>
    <n v="15"/>
    <n v="18"/>
    <n v="0.19999999999999996"/>
    <x v="0"/>
    <x v="1"/>
  </r>
  <r>
    <n v="447"/>
    <n v="3"/>
    <x v="2"/>
    <s v="Übung"/>
    <n v="30"/>
    <n v="28"/>
    <n v="-6.6666666666666652E-2"/>
    <x v="0"/>
    <x v="2"/>
  </r>
  <r>
    <n v="447"/>
    <n v="4"/>
    <x v="3"/>
    <s v="Übung"/>
    <n v="30"/>
    <n v="22"/>
    <n v="-0.26666666666666672"/>
    <x v="0"/>
    <x v="3"/>
  </r>
  <r>
    <n v="447"/>
    <n v="5"/>
    <x v="4"/>
    <s v="Übung"/>
    <n v="30"/>
    <n v="48"/>
    <n v="0.60000000000000009"/>
    <x v="1"/>
    <x v="3"/>
  </r>
  <r>
    <n v="447"/>
    <n v="6"/>
    <x v="5"/>
    <s v="Handout"/>
    <n v="5"/>
    <n v="2"/>
    <n v="-0.6"/>
    <x v="2"/>
    <x v="1"/>
  </r>
  <r>
    <n v="447"/>
    <n v="7"/>
    <x v="6"/>
    <s v="Quiz"/>
    <n v="10"/>
    <n v="10"/>
    <n v="0"/>
    <x v="0"/>
    <x v="2"/>
  </r>
  <r>
    <n v="447"/>
    <n v="8"/>
    <x v="7"/>
    <s v="Video"/>
    <n v="5"/>
    <n v="5"/>
    <n v="0"/>
    <x v="0"/>
    <x v="0"/>
  </r>
  <r>
    <n v="448"/>
    <n v="1"/>
    <x v="0"/>
    <s v="Video"/>
    <n v="4"/>
    <n v="4"/>
    <n v="0"/>
    <x v="0"/>
    <x v="0"/>
  </r>
  <r>
    <n v="448"/>
    <n v="2"/>
    <x v="1"/>
    <s v="Text"/>
    <n v="15"/>
    <n v="16"/>
    <n v="6.6666666666666652E-2"/>
    <x v="0"/>
    <x v="1"/>
  </r>
  <r>
    <n v="448"/>
    <n v="3"/>
    <x v="2"/>
    <s v="Übung"/>
    <n v="30"/>
    <n v="29"/>
    <n v="-3.3333333333333326E-2"/>
    <x v="0"/>
    <x v="1"/>
  </r>
  <r>
    <n v="448"/>
    <n v="4"/>
    <x v="3"/>
    <s v="Übung"/>
    <n v="30"/>
    <n v="20"/>
    <n v="-0.33333333333333337"/>
    <x v="2"/>
    <x v="2"/>
  </r>
  <r>
    <n v="448"/>
    <n v="5"/>
    <x v="4"/>
    <s v="Übung"/>
    <n v="30"/>
    <n v="46"/>
    <n v="0.53333333333333344"/>
    <x v="1"/>
    <x v="3"/>
  </r>
  <r>
    <n v="448"/>
    <n v="6"/>
    <x v="5"/>
    <s v="Handout"/>
    <n v="5"/>
    <n v="3"/>
    <n v="-0.4"/>
    <x v="2"/>
    <x v="1"/>
  </r>
  <r>
    <n v="448"/>
    <n v="7"/>
    <x v="6"/>
    <s v="Quiz"/>
    <n v="10"/>
    <n v="10"/>
    <n v="0"/>
    <x v="0"/>
    <x v="2"/>
  </r>
  <r>
    <n v="448"/>
    <n v="8"/>
    <x v="7"/>
    <s v="Video"/>
    <n v="5"/>
    <n v="5"/>
    <n v="0"/>
    <x v="0"/>
    <x v="0"/>
  </r>
  <r>
    <n v="449"/>
    <n v="1"/>
    <x v="0"/>
    <s v="Video"/>
    <n v="4"/>
    <n v="4"/>
    <n v="0"/>
    <x v="0"/>
    <x v="0"/>
  </r>
  <r>
    <n v="449"/>
    <n v="2"/>
    <x v="1"/>
    <s v="Text"/>
    <n v="15"/>
    <n v="19"/>
    <n v="0.26666666666666661"/>
    <x v="0"/>
    <x v="0"/>
  </r>
  <r>
    <n v="449"/>
    <n v="3"/>
    <x v="2"/>
    <s v="Übung"/>
    <n v="30"/>
    <n v="28"/>
    <n v="-6.6666666666666652E-2"/>
    <x v="0"/>
    <x v="1"/>
  </r>
  <r>
    <n v="449"/>
    <n v="4"/>
    <x v="3"/>
    <s v="Übung"/>
    <n v="30"/>
    <n v="16"/>
    <n v="-0.46666666666666667"/>
    <x v="2"/>
    <x v="3"/>
  </r>
  <r>
    <n v="449"/>
    <n v="5"/>
    <x v="4"/>
    <s v="Übung"/>
    <n v="30"/>
    <n v="43"/>
    <n v="0.43333333333333335"/>
    <x v="1"/>
    <x v="2"/>
  </r>
  <r>
    <n v="449"/>
    <n v="6"/>
    <x v="5"/>
    <s v="Handout"/>
    <n v="5"/>
    <n v="2"/>
    <n v="-0.6"/>
    <x v="2"/>
    <x v="1"/>
  </r>
  <r>
    <n v="449"/>
    <n v="7"/>
    <x v="6"/>
    <s v="Quiz"/>
    <n v="10"/>
    <n v="10"/>
    <n v="0"/>
    <x v="0"/>
    <x v="3"/>
  </r>
  <r>
    <n v="449"/>
    <n v="8"/>
    <x v="7"/>
    <s v="Video"/>
    <n v="5"/>
    <n v="5"/>
    <n v="0"/>
    <x v="0"/>
    <x v="0"/>
  </r>
  <r>
    <n v="450"/>
    <n v="1"/>
    <x v="0"/>
    <s v="Video"/>
    <n v="4"/>
    <n v="4"/>
    <n v="0"/>
    <x v="0"/>
    <x v="0"/>
  </r>
  <r>
    <n v="450"/>
    <n v="2"/>
    <x v="1"/>
    <s v="Text"/>
    <n v="15"/>
    <n v="18"/>
    <n v="0.19999999999999996"/>
    <x v="0"/>
    <x v="0"/>
  </r>
  <r>
    <n v="450"/>
    <n v="3"/>
    <x v="2"/>
    <s v="Übung"/>
    <n v="30"/>
    <n v="27"/>
    <n v="-9.9999999999999978E-2"/>
    <x v="0"/>
    <x v="2"/>
  </r>
  <r>
    <n v="450"/>
    <n v="4"/>
    <x v="3"/>
    <s v="Übung"/>
    <n v="30"/>
    <n v="26"/>
    <n v="-0.1333333333333333"/>
    <x v="0"/>
    <x v="3"/>
  </r>
  <r>
    <n v="450"/>
    <n v="5"/>
    <x v="4"/>
    <s v="Übung"/>
    <n v="30"/>
    <n v="51"/>
    <n v="0.7"/>
    <x v="3"/>
    <x v="2"/>
  </r>
  <r>
    <n v="450"/>
    <n v="6"/>
    <x v="5"/>
    <s v="Handout"/>
    <n v="5"/>
    <n v="2"/>
    <n v="-0.6"/>
    <x v="2"/>
    <x v="1"/>
  </r>
  <r>
    <n v="450"/>
    <n v="7"/>
    <x v="6"/>
    <s v="Quiz"/>
    <n v="10"/>
    <n v="12"/>
    <n v="0.19999999999999996"/>
    <x v="0"/>
    <x v="3"/>
  </r>
  <r>
    <n v="450"/>
    <n v="8"/>
    <x v="7"/>
    <s v="Video"/>
    <n v="5"/>
    <n v="5"/>
    <n v="0"/>
    <x v="0"/>
    <x v="0"/>
  </r>
  <r>
    <n v="452"/>
    <n v="1"/>
    <x v="0"/>
    <s v="Video"/>
    <n v="4"/>
    <n v="4"/>
    <n v="0"/>
    <x v="0"/>
    <x v="0"/>
  </r>
  <r>
    <n v="452"/>
    <n v="2"/>
    <x v="1"/>
    <s v="Text"/>
    <n v="15"/>
    <n v="19"/>
    <n v="0.26666666666666661"/>
    <x v="0"/>
    <x v="1"/>
  </r>
  <r>
    <n v="452"/>
    <n v="3"/>
    <x v="2"/>
    <s v="Übung"/>
    <n v="30"/>
    <n v="28"/>
    <n v="-6.6666666666666652E-2"/>
    <x v="0"/>
    <x v="1"/>
  </r>
  <r>
    <n v="452"/>
    <n v="4"/>
    <x v="3"/>
    <s v="Übung"/>
    <n v="30"/>
    <n v="27"/>
    <n v="-9.9999999999999978E-2"/>
    <x v="0"/>
    <x v="3"/>
  </r>
  <r>
    <n v="452"/>
    <n v="5"/>
    <x v="4"/>
    <s v="Übung"/>
    <n v="30"/>
    <n v="48"/>
    <n v="0.60000000000000009"/>
    <x v="1"/>
    <x v="2"/>
  </r>
  <r>
    <n v="452"/>
    <n v="6"/>
    <x v="5"/>
    <s v="Handout"/>
    <n v="5"/>
    <n v="1"/>
    <n v="-0.8"/>
    <x v="2"/>
    <x v="0"/>
  </r>
  <r>
    <n v="452"/>
    <n v="7"/>
    <x v="6"/>
    <s v="Quiz"/>
    <n v="10"/>
    <n v="9"/>
    <n v="-9.9999999999999978E-2"/>
    <x v="0"/>
    <x v="2"/>
  </r>
  <r>
    <n v="452"/>
    <n v="8"/>
    <x v="7"/>
    <s v="Video"/>
    <n v="5"/>
    <n v="5"/>
    <n v="0"/>
    <x v="0"/>
    <x v="0"/>
  </r>
  <r>
    <n v="453"/>
    <n v="1"/>
    <x v="0"/>
    <s v="Video"/>
    <n v="4"/>
    <n v="4"/>
    <n v="0"/>
    <x v="0"/>
    <x v="0"/>
  </r>
  <r>
    <n v="453"/>
    <n v="2"/>
    <x v="1"/>
    <s v="Text"/>
    <n v="15"/>
    <n v="17"/>
    <n v="0.1333333333333333"/>
    <x v="0"/>
    <x v="0"/>
  </r>
  <r>
    <n v="453"/>
    <n v="3"/>
    <x v="2"/>
    <s v="Übung"/>
    <n v="30"/>
    <n v="27"/>
    <n v="-9.9999999999999978E-2"/>
    <x v="0"/>
    <x v="1"/>
  </r>
  <r>
    <n v="453"/>
    <n v="4"/>
    <x v="3"/>
    <s v="Übung"/>
    <n v="30"/>
    <n v="22"/>
    <n v="-0.26666666666666672"/>
    <x v="0"/>
    <x v="2"/>
  </r>
  <r>
    <n v="453"/>
    <n v="5"/>
    <x v="4"/>
    <s v="Übung"/>
    <n v="30"/>
    <n v="51"/>
    <n v="0.7"/>
    <x v="3"/>
    <x v="3"/>
  </r>
  <r>
    <n v="453"/>
    <n v="6"/>
    <x v="5"/>
    <s v="Handout"/>
    <n v="5"/>
    <n v="1"/>
    <n v="-0.8"/>
    <x v="2"/>
    <x v="1"/>
  </r>
  <r>
    <n v="453"/>
    <n v="7"/>
    <x v="6"/>
    <s v="Quiz"/>
    <n v="10"/>
    <n v="10"/>
    <n v="0"/>
    <x v="0"/>
    <x v="3"/>
  </r>
  <r>
    <n v="453"/>
    <n v="8"/>
    <x v="7"/>
    <s v="Video"/>
    <n v="5"/>
    <n v="8"/>
    <n v="0.60000000000000009"/>
    <x v="1"/>
    <x v="0"/>
  </r>
  <r>
    <n v="454"/>
    <n v="1"/>
    <x v="0"/>
    <s v="Video"/>
    <n v="4"/>
    <n v="4"/>
    <n v="0"/>
    <x v="0"/>
    <x v="0"/>
  </r>
  <r>
    <n v="454"/>
    <n v="2"/>
    <x v="1"/>
    <s v="Text"/>
    <n v="15"/>
    <n v="16"/>
    <n v="6.6666666666666652E-2"/>
    <x v="0"/>
    <x v="0"/>
  </r>
  <r>
    <n v="454"/>
    <n v="3"/>
    <x v="2"/>
    <s v="Übung"/>
    <n v="30"/>
    <n v="48"/>
    <n v="0.60000000000000009"/>
    <x v="1"/>
    <x v="3"/>
  </r>
  <r>
    <n v="454"/>
    <n v="4"/>
    <x v="3"/>
    <s v="Übung"/>
    <n v="30"/>
    <n v="25"/>
    <n v="-0.16666666666666663"/>
    <x v="0"/>
    <x v="3"/>
  </r>
  <r>
    <n v="454"/>
    <n v="5"/>
    <x v="4"/>
    <s v="Übung"/>
    <n v="30"/>
    <n v="42"/>
    <n v="0.39999999999999991"/>
    <x v="1"/>
    <x v="3"/>
  </r>
  <r>
    <n v="454"/>
    <n v="6"/>
    <x v="5"/>
    <s v="Handout"/>
    <n v="5"/>
    <n v="2"/>
    <n v="-0.6"/>
    <x v="2"/>
    <x v="3"/>
  </r>
  <r>
    <n v="454"/>
    <n v="7"/>
    <x v="6"/>
    <s v="Quiz"/>
    <n v="10"/>
    <n v="9"/>
    <n v="-9.9999999999999978E-2"/>
    <x v="0"/>
    <x v="2"/>
  </r>
  <r>
    <n v="454"/>
    <n v="8"/>
    <x v="7"/>
    <s v="Video"/>
    <n v="5"/>
    <n v="5"/>
    <n v="0"/>
    <x v="0"/>
    <x v="0"/>
  </r>
  <r>
    <n v="455"/>
    <n v="1"/>
    <x v="0"/>
    <s v="Video"/>
    <n v="4"/>
    <n v="4"/>
    <n v="0"/>
    <x v="0"/>
    <x v="0"/>
  </r>
  <r>
    <n v="455"/>
    <n v="2"/>
    <x v="1"/>
    <s v="Text"/>
    <n v="15"/>
    <n v="19"/>
    <n v="0.26666666666666661"/>
    <x v="0"/>
    <x v="0"/>
  </r>
  <r>
    <n v="455"/>
    <n v="3"/>
    <x v="2"/>
    <s v="Übung"/>
    <n v="30"/>
    <n v="28"/>
    <n v="-6.6666666666666652E-2"/>
    <x v="0"/>
    <x v="3"/>
  </r>
  <r>
    <n v="455"/>
    <n v="4"/>
    <x v="3"/>
    <s v="Übung"/>
    <n v="30"/>
    <n v="22"/>
    <n v="-0.26666666666666672"/>
    <x v="0"/>
    <x v="3"/>
  </r>
  <r>
    <n v="455"/>
    <n v="5"/>
    <x v="4"/>
    <s v="Übung"/>
    <n v="30"/>
    <n v="46"/>
    <n v="0.53333333333333344"/>
    <x v="1"/>
    <x v="2"/>
  </r>
  <r>
    <n v="455"/>
    <n v="6"/>
    <x v="5"/>
    <s v="Handout"/>
    <n v="5"/>
    <n v="1"/>
    <n v="-0.8"/>
    <x v="2"/>
    <x v="3"/>
  </r>
  <r>
    <n v="455"/>
    <n v="7"/>
    <x v="6"/>
    <s v="Quiz"/>
    <n v="10"/>
    <n v="11"/>
    <n v="0.10000000000000009"/>
    <x v="0"/>
    <x v="3"/>
  </r>
  <r>
    <n v="455"/>
    <n v="8"/>
    <x v="7"/>
    <s v="Video"/>
    <n v="5"/>
    <n v="5"/>
    <n v="0"/>
    <x v="0"/>
    <x v="0"/>
  </r>
  <r>
    <n v="458"/>
    <n v="1"/>
    <x v="0"/>
    <s v="Video"/>
    <n v="4"/>
    <n v="4"/>
    <n v="0"/>
    <x v="0"/>
    <x v="0"/>
  </r>
  <r>
    <n v="458"/>
    <n v="2"/>
    <x v="1"/>
    <s v="Text"/>
    <n v="15"/>
    <n v="19"/>
    <n v="0.26666666666666661"/>
    <x v="0"/>
    <x v="1"/>
  </r>
  <r>
    <n v="458"/>
    <n v="3"/>
    <x v="2"/>
    <s v="Übung"/>
    <n v="30"/>
    <n v="27"/>
    <n v="-9.9999999999999978E-2"/>
    <x v="0"/>
    <x v="1"/>
  </r>
  <r>
    <n v="458"/>
    <n v="4"/>
    <x v="3"/>
    <s v="Übung"/>
    <n v="30"/>
    <n v="22"/>
    <n v="-0.26666666666666672"/>
    <x v="0"/>
    <x v="3"/>
  </r>
  <r>
    <n v="458"/>
    <n v="5"/>
    <x v="4"/>
    <s v="Übung"/>
    <n v="30"/>
    <n v="41"/>
    <n v="0.3666666666666667"/>
    <x v="1"/>
    <x v="2"/>
  </r>
  <r>
    <n v="458"/>
    <n v="6"/>
    <x v="5"/>
    <s v="Handout"/>
    <n v="5"/>
    <n v="1"/>
    <n v="-0.8"/>
    <x v="2"/>
    <x v="3"/>
  </r>
  <r>
    <n v="458"/>
    <n v="7"/>
    <x v="6"/>
    <s v="Quiz"/>
    <n v="10"/>
    <n v="11"/>
    <n v="0.10000000000000009"/>
    <x v="0"/>
    <x v="2"/>
  </r>
  <r>
    <n v="458"/>
    <n v="8"/>
    <x v="7"/>
    <s v="Video"/>
    <n v="5"/>
    <n v="5"/>
    <n v="0"/>
    <x v="0"/>
    <x v="0"/>
  </r>
  <r>
    <n v="459"/>
    <n v="1"/>
    <x v="0"/>
    <s v="Video"/>
    <n v="4"/>
    <n v="6"/>
    <n v="0.5"/>
    <x v="1"/>
    <x v="0"/>
  </r>
  <r>
    <n v="459"/>
    <n v="2"/>
    <x v="1"/>
    <s v="Text"/>
    <n v="15"/>
    <n v="17"/>
    <n v="0.1333333333333333"/>
    <x v="0"/>
    <x v="1"/>
  </r>
  <r>
    <n v="459"/>
    <n v="3"/>
    <x v="2"/>
    <s v="Übung"/>
    <n v="30"/>
    <n v="29"/>
    <n v="-3.3333333333333326E-2"/>
    <x v="0"/>
    <x v="1"/>
  </r>
  <r>
    <n v="459"/>
    <n v="4"/>
    <x v="3"/>
    <s v="Übung"/>
    <n v="30"/>
    <n v="30"/>
    <n v="0"/>
    <x v="0"/>
    <x v="2"/>
  </r>
  <r>
    <n v="459"/>
    <n v="5"/>
    <x v="4"/>
    <s v="Übung"/>
    <n v="30"/>
    <n v="48"/>
    <n v="0.60000000000000009"/>
    <x v="1"/>
    <x v="2"/>
  </r>
  <r>
    <n v="459"/>
    <n v="6"/>
    <x v="5"/>
    <s v="Handout"/>
    <n v="5"/>
    <n v="1"/>
    <n v="-0.8"/>
    <x v="2"/>
    <x v="3"/>
  </r>
  <r>
    <n v="459"/>
    <n v="7"/>
    <x v="6"/>
    <s v="Quiz"/>
    <n v="10"/>
    <n v="9"/>
    <n v="-9.9999999999999978E-2"/>
    <x v="0"/>
    <x v="2"/>
  </r>
  <r>
    <n v="459"/>
    <n v="8"/>
    <x v="7"/>
    <s v="Video"/>
    <n v="5"/>
    <n v="5"/>
    <n v="0"/>
    <x v="0"/>
    <x v="0"/>
  </r>
  <r>
    <n v="460"/>
    <n v="1"/>
    <x v="0"/>
    <s v="Video"/>
    <n v="4"/>
    <n v="4"/>
    <n v="0"/>
    <x v="0"/>
    <x v="0"/>
  </r>
  <r>
    <n v="460"/>
    <n v="2"/>
    <x v="1"/>
    <s v="Text"/>
    <n v="15"/>
    <n v="18"/>
    <n v="0.19999999999999996"/>
    <x v="0"/>
    <x v="0"/>
  </r>
  <r>
    <n v="460"/>
    <n v="3"/>
    <x v="2"/>
    <s v="Übung"/>
    <n v="30"/>
    <n v="26"/>
    <n v="-0.1333333333333333"/>
    <x v="0"/>
    <x v="3"/>
  </r>
  <r>
    <n v="460"/>
    <n v="4"/>
    <x v="3"/>
    <s v="Übung"/>
    <n v="30"/>
    <n v="19"/>
    <n v="-0.3666666666666667"/>
    <x v="2"/>
    <x v="3"/>
  </r>
  <r>
    <n v="460"/>
    <n v="5"/>
    <x v="4"/>
    <s v="Übung"/>
    <n v="30"/>
    <n v="41"/>
    <n v="0.3666666666666667"/>
    <x v="1"/>
    <x v="2"/>
  </r>
  <r>
    <n v="460"/>
    <n v="6"/>
    <x v="5"/>
    <s v="Handout"/>
    <n v="5"/>
    <n v="3"/>
    <n v="-0.4"/>
    <x v="2"/>
    <x v="3"/>
  </r>
  <r>
    <n v="460"/>
    <n v="7"/>
    <x v="6"/>
    <s v="Quiz"/>
    <n v="10"/>
    <n v="9"/>
    <n v="-9.9999999999999978E-2"/>
    <x v="0"/>
    <x v="3"/>
  </r>
  <r>
    <n v="460"/>
    <n v="8"/>
    <x v="7"/>
    <s v="Video"/>
    <n v="5"/>
    <n v="5"/>
    <n v="0"/>
    <x v="0"/>
    <x v="0"/>
  </r>
  <r>
    <n v="461"/>
    <n v="1"/>
    <x v="0"/>
    <s v="Video"/>
    <n v="4"/>
    <n v="7"/>
    <n v="0.75"/>
    <x v="3"/>
    <x v="0"/>
  </r>
  <r>
    <n v="461"/>
    <n v="2"/>
    <x v="1"/>
    <s v="Text"/>
    <n v="15"/>
    <n v="20"/>
    <n v="0.33333333333333326"/>
    <x v="1"/>
    <x v="1"/>
  </r>
  <r>
    <n v="461"/>
    <n v="3"/>
    <x v="2"/>
    <s v="Übung"/>
    <n v="30"/>
    <n v="29"/>
    <n v="-3.3333333333333326E-2"/>
    <x v="0"/>
    <x v="1"/>
  </r>
  <r>
    <n v="461"/>
    <n v="4"/>
    <x v="3"/>
    <s v="Übung"/>
    <n v="30"/>
    <n v="35"/>
    <n v="0.16666666666666674"/>
    <x v="0"/>
    <x v="3"/>
  </r>
  <r>
    <n v="461"/>
    <n v="5"/>
    <x v="4"/>
    <s v="Übung"/>
    <n v="30"/>
    <n v="50"/>
    <n v="0.66666666666666674"/>
    <x v="3"/>
    <x v="2"/>
  </r>
  <r>
    <n v="461"/>
    <n v="6"/>
    <x v="5"/>
    <s v="Handout"/>
    <n v="5"/>
    <n v="1"/>
    <n v="-0.8"/>
    <x v="2"/>
    <x v="3"/>
  </r>
  <r>
    <n v="461"/>
    <n v="7"/>
    <x v="6"/>
    <s v="Quiz"/>
    <n v="10"/>
    <n v="10"/>
    <n v="0"/>
    <x v="0"/>
    <x v="3"/>
  </r>
  <r>
    <n v="461"/>
    <n v="8"/>
    <x v="7"/>
    <s v="Video"/>
    <n v="5"/>
    <n v="5"/>
    <n v="0"/>
    <x v="0"/>
    <x v="0"/>
  </r>
  <r>
    <n v="463"/>
    <n v="1"/>
    <x v="0"/>
    <s v="Video"/>
    <n v="4"/>
    <n v="4"/>
    <n v="0"/>
    <x v="0"/>
    <x v="1"/>
  </r>
  <r>
    <n v="463"/>
    <n v="2"/>
    <x v="1"/>
    <s v="Text"/>
    <n v="15"/>
    <n v="16"/>
    <n v="6.6666666666666652E-2"/>
    <x v="0"/>
    <x v="0"/>
  </r>
  <r>
    <n v="463"/>
    <n v="3"/>
    <x v="2"/>
    <s v="Übung"/>
    <n v="30"/>
    <n v="30"/>
    <n v="0"/>
    <x v="0"/>
    <x v="3"/>
  </r>
  <r>
    <n v="463"/>
    <n v="4"/>
    <x v="3"/>
    <s v="Übung"/>
    <n v="30"/>
    <n v="30"/>
    <n v="0"/>
    <x v="0"/>
    <x v="3"/>
  </r>
  <r>
    <n v="463"/>
    <n v="5"/>
    <x v="4"/>
    <s v="Übung"/>
    <n v="30"/>
    <n v="48"/>
    <n v="0.60000000000000009"/>
    <x v="1"/>
    <x v="2"/>
  </r>
  <r>
    <n v="463"/>
    <n v="6"/>
    <x v="5"/>
    <s v="Handout"/>
    <n v="5"/>
    <n v="1"/>
    <n v="-0.8"/>
    <x v="2"/>
    <x v="1"/>
  </r>
  <r>
    <n v="463"/>
    <n v="7"/>
    <x v="6"/>
    <s v="Quiz"/>
    <n v="10"/>
    <n v="9"/>
    <n v="-9.9999999999999978E-2"/>
    <x v="0"/>
    <x v="2"/>
  </r>
  <r>
    <n v="463"/>
    <n v="8"/>
    <x v="7"/>
    <s v="Video"/>
    <n v="5"/>
    <n v="5"/>
    <n v="0"/>
    <x v="0"/>
    <x v="0"/>
  </r>
  <r>
    <n v="464"/>
    <n v="1"/>
    <x v="0"/>
    <s v="Video"/>
    <n v="4"/>
    <n v="4"/>
    <n v="0"/>
    <x v="0"/>
    <x v="0"/>
  </r>
  <r>
    <n v="464"/>
    <n v="2"/>
    <x v="1"/>
    <s v="Text"/>
    <n v="15"/>
    <n v="20"/>
    <n v="0.33333333333333326"/>
    <x v="1"/>
    <x v="0"/>
  </r>
  <r>
    <n v="464"/>
    <n v="3"/>
    <x v="2"/>
    <s v="Übung"/>
    <n v="30"/>
    <n v="29"/>
    <n v="-3.3333333333333326E-2"/>
    <x v="0"/>
    <x v="3"/>
  </r>
  <r>
    <n v="464"/>
    <n v="4"/>
    <x v="3"/>
    <s v="Übung"/>
    <n v="30"/>
    <n v="21"/>
    <n v="-0.30000000000000004"/>
    <x v="0"/>
    <x v="1"/>
  </r>
  <r>
    <n v="464"/>
    <n v="5"/>
    <x v="4"/>
    <s v="Übung"/>
    <n v="30"/>
    <n v="52"/>
    <n v="0.73333333333333339"/>
    <x v="3"/>
    <x v="2"/>
  </r>
  <r>
    <n v="464"/>
    <n v="6"/>
    <x v="5"/>
    <s v="Handout"/>
    <n v="5"/>
    <n v="1"/>
    <n v="-0.8"/>
    <x v="2"/>
    <x v="1"/>
  </r>
  <r>
    <n v="464"/>
    <n v="7"/>
    <x v="6"/>
    <s v="Quiz"/>
    <n v="10"/>
    <n v="8"/>
    <n v="-0.19999999999999996"/>
    <x v="0"/>
    <x v="3"/>
  </r>
  <r>
    <n v="464"/>
    <n v="8"/>
    <x v="7"/>
    <s v="Video"/>
    <n v="5"/>
    <n v="5"/>
    <n v="0"/>
    <x v="0"/>
    <x v="0"/>
  </r>
  <r>
    <n v="465"/>
    <n v="1"/>
    <x v="0"/>
    <s v="Video"/>
    <n v="4"/>
    <n v="4"/>
    <n v="0"/>
    <x v="0"/>
    <x v="0"/>
  </r>
  <r>
    <n v="465"/>
    <n v="2"/>
    <x v="1"/>
    <s v="Text"/>
    <n v="15"/>
    <n v="20"/>
    <n v="0.33333333333333326"/>
    <x v="1"/>
    <x v="0"/>
  </r>
  <r>
    <n v="465"/>
    <n v="3"/>
    <x v="2"/>
    <s v="Übung"/>
    <n v="30"/>
    <n v="30"/>
    <n v="0"/>
    <x v="0"/>
    <x v="1"/>
  </r>
  <r>
    <n v="465"/>
    <n v="4"/>
    <x v="3"/>
    <s v="Übung"/>
    <n v="30"/>
    <n v="18"/>
    <n v="-0.4"/>
    <x v="2"/>
    <x v="3"/>
  </r>
  <r>
    <n v="465"/>
    <n v="5"/>
    <x v="4"/>
    <s v="Übung"/>
    <n v="30"/>
    <n v="50"/>
    <n v="0.66666666666666674"/>
    <x v="3"/>
    <x v="2"/>
  </r>
  <r>
    <n v="465"/>
    <n v="6"/>
    <x v="5"/>
    <s v="Handout"/>
    <n v="5"/>
    <n v="4"/>
    <n v="-0.19999999999999996"/>
    <x v="0"/>
    <x v="0"/>
  </r>
  <r>
    <n v="465"/>
    <n v="7"/>
    <x v="6"/>
    <s v="Quiz"/>
    <n v="10"/>
    <n v="9"/>
    <n v="-9.9999999999999978E-2"/>
    <x v="0"/>
    <x v="3"/>
  </r>
  <r>
    <n v="465"/>
    <n v="8"/>
    <x v="7"/>
    <s v="Video"/>
    <n v="5"/>
    <n v="5"/>
    <n v="0"/>
    <x v="0"/>
    <x v="0"/>
  </r>
  <r>
    <n v="466"/>
    <n v="1"/>
    <x v="0"/>
    <s v="Video"/>
    <n v="4"/>
    <n v="4"/>
    <n v="0"/>
    <x v="0"/>
    <x v="0"/>
  </r>
  <r>
    <n v="466"/>
    <n v="2"/>
    <x v="1"/>
    <s v="Text"/>
    <n v="15"/>
    <n v="16"/>
    <n v="6.6666666666666652E-2"/>
    <x v="0"/>
    <x v="0"/>
  </r>
  <r>
    <n v="466"/>
    <n v="3"/>
    <x v="2"/>
    <s v="Übung"/>
    <n v="30"/>
    <n v="29"/>
    <n v="-3.3333333333333326E-2"/>
    <x v="0"/>
    <x v="1"/>
  </r>
  <r>
    <n v="466"/>
    <n v="4"/>
    <x v="3"/>
    <s v="Übung"/>
    <n v="30"/>
    <n v="32"/>
    <n v="6.6666666666666652E-2"/>
    <x v="0"/>
    <x v="1"/>
  </r>
  <r>
    <n v="466"/>
    <n v="5"/>
    <x v="4"/>
    <s v="Übung"/>
    <n v="30"/>
    <n v="46"/>
    <n v="0.53333333333333344"/>
    <x v="1"/>
    <x v="2"/>
  </r>
  <r>
    <n v="466"/>
    <n v="6"/>
    <x v="5"/>
    <s v="Handout"/>
    <n v="5"/>
    <n v="1"/>
    <n v="-0.8"/>
    <x v="2"/>
    <x v="1"/>
  </r>
  <r>
    <n v="466"/>
    <n v="7"/>
    <x v="6"/>
    <s v="Quiz"/>
    <n v="10"/>
    <n v="9"/>
    <n v="-9.9999999999999978E-2"/>
    <x v="0"/>
    <x v="3"/>
  </r>
  <r>
    <n v="466"/>
    <n v="8"/>
    <x v="7"/>
    <s v="Video"/>
    <n v="5"/>
    <n v="5"/>
    <n v="0"/>
    <x v="0"/>
    <x v="0"/>
  </r>
  <r>
    <n v="467"/>
    <n v="1"/>
    <x v="0"/>
    <s v="Video"/>
    <n v="4"/>
    <n v="4"/>
    <n v="0"/>
    <x v="0"/>
    <x v="0"/>
  </r>
  <r>
    <n v="467"/>
    <n v="2"/>
    <x v="1"/>
    <s v="Text"/>
    <n v="15"/>
    <n v="16"/>
    <n v="6.6666666666666652E-2"/>
    <x v="0"/>
    <x v="1"/>
  </r>
  <r>
    <n v="467"/>
    <n v="3"/>
    <x v="2"/>
    <s v="Übung"/>
    <n v="30"/>
    <n v="29"/>
    <n v="-3.3333333333333326E-2"/>
    <x v="0"/>
    <x v="1"/>
  </r>
  <r>
    <n v="467"/>
    <n v="4"/>
    <x v="3"/>
    <s v="Übung"/>
    <n v="30"/>
    <n v="19"/>
    <n v="-0.3666666666666667"/>
    <x v="2"/>
    <x v="2"/>
  </r>
  <r>
    <n v="467"/>
    <n v="5"/>
    <x v="4"/>
    <s v="Übung"/>
    <n v="30"/>
    <n v="46"/>
    <n v="0.53333333333333344"/>
    <x v="1"/>
    <x v="2"/>
  </r>
  <r>
    <n v="467"/>
    <n v="6"/>
    <x v="5"/>
    <s v="Handout"/>
    <n v="5"/>
    <n v="4"/>
    <n v="-0.19999999999999996"/>
    <x v="0"/>
    <x v="1"/>
  </r>
  <r>
    <n v="467"/>
    <n v="7"/>
    <x v="6"/>
    <s v="Quiz"/>
    <n v="10"/>
    <n v="9"/>
    <n v="-9.9999999999999978E-2"/>
    <x v="0"/>
    <x v="2"/>
  </r>
  <r>
    <n v="467"/>
    <n v="8"/>
    <x v="7"/>
    <s v="Video"/>
    <n v="5"/>
    <n v="5"/>
    <n v="0"/>
    <x v="0"/>
    <x v="0"/>
  </r>
  <r>
    <n v="469"/>
    <n v="1"/>
    <x v="0"/>
    <s v="Video"/>
    <n v="4"/>
    <n v="4"/>
    <n v="0"/>
    <x v="0"/>
    <x v="0"/>
  </r>
  <r>
    <n v="469"/>
    <n v="2"/>
    <x v="1"/>
    <s v="Text"/>
    <n v="15"/>
    <n v="15"/>
    <n v="0"/>
    <x v="0"/>
    <x v="0"/>
  </r>
  <r>
    <n v="469"/>
    <n v="3"/>
    <x v="2"/>
    <s v="Übung"/>
    <n v="30"/>
    <n v="30"/>
    <n v="0"/>
    <x v="0"/>
    <x v="1"/>
  </r>
  <r>
    <n v="469"/>
    <n v="4"/>
    <x v="3"/>
    <s v="Übung"/>
    <n v="30"/>
    <n v="27"/>
    <n v="-9.9999999999999978E-2"/>
    <x v="0"/>
    <x v="3"/>
  </r>
  <r>
    <n v="469"/>
    <n v="5"/>
    <x v="4"/>
    <s v="Übung"/>
    <n v="30"/>
    <n v="51"/>
    <n v="0.7"/>
    <x v="3"/>
    <x v="2"/>
  </r>
  <r>
    <n v="469"/>
    <n v="6"/>
    <x v="5"/>
    <s v="Handout"/>
    <n v="5"/>
    <n v="3"/>
    <n v="-0.4"/>
    <x v="2"/>
    <x v="0"/>
  </r>
  <r>
    <n v="469"/>
    <n v="7"/>
    <x v="6"/>
    <s v="Quiz"/>
    <n v="10"/>
    <n v="8"/>
    <n v="-0.19999999999999996"/>
    <x v="0"/>
    <x v="2"/>
  </r>
  <r>
    <n v="469"/>
    <n v="8"/>
    <x v="7"/>
    <s v="Video"/>
    <n v="5"/>
    <n v="5"/>
    <n v="0"/>
    <x v="0"/>
    <x v="0"/>
  </r>
  <r>
    <n v="470"/>
    <n v="1"/>
    <x v="0"/>
    <s v="Video"/>
    <n v="4"/>
    <n v="4"/>
    <n v="0"/>
    <x v="0"/>
    <x v="0"/>
  </r>
  <r>
    <n v="470"/>
    <n v="2"/>
    <x v="1"/>
    <s v="Text"/>
    <n v="15"/>
    <n v="19"/>
    <n v="0.26666666666666661"/>
    <x v="0"/>
    <x v="0"/>
  </r>
  <r>
    <n v="470"/>
    <n v="3"/>
    <x v="2"/>
    <s v="Übung"/>
    <n v="30"/>
    <n v="29"/>
    <n v="-3.3333333333333326E-2"/>
    <x v="0"/>
    <x v="3"/>
  </r>
  <r>
    <n v="470"/>
    <n v="4"/>
    <x v="3"/>
    <s v="Übung"/>
    <n v="30"/>
    <n v="24"/>
    <n v="-0.19999999999999996"/>
    <x v="0"/>
    <x v="3"/>
  </r>
  <r>
    <n v="470"/>
    <n v="5"/>
    <x v="4"/>
    <s v="Übung"/>
    <n v="30"/>
    <n v="44"/>
    <n v="0.46666666666666656"/>
    <x v="1"/>
    <x v="2"/>
  </r>
  <r>
    <n v="470"/>
    <n v="6"/>
    <x v="5"/>
    <s v="Handout"/>
    <n v="5"/>
    <n v="1"/>
    <n v="-0.8"/>
    <x v="2"/>
    <x v="1"/>
  </r>
  <r>
    <n v="470"/>
    <n v="7"/>
    <x v="6"/>
    <s v="Quiz"/>
    <n v="10"/>
    <n v="10"/>
    <n v="0"/>
    <x v="0"/>
    <x v="3"/>
  </r>
  <r>
    <n v="470"/>
    <n v="8"/>
    <x v="7"/>
    <s v="Video"/>
    <n v="5"/>
    <n v="5"/>
    <n v="0"/>
    <x v="0"/>
    <x v="0"/>
  </r>
  <r>
    <n v="471"/>
    <n v="1"/>
    <x v="0"/>
    <s v="Video"/>
    <n v="4"/>
    <n v="4"/>
    <n v="0"/>
    <x v="0"/>
    <x v="0"/>
  </r>
  <r>
    <n v="471"/>
    <n v="2"/>
    <x v="1"/>
    <s v="Text"/>
    <n v="15"/>
    <n v="16"/>
    <n v="6.6666666666666652E-2"/>
    <x v="0"/>
    <x v="1"/>
  </r>
  <r>
    <n v="471"/>
    <n v="3"/>
    <x v="2"/>
    <s v="Übung"/>
    <n v="30"/>
    <n v="27"/>
    <n v="-9.9999999999999978E-2"/>
    <x v="0"/>
    <x v="3"/>
  </r>
  <r>
    <n v="471"/>
    <n v="4"/>
    <x v="3"/>
    <s v="Übung"/>
    <n v="30"/>
    <n v="29"/>
    <n v="-3.3333333333333326E-2"/>
    <x v="0"/>
    <x v="3"/>
  </r>
  <r>
    <n v="471"/>
    <n v="5"/>
    <x v="4"/>
    <s v="Übung"/>
    <n v="30"/>
    <n v="42"/>
    <n v="0.39999999999999991"/>
    <x v="1"/>
    <x v="2"/>
  </r>
  <r>
    <n v="471"/>
    <n v="6"/>
    <x v="5"/>
    <s v="Handout"/>
    <n v="5"/>
    <n v="1"/>
    <n v="-0.8"/>
    <x v="2"/>
    <x v="1"/>
  </r>
  <r>
    <n v="471"/>
    <n v="7"/>
    <x v="6"/>
    <s v="Quiz"/>
    <n v="10"/>
    <n v="11"/>
    <n v="0.10000000000000009"/>
    <x v="0"/>
    <x v="3"/>
  </r>
  <r>
    <n v="471"/>
    <n v="8"/>
    <x v="7"/>
    <s v="Video"/>
    <n v="5"/>
    <n v="5"/>
    <n v="0"/>
    <x v="0"/>
    <x v="0"/>
  </r>
  <r>
    <n v="472"/>
    <n v="1"/>
    <x v="0"/>
    <s v="Video"/>
    <n v="4"/>
    <n v="4"/>
    <n v="0"/>
    <x v="0"/>
    <x v="0"/>
  </r>
  <r>
    <n v="472"/>
    <n v="2"/>
    <x v="1"/>
    <s v="Text"/>
    <n v="15"/>
    <n v="17"/>
    <n v="0.1333333333333333"/>
    <x v="0"/>
    <x v="0"/>
  </r>
  <r>
    <n v="472"/>
    <n v="3"/>
    <x v="2"/>
    <s v="Übung"/>
    <n v="30"/>
    <n v="28"/>
    <n v="-6.6666666666666652E-2"/>
    <x v="0"/>
    <x v="1"/>
  </r>
  <r>
    <n v="472"/>
    <n v="4"/>
    <x v="3"/>
    <s v="Übung"/>
    <n v="30"/>
    <n v="27"/>
    <n v="-9.9999999999999978E-2"/>
    <x v="0"/>
    <x v="2"/>
  </r>
  <r>
    <n v="472"/>
    <n v="5"/>
    <x v="4"/>
    <s v="Übung"/>
    <n v="30"/>
    <n v="45"/>
    <n v="0.5"/>
    <x v="1"/>
    <x v="3"/>
  </r>
  <r>
    <n v="472"/>
    <n v="6"/>
    <x v="5"/>
    <s v="Handout"/>
    <n v="5"/>
    <n v="1"/>
    <n v="-0.8"/>
    <x v="2"/>
    <x v="3"/>
  </r>
  <r>
    <n v="472"/>
    <n v="7"/>
    <x v="6"/>
    <s v="Quiz"/>
    <n v="10"/>
    <n v="10"/>
    <n v="0"/>
    <x v="0"/>
    <x v="3"/>
  </r>
  <r>
    <n v="472"/>
    <n v="8"/>
    <x v="7"/>
    <s v="Video"/>
    <n v="5"/>
    <n v="5"/>
    <n v="0"/>
    <x v="0"/>
    <x v="0"/>
  </r>
  <r>
    <n v="473"/>
    <n v="1"/>
    <x v="0"/>
    <s v="Video"/>
    <n v="4"/>
    <n v="4"/>
    <n v="0"/>
    <x v="0"/>
    <x v="0"/>
  </r>
  <r>
    <n v="473"/>
    <n v="2"/>
    <x v="1"/>
    <s v="Text"/>
    <n v="15"/>
    <n v="15"/>
    <n v="0"/>
    <x v="0"/>
    <x v="0"/>
  </r>
  <r>
    <n v="473"/>
    <n v="3"/>
    <x v="2"/>
    <s v="Übung"/>
    <n v="30"/>
    <n v="28"/>
    <n v="-6.6666666666666652E-2"/>
    <x v="0"/>
    <x v="3"/>
  </r>
  <r>
    <n v="473"/>
    <n v="4"/>
    <x v="3"/>
    <s v="Übung"/>
    <n v="30"/>
    <n v="21"/>
    <n v="-0.30000000000000004"/>
    <x v="0"/>
    <x v="2"/>
  </r>
  <r>
    <n v="473"/>
    <n v="5"/>
    <x v="4"/>
    <s v="Übung"/>
    <n v="30"/>
    <n v="50"/>
    <n v="0.66666666666666674"/>
    <x v="3"/>
    <x v="2"/>
  </r>
  <r>
    <n v="473"/>
    <n v="6"/>
    <x v="5"/>
    <s v="Handout"/>
    <n v="5"/>
    <n v="1"/>
    <n v="-0.8"/>
    <x v="2"/>
    <x v="1"/>
  </r>
  <r>
    <n v="473"/>
    <n v="7"/>
    <x v="6"/>
    <s v="Quiz"/>
    <n v="10"/>
    <n v="9"/>
    <n v="-9.9999999999999978E-2"/>
    <x v="0"/>
    <x v="3"/>
  </r>
  <r>
    <n v="473"/>
    <n v="8"/>
    <x v="7"/>
    <s v="Video"/>
    <n v="5"/>
    <n v="5"/>
    <n v="0"/>
    <x v="0"/>
    <x v="0"/>
  </r>
  <r>
    <n v="474"/>
    <n v="1"/>
    <x v="0"/>
    <s v="Video"/>
    <n v="4"/>
    <n v="4"/>
    <n v="0"/>
    <x v="0"/>
    <x v="0"/>
  </r>
  <r>
    <n v="474"/>
    <n v="2"/>
    <x v="1"/>
    <s v="Text"/>
    <n v="15"/>
    <n v="17"/>
    <n v="0.1333333333333333"/>
    <x v="0"/>
    <x v="0"/>
  </r>
  <r>
    <n v="474"/>
    <n v="3"/>
    <x v="2"/>
    <s v="Übung"/>
    <n v="30"/>
    <n v="27"/>
    <n v="-9.9999999999999978E-2"/>
    <x v="0"/>
    <x v="3"/>
  </r>
  <r>
    <n v="474"/>
    <n v="4"/>
    <x v="3"/>
    <s v="Übung"/>
    <n v="30"/>
    <n v="30"/>
    <n v="0"/>
    <x v="0"/>
    <x v="3"/>
  </r>
  <r>
    <n v="474"/>
    <n v="5"/>
    <x v="4"/>
    <s v="Übung"/>
    <n v="30"/>
    <n v="38"/>
    <n v="0.26666666666666661"/>
    <x v="0"/>
    <x v="2"/>
  </r>
  <r>
    <n v="474"/>
    <n v="6"/>
    <x v="5"/>
    <s v="Handout"/>
    <n v="5"/>
    <n v="2"/>
    <n v="-0.6"/>
    <x v="2"/>
    <x v="3"/>
  </r>
  <r>
    <n v="474"/>
    <n v="7"/>
    <x v="6"/>
    <s v="Quiz"/>
    <n v="10"/>
    <n v="10"/>
    <n v="0"/>
    <x v="0"/>
    <x v="3"/>
  </r>
  <r>
    <n v="474"/>
    <n v="8"/>
    <x v="7"/>
    <s v="Video"/>
    <n v="5"/>
    <n v="6"/>
    <n v="0.19999999999999996"/>
    <x v="0"/>
    <x v="0"/>
  </r>
  <r>
    <n v="475"/>
    <n v="1"/>
    <x v="0"/>
    <s v="Video"/>
    <n v="4"/>
    <n v="4"/>
    <n v="0"/>
    <x v="0"/>
    <x v="0"/>
  </r>
  <r>
    <n v="475"/>
    <n v="2"/>
    <x v="1"/>
    <s v="Text"/>
    <n v="15"/>
    <n v="18"/>
    <n v="0.19999999999999996"/>
    <x v="0"/>
    <x v="1"/>
  </r>
  <r>
    <n v="475"/>
    <n v="3"/>
    <x v="2"/>
    <s v="Übung"/>
    <n v="30"/>
    <n v="28"/>
    <n v="-6.6666666666666652E-2"/>
    <x v="0"/>
    <x v="3"/>
  </r>
  <r>
    <n v="475"/>
    <n v="4"/>
    <x v="3"/>
    <s v="Übung"/>
    <n v="30"/>
    <n v="22"/>
    <n v="-0.26666666666666672"/>
    <x v="0"/>
    <x v="3"/>
  </r>
  <r>
    <n v="475"/>
    <n v="5"/>
    <x v="4"/>
    <s v="Übung"/>
    <n v="30"/>
    <n v="54"/>
    <n v="0.8"/>
    <x v="3"/>
    <x v="2"/>
  </r>
  <r>
    <n v="475"/>
    <n v="6"/>
    <x v="5"/>
    <s v="Handout"/>
    <n v="5"/>
    <n v="1"/>
    <n v="-0.8"/>
    <x v="2"/>
    <x v="0"/>
  </r>
  <r>
    <n v="475"/>
    <n v="7"/>
    <x v="6"/>
    <s v="Quiz"/>
    <n v="10"/>
    <n v="10"/>
    <n v="0"/>
    <x v="0"/>
    <x v="3"/>
  </r>
  <r>
    <n v="475"/>
    <n v="8"/>
    <x v="7"/>
    <s v="Video"/>
    <n v="5"/>
    <n v="5"/>
    <n v="0"/>
    <x v="0"/>
    <x v="0"/>
  </r>
  <r>
    <n v="476"/>
    <n v="1"/>
    <x v="0"/>
    <s v="Video"/>
    <n v="4"/>
    <n v="4"/>
    <n v="0"/>
    <x v="0"/>
    <x v="0"/>
  </r>
  <r>
    <n v="476"/>
    <n v="2"/>
    <x v="1"/>
    <s v="Text"/>
    <n v="15"/>
    <n v="19"/>
    <n v="0.26666666666666661"/>
    <x v="0"/>
    <x v="1"/>
  </r>
  <r>
    <n v="476"/>
    <n v="3"/>
    <x v="2"/>
    <s v="Übung"/>
    <n v="30"/>
    <n v="26"/>
    <n v="-0.1333333333333333"/>
    <x v="0"/>
    <x v="3"/>
  </r>
  <r>
    <n v="476"/>
    <n v="4"/>
    <x v="3"/>
    <s v="Übung"/>
    <n v="30"/>
    <n v="28"/>
    <n v="-6.6666666666666652E-2"/>
    <x v="0"/>
    <x v="2"/>
  </r>
  <r>
    <n v="476"/>
    <n v="5"/>
    <x v="4"/>
    <s v="Übung"/>
    <n v="30"/>
    <n v="35"/>
    <n v="0.16666666666666674"/>
    <x v="0"/>
    <x v="2"/>
  </r>
  <r>
    <n v="476"/>
    <n v="6"/>
    <x v="5"/>
    <s v="Handout"/>
    <n v="5"/>
    <n v="2"/>
    <n v="-0.6"/>
    <x v="2"/>
    <x v="0"/>
  </r>
  <r>
    <n v="476"/>
    <n v="7"/>
    <x v="6"/>
    <s v="Quiz"/>
    <n v="10"/>
    <n v="8"/>
    <n v="-0.19999999999999996"/>
    <x v="0"/>
    <x v="2"/>
  </r>
  <r>
    <n v="476"/>
    <n v="8"/>
    <x v="7"/>
    <s v="Video"/>
    <n v="5"/>
    <n v="5"/>
    <n v="0"/>
    <x v="0"/>
    <x v="0"/>
  </r>
  <r>
    <n v="477"/>
    <n v="1"/>
    <x v="0"/>
    <s v="Video"/>
    <n v="4"/>
    <n v="4"/>
    <n v="0"/>
    <x v="0"/>
    <x v="0"/>
  </r>
  <r>
    <n v="477"/>
    <n v="2"/>
    <x v="1"/>
    <s v="Text"/>
    <n v="15"/>
    <n v="17"/>
    <n v="0.1333333333333333"/>
    <x v="0"/>
    <x v="0"/>
  </r>
  <r>
    <n v="477"/>
    <n v="3"/>
    <x v="2"/>
    <s v="Übung"/>
    <n v="30"/>
    <n v="28"/>
    <n v="-6.6666666666666652E-2"/>
    <x v="0"/>
    <x v="1"/>
  </r>
  <r>
    <n v="477"/>
    <n v="4"/>
    <x v="3"/>
    <s v="Übung"/>
    <n v="30"/>
    <n v="28"/>
    <n v="-6.6666666666666652E-2"/>
    <x v="0"/>
    <x v="4"/>
  </r>
  <r>
    <n v="477"/>
    <n v="5"/>
    <x v="4"/>
    <s v="Übung"/>
    <n v="30"/>
    <n v="46"/>
    <n v="0.53333333333333344"/>
    <x v="1"/>
    <x v="3"/>
  </r>
  <r>
    <n v="477"/>
    <n v="6"/>
    <x v="5"/>
    <s v="Handout"/>
    <n v="5"/>
    <n v="4"/>
    <n v="-0.19999999999999996"/>
    <x v="0"/>
    <x v="1"/>
  </r>
  <r>
    <n v="477"/>
    <n v="7"/>
    <x v="6"/>
    <s v="Quiz"/>
    <n v="10"/>
    <n v="10"/>
    <n v="0"/>
    <x v="0"/>
    <x v="2"/>
  </r>
  <r>
    <n v="477"/>
    <n v="8"/>
    <x v="7"/>
    <s v="Video"/>
    <n v="5"/>
    <n v="5"/>
    <n v="0"/>
    <x v="0"/>
    <x v="0"/>
  </r>
  <r>
    <n v="479"/>
    <n v="1"/>
    <x v="0"/>
    <s v="Video"/>
    <n v="4"/>
    <n v="4"/>
    <n v="0"/>
    <x v="0"/>
    <x v="0"/>
  </r>
  <r>
    <n v="479"/>
    <n v="2"/>
    <x v="1"/>
    <s v="Text"/>
    <n v="15"/>
    <n v="20"/>
    <n v="0.33333333333333326"/>
    <x v="1"/>
    <x v="0"/>
  </r>
  <r>
    <n v="479"/>
    <n v="3"/>
    <x v="2"/>
    <s v="Übung"/>
    <n v="30"/>
    <n v="30"/>
    <n v="0"/>
    <x v="0"/>
    <x v="3"/>
  </r>
  <r>
    <n v="479"/>
    <n v="4"/>
    <x v="3"/>
    <s v="Übung"/>
    <n v="30"/>
    <n v="27"/>
    <n v="-9.9999999999999978E-2"/>
    <x v="0"/>
    <x v="3"/>
  </r>
  <r>
    <n v="479"/>
    <n v="5"/>
    <x v="4"/>
    <s v="Übung"/>
    <n v="30"/>
    <n v="44"/>
    <n v="0.46666666666666656"/>
    <x v="1"/>
    <x v="3"/>
  </r>
  <r>
    <n v="479"/>
    <n v="6"/>
    <x v="5"/>
    <s v="Handout"/>
    <n v="5"/>
    <n v="1"/>
    <n v="-0.8"/>
    <x v="2"/>
    <x v="3"/>
  </r>
  <r>
    <n v="479"/>
    <n v="7"/>
    <x v="6"/>
    <s v="Quiz"/>
    <n v="10"/>
    <n v="11"/>
    <n v="0.10000000000000009"/>
    <x v="0"/>
    <x v="2"/>
  </r>
  <r>
    <n v="479"/>
    <n v="8"/>
    <x v="7"/>
    <s v="Video"/>
    <n v="5"/>
    <n v="5"/>
    <n v="0"/>
    <x v="0"/>
    <x v="0"/>
  </r>
  <r>
    <n v="480"/>
    <n v="1"/>
    <x v="0"/>
    <s v="Video"/>
    <n v="4"/>
    <n v="6"/>
    <n v="0.5"/>
    <x v="1"/>
    <x v="0"/>
  </r>
  <r>
    <n v="480"/>
    <n v="2"/>
    <x v="1"/>
    <s v="Text"/>
    <n v="15"/>
    <n v="17"/>
    <n v="0.1333333333333333"/>
    <x v="0"/>
    <x v="1"/>
  </r>
  <r>
    <n v="480"/>
    <n v="3"/>
    <x v="2"/>
    <s v="Übung"/>
    <n v="30"/>
    <n v="28"/>
    <n v="-6.6666666666666652E-2"/>
    <x v="0"/>
    <x v="3"/>
  </r>
  <r>
    <n v="480"/>
    <n v="4"/>
    <x v="3"/>
    <s v="Übung"/>
    <n v="30"/>
    <n v="30"/>
    <n v="0"/>
    <x v="0"/>
    <x v="3"/>
  </r>
  <r>
    <n v="480"/>
    <n v="5"/>
    <x v="4"/>
    <s v="Übung"/>
    <n v="30"/>
    <n v="46"/>
    <n v="0.53333333333333344"/>
    <x v="1"/>
    <x v="4"/>
  </r>
  <r>
    <n v="480"/>
    <n v="6"/>
    <x v="5"/>
    <s v="Handout"/>
    <n v="5"/>
    <n v="1"/>
    <n v="-0.8"/>
    <x v="2"/>
    <x v="1"/>
  </r>
  <r>
    <n v="480"/>
    <n v="7"/>
    <x v="6"/>
    <s v="Quiz"/>
    <n v="10"/>
    <n v="10"/>
    <n v="0"/>
    <x v="0"/>
    <x v="3"/>
  </r>
  <r>
    <n v="480"/>
    <n v="8"/>
    <x v="7"/>
    <s v="Video"/>
    <n v="5"/>
    <n v="5"/>
    <n v="0"/>
    <x v="0"/>
    <x v="0"/>
  </r>
  <r>
    <n v="481"/>
    <n v="1"/>
    <x v="0"/>
    <s v="Video"/>
    <n v="4"/>
    <n v="4"/>
    <n v="0"/>
    <x v="0"/>
    <x v="0"/>
  </r>
  <r>
    <n v="481"/>
    <n v="2"/>
    <x v="1"/>
    <s v="Text"/>
    <n v="15"/>
    <n v="18"/>
    <n v="0.19999999999999996"/>
    <x v="0"/>
    <x v="1"/>
  </r>
  <r>
    <n v="481"/>
    <n v="3"/>
    <x v="2"/>
    <s v="Übung"/>
    <n v="30"/>
    <n v="29"/>
    <n v="-3.3333333333333326E-2"/>
    <x v="0"/>
    <x v="1"/>
  </r>
  <r>
    <n v="481"/>
    <n v="4"/>
    <x v="3"/>
    <s v="Übung"/>
    <n v="30"/>
    <n v="29"/>
    <n v="-3.3333333333333326E-2"/>
    <x v="0"/>
    <x v="3"/>
  </r>
  <r>
    <n v="481"/>
    <n v="5"/>
    <x v="4"/>
    <s v="Übung"/>
    <n v="30"/>
    <n v="36"/>
    <n v="0.19999999999999996"/>
    <x v="0"/>
    <x v="2"/>
  </r>
  <r>
    <n v="481"/>
    <n v="6"/>
    <x v="5"/>
    <s v="Handout"/>
    <n v="5"/>
    <n v="2"/>
    <n v="-0.6"/>
    <x v="2"/>
    <x v="0"/>
  </r>
  <r>
    <n v="481"/>
    <n v="7"/>
    <x v="6"/>
    <s v="Quiz"/>
    <n v="10"/>
    <n v="11"/>
    <n v="0.10000000000000009"/>
    <x v="0"/>
    <x v="3"/>
  </r>
  <r>
    <n v="481"/>
    <n v="8"/>
    <x v="7"/>
    <s v="Video"/>
    <n v="5"/>
    <n v="5"/>
    <n v="0"/>
    <x v="0"/>
    <x v="0"/>
  </r>
  <r>
    <n v="482"/>
    <n v="1"/>
    <x v="0"/>
    <s v="Video"/>
    <n v="4"/>
    <n v="4"/>
    <n v="0"/>
    <x v="0"/>
    <x v="0"/>
  </r>
  <r>
    <n v="482"/>
    <n v="2"/>
    <x v="1"/>
    <s v="Text"/>
    <n v="15"/>
    <n v="19"/>
    <n v="0.26666666666666661"/>
    <x v="0"/>
    <x v="1"/>
  </r>
  <r>
    <n v="482"/>
    <n v="3"/>
    <x v="2"/>
    <s v="Übung"/>
    <n v="30"/>
    <n v="29"/>
    <n v="-3.3333333333333326E-2"/>
    <x v="0"/>
    <x v="1"/>
  </r>
  <r>
    <n v="482"/>
    <n v="4"/>
    <x v="3"/>
    <s v="Übung"/>
    <n v="30"/>
    <n v="18"/>
    <n v="-0.4"/>
    <x v="2"/>
    <x v="3"/>
  </r>
  <r>
    <n v="482"/>
    <n v="5"/>
    <x v="4"/>
    <s v="Übung"/>
    <n v="30"/>
    <n v="41"/>
    <n v="0.3666666666666667"/>
    <x v="1"/>
    <x v="4"/>
  </r>
  <r>
    <n v="482"/>
    <n v="6"/>
    <x v="5"/>
    <s v="Handout"/>
    <n v="5"/>
    <n v="1"/>
    <n v="-0.8"/>
    <x v="2"/>
    <x v="1"/>
  </r>
  <r>
    <n v="482"/>
    <n v="7"/>
    <x v="6"/>
    <s v="Quiz"/>
    <n v="10"/>
    <n v="10"/>
    <n v="0"/>
    <x v="0"/>
    <x v="3"/>
  </r>
  <r>
    <n v="482"/>
    <n v="8"/>
    <x v="7"/>
    <s v="Video"/>
    <n v="5"/>
    <n v="5"/>
    <n v="0"/>
    <x v="0"/>
    <x v="0"/>
  </r>
  <r>
    <n v="483"/>
    <n v="1"/>
    <x v="0"/>
    <s v="Video"/>
    <n v="4"/>
    <n v="4"/>
    <n v="0"/>
    <x v="0"/>
    <x v="0"/>
  </r>
  <r>
    <n v="483"/>
    <n v="2"/>
    <x v="1"/>
    <s v="Text"/>
    <n v="15"/>
    <n v="17"/>
    <n v="0.1333333333333333"/>
    <x v="0"/>
    <x v="0"/>
  </r>
  <r>
    <n v="483"/>
    <n v="3"/>
    <x v="2"/>
    <s v="Übung"/>
    <n v="30"/>
    <n v="29"/>
    <n v="-3.3333333333333326E-2"/>
    <x v="0"/>
    <x v="2"/>
  </r>
  <r>
    <n v="483"/>
    <n v="4"/>
    <x v="3"/>
    <s v="Übung"/>
    <n v="30"/>
    <n v="23"/>
    <n v="-0.23333333333333328"/>
    <x v="0"/>
    <x v="3"/>
  </r>
  <r>
    <n v="483"/>
    <n v="5"/>
    <x v="4"/>
    <s v="Übung"/>
    <n v="30"/>
    <n v="45"/>
    <n v="0.5"/>
    <x v="1"/>
    <x v="2"/>
  </r>
  <r>
    <n v="483"/>
    <n v="6"/>
    <x v="5"/>
    <s v="Handout"/>
    <n v="5"/>
    <n v="3"/>
    <n v="-0.4"/>
    <x v="2"/>
    <x v="1"/>
  </r>
  <r>
    <n v="483"/>
    <n v="7"/>
    <x v="6"/>
    <s v="Quiz"/>
    <n v="10"/>
    <n v="9"/>
    <n v="-9.9999999999999978E-2"/>
    <x v="0"/>
    <x v="3"/>
  </r>
  <r>
    <n v="483"/>
    <n v="8"/>
    <x v="7"/>
    <s v="Video"/>
    <n v="5"/>
    <n v="5"/>
    <n v="0"/>
    <x v="0"/>
    <x v="0"/>
  </r>
  <r>
    <n v="484"/>
    <n v="1"/>
    <x v="0"/>
    <s v="Video"/>
    <n v="4"/>
    <n v="7"/>
    <n v="0.75"/>
    <x v="3"/>
    <x v="0"/>
  </r>
  <r>
    <n v="484"/>
    <n v="2"/>
    <x v="1"/>
    <s v="Text"/>
    <n v="15"/>
    <n v="16"/>
    <n v="6.6666666666666652E-2"/>
    <x v="0"/>
    <x v="0"/>
  </r>
  <r>
    <n v="484"/>
    <n v="3"/>
    <x v="2"/>
    <s v="Übung"/>
    <n v="30"/>
    <n v="29"/>
    <n v="-3.3333333333333326E-2"/>
    <x v="0"/>
    <x v="1"/>
  </r>
  <r>
    <n v="484"/>
    <n v="4"/>
    <x v="3"/>
    <s v="Übung"/>
    <n v="30"/>
    <n v="35"/>
    <n v="0.16666666666666674"/>
    <x v="0"/>
    <x v="3"/>
  </r>
  <r>
    <n v="484"/>
    <n v="5"/>
    <x v="4"/>
    <s v="Übung"/>
    <n v="30"/>
    <n v="51"/>
    <n v="0.7"/>
    <x v="3"/>
    <x v="3"/>
  </r>
  <r>
    <n v="484"/>
    <n v="6"/>
    <x v="5"/>
    <s v="Handout"/>
    <n v="5"/>
    <n v="2"/>
    <n v="-0.6"/>
    <x v="2"/>
    <x v="1"/>
  </r>
  <r>
    <n v="484"/>
    <n v="7"/>
    <x v="6"/>
    <s v="Quiz"/>
    <n v="10"/>
    <n v="9"/>
    <n v="-9.9999999999999978E-2"/>
    <x v="0"/>
    <x v="3"/>
  </r>
  <r>
    <n v="484"/>
    <n v="8"/>
    <x v="7"/>
    <s v="Video"/>
    <n v="5"/>
    <n v="8"/>
    <n v="0.60000000000000009"/>
    <x v="1"/>
    <x v="0"/>
  </r>
  <r>
    <n v="485"/>
    <n v="1"/>
    <x v="0"/>
    <s v="Video"/>
    <n v="4"/>
    <n v="4"/>
    <n v="0"/>
    <x v="0"/>
    <x v="0"/>
  </r>
  <r>
    <n v="485"/>
    <n v="2"/>
    <x v="1"/>
    <s v="Text"/>
    <n v="15"/>
    <n v="19"/>
    <n v="0.26666666666666661"/>
    <x v="0"/>
    <x v="1"/>
  </r>
  <r>
    <n v="485"/>
    <n v="3"/>
    <x v="2"/>
    <s v="Übung"/>
    <n v="30"/>
    <n v="28"/>
    <n v="-6.6666666666666652E-2"/>
    <x v="0"/>
    <x v="3"/>
  </r>
  <r>
    <n v="485"/>
    <n v="4"/>
    <x v="3"/>
    <s v="Übung"/>
    <n v="30"/>
    <n v="19"/>
    <n v="-0.3666666666666667"/>
    <x v="2"/>
    <x v="1"/>
  </r>
  <r>
    <n v="485"/>
    <n v="5"/>
    <x v="4"/>
    <s v="Übung"/>
    <n v="30"/>
    <n v="43"/>
    <n v="0.43333333333333335"/>
    <x v="1"/>
    <x v="3"/>
  </r>
  <r>
    <n v="485"/>
    <n v="6"/>
    <x v="5"/>
    <s v="Handout"/>
    <n v="5"/>
    <n v="1"/>
    <n v="-0.8"/>
    <x v="2"/>
    <x v="3"/>
  </r>
  <r>
    <n v="485"/>
    <n v="7"/>
    <x v="6"/>
    <s v="Quiz"/>
    <n v="10"/>
    <n v="9"/>
    <n v="-9.9999999999999978E-2"/>
    <x v="0"/>
    <x v="2"/>
  </r>
  <r>
    <n v="485"/>
    <n v="8"/>
    <x v="7"/>
    <s v="Video"/>
    <n v="5"/>
    <n v="5"/>
    <n v="0"/>
    <x v="0"/>
    <x v="0"/>
  </r>
  <r>
    <n v="486"/>
    <n v="1"/>
    <x v="0"/>
    <s v="Video"/>
    <n v="4"/>
    <n v="4"/>
    <n v="0"/>
    <x v="0"/>
    <x v="0"/>
  </r>
  <r>
    <n v="486"/>
    <n v="2"/>
    <x v="1"/>
    <s v="Text"/>
    <n v="15"/>
    <n v="15"/>
    <n v="0"/>
    <x v="0"/>
    <x v="0"/>
  </r>
  <r>
    <n v="486"/>
    <n v="3"/>
    <x v="2"/>
    <s v="Übung"/>
    <n v="30"/>
    <n v="29"/>
    <n v="-3.3333333333333326E-2"/>
    <x v="0"/>
    <x v="1"/>
  </r>
  <r>
    <n v="486"/>
    <n v="4"/>
    <x v="3"/>
    <s v="Übung"/>
    <n v="30"/>
    <n v="29"/>
    <n v="-3.3333333333333326E-2"/>
    <x v="0"/>
    <x v="3"/>
  </r>
  <r>
    <n v="486"/>
    <n v="5"/>
    <x v="4"/>
    <s v="Übung"/>
    <n v="30"/>
    <n v="50"/>
    <n v="0.66666666666666674"/>
    <x v="3"/>
    <x v="2"/>
  </r>
  <r>
    <n v="486"/>
    <n v="6"/>
    <x v="5"/>
    <s v="Handout"/>
    <n v="5"/>
    <n v="1"/>
    <n v="-0.8"/>
    <x v="2"/>
    <x v="0"/>
  </r>
  <r>
    <n v="486"/>
    <n v="7"/>
    <x v="6"/>
    <s v="Quiz"/>
    <n v="10"/>
    <n v="10"/>
    <n v="0"/>
    <x v="0"/>
    <x v="2"/>
  </r>
  <r>
    <n v="486"/>
    <n v="8"/>
    <x v="7"/>
    <s v="Video"/>
    <n v="5"/>
    <n v="5"/>
    <n v="0"/>
    <x v="0"/>
    <x v="1"/>
  </r>
  <r>
    <n v="487"/>
    <n v="1"/>
    <x v="0"/>
    <s v="Video"/>
    <n v="4"/>
    <n v="7"/>
    <n v="0.75"/>
    <x v="3"/>
    <x v="0"/>
  </r>
  <r>
    <n v="487"/>
    <n v="2"/>
    <x v="1"/>
    <s v="Text"/>
    <n v="15"/>
    <n v="17"/>
    <n v="0.1333333333333333"/>
    <x v="0"/>
    <x v="0"/>
  </r>
  <r>
    <n v="487"/>
    <n v="3"/>
    <x v="2"/>
    <s v="Übung"/>
    <n v="30"/>
    <n v="28"/>
    <n v="-6.6666666666666652E-2"/>
    <x v="0"/>
    <x v="3"/>
  </r>
  <r>
    <n v="487"/>
    <n v="4"/>
    <x v="3"/>
    <s v="Übung"/>
    <n v="30"/>
    <n v="23"/>
    <n v="-0.23333333333333328"/>
    <x v="0"/>
    <x v="3"/>
  </r>
  <r>
    <n v="487"/>
    <n v="5"/>
    <x v="4"/>
    <s v="Übung"/>
    <n v="30"/>
    <n v="44"/>
    <n v="0.46666666666666656"/>
    <x v="1"/>
    <x v="2"/>
  </r>
  <r>
    <n v="487"/>
    <n v="6"/>
    <x v="5"/>
    <s v="Handout"/>
    <n v="5"/>
    <n v="2"/>
    <n v="-0.6"/>
    <x v="2"/>
    <x v="1"/>
  </r>
  <r>
    <n v="487"/>
    <n v="7"/>
    <x v="6"/>
    <s v="Quiz"/>
    <n v="10"/>
    <n v="10"/>
    <n v="0"/>
    <x v="0"/>
    <x v="2"/>
  </r>
  <r>
    <n v="487"/>
    <n v="8"/>
    <x v="7"/>
    <s v="Video"/>
    <n v="5"/>
    <n v="5"/>
    <n v="0"/>
    <x v="0"/>
    <x v="0"/>
  </r>
  <r>
    <n v="489"/>
    <n v="1"/>
    <x v="0"/>
    <s v="Video"/>
    <n v="4"/>
    <n v="4"/>
    <n v="0"/>
    <x v="0"/>
    <x v="1"/>
  </r>
  <r>
    <n v="489"/>
    <n v="2"/>
    <x v="1"/>
    <s v="Text"/>
    <n v="15"/>
    <n v="20"/>
    <n v="0.33333333333333326"/>
    <x v="1"/>
    <x v="0"/>
  </r>
  <r>
    <n v="489"/>
    <n v="3"/>
    <x v="2"/>
    <s v="Übung"/>
    <n v="30"/>
    <n v="29"/>
    <n v="-3.3333333333333326E-2"/>
    <x v="0"/>
    <x v="1"/>
  </r>
  <r>
    <n v="489"/>
    <n v="4"/>
    <x v="3"/>
    <s v="Übung"/>
    <n v="30"/>
    <n v="27"/>
    <n v="-9.9999999999999978E-2"/>
    <x v="0"/>
    <x v="3"/>
  </r>
  <r>
    <n v="489"/>
    <n v="5"/>
    <x v="4"/>
    <s v="Übung"/>
    <n v="30"/>
    <n v="44"/>
    <n v="0.46666666666666656"/>
    <x v="1"/>
    <x v="2"/>
  </r>
  <r>
    <n v="489"/>
    <n v="6"/>
    <x v="5"/>
    <s v="Handout"/>
    <n v="5"/>
    <n v="1"/>
    <n v="-0.8"/>
    <x v="2"/>
    <x v="1"/>
  </r>
  <r>
    <n v="489"/>
    <n v="7"/>
    <x v="6"/>
    <s v="Quiz"/>
    <n v="10"/>
    <n v="9"/>
    <n v="-9.9999999999999978E-2"/>
    <x v="0"/>
    <x v="2"/>
  </r>
  <r>
    <n v="489"/>
    <n v="8"/>
    <x v="7"/>
    <s v="Video"/>
    <n v="5"/>
    <n v="5"/>
    <n v="0"/>
    <x v="0"/>
    <x v="0"/>
  </r>
  <r>
    <n v="490"/>
    <n v="1"/>
    <x v="0"/>
    <s v="Video"/>
    <n v="4"/>
    <n v="4"/>
    <n v="0"/>
    <x v="0"/>
    <x v="0"/>
  </r>
  <r>
    <n v="490"/>
    <n v="2"/>
    <x v="1"/>
    <s v="Text"/>
    <n v="15"/>
    <n v="19"/>
    <n v="0.26666666666666661"/>
    <x v="0"/>
    <x v="0"/>
  </r>
  <r>
    <n v="490"/>
    <n v="3"/>
    <x v="2"/>
    <s v="Übung"/>
    <n v="30"/>
    <n v="26"/>
    <n v="-0.1333333333333333"/>
    <x v="0"/>
    <x v="1"/>
  </r>
  <r>
    <n v="490"/>
    <n v="4"/>
    <x v="3"/>
    <s v="Übung"/>
    <n v="30"/>
    <n v="32"/>
    <n v="6.6666666666666652E-2"/>
    <x v="0"/>
    <x v="3"/>
  </r>
  <r>
    <n v="490"/>
    <n v="5"/>
    <x v="4"/>
    <s v="Übung"/>
    <n v="30"/>
    <n v="49"/>
    <n v="0.6333333333333333"/>
    <x v="3"/>
    <x v="3"/>
  </r>
  <r>
    <n v="490"/>
    <n v="6"/>
    <x v="5"/>
    <s v="Handout"/>
    <n v="5"/>
    <n v="1"/>
    <n v="-0.8"/>
    <x v="2"/>
    <x v="0"/>
  </r>
  <r>
    <n v="490"/>
    <n v="7"/>
    <x v="6"/>
    <s v="Quiz"/>
    <n v="10"/>
    <n v="9"/>
    <n v="-9.9999999999999978E-2"/>
    <x v="0"/>
    <x v="2"/>
  </r>
  <r>
    <n v="490"/>
    <n v="8"/>
    <x v="7"/>
    <s v="Video"/>
    <n v="5"/>
    <n v="5"/>
    <n v="0"/>
    <x v="0"/>
    <x v="0"/>
  </r>
  <r>
    <n v="491"/>
    <n v="1"/>
    <x v="0"/>
    <s v="Video"/>
    <n v="4"/>
    <n v="4"/>
    <n v="0"/>
    <x v="0"/>
    <x v="0"/>
  </r>
  <r>
    <n v="491"/>
    <n v="2"/>
    <x v="1"/>
    <s v="Text"/>
    <n v="15"/>
    <n v="18"/>
    <n v="0.19999999999999996"/>
    <x v="0"/>
    <x v="0"/>
  </r>
  <r>
    <n v="491"/>
    <n v="3"/>
    <x v="2"/>
    <s v="Übung"/>
    <n v="30"/>
    <n v="30"/>
    <n v="0"/>
    <x v="0"/>
    <x v="3"/>
  </r>
  <r>
    <n v="491"/>
    <n v="4"/>
    <x v="3"/>
    <s v="Übung"/>
    <n v="30"/>
    <n v="30"/>
    <n v="0"/>
    <x v="0"/>
    <x v="3"/>
  </r>
  <r>
    <n v="491"/>
    <n v="5"/>
    <x v="4"/>
    <s v="Übung"/>
    <n v="30"/>
    <n v="49"/>
    <n v="0.6333333333333333"/>
    <x v="3"/>
    <x v="2"/>
  </r>
  <r>
    <n v="491"/>
    <n v="6"/>
    <x v="5"/>
    <s v="Handout"/>
    <n v="5"/>
    <n v="2"/>
    <n v="-0.6"/>
    <x v="2"/>
    <x v="1"/>
  </r>
  <r>
    <n v="491"/>
    <n v="7"/>
    <x v="6"/>
    <s v="Quiz"/>
    <n v="10"/>
    <n v="9"/>
    <n v="-9.9999999999999978E-2"/>
    <x v="0"/>
    <x v="2"/>
  </r>
  <r>
    <n v="491"/>
    <n v="8"/>
    <x v="7"/>
    <s v="Video"/>
    <n v="5"/>
    <n v="5"/>
    <n v="0"/>
    <x v="0"/>
    <x v="0"/>
  </r>
  <r>
    <n v="492"/>
    <n v="1"/>
    <x v="0"/>
    <s v="Video"/>
    <n v="4"/>
    <n v="4"/>
    <n v="0"/>
    <x v="0"/>
    <x v="0"/>
  </r>
  <r>
    <n v="492"/>
    <n v="2"/>
    <x v="1"/>
    <s v="Text"/>
    <n v="15"/>
    <n v="17"/>
    <n v="0.1333333333333333"/>
    <x v="0"/>
    <x v="0"/>
  </r>
  <r>
    <n v="492"/>
    <n v="3"/>
    <x v="2"/>
    <s v="Übung"/>
    <n v="30"/>
    <n v="30"/>
    <n v="0"/>
    <x v="0"/>
    <x v="1"/>
  </r>
  <r>
    <n v="492"/>
    <n v="4"/>
    <x v="3"/>
    <s v="Übung"/>
    <n v="30"/>
    <n v="21"/>
    <n v="-0.30000000000000004"/>
    <x v="0"/>
    <x v="3"/>
  </r>
  <r>
    <n v="492"/>
    <n v="5"/>
    <x v="4"/>
    <s v="Übung"/>
    <n v="30"/>
    <n v="38"/>
    <n v="0.26666666666666661"/>
    <x v="0"/>
    <x v="3"/>
  </r>
  <r>
    <n v="492"/>
    <n v="6"/>
    <x v="5"/>
    <s v="Handout"/>
    <n v="5"/>
    <n v="1"/>
    <n v="-0.8"/>
    <x v="2"/>
    <x v="1"/>
  </r>
  <r>
    <n v="492"/>
    <n v="7"/>
    <x v="6"/>
    <s v="Quiz"/>
    <n v="10"/>
    <n v="8"/>
    <n v="-0.19999999999999996"/>
    <x v="0"/>
    <x v="4"/>
  </r>
  <r>
    <n v="492"/>
    <n v="8"/>
    <x v="7"/>
    <s v="Video"/>
    <n v="5"/>
    <n v="8"/>
    <n v="0.60000000000000009"/>
    <x v="1"/>
    <x v="0"/>
  </r>
  <r>
    <n v="493"/>
    <n v="1"/>
    <x v="0"/>
    <s v="Video"/>
    <n v="4"/>
    <n v="4"/>
    <n v="0"/>
    <x v="0"/>
    <x v="0"/>
  </r>
  <r>
    <n v="493"/>
    <n v="2"/>
    <x v="1"/>
    <s v="Text"/>
    <n v="15"/>
    <n v="18"/>
    <n v="0.19999999999999996"/>
    <x v="0"/>
    <x v="1"/>
  </r>
  <r>
    <n v="493"/>
    <n v="3"/>
    <x v="2"/>
    <s v="Übung"/>
    <n v="30"/>
    <n v="28"/>
    <n v="-6.6666666666666652E-2"/>
    <x v="0"/>
    <x v="1"/>
  </r>
  <r>
    <n v="493"/>
    <n v="4"/>
    <x v="3"/>
    <s v="Übung"/>
    <n v="30"/>
    <n v="32"/>
    <n v="6.6666666666666652E-2"/>
    <x v="0"/>
    <x v="3"/>
  </r>
  <r>
    <n v="493"/>
    <n v="5"/>
    <x v="4"/>
    <s v="Übung"/>
    <n v="30"/>
    <n v="48"/>
    <n v="0.60000000000000009"/>
    <x v="1"/>
    <x v="3"/>
  </r>
  <r>
    <n v="493"/>
    <n v="6"/>
    <x v="5"/>
    <s v="Handout"/>
    <n v="5"/>
    <n v="1"/>
    <n v="-0.8"/>
    <x v="2"/>
    <x v="1"/>
  </r>
  <r>
    <n v="493"/>
    <n v="7"/>
    <x v="6"/>
    <s v="Quiz"/>
    <n v="10"/>
    <n v="9"/>
    <n v="-9.9999999999999978E-2"/>
    <x v="0"/>
    <x v="2"/>
  </r>
  <r>
    <n v="493"/>
    <n v="8"/>
    <x v="7"/>
    <s v="Video"/>
    <n v="5"/>
    <n v="5"/>
    <n v="0"/>
    <x v="0"/>
    <x v="0"/>
  </r>
  <r>
    <n v="494"/>
    <n v="1"/>
    <x v="0"/>
    <s v="Video"/>
    <n v="4"/>
    <n v="4"/>
    <n v="0"/>
    <x v="0"/>
    <x v="0"/>
  </r>
  <r>
    <n v="494"/>
    <n v="2"/>
    <x v="1"/>
    <s v="Text"/>
    <n v="15"/>
    <n v="22"/>
    <n v="0.46666666666666656"/>
    <x v="1"/>
    <x v="0"/>
  </r>
  <r>
    <n v="494"/>
    <n v="3"/>
    <x v="2"/>
    <s v="Übung"/>
    <n v="30"/>
    <n v="29"/>
    <n v="-3.3333333333333326E-2"/>
    <x v="0"/>
    <x v="1"/>
  </r>
  <r>
    <n v="494"/>
    <n v="4"/>
    <x v="3"/>
    <s v="Übung"/>
    <n v="30"/>
    <n v="28"/>
    <n v="-6.6666666666666652E-2"/>
    <x v="0"/>
    <x v="3"/>
  </r>
  <r>
    <n v="494"/>
    <n v="5"/>
    <x v="4"/>
    <s v="Übung"/>
    <n v="30"/>
    <n v="52"/>
    <n v="0.73333333333333339"/>
    <x v="3"/>
    <x v="2"/>
  </r>
  <r>
    <n v="494"/>
    <n v="6"/>
    <x v="5"/>
    <s v="Handout"/>
    <n v="5"/>
    <n v="1"/>
    <n v="-0.8"/>
    <x v="2"/>
    <x v="1"/>
  </r>
  <r>
    <n v="494"/>
    <n v="7"/>
    <x v="6"/>
    <s v="Quiz"/>
    <n v="10"/>
    <n v="8"/>
    <n v="-0.19999999999999996"/>
    <x v="0"/>
    <x v="3"/>
  </r>
  <r>
    <n v="494"/>
    <n v="8"/>
    <x v="7"/>
    <s v="Video"/>
    <n v="5"/>
    <n v="9"/>
    <n v="0.8"/>
    <x v="3"/>
    <x v="0"/>
  </r>
  <r>
    <n v="495"/>
    <n v="1"/>
    <x v="0"/>
    <s v="Video"/>
    <n v="4"/>
    <n v="4"/>
    <n v="0"/>
    <x v="0"/>
    <x v="0"/>
  </r>
  <r>
    <n v="495"/>
    <n v="2"/>
    <x v="1"/>
    <s v="Text"/>
    <n v="15"/>
    <n v="17"/>
    <n v="0.1333333333333333"/>
    <x v="0"/>
    <x v="0"/>
  </r>
  <r>
    <n v="495"/>
    <n v="3"/>
    <x v="2"/>
    <s v="Übung"/>
    <n v="30"/>
    <n v="28"/>
    <n v="-6.6666666666666652E-2"/>
    <x v="0"/>
    <x v="1"/>
  </r>
  <r>
    <n v="495"/>
    <n v="4"/>
    <x v="3"/>
    <s v="Übung"/>
    <n v="30"/>
    <n v="32"/>
    <n v="6.6666666666666652E-2"/>
    <x v="0"/>
    <x v="3"/>
  </r>
  <r>
    <n v="495"/>
    <n v="5"/>
    <x v="4"/>
    <s v="Übung"/>
    <n v="30"/>
    <n v="46"/>
    <n v="0.53333333333333344"/>
    <x v="1"/>
    <x v="2"/>
  </r>
  <r>
    <n v="495"/>
    <n v="6"/>
    <x v="5"/>
    <s v="Handout"/>
    <n v="5"/>
    <n v="3"/>
    <n v="-0.4"/>
    <x v="2"/>
    <x v="1"/>
  </r>
  <r>
    <n v="495"/>
    <n v="7"/>
    <x v="6"/>
    <s v="Quiz"/>
    <n v="10"/>
    <n v="9"/>
    <n v="-9.9999999999999978E-2"/>
    <x v="0"/>
    <x v="3"/>
  </r>
  <r>
    <n v="495"/>
    <n v="8"/>
    <x v="7"/>
    <s v="Video"/>
    <n v="5"/>
    <n v="8"/>
    <n v="0.60000000000000009"/>
    <x v="1"/>
    <x v="0"/>
  </r>
  <r>
    <n v="496"/>
    <n v="1"/>
    <x v="0"/>
    <s v="Video"/>
    <n v="4"/>
    <n v="4"/>
    <n v="0"/>
    <x v="0"/>
    <x v="0"/>
  </r>
  <r>
    <n v="496"/>
    <n v="2"/>
    <x v="1"/>
    <s v="Text"/>
    <n v="15"/>
    <n v="16"/>
    <n v="6.6666666666666652E-2"/>
    <x v="0"/>
    <x v="0"/>
  </r>
  <r>
    <n v="496"/>
    <n v="3"/>
    <x v="2"/>
    <s v="Übung"/>
    <n v="30"/>
    <n v="29"/>
    <n v="-3.3333333333333326E-2"/>
    <x v="0"/>
    <x v="1"/>
  </r>
  <r>
    <n v="496"/>
    <n v="4"/>
    <x v="3"/>
    <s v="Übung"/>
    <n v="30"/>
    <n v="23"/>
    <n v="-0.23333333333333328"/>
    <x v="0"/>
    <x v="3"/>
  </r>
  <r>
    <n v="496"/>
    <n v="5"/>
    <x v="4"/>
    <s v="Übung"/>
    <n v="30"/>
    <n v="48"/>
    <n v="0.60000000000000009"/>
    <x v="1"/>
    <x v="4"/>
  </r>
  <r>
    <n v="496"/>
    <n v="6"/>
    <x v="5"/>
    <s v="Handout"/>
    <n v="5"/>
    <n v="2"/>
    <n v="-0.6"/>
    <x v="2"/>
    <x v="3"/>
  </r>
  <r>
    <n v="496"/>
    <n v="7"/>
    <x v="6"/>
    <s v="Quiz"/>
    <n v="10"/>
    <n v="9"/>
    <n v="-9.9999999999999978E-2"/>
    <x v="0"/>
    <x v="3"/>
  </r>
  <r>
    <n v="496"/>
    <n v="8"/>
    <x v="7"/>
    <s v="Video"/>
    <n v="5"/>
    <n v="5"/>
    <n v="0"/>
    <x v="0"/>
    <x v="0"/>
  </r>
  <r>
    <n v="497"/>
    <n v="1"/>
    <x v="0"/>
    <s v="Video"/>
    <n v="4"/>
    <n v="4"/>
    <n v="0"/>
    <x v="0"/>
    <x v="0"/>
  </r>
  <r>
    <n v="497"/>
    <n v="2"/>
    <x v="1"/>
    <s v="Text"/>
    <n v="15"/>
    <n v="15"/>
    <n v="0"/>
    <x v="0"/>
    <x v="1"/>
  </r>
  <r>
    <n v="497"/>
    <n v="3"/>
    <x v="2"/>
    <s v="Übung"/>
    <n v="30"/>
    <n v="27"/>
    <n v="-9.9999999999999978E-2"/>
    <x v="0"/>
    <x v="3"/>
  </r>
  <r>
    <n v="497"/>
    <n v="4"/>
    <x v="3"/>
    <s v="Übung"/>
    <n v="30"/>
    <n v="24"/>
    <n v="-0.19999999999999996"/>
    <x v="0"/>
    <x v="2"/>
  </r>
  <r>
    <n v="497"/>
    <n v="5"/>
    <x v="4"/>
    <s v="Übung"/>
    <n v="30"/>
    <n v="53"/>
    <n v="0.76666666666666661"/>
    <x v="3"/>
    <x v="2"/>
  </r>
  <r>
    <n v="497"/>
    <n v="6"/>
    <x v="5"/>
    <s v="Handout"/>
    <n v="5"/>
    <n v="1"/>
    <n v="-0.8"/>
    <x v="2"/>
    <x v="1"/>
  </r>
  <r>
    <n v="497"/>
    <n v="7"/>
    <x v="6"/>
    <s v="Quiz"/>
    <n v="10"/>
    <n v="11"/>
    <n v="0.10000000000000009"/>
    <x v="0"/>
    <x v="3"/>
  </r>
  <r>
    <n v="497"/>
    <n v="8"/>
    <x v="7"/>
    <s v="Video"/>
    <n v="5"/>
    <n v="5"/>
    <n v="0"/>
    <x v="0"/>
    <x v="0"/>
  </r>
  <r>
    <n v="498"/>
    <n v="1"/>
    <x v="0"/>
    <s v="Video"/>
    <n v="4"/>
    <n v="4"/>
    <n v="0"/>
    <x v="0"/>
    <x v="0"/>
  </r>
  <r>
    <n v="498"/>
    <n v="2"/>
    <x v="1"/>
    <s v="Text"/>
    <n v="15"/>
    <n v="15"/>
    <n v="0"/>
    <x v="0"/>
    <x v="1"/>
  </r>
  <r>
    <n v="498"/>
    <n v="3"/>
    <x v="2"/>
    <s v="Übung"/>
    <n v="30"/>
    <n v="30"/>
    <n v="0"/>
    <x v="0"/>
    <x v="1"/>
  </r>
  <r>
    <n v="498"/>
    <n v="4"/>
    <x v="3"/>
    <s v="Übung"/>
    <n v="30"/>
    <n v="27"/>
    <n v="-9.9999999999999978E-2"/>
    <x v="0"/>
    <x v="3"/>
  </r>
  <r>
    <n v="498"/>
    <n v="5"/>
    <x v="4"/>
    <s v="Übung"/>
    <n v="30"/>
    <n v="44"/>
    <n v="0.46666666666666656"/>
    <x v="1"/>
    <x v="2"/>
  </r>
  <r>
    <n v="498"/>
    <n v="6"/>
    <x v="5"/>
    <s v="Handout"/>
    <n v="5"/>
    <n v="2"/>
    <n v="-0.6"/>
    <x v="2"/>
    <x v="1"/>
  </r>
  <r>
    <n v="498"/>
    <n v="7"/>
    <x v="6"/>
    <s v="Quiz"/>
    <n v="10"/>
    <n v="10"/>
    <n v="0"/>
    <x v="0"/>
    <x v="3"/>
  </r>
  <r>
    <n v="498"/>
    <n v="8"/>
    <x v="7"/>
    <s v="Video"/>
    <n v="5"/>
    <n v="5"/>
    <n v="0"/>
    <x v="0"/>
    <x v="0"/>
  </r>
  <r>
    <n v="499"/>
    <n v="1"/>
    <x v="0"/>
    <s v="Video"/>
    <n v="4"/>
    <n v="4"/>
    <n v="0"/>
    <x v="0"/>
    <x v="0"/>
  </r>
  <r>
    <n v="499"/>
    <n v="2"/>
    <x v="1"/>
    <s v="Text"/>
    <n v="15"/>
    <n v="18"/>
    <n v="0.19999999999999996"/>
    <x v="0"/>
    <x v="1"/>
  </r>
  <r>
    <n v="499"/>
    <n v="3"/>
    <x v="2"/>
    <s v="Übung"/>
    <n v="30"/>
    <n v="28"/>
    <n v="-6.6666666666666652E-2"/>
    <x v="0"/>
    <x v="3"/>
  </r>
  <r>
    <n v="499"/>
    <n v="4"/>
    <x v="3"/>
    <s v="Übung"/>
    <n v="30"/>
    <n v="32"/>
    <n v="6.6666666666666652E-2"/>
    <x v="0"/>
    <x v="2"/>
  </r>
  <r>
    <n v="499"/>
    <n v="5"/>
    <x v="4"/>
    <s v="Übung"/>
    <n v="30"/>
    <n v="52"/>
    <n v="0.73333333333333339"/>
    <x v="3"/>
    <x v="2"/>
  </r>
  <r>
    <n v="499"/>
    <n v="6"/>
    <x v="5"/>
    <s v="Handout"/>
    <n v="5"/>
    <n v="3"/>
    <n v="-0.4"/>
    <x v="2"/>
    <x v="1"/>
  </r>
  <r>
    <n v="499"/>
    <n v="7"/>
    <x v="6"/>
    <s v="Quiz"/>
    <n v="10"/>
    <n v="9"/>
    <n v="-9.9999999999999978E-2"/>
    <x v="0"/>
    <x v="3"/>
  </r>
  <r>
    <n v="499"/>
    <n v="8"/>
    <x v="7"/>
    <s v="Video"/>
    <n v="5"/>
    <n v="5"/>
    <n v="0"/>
    <x v="0"/>
    <x v="0"/>
  </r>
  <r>
    <n v="500"/>
    <n v="1"/>
    <x v="0"/>
    <s v="Video"/>
    <n v="4"/>
    <n v="4"/>
    <n v="0"/>
    <x v="0"/>
    <x v="0"/>
  </r>
  <r>
    <n v="500"/>
    <n v="2"/>
    <x v="1"/>
    <s v="Text"/>
    <n v="15"/>
    <n v="17"/>
    <n v="0.1333333333333333"/>
    <x v="0"/>
    <x v="1"/>
  </r>
  <r>
    <n v="500"/>
    <n v="3"/>
    <x v="2"/>
    <s v="Übung"/>
    <n v="30"/>
    <n v="28"/>
    <n v="-6.6666666666666652E-2"/>
    <x v="0"/>
    <x v="1"/>
  </r>
  <r>
    <n v="500"/>
    <n v="4"/>
    <x v="3"/>
    <s v="Übung"/>
    <n v="30"/>
    <n v="31"/>
    <n v="3.3333333333333437E-2"/>
    <x v="0"/>
    <x v="3"/>
  </r>
  <r>
    <n v="500"/>
    <n v="5"/>
    <x v="4"/>
    <s v="Übung"/>
    <n v="30"/>
    <n v="29"/>
    <n v="-3.3333333333333326E-2"/>
    <x v="0"/>
    <x v="4"/>
  </r>
  <r>
    <n v="500"/>
    <n v="6"/>
    <x v="5"/>
    <s v="Handout"/>
    <n v="5"/>
    <n v="4"/>
    <n v="-0.19999999999999996"/>
    <x v="0"/>
    <x v="1"/>
  </r>
  <r>
    <n v="500"/>
    <n v="7"/>
    <x v="6"/>
    <s v="Quiz"/>
    <n v="10"/>
    <n v="9"/>
    <n v="-9.9999999999999978E-2"/>
    <x v="0"/>
    <x v="3"/>
  </r>
  <r>
    <n v="500"/>
    <n v="8"/>
    <x v="7"/>
    <s v="Video"/>
    <n v="5"/>
    <n v="5"/>
    <n v="0"/>
    <x v="0"/>
    <x v="0"/>
  </r>
  <r>
    <n v="501"/>
    <n v="1"/>
    <x v="0"/>
    <s v="Video"/>
    <n v="4"/>
    <n v="4"/>
    <n v="0"/>
    <x v="0"/>
    <x v="0"/>
  </r>
  <r>
    <n v="501"/>
    <n v="2"/>
    <x v="1"/>
    <s v="Text"/>
    <n v="15"/>
    <n v="17"/>
    <n v="0.1333333333333333"/>
    <x v="0"/>
    <x v="0"/>
  </r>
  <r>
    <n v="501"/>
    <n v="3"/>
    <x v="2"/>
    <s v="Übung"/>
    <n v="30"/>
    <n v="28"/>
    <n v="-6.6666666666666652E-2"/>
    <x v="0"/>
    <x v="3"/>
  </r>
  <r>
    <n v="501"/>
    <n v="4"/>
    <x v="3"/>
    <s v="Übung"/>
    <n v="30"/>
    <n v="29"/>
    <n v="-3.3333333333333326E-2"/>
    <x v="0"/>
    <x v="3"/>
  </r>
  <r>
    <n v="501"/>
    <n v="5"/>
    <x v="4"/>
    <s v="Übung"/>
    <n v="30"/>
    <n v="55"/>
    <n v="0.83333333333333326"/>
    <x v="3"/>
    <x v="2"/>
  </r>
  <r>
    <n v="501"/>
    <n v="6"/>
    <x v="5"/>
    <s v="Handout"/>
    <n v="5"/>
    <n v="1"/>
    <n v="-0.8"/>
    <x v="2"/>
    <x v="1"/>
  </r>
  <r>
    <n v="501"/>
    <n v="7"/>
    <x v="6"/>
    <s v="Quiz"/>
    <n v="10"/>
    <n v="11"/>
    <n v="0.10000000000000009"/>
    <x v="0"/>
    <x v="2"/>
  </r>
  <r>
    <n v="501"/>
    <n v="8"/>
    <x v="7"/>
    <s v="Video"/>
    <n v="5"/>
    <n v="5"/>
    <n v="0"/>
    <x v="0"/>
    <x v="0"/>
  </r>
  <r>
    <n v="502"/>
    <n v="1"/>
    <x v="0"/>
    <s v="Video"/>
    <n v="4"/>
    <n v="4"/>
    <n v="0"/>
    <x v="0"/>
    <x v="0"/>
  </r>
  <r>
    <n v="502"/>
    <n v="2"/>
    <x v="1"/>
    <s v="Text"/>
    <n v="15"/>
    <n v="17"/>
    <n v="0.1333333333333333"/>
    <x v="0"/>
    <x v="0"/>
  </r>
  <r>
    <n v="502"/>
    <n v="3"/>
    <x v="2"/>
    <s v="Übung"/>
    <n v="30"/>
    <n v="28"/>
    <n v="-6.6666666666666652E-2"/>
    <x v="0"/>
    <x v="3"/>
  </r>
  <r>
    <n v="502"/>
    <n v="4"/>
    <x v="3"/>
    <s v="Übung"/>
    <n v="30"/>
    <n v="24"/>
    <n v="-0.19999999999999996"/>
    <x v="0"/>
    <x v="3"/>
  </r>
  <r>
    <n v="502"/>
    <n v="5"/>
    <x v="4"/>
    <s v="Übung"/>
    <n v="30"/>
    <n v="41"/>
    <n v="0.3666666666666667"/>
    <x v="1"/>
    <x v="3"/>
  </r>
  <r>
    <n v="502"/>
    <n v="6"/>
    <x v="5"/>
    <s v="Handout"/>
    <n v="5"/>
    <n v="3"/>
    <n v="-0.4"/>
    <x v="2"/>
    <x v="1"/>
  </r>
  <r>
    <n v="502"/>
    <n v="7"/>
    <x v="6"/>
    <s v="Quiz"/>
    <n v="10"/>
    <n v="9"/>
    <n v="-9.9999999999999978E-2"/>
    <x v="0"/>
    <x v="3"/>
  </r>
  <r>
    <n v="502"/>
    <n v="8"/>
    <x v="7"/>
    <s v="Video"/>
    <n v="5"/>
    <n v="5"/>
    <n v="0"/>
    <x v="0"/>
    <x v="0"/>
  </r>
  <r>
    <n v="503"/>
    <n v="1"/>
    <x v="0"/>
    <s v="Video"/>
    <n v="4"/>
    <n v="4"/>
    <n v="0"/>
    <x v="0"/>
    <x v="0"/>
  </r>
  <r>
    <n v="503"/>
    <n v="2"/>
    <x v="1"/>
    <s v="Text"/>
    <n v="15"/>
    <n v="16"/>
    <n v="6.6666666666666652E-2"/>
    <x v="0"/>
    <x v="1"/>
  </r>
  <r>
    <n v="503"/>
    <n v="3"/>
    <x v="2"/>
    <s v="Übung"/>
    <n v="30"/>
    <n v="28"/>
    <n v="-6.6666666666666652E-2"/>
    <x v="0"/>
    <x v="3"/>
  </r>
  <r>
    <n v="503"/>
    <n v="4"/>
    <x v="3"/>
    <s v="Übung"/>
    <n v="30"/>
    <n v="15"/>
    <n v="-0.5"/>
    <x v="2"/>
    <x v="3"/>
  </r>
  <r>
    <n v="503"/>
    <n v="5"/>
    <x v="4"/>
    <s v="Übung"/>
    <n v="30"/>
    <n v="35"/>
    <n v="0.16666666666666674"/>
    <x v="0"/>
    <x v="2"/>
  </r>
  <r>
    <n v="503"/>
    <n v="6"/>
    <x v="5"/>
    <s v="Handout"/>
    <n v="5"/>
    <n v="2"/>
    <n v="-0.6"/>
    <x v="2"/>
    <x v="3"/>
  </r>
  <r>
    <n v="503"/>
    <n v="7"/>
    <x v="6"/>
    <s v="Quiz"/>
    <n v="10"/>
    <n v="9"/>
    <n v="-9.9999999999999978E-2"/>
    <x v="0"/>
    <x v="3"/>
  </r>
  <r>
    <n v="503"/>
    <n v="8"/>
    <x v="7"/>
    <s v="Video"/>
    <n v="5"/>
    <n v="5"/>
    <n v="0"/>
    <x v="0"/>
    <x v="0"/>
  </r>
  <r>
    <n v="504"/>
    <n v="1"/>
    <x v="0"/>
    <s v="Video"/>
    <n v="4"/>
    <n v="4"/>
    <n v="0"/>
    <x v="0"/>
    <x v="0"/>
  </r>
  <r>
    <n v="504"/>
    <n v="2"/>
    <x v="1"/>
    <s v="Text"/>
    <n v="15"/>
    <n v="18"/>
    <n v="0.19999999999999996"/>
    <x v="0"/>
    <x v="1"/>
  </r>
  <r>
    <n v="504"/>
    <n v="3"/>
    <x v="2"/>
    <s v="Übung"/>
    <n v="30"/>
    <n v="28"/>
    <n v="-6.6666666666666652E-2"/>
    <x v="0"/>
    <x v="3"/>
  </r>
  <r>
    <n v="504"/>
    <n v="4"/>
    <x v="3"/>
    <s v="Übung"/>
    <n v="30"/>
    <n v="24"/>
    <n v="-0.19999999999999996"/>
    <x v="0"/>
    <x v="1"/>
  </r>
  <r>
    <n v="504"/>
    <n v="5"/>
    <x v="4"/>
    <s v="Übung"/>
    <n v="30"/>
    <n v="44"/>
    <n v="0.46666666666666656"/>
    <x v="1"/>
    <x v="2"/>
  </r>
  <r>
    <n v="504"/>
    <n v="6"/>
    <x v="5"/>
    <s v="Handout"/>
    <n v="5"/>
    <n v="1"/>
    <n v="-0.8"/>
    <x v="2"/>
    <x v="0"/>
  </r>
  <r>
    <n v="504"/>
    <n v="7"/>
    <x v="6"/>
    <s v="Quiz"/>
    <n v="10"/>
    <n v="8"/>
    <n v="-0.19999999999999996"/>
    <x v="0"/>
    <x v="3"/>
  </r>
  <r>
    <n v="504"/>
    <n v="8"/>
    <x v="7"/>
    <s v="Video"/>
    <n v="5"/>
    <n v="5"/>
    <n v="0"/>
    <x v="0"/>
    <x v="0"/>
  </r>
  <r>
    <n v="505"/>
    <n v="1"/>
    <x v="0"/>
    <s v="Video"/>
    <n v="4"/>
    <n v="4"/>
    <n v="0"/>
    <x v="0"/>
    <x v="0"/>
  </r>
  <r>
    <n v="505"/>
    <n v="2"/>
    <x v="1"/>
    <s v="Text"/>
    <n v="15"/>
    <n v="17"/>
    <n v="0.1333333333333333"/>
    <x v="0"/>
    <x v="1"/>
  </r>
  <r>
    <n v="505"/>
    <n v="3"/>
    <x v="2"/>
    <s v="Übung"/>
    <n v="30"/>
    <n v="27"/>
    <n v="-9.9999999999999978E-2"/>
    <x v="0"/>
    <x v="3"/>
  </r>
  <r>
    <n v="505"/>
    <n v="4"/>
    <x v="3"/>
    <s v="Übung"/>
    <n v="30"/>
    <n v="28"/>
    <n v="-6.6666666666666652E-2"/>
    <x v="0"/>
    <x v="3"/>
  </r>
  <r>
    <n v="505"/>
    <n v="5"/>
    <x v="4"/>
    <s v="Übung"/>
    <n v="30"/>
    <n v="47"/>
    <n v="0.56666666666666665"/>
    <x v="1"/>
    <x v="2"/>
  </r>
  <r>
    <n v="505"/>
    <n v="6"/>
    <x v="5"/>
    <s v="Handout"/>
    <n v="5"/>
    <n v="1"/>
    <n v="-0.8"/>
    <x v="2"/>
    <x v="0"/>
  </r>
  <r>
    <n v="505"/>
    <n v="7"/>
    <x v="6"/>
    <s v="Quiz"/>
    <n v="10"/>
    <n v="10"/>
    <n v="0"/>
    <x v="0"/>
    <x v="3"/>
  </r>
  <r>
    <n v="505"/>
    <n v="8"/>
    <x v="7"/>
    <s v="Video"/>
    <n v="5"/>
    <n v="8"/>
    <n v="0.60000000000000009"/>
    <x v="1"/>
    <x v="0"/>
  </r>
  <r>
    <n v="506"/>
    <n v="1"/>
    <x v="0"/>
    <s v="Video"/>
    <n v="4"/>
    <n v="4"/>
    <n v="0"/>
    <x v="0"/>
    <x v="1"/>
  </r>
  <r>
    <n v="506"/>
    <n v="2"/>
    <x v="1"/>
    <s v="Text"/>
    <n v="15"/>
    <n v="18"/>
    <n v="0.19999999999999996"/>
    <x v="0"/>
    <x v="0"/>
  </r>
  <r>
    <n v="506"/>
    <n v="3"/>
    <x v="2"/>
    <s v="Übung"/>
    <n v="30"/>
    <n v="30"/>
    <n v="0"/>
    <x v="0"/>
    <x v="1"/>
  </r>
  <r>
    <n v="506"/>
    <n v="4"/>
    <x v="3"/>
    <s v="Übung"/>
    <n v="30"/>
    <n v="23"/>
    <n v="-0.23333333333333328"/>
    <x v="0"/>
    <x v="1"/>
  </r>
  <r>
    <n v="506"/>
    <n v="5"/>
    <x v="4"/>
    <s v="Übung"/>
    <n v="30"/>
    <n v="50"/>
    <n v="0.66666666666666674"/>
    <x v="3"/>
    <x v="3"/>
  </r>
  <r>
    <n v="506"/>
    <n v="6"/>
    <x v="5"/>
    <s v="Handout"/>
    <n v="5"/>
    <n v="1"/>
    <n v="-0.8"/>
    <x v="2"/>
    <x v="0"/>
  </r>
  <r>
    <n v="506"/>
    <n v="7"/>
    <x v="6"/>
    <s v="Quiz"/>
    <n v="10"/>
    <n v="10"/>
    <n v="0"/>
    <x v="0"/>
    <x v="3"/>
  </r>
  <r>
    <n v="506"/>
    <n v="8"/>
    <x v="7"/>
    <s v="Video"/>
    <n v="5"/>
    <n v="5"/>
    <n v="0"/>
    <x v="0"/>
    <x v="0"/>
  </r>
  <r>
    <n v="507"/>
    <n v="1"/>
    <x v="0"/>
    <s v="Video"/>
    <n v="4"/>
    <n v="4"/>
    <n v="0"/>
    <x v="0"/>
    <x v="0"/>
  </r>
  <r>
    <n v="507"/>
    <n v="2"/>
    <x v="1"/>
    <s v="Text"/>
    <n v="15"/>
    <n v="19"/>
    <n v="0.26666666666666661"/>
    <x v="0"/>
    <x v="1"/>
  </r>
  <r>
    <n v="507"/>
    <n v="3"/>
    <x v="2"/>
    <s v="Übung"/>
    <n v="30"/>
    <n v="29"/>
    <n v="-3.3333333333333326E-2"/>
    <x v="0"/>
    <x v="3"/>
  </r>
  <r>
    <n v="507"/>
    <n v="4"/>
    <x v="3"/>
    <s v="Übung"/>
    <n v="30"/>
    <n v="19"/>
    <n v="-0.3666666666666667"/>
    <x v="2"/>
    <x v="3"/>
  </r>
  <r>
    <n v="507"/>
    <n v="5"/>
    <x v="4"/>
    <s v="Übung"/>
    <n v="30"/>
    <n v="51"/>
    <n v="0.7"/>
    <x v="3"/>
    <x v="3"/>
  </r>
  <r>
    <n v="507"/>
    <n v="6"/>
    <x v="5"/>
    <s v="Handout"/>
    <n v="5"/>
    <n v="1"/>
    <n v="-0.8"/>
    <x v="2"/>
    <x v="1"/>
  </r>
  <r>
    <n v="507"/>
    <n v="7"/>
    <x v="6"/>
    <s v="Quiz"/>
    <n v="10"/>
    <n v="9"/>
    <n v="-9.9999999999999978E-2"/>
    <x v="0"/>
    <x v="2"/>
  </r>
  <r>
    <n v="507"/>
    <n v="8"/>
    <x v="7"/>
    <s v="Video"/>
    <n v="5"/>
    <n v="5"/>
    <n v="0"/>
    <x v="0"/>
    <x v="0"/>
  </r>
  <r>
    <n v="508"/>
    <n v="1"/>
    <x v="0"/>
    <s v="Video"/>
    <n v="4"/>
    <n v="4"/>
    <n v="0"/>
    <x v="0"/>
    <x v="0"/>
  </r>
  <r>
    <n v="508"/>
    <n v="2"/>
    <x v="1"/>
    <s v="Text"/>
    <n v="15"/>
    <n v="18"/>
    <n v="0.19999999999999996"/>
    <x v="0"/>
    <x v="0"/>
  </r>
  <r>
    <n v="508"/>
    <n v="3"/>
    <x v="2"/>
    <s v="Übung"/>
    <n v="30"/>
    <n v="28"/>
    <n v="-6.6666666666666652E-2"/>
    <x v="0"/>
    <x v="3"/>
  </r>
  <r>
    <n v="508"/>
    <n v="4"/>
    <x v="3"/>
    <s v="Übung"/>
    <n v="30"/>
    <n v="28"/>
    <n v="-6.6666666666666652E-2"/>
    <x v="0"/>
    <x v="1"/>
  </r>
  <r>
    <n v="508"/>
    <n v="5"/>
    <x v="4"/>
    <s v="Übung"/>
    <n v="30"/>
    <n v="46"/>
    <n v="0.53333333333333344"/>
    <x v="1"/>
    <x v="2"/>
  </r>
  <r>
    <n v="508"/>
    <n v="6"/>
    <x v="5"/>
    <s v="Handout"/>
    <n v="5"/>
    <n v="1"/>
    <n v="-0.8"/>
    <x v="2"/>
    <x v="1"/>
  </r>
  <r>
    <n v="508"/>
    <n v="7"/>
    <x v="6"/>
    <s v="Quiz"/>
    <n v="10"/>
    <n v="10"/>
    <n v="0"/>
    <x v="0"/>
    <x v="3"/>
  </r>
  <r>
    <n v="508"/>
    <n v="8"/>
    <x v="7"/>
    <s v="Video"/>
    <n v="5"/>
    <n v="5"/>
    <n v="0"/>
    <x v="0"/>
    <x v="0"/>
  </r>
  <r>
    <n v="509"/>
    <n v="1"/>
    <x v="0"/>
    <s v="Video"/>
    <n v="4"/>
    <n v="6"/>
    <n v="0.5"/>
    <x v="1"/>
    <x v="0"/>
  </r>
  <r>
    <n v="509"/>
    <n v="2"/>
    <x v="1"/>
    <s v="Text"/>
    <n v="15"/>
    <n v="19"/>
    <n v="0.26666666666666661"/>
    <x v="0"/>
    <x v="1"/>
  </r>
  <r>
    <n v="509"/>
    <n v="3"/>
    <x v="2"/>
    <s v="Übung"/>
    <n v="30"/>
    <n v="27"/>
    <n v="-9.9999999999999978E-2"/>
    <x v="0"/>
    <x v="1"/>
  </r>
  <r>
    <n v="509"/>
    <n v="4"/>
    <x v="3"/>
    <s v="Übung"/>
    <n v="30"/>
    <n v="20"/>
    <n v="-0.33333333333333337"/>
    <x v="2"/>
    <x v="3"/>
  </r>
  <r>
    <n v="509"/>
    <n v="5"/>
    <x v="4"/>
    <s v="Übung"/>
    <n v="30"/>
    <n v="45"/>
    <n v="0.5"/>
    <x v="1"/>
    <x v="2"/>
  </r>
  <r>
    <n v="509"/>
    <n v="6"/>
    <x v="5"/>
    <s v="Handout"/>
    <n v="5"/>
    <n v="1"/>
    <n v="-0.8"/>
    <x v="2"/>
    <x v="1"/>
  </r>
  <r>
    <n v="509"/>
    <n v="7"/>
    <x v="6"/>
    <s v="Quiz"/>
    <n v="10"/>
    <n v="9"/>
    <n v="-9.9999999999999978E-2"/>
    <x v="0"/>
    <x v="2"/>
  </r>
  <r>
    <n v="509"/>
    <n v="8"/>
    <x v="7"/>
    <s v="Video"/>
    <n v="5"/>
    <n v="5"/>
    <n v="0"/>
    <x v="0"/>
    <x v="0"/>
  </r>
  <r>
    <n v="510"/>
    <n v="1"/>
    <x v="0"/>
    <s v="Video"/>
    <n v="4"/>
    <n v="4"/>
    <n v="0"/>
    <x v="0"/>
    <x v="0"/>
  </r>
  <r>
    <n v="510"/>
    <n v="2"/>
    <x v="1"/>
    <s v="Text"/>
    <n v="15"/>
    <n v="16"/>
    <n v="6.6666666666666652E-2"/>
    <x v="0"/>
    <x v="0"/>
  </r>
  <r>
    <n v="510"/>
    <n v="3"/>
    <x v="2"/>
    <s v="Übung"/>
    <n v="30"/>
    <n v="28"/>
    <n v="-6.6666666666666652E-2"/>
    <x v="0"/>
    <x v="3"/>
  </r>
  <r>
    <n v="510"/>
    <n v="4"/>
    <x v="3"/>
    <s v="Übung"/>
    <n v="30"/>
    <n v="26"/>
    <n v="-0.1333333333333333"/>
    <x v="0"/>
    <x v="2"/>
  </r>
  <r>
    <n v="510"/>
    <n v="5"/>
    <x v="4"/>
    <s v="Übung"/>
    <n v="30"/>
    <n v="43"/>
    <n v="0.43333333333333335"/>
    <x v="1"/>
    <x v="2"/>
  </r>
  <r>
    <n v="510"/>
    <n v="6"/>
    <x v="5"/>
    <s v="Handout"/>
    <n v="5"/>
    <n v="2"/>
    <n v="-0.6"/>
    <x v="2"/>
    <x v="0"/>
  </r>
  <r>
    <n v="510"/>
    <n v="7"/>
    <x v="6"/>
    <s v="Quiz"/>
    <n v="10"/>
    <n v="9"/>
    <n v="-9.9999999999999978E-2"/>
    <x v="0"/>
    <x v="3"/>
  </r>
  <r>
    <n v="510"/>
    <n v="8"/>
    <x v="7"/>
    <s v="Video"/>
    <n v="5"/>
    <n v="5"/>
    <n v="0"/>
    <x v="0"/>
    <x v="0"/>
  </r>
  <r>
    <n v="511"/>
    <n v="1"/>
    <x v="0"/>
    <s v="Video"/>
    <n v="4"/>
    <n v="4"/>
    <n v="0"/>
    <x v="0"/>
    <x v="0"/>
  </r>
  <r>
    <n v="511"/>
    <n v="2"/>
    <x v="1"/>
    <s v="Text"/>
    <n v="15"/>
    <n v="17"/>
    <n v="0.1333333333333333"/>
    <x v="0"/>
    <x v="1"/>
  </r>
  <r>
    <n v="511"/>
    <n v="3"/>
    <x v="2"/>
    <s v="Übung"/>
    <n v="30"/>
    <n v="25"/>
    <n v="-0.16666666666666663"/>
    <x v="0"/>
    <x v="3"/>
  </r>
  <r>
    <n v="511"/>
    <n v="4"/>
    <x v="3"/>
    <s v="Übung"/>
    <n v="30"/>
    <n v="25"/>
    <n v="-0.16666666666666663"/>
    <x v="0"/>
    <x v="3"/>
  </r>
  <r>
    <n v="511"/>
    <n v="5"/>
    <x v="4"/>
    <s v="Übung"/>
    <n v="30"/>
    <n v="43"/>
    <n v="0.43333333333333335"/>
    <x v="1"/>
    <x v="2"/>
  </r>
  <r>
    <n v="511"/>
    <n v="6"/>
    <x v="5"/>
    <s v="Handout"/>
    <n v="5"/>
    <n v="1"/>
    <n v="-0.8"/>
    <x v="2"/>
    <x v="0"/>
  </r>
  <r>
    <n v="511"/>
    <n v="7"/>
    <x v="6"/>
    <s v="Quiz"/>
    <n v="10"/>
    <n v="10"/>
    <n v="0"/>
    <x v="0"/>
    <x v="3"/>
  </r>
  <r>
    <n v="511"/>
    <n v="8"/>
    <x v="7"/>
    <s v="Video"/>
    <n v="5"/>
    <n v="5"/>
    <n v="0"/>
    <x v="0"/>
    <x v="0"/>
  </r>
  <r>
    <n v="513"/>
    <n v="1"/>
    <x v="0"/>
    <s v="Video"/>
    <n v="4"/>
    <n v="4"/>
    <n v="0"/>
    <x v="0"/>
    <x v="0"/>
  </r>
  <r>
    <n v="513"/>
    <n v="2"/>
    <x v="1"/>
    <s v="Text"/>
    <n v="15"/>
    <n v="17"/>
    <n v="0.1333333333333333"/>
    <x v="0"/>
    <x v="1"/>
  </r>
  <r>
    <n v="513"/>
    <n v="3"/>
    <x v="2"/>
    <s v="Übung"/>
    <n v="30"/>
    <n v="28"/>
    <n v="-6.6666666666666652E-2"/>
    <x v="0"/>
    <x v="3"/>
  </r>
  <r>
    <n v="513"/>
    <n v="4"/>
    <x v="3"/>
    <s v="Übung"/>
    <n v="30"/>
    <n v="18"/>
    <n v="-0.4"/>
    <x v="2"/>
    <x v="3"/>
  </r>
  <r>
    <n v="513"/>
    <n v="5"/>
    <x v="4"/>
    <s v="Übung"/>
    <n v="30"/>
    <n v="48"/>
    <n v="0.60000000000000009"/>
    <x v="1"/>
    <x v="3"/>
  </r>
  <r>
    <n v="513"/>
    <n v="6"/>
    <x v="5"/>
    <s v="Handout"/>
    <n v="5"/>
    <n v="2"/>
    <n v="-0.6"/>
    <x v="2"/>
    <x v="1"/>
  </r>
  <r>
    <n v="513"/>
    <n v="7"/>
    <x v="6"/>
    <s v="Quiz"/>
    <n v="10"/>
    <n v="9"/>
    <n v="-9.9999999999999978E-2"/>
    <x v="0"/>
    <x v="3"/>
  </r>
  <r>
    <n v="513"/>
    <n v="8"/>
    <x v="7"/>
    <s v="Video"/>
    <n v="5"/>
    <n v="5"/>
    <n v="0"/>
    <x v="0"/>
    <x v="0"/>
  </r>
  <r>
    <n v="515"/>
    <n v="1"/>
    <x v="0"/>
    <s v="Video"/>
    <n v="4"/>
    <n v="7"/>
    <n v="0.75"/>
    <x v="3"/>
    <x v="0"/>
  </r>
  <r>
    <n v="515"/>
    <n v="2"/>
    <x v="1"/>
    <s v="Text"/>
    <n v="15"/>
    <n v="16"/>
    <n v="6.6666666666666652E-2"/>
    <x v="0"/>
    <x v="1"/>
  </r>
  <r>
    <n v="515"/>
    <n v="3"/>
    <x v="2"/>
    <s v="Übung"/>
    <n v="30"/>
    <n v="29"/>
    <n v="-3.3333333333333326E-2"/>
    <x v="0"/>
    <x v="3"/>
  </r>
  <r>
    <n v="515"/>
    <n v="4"/>
    <x v="3"/>
    <s v="Übung"/>
    <n v="30"/>
    <n v="27"/>
    <n v="-9.9999999999999978E-2"/>
    <x v="0"/>
    <x v="2"/>
  </r>
  <r>
    <n v="515"/>
    <n v="5"/>
    <x v="4"/>
    <s v="Übung"/>
    <n v="30"/>
    <n v="51"/>
    <n v="0.7"/>
    <x v="3"/>
    <x v="3"/>
  </r>
  <r>
    <n v="515"/>
    <n v="6"/>
    <x v="5"/>
    <s v="Handout"/>
    <n v="5"/>
    <n v="1"/>
    <n v="-0.8"/>
    <x v="2"/>
    <x v="3"/>
  </r>
  <r>
    <n v="515"/>
    <n v="7"/>
    <x v="6"/>
    <s v="Quiz"/>
    <n v="10"/>
    <n v="12"/>
    <n v="0.19999999999999996"/>
    <x v="0"/>
    <x v="3"/>
  </r>
  <r>
    <n v="515"/>
    <n v="8"/>
    <x v="7"/>
    <s v="Video"/>
    <n v="5"/>
    <n v="5"/>
    <n v="0"/>
    <x v="0"/>
    <x v="0"/>
  </r>
  <r>
    <n v="516"/>
    <n v="1"/>
    <x v="0"/>
    <s v="Video"/>
    <n v="4"/>
    <n v="4"/>
    <n v="0"/>
    <x v="0"/>
    <x v="0"/>
  </r>
  <r>
    <n v="516"/>
    <n v="2"/>
    <x v="1"/>
    <s v="Text"/>
    <n v="15"/>
    <n v="18"/>
    <n v="0.19999999999999996"/>
    <x v="0"/>
    <x v="0"/>
  </r>
  <r>
    <n v="516"/>
    <n v="3"/>
    <x v="2"/>
    <s v="Übung"/>
    <n v="30"/>
    <n v="28"/>
    <n v="-6.6666666666666652E-2"/>
    <x v="0"/>
    <x v="1"/>
  </r>
  <r>
    <n v="516"/>
    <n v="4"/>
    <x v="3"/>
    <s v="Übung"/>
    <n v="30"/>
    <n v="27"/>
    <n v="-9.9999999999999978E-2"/>
    <x v="0"/>
    <x v="3"/>
  </r>
  <r>
    <n v="516"/>
    <n v="5"/>
    <x v="4"/>
    <s v="Übung"/>
    <n v="30"/>
    <n v="42"/>
    <n v="0.39999999999999991"/>
    <x v="1"/>
    <x v="2"/>
  </r>
  <r>
    <n v="516"/>
    <n v="6"/>
    <x v="5"/>
    <s v="Handout"/>
    <n v="5"/>
    <n v="1"/>
    <n v="-0.8"/>
    <x v="2"/>
    <x v="1"/>
  </r>
  <r>
    <n v="516"/>
    <n v="7"/>
    <x v="6"/>
    <s v="Quiz"/>
    <n v="10"/>
    <n v="10"/>
    <n v="0"/>
    <x v="0"/>
    <x v="3"/>
  </r>
  <r>
    <n v="516"/>
    <n v="8"/>
    <x v="7"/>
    <s v="Video"/>
    <n v="5"/>
    <n v="6"/>
    <n v="0.19999999999999996"/>
    <x v="0"/>
    <x v="0"/>
  </r>
  <r>
    <n v="517"/>
    <n v="1"/>
    <x v="0"/>
    <s v="Video"/>
    <n v="4"/>
    <n v="4"/>
    <n v="0"/>
    <x v="0"/>
    <x v="0"/>
  </r>
  <r>
    <n v="517"/>
    <n v="2"/>
    <x v="1"/>
    <s v="Text"/>
    <n v="15"/>
    <n v="17"/>
    <n v="0.1333333333333333"/>
    <x v="0"/>
    <x v="0"/>
  </r>
  <r>
    <n v="517"/>
    <n v="3"/>
    <x v="2"/>
    <s v="Übung"/>
    <n v="30"/>
    <n v="28"/>
    <n v="-6.6666666666666652E-2"/>
    <x v="0"/>
    <x v="1"/>
  </r>
  <r>
    <n v="517"/>
    <n v="4"/>
    <x v="3"/>
    <s v="Übung"/>
    <n v="30"/>
    <n v="25"/>
    <n v="-0.16666666666666663"/>
    <x v="0"/>
    <x v="3"/>
  </r>
  <r>
    <n v="517"/>
    <n v="5"/>
    <x v="4"/>
    <s v="Übung"/>
    <n v="30"/>
    <n v="46"/>
    <n v="0.53333333333333344"/>
    <x v="1"/>
    <x v="3"/>
  </r>
  <r>
    <n v="517"/>
    <n v="6"/>
    <x v="5"/>
    <s v="Handout"/>
    <n v="5"/>
    <n v="1"/>
    <n v="-0.8"/>
    <x v="2"/>
    <x v="1"/>
  </r>
  <r>
    <n v="517"/>
    <n v="7"/>
    <x v="6"/>
    <s v="Quiz"/>
    <n v="10"/>
    <n v="9"/>
    <n v="-9.9999999999999978E-2"/>
    <x v="0"/>
    <x v="3"/>
  </r>
  <r>
    <n v="517"/>
    <n v="8"/>
    <x v="7"/>
    <s v="Video"/>
    <n v="5"/>
    <n v="5"/>
    <n v="0"/>
    <x v="0"/>
    <x v="1"/>
  </r>
  <r>
    <n v="518"/>
    <n v="1"/>
    <x v="0"/>
    <s v="Video"/>
    <n v="4"/>
    <n v="4"/>
    <n v="0"/>
    <x v="0"/>
    <x v="0"/>
  </r>
  <r>
    <n v="518"/>
    <n v="2"/>
    <x v="1"/>
    <s v="Text"/>
    <n v="15"/>
    <n v="19"/>
    <n v="0.26666666666666661"/>
    <x v="0"/>
    <x v="0"/>
  </r>
  <r>
    <n v="518"/>
    <n v="3"/>
    <x v="2"/>
    <s v="Übung"/>
    <n v="30"/>
    <n v="28"/>
    <n v="-6.6666666666666652E-2"/>
    <x v="0"/>
    <x v="3"/>
  </r>
  <r>
    <n v="518"/>
    <n v="4"/>
    <x v="3"/>
    <s v="Übung"/>
    <n v="30"/>
    <n v="25"/>
    <n v="-0.16666666666666663"/>
    <x v="0"/>
    <x v="3"/>
  </r>
  <r>
    <n v="518"/>
    <n v="5"/>
    <x v="4"/>
    <s v="Übung"/>
    <n v="30"/>
    <n v="44"/>
    <n v="0.46666666666666656"/>
    <x v="1"/>
    <x v="2"/>
  </r>
  <r>
    <n v="518"/>
    <n v="6"/>
    <x v="5"/>
    <s v="Handout"/>
    <n v="5"/>
    <n v="3"/>
    <n v="-0.4"/>
    <x v="2"/>
    <x v="1"/>
  </r>
  <r>
    <n v="518"/>
    <n v="7"/>
    <x v="6"/>
    <s v="Quiz"/>
    <n v="10"/>
    <n v="9"/>
    <n v="-9.9999999999999978E-2"/>
    <x v="0"/>
    <x v="3"/>
  </r>
  <r>
    <n v="518"/>
    <n v="8"/>
    <x v="7"/>
    <s v="Video"/>
    <n v="5"/>
    <n v="5"/>
    <n v="0"/>
    <x v="0"/>
    <x v="0"/>
  </r>
  <r>
    <n v="520"/>
    <n v="1"/>
    <x v="0"/>
    <s v="Video"/>
    <n v="4"/>
    <n v="4"/>
    <n v="0"/>
    <x v="0"/>
    <x v="0"/>
  </r>
  <r>
    <n v="520"/>
    <n v="2"/>
    <x v="1"/>
    <s v="Text"/>
    <n v="15"/>
    <n v="18"/>
    <n v="0.19999999999999996"/>
    <x v="0"/>
    <x v="0"/>
  </r>
  <r>
    <n v="520"/>
    <n v="3"/>
    <x v="2"/>
    <s v="Übung"/>
    <n v="30"/>
    <n v="28"/>
    <n v="-6.6666666666666652E-2"/>
    <x v="0"/>
    <x v="3"/>
  </r>
  <r>
    <n v="520"/>
    <n v="4"/>
    <x v="3"/>
    <s v="Übung"/>
    <n v="30"/>
    <n v="26"/>
    <n v="-0.1333333333333333"/>
    <x v="0"/>
    <x v="3"/>
  </r>
  <r>
    <n v="520"/>
    <n v="5"/>
    <x v="4"/>
    <s v="Übung"/>
    <n v="30"/>
    <n v="35"/>
    <n v="0.16666666666666674"/>
    <x v="0"/>
    <x v="2"/>
  </r>
  <r>
    <n v="520"/>
    <n v="6"/>
    <x v="5"/>
    <s v="Handout"/>
    <n v="5"/>
    <n v="2"/>
    <n v="-0.6"/>
    <x v="2"/>
    <x v="1"/>
  </r>
  <r>
    <n v="520"/>
    <n v="7"/>
    <x v="6"/>
    <s v="Quiz"/>
    <n v="10"/>
    <n v="8"/>
    <n v="-0.19999999999999996"/>
    <x v="0"/>
    <x v="3"/>
  </r>
  <r>
    <n v="520"/>
    <n v="8"/>
    <x v="7"/>
    <s v="Video"/>
    <n v="5"/>
    <n v="5"/>
    <n v="0"/>
    <x v="0"/>
    <x v="0"/>
  </r>
  <r>
    <n v="521"/>
    <n v="1"/>
    <x v="0"/>
    <s v="Video"/>
    <n v="4"/>
    <n v="4"/>
    <n v="0"/>
    <x v="0"/>
    <x v="0"/>
  </r>
  <r>
    <n v="521"/>
    <n v="2"/>
    <x v="1"/>
    <s v="Text"/>
    <n v="15"/>
    <n v="19"/>
    <n v="0.26666666666666661"/>
    <x v="0"/>
    <x v="1"/>
  </r>
  <r>
    <n v="521"/>
    <n v="3"/>
    <x v="2"/>
    <s v="Übung"/>
    <n v="30"/>
    <n v="29"/>
    <n v="-3.3333333333333326E-2"/>
    <x v="0"/>
    <x v="1"/>
  </r>
  <r>
    <n v="521"/>
    <n v="4"/>
    <x v="3"/>
    <s v="Übung"/>
    <n v="30"/>
    <n v="24"/>
    <n v="-0.19999999999999996"/>
    <x v="0"/>
    <x v="3"/>
  </r>
  <r>
    <n v="521"/>
    <n v="5"/>
    <x v="4"/>
    <s v="Übung"/>
    <n v="30"/>
    <n v="47"/>
    <n v="0.56666666666666665"/>
    <x v="1"/>
    <x v="2"/>
  </r>
  <r>
    <n v="521"/>
    <n v="6"/>
    <x v="5"/>
    <s v="Handout"/>
    <n v="5"/>
    <n v="1"/>
    <n v="-0.8"/>
    <x v="2"/>
    <x v="1"/>
  </r>
  <r>
    <n v="521"/>
    <n v="7"/>
    <x v="6"/>
    <s v="Quiz"/>
    <n v="10"/>
    <n v="10"/>
    <n v="0"/>
    <x v="0"/>
    <x v="3"/>
  </r>
  <r>
    <n v="521"/>
    <n v="8"/>
    <x v="7"/>
    <s v="Video"/>
    <n v="5"/>
    <n v="5"/>
    <n v="0"/>
    <x v="0"/>
    <x v="1"/>
  </r>
  <r>
    <n v="522"/>
    <n v="1"/>
    <x v="0"/>
    <s v="Video"/>
    <n v="4"/>
    <n v="4"/>
    <n v="0"/>
    <x v="0"/>
    <x v="0"/>
  </r>
  <r>
    <n v="522"/>
    <n v="2"/>
    <x v="1"/>
    <s v="Text"/>
    <n v="15"/>
    <n v="18"/>
    <n v="0.19999999999999996"/>
    <x v="0"/>
    <x v="1"/>
  </r>
  <r>
    <n v="522"/>
    <n v="3"/>
    <x v="2"/>
    <s v="Übung"/>
    <n v="30"/>
    <n v="30"/>
    <n v="0"/>
    <x v="0"/>
    <x v="1"/>
  </r>
  <r>
    <n v="522"/>
    <n v="4"/>
    <x v="3"/>
    <s v="Übung"/>
    <n v="30"/>
    <n v="25"/>
    <n v="-0.16666666666666663"/>
    <x v="0"/>
    <x v="3"/>
  </r>
  <r>
    <n v="522"/>
    <n v="5"/>
    <x v="4"/>
    <s v="Übung"/>
    <n v="30"/>
    <n v="49"/>
    <n v="0.6333333333333333"/>
    <x v="3"/>
    <x v="3"/>
  </r>
  <r>
    <n v="522"/>
    <n v="6"/>
    <x v="5"/>
    <s v="Handout"/>
    <n v="5"/>
    <n v="2"/>
    <n v="-0.6"/>
    <x v="2"/>
    <x v="1"/>
  </r>
  <r>
    <n v="522"/>
    <n v="7"/>
    <x v="6"/>
    <s v="Quiz"/>
    <n v="10"/>
    <n v="9"/>
    <n v="-9.9999999999999978E-2"/>
    <x v="0"/>
    <x v="3"/>
  </r>
  <r>
    <n v="522"/>
    <n v="8"/>
    <x v="7"/>
    <s v="Video"/>
    <n v="5"/>
    <n v="5"/>
    <n v="0"/>
    <x v="0"/>
    <x v="0"/>
  </r>
  <r>
    <n v="523"/>
    <n v="1"/>
    <x v="0"/>
    <s v="Video"/>
    <n v="4"/>
    <n v="4"/>
    <n v="0"/>
    <x v="0"/>
    <x v="0"/>
  </r>
  <r>
    <n v="523"/>
    <n v="2"/>
    <x v="1"/>
    <s v="Text"/>
    <n v="15"/>
    <n v="18"/>
    <n v="0.19999999999999996"/>
    <x v="0"/>
    <x v="1"/>
  </r>
  <r>
    <n v="523"/>
    <n v="3"/>
    <x v="2"/>
    <s v="Übung"/>
    <n v="30"/>
    <n v="29"/>
    <n v="-3.3333333333333326E-2"/>
    <x v="0"/>
    <x v="1"/>
  </r>
  <r>
    <n v="523"/>
    <n v="4"/>
    <x v="3"/>
    <s v="Übung"/>
    <n v="30"/>
    <n v="24"/>
    <n v="-0.19999999999999996"/>
    <x v="0"/>
    <x v="3"/>
  </r>
  <r>
    <n v="523"/>
    <n v="5"/>
    <x v="4"/>
    <s v="Übung"/>
    <n v="30"/>
    <n v="50"/>
    <n v="0.66666666666666674"/>
    <x v="3"/>
    <x v="3"/>
  </r>
  <r>
    <n v="523"/>
    <n v="6"/>
    <x v="5"/>
    <s v="Handout"/>
    <n v="5"/>
    <n v="1"/>
    <n v="-0.8"/>
    <x v="2"/>
    <x v="0"/>
  </r>
  <r>
    <n v="523"/>
    <n v="7"/>
    <x v="6"/>
    <s v="Quiz"/>
    <n v="10"/>
    <n v="8"/>
    <n v="-0.19999999999999996"/>
    <x v="0"/>
    <x v="3"/>
  </r>
  <r>
    <n v="523"/>
    <n v="8"/>
    <x v="7"/>
    <s v="Video"/>
    <n v="5"/>
    <n v="5"/>
    <n v="0"/>
    <x v="0"/>
    <x v="0"/>
  </r>
  <r>
    <n v="524"/>
    <n v="1"/>
    <x v="0"/>
    <s v="Video"/>
    <n v="4"/>
    <n v="4"/>
    <n v="0"/>
    <x v="0"/>
    <x v="0"/>
  </r>
  <r>
    <n v="524"/>
    <n v="2"/>
    <x v="1"/>
    <s v="Text"/>
    <n v="15"/>
    <n v="18"/>
    <n v="0.19999999999999996"/>
    <x v="0"/>
    <x v="1"/>
  </r>
  <r>
    <n v="524"/>
    <n v="3"/>
    <x v="2"/>
    <s v="Übung"/>
    <n v="30"/>
    <n v="30"/>
    <n v="0"/>
    <x v="0"/>
    <x v="3"/>
  </r>
  <r>
    <n v="524"/>
    <n v="4"/>
    <x v="3"/>
    <s v="Übung"/>
    <n v="30"/>
    <n v="21"/>
    <n v="-0.30000000000000004"/>
    <x v="0"/>
    <x v="1"/>
  </r>
  <r>
    <n v="524"/>
    <n v="5"/>
    <x v="4"/>
    <s v="Übung"/>
    <n v="30"/>
    <n v="46"/>
    <n v="0.53333333333333344"/>
    <x v="1"/>
    <x v="3"/>
  </r>
  <r>
    <n v="524"/>
    <n v="6"/>
    <x v="5"/>
    <s v="Handout"/>
    <n v="5"/>
    <n v="1"/>
    <n v="-0.8"/>
    <x v="2"/>
    <x v="1"/>
  </r>
  <r>
    <n v="524"/>
    <n v="7"/>
    <x v="6"/>
    <s v="Quiz"/>
    <n v="10"/>
    <n v="10"/>
    <n v="0"/>
    <x v="0"/>
    <x v="2"/>
  </r>
  <r>
    <n v="524"/>
    <n v="8"/>
    <x v="7"/>
    <s v="Video"/>
    <n v="5"/>
    <n v="5"/>
    <n v="0"/>
    <x v="0"/>
    <x v="0"/>
  </r>
  <r>
    <n v="526"/>
    <n v="1"/>
    <x v="0"/>
    <s v="Video"/>
    <n v="4"/>
    <n v="4"/>
    <n v="0"/>
    <x v="0"/>
    <x v="0"/>
  </r>
  <r>
    <n v="526"/>
    <n v="2"/>
    <x v="1"/>
    <s v="Text"/>
    <n v="15"/>
    <n v="19"/>
    <n v="0.26666666666666661"/>
    <x v="0"/>
    <x v="1"/>
  </r>
  <r>
    <n v="526"/>
    <n v="3"/>
    <x v="2"/>
    <s v="Übung"/>
    <n v="30"/>
    <n v="29"/>
    <n v="-3.3333333333333326E-2"/>
    <x v="0"/>
    <x v="1"/>
  </r>
  <r>
    <n v="526"/>
    <n v="4"/>
    <x v="3"/>
    <s v="Übung"/>
    <n v="30"/>
    <n v="39"/>
    <n v="0.30000000000000004"/>
    <x v="0"/>
    <x v="2"/>
  </r>
  <r>
    <n v="526"/>
    <n v="5"/>
    <x v="4"/>
    <s v="Übung"/>
    <n v="30"/>
    <n v="43"/>
    <n v="0.43333333333333335"/>
    <x v="1"/>
    <x v="2"/>
  </r>
  <r>
    <n v="526"/>
    <n v="6"/>
    <x v="5"/>
    <s v="Handout"/>
    <n v="5"/>
    <n v="3"/>
    <n v="-0.4"/>
    <x v="2"/>
    <x v="1"/>
  </r>
  <r>
    <n v="526"/>
    <n v="7"/>
    <x v="6"/>
    <s v="Quiz"/>
    <n v="10"/>
    <n v="9"/>
    <n v="-9.9999999999999978E-2"/>
    <x v="0"/>
    <x v="3"/>
  </r>
  <r>
    <n v="526"/>
    <n v="8"/>
    <x v="7"/>
    <s v="Video"/>
    <n v="5"/>
    <n v="5"/>
    <n v="0"/>
    <x v="0"/>
    <x v="0"/>
  </r>
  <r>
    <n v="527"/>
    <n v="1"/>
    <x v="0"/>
    <s v="Video"/>
    <n v="4"/>
    <n v="4"/>
    <n v="0"/>
    <x v="0"/>
    <x v="0"/>
  </r>
  <r>
    <n v="527"/>
    <n v="2"/>
    <x v="1"/>
    <s v="Text"/>
    <n v="15"/>
    <n v="20"/>
    <n v="0.33333333333333326"/>
    <x v="1"/>
    <x v="0"/>
  </r>
  <r>
    <n v="527"/>
    <n v="3"/>
    <x v="2"/>
    <s v="Übung"/>
    <n v="30"/>
    <n v="29"/>
    <n v="-3.3333333333333326E-2"/>
    <x v="0"/>
    <x v="1"/>
  </r>
  <r>
    <n v="527"/>
    <n v="4"/>
    <x v="3"/>
    <s v="Übung"/>
    <n v="30"/>
    <n v="31"/>
    <n v="3.3333333333333437E-2"/>
    <x v="0"/>
    <x v="3"/>
  </r>
  <r>
    <n v="527"/>
    <n v="5"/>
    <x v="4"/>
    <s v="Übung"/>
    <n v="30"/>
    <n v="44"/>
    <n v="0.46666666666666656"/>
    <x v="1"/>
    <x v="3"/>
  </r>
  <r>
    <n v="527"/>
    <n v="6"/>
    <x v="5"/>
    <s v="Handout"/>
    <n v="5"/>
    <n v="1"/>
    <n v="-0.8"/>
    <x v="2"/>
    <x v="3"/>
  </r>
  <r>
    <n v="527"/>
    <n v="7"/>
    <x v="6"/>
    <s v="Quiz"/>
    <n v="10"/>
    <n v="9"/>
    <n v="-9.9999999999999978E-2"/>
    <x v="0"/>
    <x v="3"/>
  </r>
  <r>
    <n v="527"/>
    <n v="8"/>
    <x v="7"/>
    <s v="Video"/>
    <n v="5"/>
    <n v="5"/>
    <n v="0"/>
    <x v="0"/>
    <x v="0"/>
  </r>
  <r>
    <n v="528"/>
    <n v="1"/>
    <x v="0"/>
    <s v="Video"/>
    <n v="4"/>
    <n v="4"/>
    <n v="0"/>
    <x v="0"/>
    <x v="1"/>
  </r>
  <r>
    <n v="528"/>
    <n v="2"/>
    <x v="1"/>
    <s v="Text"/>
    <n v="15"/>
    <n v="15"/>
    <n v="0"/>
    <x v="0"/>
    <x v="0"/>
  </r>
  <r>
    <n v="528"/>
    <n v="3"/>
    <x v="2"/>
    <s v="Übung"/>
    <n v="30"/>
    <n v="27"/>
    <n v="-9.9999999999999978E-2"/>
    <x v="0"/>
    <x v="1"/>
  </r>
  <r>
    <n v="528"/>
    <n v="4"/>
    <x v="3"/>
    <s v="Übung"/>
    <n v="30"/>
    <n v="36"/>
    <n v="0.19999999999999996"/>
    <x v="0"/>
    <x v="2"/>
  </r>
  <r>
    <n v="528"/>
    <n v="5"/>
    <x v="4"/>
    <s v="Übung"/>
    <n v="30"/>
    <n v="52"/>
    <n v="0.73333333333333339"/>
    <x v="3"/>
    <x v="2"/>
  </r>
  <r>
    <n v="528"/>
    <n v="6"/>
    <x v="5"/>
    <s v="Handout"/>
    <n v="5"/>
    <n v="2"/>
    <n v="-0.6"/>
    <x v="2"/>
    <x v="1"/>
  </r>
  <r>
    <n v="528"/>
    <n v="7"/>
    <x v="6"/>
    <s v="Quiz"/>
    <n v="10"/>
    <n v="10"/>
    <n v="0"/>
    <x v="0"/>
    <x v="2"/>
  </r>
  <r>
    <n v="528"/>
    <n v="8"/>
    <x v="7"/>
    <s v="Video"/>
    <n v="5"/>
    <n v="5"/>
    <n v="0"/>
    <x v="0"/>
    <x v="0"/>
  </r>
  <r>
    <n v="529"/>
    <n v="1"/>
    <x v="0"/>
    <s v="Video"/>
    <n v="4"/>
    <n v="4"/>
    <n v="0"/>
    <x v="0"/>
    <x v="0"/>
  </r>
  <r>
    <n v="529"/>
    <n v="2"/>
    <x v="1"/>
    <s v="Text"/>
    <n v="15"/>
    <n v="18"/>
    <n v="0.19999999999999996"/>
    <x v="0"/>
    <x v="1"/>
  </r>
  <r>
    <n v="529"/>
    <n v="3"/>
    <x v="2"/>
    <s v="Übung"/>
    <n v="30"/>
    <n v="29"/>
    <n v="-3.3333333333333326E-2"/>
    <x v="0"/>
    <x v="3"/>
  </r>
  <r>
    <n v="529"/>
    <n v="4"/>
    <x v="3"/>
    <s v="Übung"/>
    <n v="30"/>
    <n v="26"/>
    <n v="-0.1333333333333333"/>
    <x v="0"/>
    <x v="1"/>
  </r>
  <r>
    <n v="529"/>
    <n v="5"/>
    <x v="4"/>
    <s v="Übung"/>
    <n v="30"/>
    <n v="37"/>
    <n v="0.23333333333333339"/>
    <x v="0"/>
    <x v="2"/>
  </r>
  <r>
    <n v="529"/>
    <n v="6"/>
    <x v="5"/>
    <s v="Handout"/>
    <n v="5"/>
    <n v="2"/>
    <n v="-0.6"/>
    <x v="2"/>
    <x v="3"/>
  </r>
  <r>
    <n v="529"/>
    <n v="7"/>
    <x v="6"/>
    <s v="Quiz"/>
    <n v="10"/>
    <n v="9"/>
    <n v="-9.9999999999999978E-2"/>
    <x v="0"/>
    <x v="3"/>
  </r>
  <r>
    <n v="529"/>
    <n v="8"/>
    <x v="7"/>
    <s v="Video"/>
    <n v="5"/>
    <n v="5"/>
    <n v="0"/>
    <x v="0"/>
    <x v="0"/>
  </r>
  <r>
    <n v="530"/>
    <n v="1"/>
    <x v="0"/>
    <s v="Video"/>
    <n v="4"/>
    <n v="4"/>
    <n v="0"/>
    <x v="0"/>
    <x v="0"/>
  </r>
  <r>
    <n v="530"/>
    <n v="2"/>
    <x v="1"/>
    <s v="Text"/>
    <n v="15"/>
    <n v="20"/>
    <n v="0.33333333333333326"/>
    <x v="1"/>
    <x v="1"/>
  </r>
  <r>
    <n v="530"/>
    <n v="3"/>
    <x v="2"/>
    <s v="Übung"/>
    <n v="30"/>
    <n v="27"/>
    <n v="-9.9999999999999978E-2"/>
    <x v="0"/>
    <x v="1"/>
  </r>
  <r>
    <n v="530"/>
    <n v="4"/>
    <x v="3"/>
    <s v="Übung"/>
    <n v="30"/>
    <n v="30"/>
    <n v="0"/>
    <x v="0"/>
    <x v="3"/>
  </r>
  <r>
    <n v="530"/>
    <n v="5"/>
    <x v="4"/>
    <s v="Übung"/>
    <n v="30"/>
    <n v="44"/>
    <n v="0.46666666666666656"/>
    <x v="1"/>
    <x v="2"/>
  </r>
  <r>
    <n v="530"/>
    <n v="6"/>
    <x v="5"/>
    <s v="Handout"/>
    <n v="5"/>
    <n v="4"/>
    <n v="-0.19999999999999996"/>
    <x v="0"/>
    <x v="1"/>
  </r>
  <r>
    <n v="530"/>
    <n v="7"/>
    <x v="6"/>
    <s v="Quiz"/>
    <n v="10"/>
    <n v="11"/>
    <n v="0.10000000000000009"/>
    <x v="0"/>
    <x v="3"/>
  </r>
  <r>
    <n v="530"/>
    <n v="8"/>
    <x v="7"/>
    <s v="Video"/>
    <n v="5"/>
    <n v="7"/>
    <n v="0.39999999999999991"/>
    <x v="1"/>
    <x v="0"/>
  </r>
  <r>
    <n v="531"/>
    <n v="1"/>
    <x v="0"/>
    <s v="Video"/>
    <n v="4"/>
    <n v="4"/>
    <n v="0"/>
    <x v="0"/>
    <x v="0"/>
  </r>
  <r>
    <n v="531"/>
    <n v="2"/>
    <x v="1"/>
    <s v="Text"/>
    <n v="15"/>
    <n v="16"/>
    <n v="6.6666666666666652E-2"/>
    <x v="0"/>
    <x v="0"/>
  </r>
  <r>
    <n v="531"/>
    <n v="3"/>
    <x v="2"/>
    <s v="Übung"/>
    <n v="30"/>
    <n v="28"/>
    <n v="-6.6666666666666652E-2"/>
    <x v="0"/>
    <x v="1"/>
  </r>
  <r>
    <n v="531"/>
    <n v="4"/>
    <x v="3"/>
    <s v="Übung"/>
    <n v="30"/>
    <n v="21"/>
    <n v="-0.30000000000000004"/>
    <x v="0"/>
    <x v="3"/>
  </r>
  <r>
    <n v="531"/>
    <n v="5"/>
    <x v="4"/>
    <s v="Übung"/>
    <n v="30"/>
    <n v="50"/>
    <n v="0.66666666666666674"/>
    <x v="3"/>
    <x v="2"/>
  </r>
  <r>
    <n v="531"/>
    <n v="6"/>
    <x v="5"/>
    <s v="Handout"/>
    <n v="5"/>
    <n v="1"/>
    <n v="-0.8"/>
    <x v="2"/>
    <x v="1"/>
  </r>
  <r>
    <n v="531"/>
    <n v="7"/>
    <x v="6"/>
    <s v="Quiz"/>
    <n v="10"/>
    <n v="9"/>
    <n v="-9.9999999999999978E-2"/>
    <x v="0"/>
    <x v="3"/>
  </r>
  <r>
    <n v="531"/>
    <n v="8"/>
    <x v="7"/>
    <s v="Video"/>
    <n v="5"/>
    <n v="8"/>
    <n v="0.60000000000000009"/>
    <x v="1"/>
    <x v="0"/>
  </r>
  <r>
    <n v="532"/>
    <n v="1"/>
    <x v="0"/>
    <s v="Video"/>
    <n v="4"/>
    <n v="4"/>
    <n v="0"/>
    <x v="0"/>
    <x v="0"/>
  </r>
  <r>
    <n v="532"/>
    <n v="2"/>
    <x v="1"/>
    <s v="Text"/>
    <n v="15"/>
    <n v="15"/>
    <n v="0"/>
    <x v="0"/>
    <x v="1"/>
  </r>
  <r>
    <n v="532"/>
    <n v="3"/>
    <x v="2"/>
    <s v="Übung"/>
    <n v="30"/>
    <n v="28"/>
    <n v="-6.6666666666666652E-2"/>
    <x v="0"/>
    <x v="3"/>
  </r>
  <r>
    <n v="532"/>
    <n v="4"/>
    <x v="3"/>
    <s v="Übung"/>
    <n v="30"/>
    <n v="32"/>
    <n v="6.6666666666666652E-2"/>
    <x v="0"/>
    <x v="3"/>
  </r>
  <r>
    <n v="532"/>
    <n v="5"/>
    <x v="4"/>
    <s v="Übung"/>
    <n v="30"/>
    <n v="47"/>
    <n v="0.56666666666666665"/>
    <x v="1"/>
    <x v="2"/>
  </r>
  <r>
    <n v="532"/>
    <n v="6"/>
    <x v="5"/>
    <s v="Handout"/>
    <n v="5"/>
    <n v="1"/>
    <n v="-0.8"/>
    <x v="2"/>
    <x v="3"/>
  </r>
  <r>
    <n v="532"/>
    <n v="7"/>
    <x v="6"/>
    <s v="Quiz"/>
    <n v="10"/>
    <n v="8"/>
    <n v="-0.19999999999999996"/>
    <x v="0"/>
    <x v="3"/>
  </r>
  <r>
    <n v="532"/>
    <n v="8"/>
    <x v="7"/>
    <s v="Video"/>
    <n v="5"/>
    <n v="5"/>
    <n v="0"/>
    <x v="0"/>
    <x v="1"/>
  </r>
  <r>
    <n v="533"/>
    <n v="1"/>
    <x v="0"/>
    <s v="Video"/>
    <n v="4"/>
    <n v="4"/>
    <n v="0"/>
    <x v="0"/>
    <x v="0"/>
  </r>
  <r>
    <n v="533"/>
    <n v="2"/>
    <x v="1"/>
    <s v="Text"/>
    <n v="15"/>
    <n v="16"/>
    <n v="6.6666666666666652E-2"/>
    <x v="0"/>
    <x v="1"/>
  </r>
  <r>
    <n v="533"/>
    <n v="3"/>
    <x v="2"/>
    <s v="Übung"/>
    <n v="30"/>
    <n v="28"/>
    <n v="-6.6666666666666652E-2"/>
    <x v="0"/>
    <x v="3"/>
  </r>
  <r>
    <n v="533"/>
    <n v="4"/>
    <x v="3"/>
    <s v="Übung"/>
    <n v="30"/>
    <n v="29"/>
    <n v="-3.3333333333333326E-2"/>
    <x v="0"/>
    <x v="3"/>
  </r>
  <r>
    <n v="533"/>
    <n v="5"/>
    <x v="4"/>
    <s v="Übung"/>
    <n v="30"/>
    <n v="41"/>
    <n v="0.3666666666666667"/>
    <x v="1"/>
    <x v="2"/>
  </r>
  <r>
    <n v="533"/>
    <n v="6"/>
    <x v="5"/>
    <s v="Handout"/>
    <n v="5"/>
    <n v="1"/>
    <n v="-0.8"/>
    <x v="2"/>
    <x v="1"/>
  </r>
  <r>
    <n v="533"/>
    <n v="7"/>
    <x v="6"/>
    <s v="Quiz"/>
    <n v="10"/>
    <n v="9"/>
    <n v="-9.9999999999999978E-2"/>
    <x v="0"/>
    <x v="2"/>
  </r>
  <r>
    <n v="533"/>
    <n v="8"/>
    <x v="7"/>
    <s v="Video"/>
    <n v="5"/>
    <n v="7"/>
    <n v="0.39999999999999991"/>
    <x v="1"/>
    <x v="0"/>
  </r>
  <r>
    <n v="535"/>
    <n v="1"/>
    <x v="0"/>
    <s v="Video"/>
    <n v="4"/>
    <n v="4"/>
    <n v="0"/>
    <x v="0"/>
    <x v="1"/>
  </r>
  <r>
    <n v="535"/>
    <n v="2"/>
    <x v="1"/>
    <s v="Text"/>
    <n v="15"/>
    <n v="18"/>
    <n v="0.19999999999999996"/>
    <x v="0"/>
    <x v="1"/>
  </r>
  <r>
    <n v="535"/>
    <n v="3"/>
    <x v="2"/>
    <s v="Übung"/>
    <n v="30"/>
    <n v="30"/>
    <n v="0"/>
    <x v="0"/>
    <x v="3"/>
  </r>
  <r>
    <n v="535"/>
    <n v="4"/>
    <x v="3"/>
    <s v="Übung"/>
    <n v="30"/>
    <n v="19"/>
    <n v="-0.3666666666666667"/>
    <x v="2"/>
    <x v="3"/>
  </r>
  <r>
    <n v="535"/>
    <n v="5"/>
    <x v="4"/>
    <s v="Übung"/>
    <n v="30"/>
    <n v="46"/>
    <n v="0.53333333333333344"/>
    <x v="1"/>
    <x v="4"/>
  </r>
  <r>
    <n v="535"/>
    <n v="6"/>
    <x v="5"/>
    <s v="Handout"/>
    <n v="5"/>
    <n v="1"/>
    <n v="-0.8"/>
    <x v="2"/>
    <x v="3"/>
  </r>
  <r>
    <n v="535"/>
    <n v="7"/>
    <x v="6"/>
    <s v="Quiz"/>
    <n v="10"/>
    <n v="10"/>
    <n v="0"/>
    <x v="0"/>
    <x v="3"/>
  </r>
  <r>
    <n v="535"/>
    <n v="8"/>
    <x v="7"/>
    <s v="Video"/>
    <n v="5"/>
    <n v="5"/>
    <n v="0"/>
    <x v="0"/>
    <x v="0"/>
  </r>
  <r>
    <n v="537"/>
    <n v="1"/>
    <x v="0"/>
    <s v="Video"/>
    <n v="4"/>
    <n v="4"/>
    <n v="0"/>
    <x v="0"/>
    <x v="0"/>
  </r>
  <r>
    <n v="537"/>
    <n v="2"/>
    <x v="1"/>
    <s v="Text"/>
    <n v="15"/>
    <n v="16"/>
    <n v="6.6666666666666652E-2"/>
    <x v="0"/>
    <x v="0"/>
  </r>
  <r>
    <n v="537"/>
    <n v="3"/>
    <x v="2"/>
    <s v="Übung"/>
    <n v="30"/>
    <n v="28"/>
    <n v="-6.6666666666666652E-2"/>
    <x v="0"/>
    <x v="1"/>
  </r>
  <r>
    <n v="537"/>
    <n v="4"/>
    <x v="3"/>
    <s v="Übung"/>
    <n v="30"/>
    <n v="28"/>
    <n v="-6.6666666666666652E-2"/>
    <x v="0"/>
    <x v="2"/>
  </r>
  <r>
    <n v="537"/>
    <n v="5"/>
    <x v="4"/>
    <s v="Übung"/>
    <n v="30"/>
    <n v="46"/>
    <n v="0.53333333333333344"/>
    <x v="1"/>
    <x v="3"/>
  </r>
  <r>
    <n v="537"/>
    <n v="6"/>
    <x v="5"/>
    <s v="Handout"/>
    <n v="5"/>
    <n v="2"/>
    <n v="-0.6"/>
    <x v="2"/>
    <x v="1"/>
  </r>
  <r>
    <n v="537"/>
    <n v="7"/>
    <x v="6"/>
    <s v="Quiz"/>
    <n v="10"/>
    <n v="11"/>
    <n v="0.10000000000000009"/>
    <x v="0"/>
    <x v="3"/>
  </r>
  <r>
    <n v="537"/>
    <n v="8"/>
    <x v="7"/>
    <s v="Video"/>
    <n v="5"/>
    <n v="6"/>
    <n v="0.19999999999999996"/>
    <x v="0"/>
    <x v="0"/>
  </r>
  <r>
    <n v="538"/>
    <n v="1"/>
    <x v="0"/>
    <s v="Video"/>
    <n v="4"/>
    <n v="4"/>
    <n v="0"/>
    <x v="0"/>
    <x v="0"/>
  </r>
  <r>
    <n v="538"/>
    <n v="2"/>
    <x v="1"/>
    <s v="Text"/>
    <n v="15"/>
    <n v="17"/>
    <n v="0.1333333333333333"/>
    <x v="0"/>
    <x v="1"/>
  </r>
  <r>
    <n v="538"/>
    <n v="3"/>
    <x v="2"/>
    <s v="Übung"/>
    <n v="30"/>
    <n v="28"/>
    <n v="-6.6666666666666652E-2"/>
    <x v="0"/>
    <x v="3"/>
  </r>
  <r>
    <n v="538"/>
    <n v="4"/>
    <x v="3"/>
    <s v="Übung"/>
    <n v="30"/>
    <n v="22"/>
    <n v="-0.26666666666666672"/>
    <x v="0"/>
    <x v="3"/>
  </r>
  <r>
    <n v="538"/>
    <n v="5"/>
    <x v="4"/>
    <s v="Übung"/>
    <n v="30"/>
    <n v="42"/>
    <n v="0.39999999999999991"/>
    <x v="1"/>
    <x v="2"/>
  </r>
  <r>
    <n v="538"/>
    <n v="6"/>
    <x v="5"/>
    <s v="Handout"/>
    <n v="5"/>
    <n v="1"/>
    <n v="-0.8"/>
    <x v="2"/>
    <x v="1"/>
  </r>
  <r>
    <n v="538"/>
    <n v="7"/>
    <x v="6"/>
    <s v="Quiz"/>
    <n v="10"/>
    <n v="10"/>
    <n v="0"/>
    <x v="0"/>
    <x v="3"/>
  </r>
  <r>
    <n v="538"/>
    <n v="8"/>
    <x v="7"/>
    <s v="Video"/>
    <n v="5"/>
    <n v="5"/>
    <n v="0"/>
    <x v="0"/>
    <x v="0"/>
  </r>
  <r>
    <n v="539"/>
    <n v="1"/>
    <x v="0"/>
    <s v="Video"/>
    <n v="4"/>
    <n v="4"/>
    <n v="0"/>
    <x v="0"/>
    <x v="0"/>
  </r>
  <r>
    <n v="539"/>
    <n v="2"/>
    <x v="1"/>
    <s v="Text"/>
    <n v="15"/>
    <n v="18"/>
    <n v="0.19999999999999996"/>
    <x v="0"/>
    <x v="0"/>
  </r>
  <r>
    <n v="539"/>
    <n v="3"/>
    <x v="2"/>
    <s v="Übung"/>
    <n v="30"/>
    <n v="29"/>
    <n v="-3.3333333333333326E-2"/>
    <x v="0"/>
    <x v="1"/>
  </r>
  <r>
    <n v="539"/>
    <n v="4"/>
    <x v="3"/>
    <s v="Übung"/>
    <n v="30"/>
    <n v="23"/>
    <n v="-0.23333333333333328"/>
    <x v="0"/>
    <x v="3"/>
  </r>
  <r>
    <n v="539"/>
    <n v="5"/>
    <x v="4"/>
    <s v="Übung"/>
    <n v="30"/>
    <n v="44"/>
    <n v="0.46666666666666656"/>
    <x v="1"/>
    <x v="2"/>
  </r>
  <r>
    <n v="539"/>
    <n v="6"/>
    <x v="5"/>
    <s v="Handout"/>
    <n v="5"/>
    <n v="2"/>
    <n v="-0.6"/>
    <x v="2"/>
    <x v="0"/>
  </r>
  <r>
    <n v="539"/>
    <n v="7"/>
    <x v="6"/>
    <s v="Quiz"/>
    <n v="10"/>
    <n v="11"/>
    <n v="0.10000000000000009"/>
    <x v="0"/>
    <x v="2"/>
  </r>
  <r>
    <n v="539"/>
    <n v="8"/>
    <x v="7"/>
    <s v="Video"/>
    <n v="5"/>
    <n v="5"/>
    <n v="0"/>
    <x v="0"/>
    <x v="0"/>
  </r>
  <r>
    <n v="540"/>
    <n v="1"/>
    <x v="0"/>
    <s v="Video"/>
    <n v="4"/>
    <n v="4"/>
    <n v="0"/>
    <x v="0"/>
    <x v="0"/>
  </r>
  <r>
    <n v="540"/>
    <n v="2"/>
    <x v="1"/>
    <s v="Text"/>
    <n v="15"/>
    <n v="17"/>
    <n v="0.1333333333333333"/>
    <x v="0"/>
    <x v="0"/>
  </r>
  <r>
    <n v="540"/>
    <n v="3"/>
    <x v="2"/>
    <s v="Übung"/>
    <n v="30"/>
    <n v="29"/>
    <n v="-3.3333333333333326E-2"/>
    <x v="0"/>
    <x v="1"/>
  </r>
  <r>
    <n v="540"/>
    <n v="4"/>
    <x v="3"/>
    <s v="Übung"/>
    <n v="30"/>
    <n v="16"/>
    <n v="-0.46666666666666667"/>
    <x v="2"/>
    <x v="3"/>
  </r>
  <r>
    <n v="540"/>
    <n v="5"/>
    <x v="4"/>
    <s v="Übung"/>
    <n v="30"/>
    <n v="46"/>
    <n v="0.53333333333333344"/>
    <x v="1"/>
    <x v="3"/>
  </r>
  <r>
    <n v="540"/>
    <n v="6"/>
    <x v="5"/>
    <s v="Handout"/>
    <n v="5"/>
    <n v="1"/>
    <n v="-0.8"/>
    <x v="2"/>
    <x v="1"/>
  </r>
  <r>
    <n v="540"/>
    <n v="7"/>
    <x v="6"/>
    <s v="Quiz"/>
    <n v="10"/>
    <n v="9"/>
    <n v="-9.9999999999999978E-2"/>
    <x v="0"/>
    <x v="3"/>
  </r>
  <r>
    <n v="540"/>
    <n v="8"/>
    <x v="7"/>
    <s v="Video"/>
    <n v="5"/>
    <n v="9"/>
    <n v="0.8"/>
    <x v="3"/>
    <x v="0"/>
  </r>
  <r>
    <n v="541"/>
    <n v="1"/>
    <x v="0"/>
    <s v="Video"/>
    <n v="4"/>
    <n v="4"/>
    <n v="0"/>
    <x v="0"/>
    <x v="0"/>
  </r>
  <r>
    <n v="541"/>
    <n v="2"/>
    <x v="1"/>
    <s v="Text"/>
    <n v="15"/>
    <n v="18"/>
    <n v="0.19999999999999996"/>
    <x v="0"/>
    <x v="0"/>
  </r>
  <r>
    <n v="541"/>
    <n v="3"/>
    <x v="2"/>
    <s v="Übung"/>
    <n v="30"/>
    <n v="29"/>
    <n v="-3.3333333333333326E-2"/>
    <x v="0"/>
    <x v="1"/>
  </r>
  <r>
    <n v="541"/>
    <n v="4"/>
    <x v="3"/>
    <s v="Übung"/>
    <n v="30"/>
    <n v="31"/>
    <n v="3.3333333333333437E-2"/>
    <x v="0"/>
    <x v="2"/>
  </r>
  <r>
    <n v="541"/>
    <n v="5"/>
    <x v="4"/>
    <s v="Übung"/>
    <n v="30"/>
    <n v="48"/>
    <n v="0.60000000000000009"/>
    <x v="1"/>
    <x v="3"/>
  </r>
  <r>
    <n v="541"/>
    <n v="6"/>
    <x v="5"/>
    <s v="Handout"/>
    <n v="5"/>
    <n v="1"/>
    <n v="-0.8"/>
    <x v="2"/>
    <x v="3"/>
  </r>
  <r>
    <n v="541"/>
    <n v="7"/>
    <x v="6"/>
    <s v="Quiz"/>
    <n v="10"/>
    <n v="11"/>
    <n v="0.10000000000000009"/>
    <x v="0"/>
    <x v="3"/>
  </r>
  <r>
    <n v="541"/>
    <n v="8"/>
    <x v="7"/>
    <s v="Video"/>
    <n v="5"/>
    <n v="8"/>
    <n v="0.60000000000000009"/>
    <x v="1"/>
    <x v="0"/>
  </r>
  <r>
    <n v="542"/>
    <n v="1"/>
    <x v="0"/>
    <s v="Video"/>
    <n v="4"/>
    <n v="5"/>
    <n v="0.25"/>
    <x v="0"/>
    <x v="0"/>
  </r>
  <r>
    <n v="542"/>
    <n v="2"/>
    <x v="1"/>
    <s v="Text"/>
    <n v="15"/>
    <n v="19"/>
    <n v="0.26666666666666661"/>
    <x v="0"/>
    <x v="1"/>
  </r>
  <r>
    <n v="542"/>
    <n v="3"/>
    <x v="2"/>
    <s v="Übung"/>
    <n v="30"/>
    <n v="30"/>
    <n v="0"/>
    <x v="0"/>
    <x v="3"/>
  </r>
  <r>
    <n v="542"/>
    <n v="4"/>
    <x v="3"/>
    <s v="Übung"/>
    <n v="30"/>
    <n v="25"/>
    <n v="-0.16666666666666663"/>
    <x v="0"/>
    <x v="3"/>
  </r>
  <r>
    <n v="542"/>
    <n v="5"/>
    <x v="4"/>
    <s v="Übung"/>
    <n v="30"/>
    <n v="49"/>
    <n v="0.6333333333333333"/>
    <x v="3"/>
    <x v="2"/>
  </r>
  <r>
    <n v="542"/>
    <n v="6"/>
    <x v="5"/>
    <s v="Handout"/>
    <n v="5"/>
    <n v="2"/>
    <n v="-0.6"/>
    <x v="2"/>
    <x v="1"/>
  </r>
  <r>
    <n v="542"/>
    <n v="7"/>
    <x v="6"/>
    <s v="Quiz"/>
    <n v="10"/>
    <n v="9"/>
    <n v="-9.9999999999999978E-2"/>
    <x v="0"/>
    <x v="2"/>
  </r>
  <r>
    <n v="542"/>
    <n v="8"/>
    <x v="7"/>
    <s v="Video"/>
    <n v="5"/>
    <n v="6"/>
    <n v="0.19999999999999996"/>
    <x v="0"/>
    <x v="0"/>
  </r>
  <r>
    <n v="543"/>
    <n v="1"/>
    <x v="0"/>
    <s v="Video"/>
    <n v="4"/>
    <n v="4"/>
    <n v="0"/>
    <x v="0"/>
    <x v="0"/>
  </r>
  <r>
    <n v="543"/>
    <n v="2"/>
    <x v="1"/>
    <s v="Text"/>
    <n v="15"/>
    <n v="16"/>
    <n v="6.6666666666666652E-2"/>
    <x v="0"/>
    <x v="0"/>
  </r>
  <r>
    <n v="543"/>
    <n v="3"/>
    <x v="2"/>
    <s v="Übung"/>
    <n v="30"/>
    <n v="27"/>
    <n v="-9.9999999999999978E-2"/>
    <x v="0"/>
    <x v="3"/>
  </r>
  <r>
    <n v="543"/>
    <n v="4"/>
    <x v="3"/>
    <s v="Übung"/>
    <n v="30"/>
    <n v="24"/>
    <n v="-0.19999999999999996"/>
    <x v="0"/>
    <x v="3"/>
  </r>
  <r>
    <n v="543"/>
    <n v="5"/>
    <x v="4"/>
    <s v="Übung"/>
    <n v="30"/>
    <n v="46"/>
    <n v="0.53333333333333344"/>
    <x v="1"/>
    <x v="2"/>
  </r>
  <r>
    <n v="543"/>
    <n v="6"/>
    <x v="5"/>
    <s v="Handout"/>
    <n v="5"/>
    <n v="1"/>
    <n v="-0.8"/>
    <x v="2"/>
    <x v="1"/>
  </r>
  <r>
    <n v="543"/>
    <n v="7"/>
    <x v="6"/>
    <s v="Quiz"/>
    <n v="10"/>
    <n v="10"/>
    <n v="0"/>
    <x v="0"/>
    <x v="3"/>
  </r>
  <r>
    <n v="543"/>
    <n v="8"/>
    <x v="7"/>
    <s v="Video"/>
    <n v="5"/>
    <n v="5"/>
    <n v="0"/>
    <x v="0"/>
    <x v="0"/>
  </r>
  <r>
    <n v="544"/>
    <n v="1"/>
    <x v="0"/>
    <s v="Video"/>
    <n v="4"/>
    <n v="4"/>
    <n v="0"/>
    <x v="0"/>
    <x v="1"/>
  </r>
  <r>
    <n v="544"/>
    <n v="2"/>
    <x v="1"/>
    <s v="Text"/>
    <n v="15"/>
    <n v="20"/>
    <n v="0.33333333333333326"/>
    <x v="1"/>
    <x v="1"/>
  </r>
  <r>
    <n v="544"/>
    <n v="3"/>
    <x v="2"/>
    <s v="Übung"/>
    <n v="30"/>
    <n v="28"/>
    <n v="-6.6666666666666652E-2"/>
    <x v="0"/>
    <x v="1"/>
  </r>
  <r>
    <n v="544"/>
    <n v="4"/>
    <x v="3"/>
    <s v="Übung"/>
    <n v="30"/>
    <n v="32"/>
    <n v="6.6666666666666652E-2"/>
    <x v="0"/>
    <x v="3"/>
  </r>
  <r>
    <n v="544"/>
    <n v="5"/>
    <x v="4"/>
    <s v="Übung"/>
    <n v="30"/>
    <n v="54"/>
    <n v="0.8"/>
    <x v="3"/>
    <x v="3"/>
  </r>
  <r>
    <n v="544"/>
    <n v="6"/>
    <x v="5"/>
    <s v="Handout"/>
    <n v="5"/>
    <n v="1"/>
    <n v="-0.8"/>
    <x v="2"/>
    <x v="0"/>
  </r>
  <r>
    <n v="544"/>
    <n v="7"/>
    <x v="6"/>
    <s v="Quiz"/>
    <n v="10"/>
    <n v="10"/>
    <n v="0"/>
    <x v="0"/>
    <x v="3"/>
  </r>
  <r>
    <n v="544"/>
    <n v="8"/>
    <x v="7"/>
    <s v="Video"/>
    <n v="5"/>
    <n v="8"/>
    <n v="0.60000000000000009"/>
    <x v="1"/>
    <x v="0"/>
  </r>
  <r>
    <n v="547"/>
    <n v="1"/>
    <x v="0"/>
    <s v="Video"/>
    <n v="4"/>
    <n v="6"/>
    <n v="0.5"/>
    <x v="1"/>
    <x v="1"/>
  </r>
  <r>
    <n v="547"/>
    <n v="2"/>
    <x v="1"/>
    <s v="Text"/>
    <n v="15"/>
    <n v="15"/>
    <n v="0"/>
    <x v="0"/>
    <x v="0"/>
  </r>
  <r>
    <n v="547"/>
    <n v="3"/>
    <x v="2"/>
    <s v="Übung"/>
    <n v="30"/>
    <n v="29"/>
    <n v="-3.3333333333333326E-2"/>
    <x v="0"/>
    <x v="3"/>
  </r>
  <r>
    <n v="547"/>
    <n v="4"/>
    <x v="3"/>
    <s v="Übung"/>
    <n v="30"/>
    <n v="25"/>
    <n v="-0.16666666666666663"/>
    <x v="0"/>
    <x v="1"/>
  </r>
  <r>
    <n v="547"/>
    <n v="5"/>
    <x v="4"/>
    <s v="Übung"/>
    <n v="30"/>
    <n v="45"/>
    <n v="0.5"/>
    <x v="1"/>
    <x v="2"/>
  </r>
  <r>
    <n v="547"/>
    <n v="6"/>
    <x v="5"/>
    <s v="Handout"/>
    <n v="5"/>
    <n v="1"/>
    <n v="-0.8"/>
    <x v="2"/>
    <x v="1"/>
  </r>
  <r>
    <n v="547"/>
    <n v="7"/>
    <x v="6"/>
    <s v="Quiz"/>
    <n v="10"/>
    <n v="10"/>
    <n v="0"/>
    <x v="0"/>
    <x v="2"/>
  </r>
  <r>
    <n v="547"/>
    <n v="8"/>
    <x v="7"/>
    <s v="Video"/>
    <n v="5"/>
    <n v="5"/>
    <n v="0"/>
    <x v="0"/>
    <x v="0"/>
  </r>
  <r>
    <n v="548"/>
    <n v="1"/>
    <x v="0"/>
    <s v="Video"/>
    <n v="4"/>
    <n v="4"/>
    <n v="0"/>
    <x v="0"/>
    <x v="0"/>
  </r>
  <r>
    <n v="548"/>
    <n v="2"/>
    <x v="1"/>
    <s v="Text"/>
    <n v="15"/>
    <n v="15"/>
    <n v="0"/>
    <x v="0"/>
    <x v="0"/>
  </r>
  <r>
    <n v="548"/>
    <n v="3"/>
    <x v="2"/>
    <s v="Übung"/>
    <n v="30"/>
    <n v="28"/>
    <n v="-6.6666666666666652E-2"/>
    <x v="0"/>
    <x v="1"/>
  </r>
  <r>
    <n v="548"/>
    <n v="4"/>
    <x v="3"/>
    <s v="Übung"/>
    <n v="30"/>
    <n v="27"/>
    <n v="-9.9999999999999978E-2"/>
    <x v="0"/>
    <x v="1"/>
  </r>
  <r>
    <n v="548"/>
    <n v="5"/>
    <x v="4"/>
    <s v="Übung"/>
    <n v="30"/>
    <n v="40"/>
    <n v="0.33333333333333326"/>
    <x v="1"/>
    <x v="3"/>
  </r>
  <r>
    <n v="548"/>
    <n v="6"/>
    <x v="5"/>
    <s v="Handout"/>
    <n v="5"/>
    <n v="2"/>
    <n v="-0.6"/>
    <x v="2"/>
    <x v="1"/>
  </r>
  <r>
    <n v="548"/>
    <n v="7"/>
    <x v="6"/>
    <s v="Quiz"/>
    <n v="10"/>
    <n v="10"/>
    <n v="0"/>
    <x v="0"/>
    <x v="3"/>
  </r>
  <r>
    <n v="548"/>
    <n v="8"/>
    <x v="7"/>
    <s v="Video"/>
    <n v="5"/>
    <n v="8"/>
    <n v="0.60000000000000009"/>
    <x v="1"/>
    <x v="0"/>
  </r>
  <r>
    <n v="549"/>
    <n v="1"/>
    <x v="0"/>
    <s v="Video"/>
    <n v="4"/>
    <n v="6"/>
    <n v="0.5"/>
    <x v="1"/>
    <x v="0"/>
  </r>
  <r>
    <n v="549"/>
    <n v="2"/>
    <x v="1"/>
    <s v="Text"/>
    <n v="15"/>
    <n v="19"/>
    <n v="0.26666666666666661"/>
    <x v="0"/>
    <x v="0"/>
  </r>
  <r>
    <n v="549"/>
    <n v="3"/>
    <x v="2"/>
    <s v="Übung"/>
    <n v="30"/>
    <n v="29"/>
    <n v="-3.3333333333333326E-2"/>
    <x v="0"/>
    <x v="1"/>
  </r>
  <r>
    <n v="549"/>
    <n v="4"/>
    <x v="3"/>
    <s v="Übung"/>
    <n v="30"/>
    <n v="29"/>
    <n v="-3.3333333333333326E-2"/>
    <x v="0"/>
    <x v="3"/>
  </r>
  <r>
    <n v="549"/>
    <n v="5"/>
    <x v="4"/>
    <s v="Übung"/>
    <n v="30"/>
    <n v="50"/>
    <n v="0.66666666666666674"/>
    <x v="3"/>
    <x v="2"/>
  </r>
  <r>
    <n v="549"/>
    <n v="6"/>
    <x v="5"/>
    <s v="Handout"/>
    <n v="5"/>
    <n v="2"/>
    <n v="-0.6"/>
    <x v="2"/>
    <x v="0"/>
  </r>
  <r>
    <n v="549"/>
    <n v="7"/>
    <x v="6"/>
    <s v="Quiz"/>
    <n v="10"/>
    <n v="8"/>
    <n v="-0.19999999999999996"/>
    <x v="0"/>
    <x v="3"/>
  </r>
  <r>
    <n v="549"/>
    <n v="8"/>
    <x v="7"/>
    <s v="Video"/>
    <n v="5"/>
    <n v="5"/>
    <n v="0"/>
    <x v="0"/>
    <x v="0"/>
  </r>
  <r>
    <n v="552"/>
    <n v="1"/>
    <x v="0"/>
    <s v="Video"/>
    <n v="4"/>
    <n v="4"/>
    <n v="0"/>
    <x v="0"/>
    <x v="0"/>
  </r>
  <r>
    <n v="552"/>
    <n v="2"/>
    <x v="1"/>
    <s v="Text"/>
    <n v="15"/>
    <n v="21"/>
    <n v="0.39999999999999991"/>
    <x v="1"/>
    <x v="0"/>
  </r>
  <r>
    <n v="552"/>
    <n v="3"/>
    <x v="2"/>
    <s v="Übung"/>
    <n v="30"/>
    <n v="28"/>
    <n v="-6.6666666666666652E-2"/>
    <x v="0"/>
    <x v="3"/>
  </r>
  <r>
    <n v="552"/>
    <n v="4"/>
    <x v="3"/>
    <s v="Übung"/>
    <n v="30"/>
    <n v="26"/>
    <n v="-0.1333333333333333"/>
    <x v="0"/>
    <x v="1"/>
  </r>
  <r>
    <n v="552"/>
    <n v="5"/>
    <x v="4"/>
    <s v="Übung"/>
    <n v="30"/>
    <n v="52"/>
    <n v="0.73333333333333339"/>
    <x v="3"/>
    <x v="2"/>
  </r>
  <r>
    <n v="552"/>
    <n v="6"/>
    <x v="5"/>
    <s v="Handout"/>
    <n v="5"/>
    <n v="2"/>
    <n v="-0.6"/>
    <x v="2"/>
    <x v="1"/>
  </r>
  <r>
    <n v="552"/>
    <n v="7"/>
    <x v="6"/>
    <s v="Quiz"/>
    <n v="10"/>
    <n v="10"/>
    <n v="0"/>
    <x v="0"/>
    <x v="3"/>
  </r>
  <r>
    <n v="552"/>
    <n v="8"/>
    <x v="7"/>
    <s v="Video"/>
    <n v="5"/>
    <n v="5"/>
    <n v="0"/>
    <x v="0"/>
    <x v="0"/>
  </r>
  <r>
    <n v="553"/>
    <n v="1"/>
    <x v="0"/>
    <s v="Video"/>
    <n v="4"/>
    <n v="4"/>
    <n v="0"/>
    <x v="0"/>
    <x v="0"/>
  </r>
  <r>
    <n v="553"/>
    <n v="2"/>
    <x v="1"/>
    <s v="Text"/>
    <n v="15"/>
    <n v="19"/>
    <n v="0.26666666666666661"/>
    <x v="0"/>
    <x v="1"/>
  </r>
  <r>
    <n v="553"/>
    <n v="3"/>
    <x v="2"/>
    <s v="Übung"/>
    <n v="30"/>
    <n v="29"/>
    <n v="-3.3333333333333326E-2"/>
    <x v="0"/>
    <x v="3"/>
  </r>
  <r>
    <n v="553"/>
    <n v="4"/>
    <x v="3"/>
    <s v="Übung"/>
    <n v="30"/>
    <n v="23"/>
    <n v="-0.23333333333333328"/>
    <x v="0"/>
    <x v="1"/>
  </r>
  <r>
    <n v="553"/>
    <n v="5"/>
    <x v="4"/>
    <s v="Übung"/>
    <n v="30"/>
    <n v="46"/>
    <n v="0.53333333333333344"/>
    <x v="1"/>
    <x v="3"/>
  </r>
  <r>
    <n v="553"/>
    <n v="6"/>
    <x v="5"/>
    <s v="Handout"/>
    <n v="5"/>
    <n v="1"/>
    <n v="-0.8"/>
    <x v="2"/>
    <x v="1"/>
  </r>
  <r>
    <n v="553"/>
    <n v="7"/>
    <x v="6"/>
    <s v="Quiz"/>
    <n v="10"/>
    <n v="9"/>
    <n v="-9.9999999999999978E-2"/>
    <x v="0"/>
    <x v="2"/>
  </r>
  <r>
    <n v="553"/>
    <n v="8"/>
    <x v="7"/>
    <s v="Video"/>
    <n v="5"/>
    <n v="8"/>
    <n v="0.60000000000000009"/>
    <x v="1"/>
    <x v="0"/>
  </r>
  <r>
    <n v="554"/>
    <n v="1"/>
    <x v="0"/>
    <s v="Video"/>
    <n v="4"/>
    <n v="5"/>
    <n v="0.25"/>
    <x v="0"/>
    <x v="0"/>
  </r>
  <r>
    <n v="554"/>
    <n v="2"/>
    <x v="1"/>
    <s v="Text"/>
    <n v="15"/>
    <n v="19"/>
    <n v="0.26666666666666661"/>
    <x v="0"/>
    <x v="1"/>
  </r>
  <r>
    <n v="554"/>
    <n v="3"/>
    <x v="2"/>
    <s v="Übung"/>
    <n v="30"/>
    <n v="29"/>
    <n v="-3.3333333333333326E-2"/>
    <x v="0"/>
    <x v="3"/>
  </r>
  <r>
    <n v="554"/>
    <n v="4"/>
    <x v="3"/>
    <s v="Übung"/>
    <n v="30"/>
    <n v="25"/>
    <n v="-0.16666666666666663"/>
    <x v="0"/>
    <x v="3"/>
  </r>
  <r>
    <n v="554"/>
    <n v="5"/>
    <x v="4"/>
    <s v="Übung"/>
    <n v="30"/>
    <n v="45"/>
    <n v="0.5"/>
    <x v="1"/>
    <x v="3"/>
  </r>
  <r>
    <n v="554"/>
    <n v="6"/>
    <x v="5"/>
    <s v="Handout"/>
    <n v="5"/>
    <n v="2"/>
    <n v="-0.6"/>
    <x v="2"/>
    <x v="3"/>
  </r>
  <r>
    <n v="554"/>
    <n v="7"/>
    <x v="6"/>
    <s v="Quiz"/>
    <n v="10"/>
    <n v="10"/>
    <n v="0"/>
    <x v="0"/>
    <x v="3"/>
  </r>
  <r>
    <n v="554"/>
    <n v="8"/>
    <x v="7"/>
    <s v="Video"/>
    <n v="5"/>
    <n v="5"/>
    <n v="0"/>
    <x v="0"/>
    <x v="0"/>
  </r>
  <r>
    <n v="555"/>
    <n v="1"/>
    <x v="0"/>
    <s v="Video"/>
    <n v="4"/>
    <n v="4"/>
    <n v="0"/>
    <x v="0"/>
    <x v="0"/>
  </r>
  <r>
    <n v="555"/>
    <n v="2"/>
    <x v="1"/>
    <s v="Text"/>
    <n v="15"/>
    <n v="21"/>
    <n v="0.39999999999999991"/>
    <x v="1"/>
    <x v="0"/>
  </r>
  <r>
    <n v="555"/>
    <n v="3"/>
    <x v="2"/>
    <s v="Übung"/>
    <n v="30"/>
    <n v="25"/>
    <n v="-0.16666666666666663"/>
    <x v="0"/>
    <x v="1"/>
  </r>
  <r>
    <n v="555"/>
    <n v="4"/>
    <x v="3"/>
    <s v="Übung"/>
    <n v="30"/>
    <n v="22"/>
    <n v="-0.26666666666666672"/>
    <x v="0"/>
    <x v="3"/>
  </r>
  <r>
    <n v="555"/>
    <n v="5"/>
    <x v="4"/>
    <s v="Übung"/>
    <n v="30"/>
    <n v="50"/>
    <n v="0.66666666666666674"/>
    <x v="3"/>
    <x v="3"/>
  </r>
  <r>
    <n v="555"/>
    <n v="6"/>
    <x v="5"/>
    <s v="Handout"/>
    <n v="5"/>
    <n v="2"/>
    <n v="-0.6"/>
    <x v="2"/>
    <x v="1"/>
  </r>
  <r>
    <n v="555"/>
    <n v="7"/>
    <x v="6"/>
    <s v="Quiz"/>
    <n v="10"/>
    <n v="9"/>
    <n v="-9.9999999999999978E-2"/>
    <x v="0"/>
    <x v="2"/>
  </r>
  <r>
    <n v="555"/>
    <n v="8"/>
    <x v="7"/>
    <s v="Video"/>
    <n v="5"/>
    <n v="5"/>
    <n v="0"/>
    <x v="0"/>
    <x v="0"/>
  </r>
  <r>
    <n v="556"/>
    <n v="1"/>
    <x v="0"/>
    <s v="Video"/>
    <n v="4"/>
    <n v="4"/>
    <n v="0"/>
    <x v="0"/>
    <x v="0"/>
  </r>
  <r>
    <n v="556"/>
    <n v="2"/>
    <x v="1"/>
    <s v="Text"/>
    <n v="15"/>
    <n v="15"/>
    <n v="0"/>
    <x v="0"/>
    <x v="1"/>
  </r>
  <r>
    <n v="556"/>
    <n v="3"/>
    <x v="2"/>
    <s v="Übung"/>
    <n v="30"/>
    <n v="28"/>
    <n v="-6.6666666666666652E-2"/>
    <x v="0"/>
    <x v="3"/>
  </r>
  <r>
    <n v="556"/>
    <n v="4"/>
    <x v="3"/>
    <s v="Übung"/>
    <n v="30"/>
    <n v="19"/>
    <n v="-0.3666666666666667"/>
    <x v="2"/>
    <x v="3"/>
  </r>
  <r>
    <n v="556"/>
    <n v="5"/>
    <x v="4"/>
    <s v="Übung"/>
    <n v="30"/>
    <n v="45"/>
    <n v="0.5"/>
    <x v="1"/>
    <x v="2"/>
  </r>
  <r>
    <n v="556"/>
    <n v="6"/>
    <x v="5"/>
    <s v="Handout"/>
    <n v="5"/>
    <n v="1"/>
    <n v="-0.8"/>
    <x v="2"/>
    <x v="1"/>
  </r>
  <r>
    <n v="556"/>
    <n v="7"/>
    <x v="6"/>
    <s v="Quiz"/>
    <n v="10"/>
    <n v="9"/>
    <n v="-9.9999999999999978E-2"/>
    <x v="0"/>
    <x v="3"/>
  </r>
  <r>
    <n v="556"/>
    <n v="8"/>
    <x v="7"/>
    <s v="Video"/>
    <n v="5"/>
    <n v="5"/>
    <n v="0"/>
    <x v="0"/>
    <x v="0"/>
  </r>
  <r>
    <n v="557"/>
    <n v="1"/>
    <x v="0"/>
    <s v="Video"/>
    <n v="4"/>
    <n v="4"/>
    <n v="0"/>
    <x v="0"/>
    <x v="0"/>
  </r>
  <r>
    <n v="557"/>
    <n v="2"/>
    <x v="1"/>
    <s v="Text"/>
    <n v="15"/>
    <n v="17"/>
    <n v="0.1333333333333333"/>
    <x v="0"/>
    <x v="0"/>
  </r>
  <r>
    <n v="557"/>
    <n v="3"/>
    <x v="2"/>
    <s v="Übung"/>
    <n v="30"/>
    <n v="31"/>
    <n v="3.3333333333333437E-2"/>
    <x v="0"/>
    <x v="1"/>
  </r>
  <r>
    <n v="557"/>
    <n v="4"/>
    <x v="3"/>
    <s v="Übung"/>
    <n v="30"/>
    <n v="32"/>
    <n v="6.6666666666666652E-2"/>
    <x v="0"/>
    <x v="3"/>
  </r>
  <r>
    <n v="557"/>
    <n v="5"/>
    <x v="4"/>
    <s v="Übung"/>
    <n v="30"/>
    <n v="53"/>
    <n v="0.76666666666666661"/>
    <x v="3"/>
    <x v="2"/>
  </r>
  <r>
    <n v="557"/>
    <n v="6"/>
    <x v="5"/>
    <s v="Handout"/>
    <n v="5"/>
    <n v="1"/>
    <n v="-0.8"/>
    <x v="2"/>
    <x v="0"/>
  </r>
  <r>
    <n v="557"/>
    <n v="7"/>
    <x v="6"/>
    <s v="Quiz"/>
    <n v="10"/>
    <n v="8"/>
    <n v="-0.19999999999999996"/>
    <x v="0"/>
    <x v="2"/>
  </r>
  <r>
    <n v="557"/>
    <n v="8"/>
    <x v="7"/>
    <s v="Video"/>
    <n v="5"/>
    <n v="5"/>
    <n v="0"/>
    <x v="0"/>
    <x v="0"/>
  </r>
  <r>
    <n v="558"/>
    <n v="1"/>
    <x v="0"/>
    <s v="Video"/>
    <n v="4"/>
    <n v="4"/>
    <n v="0"/>
    <x v="0"/>
    <x v="1"/>
  </r>
  <r>
    <n v="558"/>
    <n v="2"/>
    <x v="1"/>
    <s v="Text"/>
    <n v="15"/>
    <n v="17"/>
    <n v="0.1333333333333333"/>
    <x v="0"/>
    <x v="0"/>
  </r>
  <r>
    <n v="558"/>
    <n v="3"/>
    <x v="2"/>
    <s v="Übung"/>
    <n v="30"/>
    <n v="27"/>
    <n v="-9.9999999999999978E-2"/>
    <x v="0"/>
    <x v="3"/>
  </r>
  <r>
    <n v="558"/>
    <n v="4"/>
    <x v="3"/>
    <s v="Übung"/>
    <n v="30"/>
    <n v="18"/>
    <n v="-0.4"/>
    <x v="2"/>
    <x v="3"/>
  </r>
  <r>
    <n v="558"/>
    <n v="5"/>
    <x v="4"/>
    <s v="Übung"/>
    <n v="30"/>
    <n v="38"/>
    <n v="0.26666666666666661"/>
    <x v="0"/>
    <x v="2"/>
  </r>
  <r>
    <n v="558"/>
    <n v="6"/>
    <x v="5"/>
    <s v="Handout"/>
    <n v="5"/>
    <n v="4"/>
    <n v="-0.19999999999999996"/>
    <x v="0"/>
    <x v="1"/>
  </r>
  <r>
    <n v="558"/>
    <n v="7"/>
    <x v="6"/>
    <s v="Quiz"/>
    <n v="10"/>
    <n v="8"/>
    <n v="-0.19999999999999996"/>
    <x v="0"/>
    <x v="2"/>
  </r>
  <r>
    <n v="558"/>
    <n v="8"/>
    <x v="7"/>
    <s v="Video"/>
    <n v="5"/>
    <n v="5"/>
    <n v="0"/>
    <x v="0"/>
    <x v="0"/>
  </r>
  <r>
    <n v="559"/>
    <n v="1"/>
    <x v="0"/>
    <s v="Video"/>
    <n v="4"/>
    <n v="4"/>
    <n v="0"/>
    <x v="0"/>
    <x v="0"/>
  </r>
  <r>
    <n v="559"/>
    <n v="2"/>
    <x v="1"/>
    <s v="Text"/>
    <n v="15"/>
    <n v="19"/>
    <n v="0.26666666666666661"/>
    <x v="0"/>
    <x v="3"/>
  </r>
  <r>
    <n v="559"/>
    <n v="3"/>
    <x v="2"/>
    <s v="Übung"/>
    <n v="30"/>
    <n v="28"/>
    <n v="-6.6666666666666652E-2"/>
    <x v="0"/>
    <x v="3"/>
  </r>
  <r>
    <n v="559"/>
    <n v="4"/>
    <x v="3"/>
    <s v="Übung"/>
    <n v="30"/>
    <n v="30"/>
    <n v="0"/>
    <x v="0"/>
    <x v="3"/>
  </r>
  <r>
    <n v="559"/>
    <n v="5"/>
    <x v="4"/>
    <s v="Übung"/>
    <n v="30"/>
    <n v="48"/>
    <n v="0.60000000000000009"/>
    <x v="1"/>
    <x v="2"/>
  </r>
  <r>
    <n v="559"/>
    <n v="6"/>
    <x v="5"/>
    <s v="Handout"/>
    <n v="5"/>
    <n v="3"/>
    <n v="-0.4"/>
    <x v="2"/>
    <x v="1"/>
  </r>
  <r>
    <n v="559"/>
    <n v="7"/>
    <x v="6"/>
    <s v="Quiz"/>
    <n v="10"/>
    <n v="10"/>
    <n v="0"/>
    <x v="0"/>
    <x v="2"/>
  </r>
  <r>
    <n v="559"/>
    <n v="8"/>
    <x v="7"/>
    <s v="Video"/>
    <n v="5"/>
    <n v="8"/>
    <n v="0.60000000000000009"/>
    <x v="1"/>
    <x v="0"/>
  </r>
  <r>
    <n v="561"/>
    <n v="1"/>
    <x v="0"/>
    <s v="Video"/>
    <n v="4"/>
    <n v="4"/>
    <n v="0"/>
    <x v="0"/>
    <x v="0"/>
  </r>
  <r>
    <n v="561"/>
    <n v="2"/>
    <x v="1"/>
    <s v="Text"/>
    <n v="15"/>
    <n v="20"/>
    <n v="0.33333333333333326"/>
    <x v="1"/>
    <x v="0"/>
  </r>
  <r>
    <n v="561"/>
    <n v="3"/>
    <x v="2"/>
    <s v="Übung"/>
    <n v="30"/>
    <n v="27"/>
    <n v="-9.9999999999999978E-2"/>
    <x v="0"/>
    <x v="1"/>
  </r>
  <r>
    <n v="561"/>
    <n v="4"/>
    <x v="3"/>
    <s v="Übung"/>
    <n v="30"/>
    <n v="35"/>
    <n v="0.16666666666666674"/>
    <x v="0"/>
    <x v="3"/>
  </r>
  <r>
    <n v="561"/>
    <n v="5"/>
    <x v="4"/>
    <s v="Übung"/>
    <n v="30"/>
    <n v="55"/>
    <n v="0.83333333333333326"/>
    <x v="3"/>
    <x v="2"/>
  </r>
  <r>
    <n v="561"/>
    <n v="6"/>
    <x v="5"/>
    <s v="Handout"/>
    <n v="5"/>
    <n v="1"/>
    <n v="-0.8"/>
    <x v="2"/>
    <x v="1"/>
  </r>
  <r>
    <n v="561"/>
    <n v="7"/>
    <x v="6"/>
    <s v="Quiz"/>
    <n v="10"/>
    <n v="8"/>
    <n v="-0.19999999999999996"/>
    <x v="0"/>
    <x v="3"/>
  </r>
  <r>
    <n v="561"/>
    <n v="8"/>
    <x v="7"/>
    <s v="Video"/>
    <n v="5"/>
    <n v="7"/>
    <n v="0.39999999999999991"/>
    <x v="1"/>
    <x v="0"/>
  </r>
  <r>
    <n v="562"/>
    <n v="1"/>
    <x v="0"/>
    <s v="Video"/>
    <n v="4"/>
    <n v="4"/>
    <n v="0"/>
    <x v="0"/>
    <x v="0"/>
  </r>
  <r>
    <n v="562"/>
    <n v="2"/>
    <x v="1"/>
    <s v="Text"/>
    <n v="15"/>
    <n v="19"/>
    <n v="0.26666666666666661"/>
    <x v="0"/>
    <x v="0"/>
  </r>
  <r>
    <n v="562"/>
    <n v="3"/>
    <x v="2"/>
    <s v="Übung"/>
    <n v="30"/>
    <n v="29"/>
    <n v="-3.3333333333333326E-2"/>
    <x v="0"/>
    <x v="1"/>
  </r>
  <r>
    <n v="562"/>
    <n v="4"/>
    <x v="3"/>
    <s v="Übung"/>
    <n v="30"/>
    <n v="23"/>
    <n v="-0.23333333333333328"/>
    <x v="0"/>
    <x v="3"/>
  </r>
  <r>
    <n v="562"/>
    <n v="5"/>
    <x v="4"/>
    <s v="Übung"/>
    <n v="30"/>
    <n v="50"/>
    <n v="0.66666666666666674"/>
    <x v="3"/>
    <x v="3"/>
  </r>
  <r>
    <n v="562"/>
    <n v="6"/>
    <x v="5"/>
    <s v="Handout"/>
    <n v="5"/>
    <n v="1"/>
    <n v="-0.8"/>
    <x v="2"/>
    <x v="1"/>
  </r>
  <r>
    <n v="562"/>
    <n v="7"/>
    <x v="6"/>
    <s v="Quiz"/>
    <n v="10"/>
    <n v="11"/>
    <n v="0.10000000000000009"/>
    <x v="0"/>
    <x v="3"/>
  </r>
  <r>
    <n v="562"/>
    <n v="8"/>
    <x v="7"/>
    <s v="Video"/>
    <n v="5"/>
    <n v="5"/>
    <n v="0"/>
    <x v="0"/>
    <x v="0"/>
  </r>
  <r>
    <n v="563"/>
    <n v="1"/>
    <x v="0"/>
    <s v="Video"/>
    <n v="4"/>
    <n v="4"/>
    <n v="0"/>
    <x v="0"/>
    <x v="0"/>
  </r>
  <r>
    <n v="563"/>
    <n v="2"/>
    <x v="1"/>
    <s v="Text"/>
    <n v="15"/>
    <n v="15"/>
    <n v="0"/>
    <x v="0"/>
    <x v="0"/>
  </r>
  <r>
    <n v="563"/>
    <n v="3"/>
    <x v="2"/>
    <s v="Übung"/>
    <n v="30"/>
    <n v="31"/>
    <n v="3.3333333333333437E-2"/>
    <x v="0"/>
    <x v="3"/>
  </r>
  <r>
    <n v="563"/>
    <n v="4"/>
    <x v="3"/>
    <s v="Übung"/>
    <n v="30"/>
    <n v="20"/>
    <n v="-0.33333333333333337"/>
    <x v="2"/>
    <x v="3"/>
  </r>
  <r>
    <n v="563"/>
    <n v="5"/>
    <x v="4"/>
    <s v="Übung"/>
    <n v="30"/>
    <n v="52"/>
    <n v="0.73333333333333339"/>
    <x v="3"/>
    <x v="2"/>
  </r>
  <r>
    <n v="563"/>
    <n v="6"/>
    <x v="5"/>
    <s v="Handout"/>
    <n v="5"/>
    <n v="2"/>
    <n v="-0.6"/>
    <x v="2"/>
    <x v="1"/>
  </r>
  <r>
    <n v="563"/>
    <n v="7"/>
    <x v="6"/>
    <s v="Quiz"/>
    <n v="10"/>
    <n v="10"/>
    <n v="0"/>
    <x v="0"/>
    <x v="2"/>
  </r>
  <r>
    <n v="563"/>
    <n v="8"/>
    <x v="7"/>
    <s v="Video"/>
    <n v="5"/>
    <n v="5"/>
    <n v="0"/>
    <x v="0"/>
    <x v="0"/>
  </r>
  <r>
    <n v="565"/>
    <n v="1"/>
    <x v="0"/>
    <s v="Video"/>
    <n v="4"/>
    <n v="4"/>
    <n v="0"/>
    <x v="0"/>
    <x v="0"/>
  </r>
  <r>
    <n v="565"/>
    <n v="2"/>
    <x v="1"/>
    <s v="Text"/>
    <n v="15"/>
    <n v="18"/>
    <n v="0.19999999999999996"/>
    <x v="0"/>
    <x v="0"/>
  </r>
  <r>
    <n v="565"/>
    <n v="3"/>
    <x v="2"/>
    <s v="Übung"/>
    <n v="30"/>
    <n v="30"/>
    <n v="0"/>
    <x v="0"/>
    <x v="1"/>
  </r>
  <r>
    <n v="565"/>
    <n v="4"/>
    <x v="3"/>
    <s v="Übung"/>
    <n v="30"/>
    <n v="22"/>
    <n v="-0.26666666666666672"/>
    <x v="0"/>
    <x v="1"/>
  </r>
  <r>
    <n v="565"/>
    <n v="5"/>
    <x v="4"/>
    <s v="Übung"/>
    <n v="30"/>
    <n v="55"/>
    <n v="0.83333333333333326"/>
    <x v="3"/>
    <x v="2"/>
  </r>
  <r>
    <n v="565"/>
    <n v="6"/>
    <x v="5"/>
    <s v="Handout"/>
    <n v="5"/>
    <n v="1"/>
    <n v="-0.8"/>
    <x v="2"/>
    <x v="1"/>
  </r>
  <r>
    <n v="565"/>
    <n v="7"/>
    <x v="6"/>
    <s v="Quiz"/>
    <n v="10"/>
    <n v="9"/>
    <n v="-9.9999999999999978E-2"/>
    <x v="0"/>
    <x v="2"/>
  </r>
  <r>
    <n v="565"/>
    <n v="8"/>
    <x v="7"/>
    <s v="Video"/>
    <n v="5"/>
    <n v="5"/>
    <n v="0"/>
    <x v="0"/>
    <x v="1"/>
  </r>
  <r>
    <n v="566"/>
    <n v="1"/>
    <x v="0"/>
    <s v="Video"/>
    <n v="4"/>
    <n v="6"/>
    <n v="0.5"/>
    <x v="1"/>
    <x v="0"/>
  </r>
  <r>
    <n v="566"/>
    <n v="2"/>
    <x v="1"/>
    <s v="Text"/>
    <n v="15"/>
    <n v="15"/>
    <n v="0"/>
    <x v="0"/>
    <x v="0"/>
  </r>
  <r>
    <n v="566"/>
    <n v="3"/>
    <x v="2"/>
    <s v="Übung"/>
    <n v="30"/>
    <n v="30"/>
    <n v="0"/>
    <x v="0"/>
    <x v="1"/>
  </r>
  <r>
    <n v="566"/>
    <n v="4"/>
    <x v="3"/>
    <s v="Übung"/>
    <n v="30"/>
    <n v="25"/>
    <n v="-0.16666666666666663"/>
    <x v="0"/>
    <x v="3"/>
  </r>
  <r>
    <n v="566"/>
    <n v="5"/>
    <x v="4"/>
    <s v="Übung"/>
    <n v="30"/>
    <n v="43"/>
    <n v="0.43333333333333335"/>
    <x v="1"/>
    <x v="2"/>
  </r>
  <r>
    <n v="566"/>
    <n v="6"/>
    <x v="5"/>
    <s v="Handout"/>
    <n v="5"/>
    <n v="1"/>
    <n v="-0.8"/>
    <x v="2"/>
    <x v="0"/>
  </r>
  <r>
    <n v="566"/>
    <n v="7"/>
    <x v="6"/>
    <s v="Quiz"/>
    <n v="10"/>
    <n v="9"/>
    <n v="-9.9999999999999978E-2"/>
    <x v="0"/>
    <x v="3"/>
  </r>
  <r>
    <n v="566"/>
    <n v="8"/>
    <x v="7"/>
    <s v="Video"/>
    <n v="5"/>
    <n v="5"/>
    <n v="0"/>
    <x v="0"/>
    <x v="0"/>
  </r>
  <r>
    <n v="567"/>
    <n v="1"/>
    <x v="0"/>
    <s v="Video"/>
    <n v="4"/>
    <n v="4"/>
    <n v="0"/>
    <x v="0"/>
    <x v="0"/>
  </r>
  <r>
    <n v="567"/>
    <n v="2"/>
    <x v="1"/>
    <s v="Text"/>
    <n v="15"/>
    <n v="16"/>
    <n v="6.6666666666666652E-2"/>
    <x v="0"/>
    <x v="1"/>
  </r>
  <r>
    <n v="567"/>
    <n v="3"/>
    <x v="2"/>
    <s v="Übung"/>
    <n v="30"/>
    <n v="28"/>
    <n v="-6.6666666666666652E-2"/>
    <x v="0"/>
    <x v="3"/>
  </r>
  <r>
    <n v="567"/>
    <n v="4"/>
    <x v="3"/>
    <s v="Übung"/>
    <n v="30"/>
    <n v="24"/>
    <n v="-0.19999999999999996"/>
    <x v="0"/>
    <x v="1"/>
  </r>
  <r>
    <n v="567"/>
    <n v="5"/>
    <x v="4"/>
    <s v="Übung"/>
    <n v="30"/>
    <n v="47"/>
    <n v="0.56666666666666665"/>
    <x v="1"/>
    <x v="2"/>
  </r>
  <r>
    <n v="567"/>
    <n v="6"/>
    <x v="5"/>
    <s v="Handout"/>
    <n v="5"/>
    <n v="1"/>
    <n v="-0.8"/>
    <x v="2"/>
    <x v="1"/>
  </r>
  <r>
    <n v="567"/>
    <n v="7"/>
    <x v="6"/>
    <s v="Quiz"/>
    <n v="10"/>
    <n v="9"/>
    <n v="-9.9999999999999978E-2"/>
    <x v="0"/>
    <x v="3"/>
  </r>
  <r>
    <n v="567"/>
    <n v="8"/>
    <x v="7"/>
    <s v="Video"/>
    <n v="5"/>
    <n v="5"/>
    <n v="0"/>
    <x v="0"/>
    <x v="0"/>
  </r>
  <r>
    <n v="568"/>
    <n v="1"/>
    <x v="0"/>
    <s v="Video"/>
    <n v="4"/>
    <n v="4"/>
    <n v="0"/>
    <x v="0"/>
    <x v="0"/>
  </r>
  <r>
    <n v="568"/>
    <n v="2"/>
    <x v="1"/>
    <s v="Text"/>
    <n v="15"/>
    <n v="20"/>
    <n v="0.33333333333333326"/>
    <x v="1"/>
    <x v="0"/>
  </r>
  <r>
    <n v="568"/>
    <n v="3"/>
    <x v="2"/>
    <s v="Übung"/>
    <n v="30"/>
    <n v="28"/>
    <n v="-6.6666666666666652E-2"/>
    <x v="0"/>
    <x v="3"/>
  </r>
  <r>
    <n v="568"/>
    <n v="4"/>
    <x v="3"/>
    <s v="Übung"/>
    <n v="30"/>
    <n v="32"/>
    <n v="6.6666666666666652E-2"/>
    <x v="0"/>
    <x v="1"/>
  </r>
  <r>
    <n v="568"/>
    <n v="5"/>
    <x v="4"/>
    <s v="Übung"/>
    <n v="30"/>
    <n v="46"/>
    <n v="0.53333333333333344"/>
    <x v="1"/>
    <x v="2"/>
  </r>
  <r>
    <n v="568"/>
    <n v="6"/>
    <x v="5"/>
    <s v="Handout"/>
    <n v="5"/>
    <n v="1"/>
    <n v="-0.8"/>
    <x v="2"/>
    <x v="3"/>
  </r>
  <r>
    <n v="568"/>
    <n v="7"/>
    <x v="6"/>
    <s v="Quiz"/>
    <n v="10"/>
    <n v="10"/>
    <n v="0"/>
    <x v="0"/>
    <x v="3"/>
  </r>
  <r>
    <n v="568"/>
    <n v="8"/>
    <x v="7"/>
    <s v="Video"/>
    <n v="5"/>
    <n v="8"/>
    <n v="0.60000000000000009"/>
    <x v="1"/>
    <x v="0"/>
  </r>
  <r>
    <n v="569"/>
    <n v="1"/>
    <x v="0"/>
    <s v="Video"/>
    <n v="4"/>
    <n v="6"/>
    <n v="0.5"/>
    <x v="1"/>
    <x v="0"/>
  </r>
  <r>
    <n v="569"/>
    <n v="2"/>
    <x v="1"/>
    <s v="Text"/>
    <n v="15"/>
    <n v="18"/>
    <n v="0.19999999999999996"/>
    <x v="0"/>
    <x v="1"/>
  </r>
  <r>
    <n v="569"/>
    <n v="3"/>
    <x v="2"/>
    <s v="Übung"/>
    <n v="30"/>
    <n v="29"/>
    <n v="-3.3333333333333326E-2"/>
    <x v="0"/>
    <x v="1"/>
  </r>
  <r>
    <n v="569"/>
    <n v="4"/>
    <x v="3"/>
    <s v="Übung"/>
    <n v="30"/>
    <n v="25"/>
    <n v="-0.16666666666666663"/>
    <x v="0"/>
    <x v="3"/>
  </r>
  <r>
    <n v="569"/>
    <n v="5"/>
    <x v="4"/>
    <s v="Übung"/>
    <n v="30"/>
    <n v="49"/>
    <n v="0.6333333333333333"/>
    <x v="3"/>
    <x v="2"/>
  </r>
  <r>
    <n v="569"/>
    <n v="6"/>
    <x v="5"/>
    <s v="Handout"/>
    <n v="5"/>
    <n v="1"/>
    <n v="-0.8"/>
    <x v="2"/>
    <x v="1"/>
  </r>
  <r>
    <n v="569"/>
    <n v="7"/>
    <x v="6"/>
    <s v="Quiz"/>
    <n v="10"/>
    <n v="10"/>
    <n v="0"/>
    <x v="0"/>
    <x v="2"/>
  </r>
  <r>
    <n v="569"/>
    <n v="8"/>
    <x v="7"/>
    <s v="Video"/>
    <n v="5"/>
    <n v="8"/>
    <n v="0.60000000000000009"/>
    <x v="1"/>
    <x v="0"/>
  </r>
  <r>
    <n v="571"/>
    <n v="1"/>
    <x v="0"/>
    <s v="Video"/>
    <n v="4"/>
    <n v="4"/>
    <n v="0"/>
    <x v="0"/>
    <x v="0"/>
  </r>
  <r>
    <n v="571"/>
    <n v="2"/>
    <x v="1"/>
    <s v="Text"/>
    <n v="15"/>
    <n v="16"/>
    <n v="6.6666666666666652E-2"/>
    <x v="0"/>
    <x v="0"/>
  </r>
  <r>
    <n v="571"/>
    <n v="3"/>
    <x v="2"/>
    <s v="Übung"/>
    <n v="30"/>
    <n v="27"/>
    <n v="-9.9999999999999978E-2"/>
    <x v="0"/>
    <x v="1"/>
  </r>
  <r>
    <n v="571"/>
    <n v="4"/>
    <x v="3"/>
    <s v="Übung"/>
    <n v="30"/>
    <n v="28"/>
    <n v="-6.6666666666666652E-2"/>
    <x v="0"/>
    <x v="3"/>
  </r>
  <r>
    <n v="571"/>
    <n v="5"/>
    <x v="4"/>
    <s v="Übung"/>
    <n v="30"/>
    <n v="43"/>
    <n v="0.43333333333333335"/>
    <x v="1"/>
    <x v="2"/>
  </r>
  <r>
    <n v="571"/>
    <n v="6"/>
    <x v="5"/>
    <s v="Handout"/>
    <n v="5"/>
    <n v="1"/>
    <n v="-0.8"/>
    <x v="2"/>
    <x v="0"/>
  </r>
  <r>
    <n v="571"/>
    <n v="7"/>
    <x v="6"/>
    <s v="Quiz"/>
    <n v="10"/>
    <n v="9"/>
    <n v="-9.9999999999999978E-2"/>
    <x v="0"/>
    <x v="3"/>
  </r>
  <r>
    <n v="571"/>
    <n v="8"/>
    <x v="7"/>
    <s v="Video"/>
    <n v="5"/>
    <n v="7"/>
    <n v="0.39999999999999991"/>
    <x v="1"/>
    <x v="0"/>
  </r>
  <r>
    <n v="572"/>
    <n v="1"/>
    <x v="0"/>
    <s v="Video"/>
    <n v="4"/>
    <n v="4"/>
    <n v="0"/>
    <x v="0"/>
    <x v="0"/>
  </r>
  <r>
    <n v="572"/>
    <n v="2"/>
    <x v="1"/>
    <s v="Text"/>
    <n v="15"/>
    <n v="18"/>
    <n v="0.19999999999999996"/>
    <x v="0"/>
    <x v="0"/>
  </r>
  <r>
    <n v="572"/>
    <n v="3"/>
    <x v="2"/>
    <s v="Übung"/>
    <n v="30"/>
    <n v="27"/>
    <n v="-9.9999999999999978E-2"/>
    <x v="0"/>
    <x v="3"/>
  </r>
  <r>
    <n v="572"/>
    <n v="4"/>
    <x v="3"/>
    <s v="Übung"/>
    <n v="30"/>
    <n v="25"/>
    <n v="-0.16666666666666663"/>
    <x v="0"/>
    <x v="3"/>
  </r>
  <r>
    <n v="572"/>
    <n v="5"/>
    <x v="4"/>
    <s v="Übung"/>
    <n v="30"/>
    <n v="48"/>
    <n v="0.60000000000000009"/>
    <x v="1"/>
    <x v="3"/>
  </r>
  <r>
    <n v="572"/>
    <n v="6"/>
    <x v="5"/>
    <s v="Handout"/>
    <n v="5"/>
    <n v="1"/>
    <n v="-0.8"/>
    <x v="2"/>
    <x v="1"/>
  </r>
  <r>
    <n v="572"/>
    <n v="7"/>
    <x v="6"/>
    <s v="Quiz"/>
    <n v="10"/>
    <n v="11"/>
    <n v="0.10000000000000009"/>
    <x v="0"/>
    <x v="3"/>
  </r>
  <r>
    <n v="572"/>
    <n v="8"/>
    <x v="7"/>
    <s v="Video"/>
    <n v="5"/>
    <n v="5"/>
    <n v="0"/>
    <x v="0"/>
    <x v="0"/>
  </r>
  <r>
    <n v="573"/>
    <n v="1"/>
    <x v="0"/>
    <s v="Video"/>
    <n v="4"/>
    <n v="4"/>
    <n v="0"/>
    <x v="0"/>
    <x v="0"/>
  </r>
  <r>
    <n v="573"/>
    <n v="2"/>
    <x v="1"/>
    <s v="Text"/>
    <n v="15"/>
    <n v="16"/>
    <n v="6.6666666666666652E-2"/>
    <x v="0"/>
    <x v="1"/>
  </r>
  <r>
    <n v="573"/>
    <n v="3"/>
    <x v="2"/>
    <s v="Übung"/>
    <n v="30"/>
    <n v="29"/>
    <n v="-3.3333333333333326E-2"/>
    <x v="0"/>
    <x v="1"/>
  </r>
  <r>
    <n v="573"/>
    <n v="4"/>
    <x v="3"/>
    <s v="Übung"/>
    <n v="30"/>
    <n v="32"/>
    <n v="6.6666666666666652E-2"/>
    <x v="0"/>
    <x v="3"/>
  </r>
  <r>
    <n v="573"/>
    <n v="5"/>
    <x v="4"/>
    <s v="Übung"/>
    <n v="30"/>
    <n v="55"/>
    <n v="0.83333333333333326"/>
    <x v="3"/>
    <x v="2"/>
  </r>
  <r>
    <n v="573"/>
    <n v="6"/>
    <x v="5"/>
    <s v="Handout"/>
    <n v="5"/>
    <n v="1"/>
    <n v="-0.8"/>
    <x v="2"/>
    <x v="1"/>
  </r>
  <r>
    <n v="573"/>
    <n v="7"/>
    <x v="6"/>
    <s v="Quiz"/>
    <n v="10"/>
    <n v="10"/>
    <n v="0"/>
    <x v="0"/>
    <x v="3"/>
  </r>
  <r>
    <n v="573"/>
    <n v="8"/>
    <x v="7"/>
    <s v="Video"/>
    <n v="5"/>
    <n v="5"/>
    <n v="0"/>
    <x v="0"/>
    <x v="0"/>
  </r>
  <r>
    <n v="575"/>
    <n v="1"/>
    <x v="0"/>
    <s v="Video"/>
    <n v="4"/>
    <n v="4"/>
    <n v="0"/>
    <x v="0"/>
    <x v="0"/>
  </r>
  <r>
    <n v="575"/>
    <n v="2"/>
    <x v="1"/>
    <s v="Text"/>
    <n v="15"/>
    <n v="17"/>
    <n v="0.1333333333333333"/>
    <x v="0"/>
    <x v="1"/>
  </r>
  <r>
    <n v="575"/>
    <n v="3"/>
    <x v="2"/>
    <s v="Übung"/>
    <n v="30"/>
    <n v="30"/>
    <n v="0"/>
    <x v="0"/>
    <x v="1"/>
  </r>
  <r>
    <n v="575"/>
    <n v="4"/>
    <x v="3"/>
    <s v="Übung"/>
    <n v="30"/>
    <n v="28"/>
    <n v="-6.6666666666666652E-2"/>
    <x v="0"/>
    <x v="3"/>
  </r>
  <r>
    <n v="575"/>
    <n v="5"/>
    <x v="4"/>
    <s v="Übung"/>
    <n v="30"/>
    <n v="37"/>
    <n v="0.23333333333333339"/>
    <x v="0"/>
    <x v="3"/>
  </r>
  <r>
    <n v="575"/>
    <n v="6"/>
    <x v="5"/>
    <s v="Handout"/>
    <n v="5"/>
    <n v="3"/>
    <n v="-0.4"/>
    <x v="2"/>
    <x v="3"/>
  </r>
  <r>
    <n v="575"/>
    <n v="7"/>
    <x v="6"/>
    <s v="Quiz"/>
    <n v="10"/>
    <n v="8"/>
    <n v="-0.19999999999999996"/>
    <x v="0"/>
    <x v="3"/>
  </r>
  <r>
    <n v="575"/>
    <n v="8"/>
    <x v="7"/>
    <s v="Video"/>
    <n v="5"/>
    <n v="5"/>
    <n v="0"/>
    <x v="0"/>
    <x v="0"/>
  </r>
  <r>
    <n v="576"/>
    <n v="1"/>
    <x v="0"/>
    <s v="Video"/>
    <n v="4"/>
    <n v="4"/>
    <n v="0"/>
    <x v="0"/>
    <x v="0"/>
  </r>
  <r>
    <n v="576"/>
    <n v="2"/>
    <x v="1"/>
    <s v="Text"/>
    <n v="15"/>
    <n v="17"/>
    <n v="0.1333333333333333"/>
    <x v="0"/>
    <x v="0"/>
  </r>
  <r>
    <n v="576"/>
    <n v="3"/>
    <x v="2"/>
    <s v="Übung"/>
    <n v="30"/>
    <n v="27"/>
    <n v="-9.9999999999999978E-2"/>
    <x v="0"/>
    <x v="3"/>
  </r>
  <r>
    <n v="576"/>
    <n v="4"/>
    <x v="3"/>
    <s v="Übung"/>
    <n v="30"/>
    <n v="34"/>
    <n v="0.1333333333333333"/>
    <x v="0"/>
    <x v="3"/>
  </r>
  <r>
    <n v="576"/>
    <n v="5"/>
    <x v="4"/>
    <s v="Übung"/>
    <n v="30"/>
    <n v="51"/>
    <n v="0.7"/>
    <x v="3"/>
    <x v="3"/>
  </r>
  <r>
    <n v="576"/>
    <n v="6"/>
    <x v="5"/>
    <s v="Handout"/>
    <n v="5"/>
    <n v="1"/>
    <n v="-0.8"/>
    <x v="2"/>
    <x v="0"/>
  </r>
  <r>
    <n v="576"/>
    <n v="7"/>
    <x v="6"/>
    <s v="Quiz"/>
    <n v="10"/>
    <n v="9"/>
    <n v="-9.9999999999999978E-2"/>
    <x v="0"/>
    <x v="3"/>
  </r>
  <r>
    <n v="576"/>
    <n v="8"/>
    <x v="7"/>
    <s v="Video"/>
    <n v="5"/>
    <n v="5"/>
    <n v="0"/>
    <x v="0"/>
    <x v="0"/>
  </r>
  <r>
    <n v="577"/>
    <n v="1"/>
    <x v="0"/>
    <s v="Video"/>
    <n v="4"/>
    <n v="4"/>
    <n v="0"/>
    <x v="0"/>
    <x v="1"/>
  </r>
  <r>
    <n v="577"/>
    <n v="2"/>
    <x v="1"/>
    <s v="Text"/>
    <n v="15"/>
    <n v="19"/>
    <n v="0.26666666666666661"/>
    <x v="0"/>
    <x v="1"/>
  </r>
  <r>
    <n v="577"/>
    <n v="3"/>
    <x v="2"/>
    <s v="Übung"/>
    <n v="30"/>
    <n v="29"/>
    <n v="-3.3333333333333326E-2"/>
    <x v="0"/>
    <x v="1"/>
  </r>
  <r>
    <n v="577"/>
    <n v="4"/>
    <x v="3"/>
    <s v="Übung"/>
    <n v="30"/>
    <n v="31"/>
    <n v="3.3333333333333437E-2"/>
    <x v="0"/>
    <x v="3"/>
  </r>
  <r>
    <n v="577"/>
    <n v="5"/>
    <x v="4"/>
    <s v="Übung"/>
    <n v="30"/>
    <n v="41"/>
    <n v="0.3666666666666667"/>
    <x v="1"/>
    <x v="4"/>
  </r>
  <r>
    <n v="577"/>
    <n v="6"/>
    <x v="5"/>
    <s v="Handout"/>
    <n v="5"/>
    <n v="1"/>
    <n v="-0.8"/>
    <x v="2"/>
    <x v="3"/>
  </r>
  <r>
    <n v="577"/>
    <n v="7"/>
    <x v="6"/>
    <s v="Quiz"/>
    <n v="10"/>
    <n v="9"/>
    <n v="-9.9999999999999978E-2"/>
    <x v="0"/>
    <x v="3"/>
  </r>
  <r>
    <n v="577"/>
    <n v="8"/>
    <x v="7"/>
    <s v="Video"/>
    <n v="5"/>
    <n v="5"/>
    <n v="0"/>
    <x v="0"/>
    <x v="0"/>
  </r>
  <r>
    <n v="578"/>
    <n v="1"/>
    <x v="0"/>
    <s v="Video"/>
    <n v="4"/>
    <n v="4"/>
    <n v="0"/>
    <x v="0"/>
    <x v="0"/>
  </r>
  <r>
    <n v="578"/>
    <n v="2"/>
    <x v="1"/>
    <s v="Text"/>
    <n v="15"/>
    <n v="20"/>
    <n v="0.33333333333333326"/>
    <x v="1"/>
    <x v="0"/>
  </r>
  <r>
    <n v="578"/>
    <n v="3"/>
    <x v="2"/>
    <s v="Übung"/>
    <n v="30"/>
    <n v="47"/>
    <n v="0.56666666666666665"/>
    <x v="1"/>
    <x v="3"/>
  </r>
  <r>
    <n v="578"/>
    <n v="4"/>
    <x v="3"/>
    <s v="Übung"/>
    <n v="30"/>
    <n v="24"/>
    <n v="-0.19999999999999996"/>
    <x v="0"/>
    <x v="3"/>
  </r>
  <r>
    <n v="578"/>
    <n v="5"/>
    <x v="4"/>
    <s v="Übung"/>
    <n v="30"/>
    <n v="44"/>
    <n v="0.46666666666666656"/>
    <x v="1"/>
    <x v="4"/>
  </r>
  <r>
    <n v="578"/>
    <n v="6"/>
    <x v="5"/>
    <s v="Handout"/>
    <n v="5"/>
    <n v="1"/>
    <n v="-0.8"/>
    <x v="2"/>
    <x v="1"/>
  </r>
  <r>
    <n v="578"/>
    <n v="7"/>
    <x v="6"/>
    <s v="Quiz"/>
    <n v="10"/>
    <n v="9"/>
    <n v="-9.9999999999999978E-2"/>
    <x v="0"/>
    <x v="3"/>
  </r>
  <r>
    <n v="578"/>
    <n v="8"/>
    <x v="7"/>
    <s v="Video"/>
    <n v="5"/>
    <n v="5"/>
    <n v="0"/>
    <x v="0"/>
    <x v="0"/>
  </r>
  <r>
    <n v="579"/>
    <n v="1"/>
    <x v="0"/>
    <s v="Video"/>
    <n v="4"/>
    <n v="4"/>
    <n v="0"/>
    <x v="0"/>
    <x v="0"/>
  </r>
  <r>
    <n v="579"/>
    <n v="2"/>
    <x v="1"/>
    <s v="Text"/>
    <n v="15"/>
    <n v="20"/>
    <n v="0.33333333333333326"/>
    <x v="1"/>
    <x v="1"/>
  </r>
  <r>
    <n v="579"/>
    <n v="3"/>
    <x v="2"/>
    <s v="Übung"/>
    <n v="30"/>
    <n v="28"/>
    <n v="-6.6666666666666652E-2"/>
    <x v="0"/>
    <x v="1"/>
  </r>
  <r>
    <n v="579"/>
    <n v="4"/>
    <x v="3"/>
    <s v="Übung"/>
    <n v="30"/>
    <n v="25"/>
    <n v="-0.16666666666666663"/>
    <x v="0"/>
    <x v="3"/>
  </r>
  <r>
    <n v="579"/>
    <n v="5"/>
    <x v="4"/>
    <s v="Übung"/>
    <n v="30"/>
    <n v="40"/>
    <n v="0.33333333333333326"/>
    <x v="1"/>
    <x v="2"/>
  </r>
  <r>
    <n v="579"/>
    <n v="6"/>
    <x v="5"/>
    <s v="Handout"/>
    <n v="5"/>
    <n v="1"/>
    <n v="-0.8"/>
    <x v="2"/>
    <x v="1"/>
  </r>
  <r>
    <n v="579"/>
    <n v="7"/>
    <x v="6"/>
    <s v="Quiz"/>
    <n v="10"/>
    <n v="10"/>
    <n v="0"/>
    <x v="0"/>
    <x v="3"/>
  </r>
  <r>
    <n v="579"/>
    <n v="8"/>
    <x v="7"/>
    <s v="Video"/>
    <n v="5"/>
    <n v="5"/>
    <n v="0"/>
    <x v="0"/>
    <x v="0"/>
  </r>
  <r>
    <n v="581"/>
    <n v="1"/>
    <x v="0"/>
    <s v="Video"/>
    <n v="4"/>
    <n v="4"/>
    <n v="0"/>
    <x v="0"/>
    <x v="0"/>
  </r>
  <r>
    <n v="581"/>
    <n v="2"/>
    <x v="1"/>
    <s v="Text"/>
    <n v="15"/>
    <n v="17"/>
    <n v="0.1333333333333333"/>
    <x v="0"/>
    <x v="0"/>
  </r>
  <r>
    <n v="581"/>
    <n v="3"/>
    <x v="2"/>
    <s v="Übung"/>
    <n v="30"/>
    <n v="39"/>
    <n v="0.30000000000000004"/>
    <x v="0"/>
    <x v="2"/>
  </r>
  <r>
    <n v="581"/>
    <n v="4"/>
    <x v="3"/>
    <s v="Übung"/>
    <n v="30"/>
    <n v="28"/>
    <n v="-6.6666666666666652E-2"/>
    <x v="0"/>
    <x v="3"/>
  </r>
  <r>
    <n v="581"/>
    <n v="5"/>
    <x v="4"/>
    <s v="Übung"/>
    <n v="30"/>
    <n v="40"/>
    <n v="0.33333333333333326"/>
    <x v="1"/>
    <x v="2"/>
  </r>
  <r>
    <n v="581"/>
    <n v="6"/>
    <x v="5"/>
    <s v="Handout"/>
    <n v="5"/>
    <n v="1"/>
    <n v="-0.8"/>
    <x v="2"/>
    <x v="1"/>
  </r>
  <r>
    <n v="581"/>
    <n v="7"/>
    <x v="6"/>
    <s v="Quiz"/>
    <n v="10"/>
    <n v="10"/>
    <n v="0"/>
    <x v="0"/>
    <x v="3"/>
  </r>
  <r>
    <n v="581"/>
    <n v="8"/>
    <x v="7"/>
    <s v="Video"/>
    <n v="5"/>
    <n v="7"/>
    <n v="0.39999999999999991"/>
    <x v="1"/>
    <x v="0"/>
  </r>
  <r>
    <n v="582"/>
    <n v="1"/>
    <x v="0"/>
    <s v="Video"/>
    <n v="4"/>
    <n v="4"/>
    <n v="0"/>
    <x v="0"/>
    <x v="0"/>
  </r>
  <r>
    <n v="582"/>
    <n v="2"/>
    <x v="1"/>
    <s v="Text"/>
    <n v="15"/>
    <n v="18"/>
    <n v="0.19999999999999996"/>
    <x v="0"/>
    <x v="1"/>
  </r>
  <r>
    <n v="582"/>
    <n v="3"/>
    <x v="2"/>
    <s v="Übung"/>
    <n v="30"/>
    <n v="28"/>
    <n v="-6.6666666666666652E-2"/>
    <x v="0"/>
    <x v="3"/>
  </r>
  <r>
    <n v="582"/>
    <n v="4"/>
    <x v="3"/>
    <s v="Übung"/>
    <n v="30"/>
    <n v="27"/>
    <n v="-9.9999999999999978E-2"/>
    <x v="0"/>
    <x v="1"/>
  </r>
  <r>
    <n v="582"/>
    <n v="5"/>
    <x v="4"/>
    <s v="Übung"/>
    <n v="30"/>
    <n v="44"/>
    <n v="0.46666666666666656"/>
    <x v="1"/>
    <x v="3"/>
  </r>
  <r>
    <n v="582"/>
    <n v="6"/>
    <x v="5"/>
    <s v="Handout"/>
    <n v="5"/>
    <n v="1"/>
    <n v="-0.8"/>
    <x v="2"/>
    <x v="1"/>
  </r>
  <r>
    <n v="582"/>
    <n v="7"/>
    <x v="6"/>
    <s v="Quiz"/>
    <n v="10"/>
    <n v="10"/>
    <n v="0"/>
    <x v="0"/>
    <x v="3"/>
  </r>
  <r>
    <n v="582"/>
    <n v="8"/>
    <x v="7"/>
    <s v="Video"/>
    <n v="5"/>
    <n v="5"/>
    <n v="0"/>
    <x v="0"/>
    <x v="0"/>
  </r>
  <r>
    <n v="583"/>
    <n v="1"/>
    <x v="0"/>
    <s v="Video"/>
    <n v="4"/>
    <n v="4"/>
    <n v="0"/>
    <x v="0"/>
    <x v="0"/>
  </r>
  <r>
    <n v="583"/>
    <n v="2"/>
    <x v="1"/>
    <s v="Text"/>
    <n v="15"/>
    <n v="18"/>
    <n v="0.19999999999999996"/>
    <x v="0"/>
    <x v="1"/>
  </r>
  <r>
    <n v="583"/>
    <n v="3"/>
    <x v="2"/>
    <s v="Übung"/>
    <n v="30"/>
    <n v="28"/>
    <n v="-6.6666666666666652E-2"/>
    <x v="0"/>
    <x v="3"/>
  </r>
  <r>
    <n v="583"/>
    <n v="4"/>
    <x v="3"/>
    <s v="Übung"/>
    <n v="30"/>
    <n v="22"/>
    <n v="-0.26666666666666672"/>
    <x v="0"/>
    <x v="3"/>
  </r>
  <r>
    <n v="583"/>
    <n v="5"/>
    <x v="4"/>
    <s v="Übung"/>
    <n v="30"/>
    <n v="43"/>
    <n v="0.43333333333333335"/>
    <x v="1"/>
    <x v="3"/>
  </r>
  <r>
    <n v="583"/>
    <n v="6"/>
    <x v="5"/>
    <s v="Handout"/>
    <n v="5"/>
    <n v="1"/>
    <n v="-0.8"/>
    <x v="2"/>
    <x v="1"/>
  </r>
  <r>
    <n v="583"/>
    <n v="7"/>
    <x v="6"/>
    <s v="Quiz"/>
    <n v="10"/>
    <n v="8"/>
    <n v="-0.19999999999999996"/>
    <x v="0"/>
    <x v="2"/>
  </r>
  <r>
    <n v="583"/>
    <n v="8"/>
    <x v="7"/>
    <s v="Video"/>
    <n v="5"/>
    <n v="5"/>
    <n v="0"/>
    <x v="0"/>
    <x v="0"/>
  </r>
  <r>
    <n v="584"/>
    <n v="1"/>
    <x v="0"/>
    <s v="Video"/>
    <n v="4"/>
    <n v="4"/>
    <n v="0"/>
    <x v="0"/>
    <x v="0"/>
  </r>
  <r>
    <n v="584"/>
    <n v="2"/>
    <x v="1"/>
    <s v="Text"/>
    <n v="15"/>
    <n v="15"/>
    <n v="0"/>
    <x v="0"/>
    <x v="1"/>
  </r>
  <r>
    <n v="584"/>
    <n v="3"/>
    <x v="2"/>
    <s v="Übung"/>
    <n v="30"/>
    <n v="29"/>
    <n v="-3.3333333333333326E-2"/>
    <x v="0"/>
    <x v="3"/>
  </r>
  <r>
    <n v="584"/>
    <n v="4"/>
    <x v="3"/>
    <s v="Übung"/>
    <n v="30"/>
    <n v="26"/>
    <n v="-0.1333333333333333"/>
    <x v="0"/>
    <x v="3"/>
  </r>
  <r>
    <n v="584"/>
    <n v="5"/>
    <x v="4"/>
    <s v="Übung"/>
    <n v="30"/>
    <n v="39"/>
    <n v="0.30000000000000004"/>
    <x v="0"/>
    <x v="3"/>
  </r>
  <r>
    <n v="584"/>
    <n v="6"/>
    <x v="5"/>
    <s v="Handout"/>
    <n v="5"/>
    <n v="1"/>
    <n v="-0.8"/>
    <x v="2"/>
    <x v="1"/>
  </r>
  <r>
    <n v="584"/>
    <n v="7"/>
    <x v="6"/>
    <s v="Quiz"/>
    <n v="10"/>
    <n v="9"/>
    <n v="-9.9999999999999978E-2"/>
    <x v="0"/>
    <x v="3"/>
  </r>
  <r>
    <n v="584"/>
    <n v="8"/>
    <x v="7"/>
    <s v="Video"/>
    <n v="5"/>
    <n v="5"/>
    <n v="0"/>
    <x v="0"/>
    <x v="0"/>
  </r>
  <r>
    <n v="586"/>
    <n v="1"/>
    <x v="0"/>
    <s v="Video"/>
    <n v="4"/>
    <n v="4"/>
    <n v="0"/>
    <x v="0"/>
    <x v="0"/>
  </r>
  <r>
    <n v="586"/>
    <n v="2"/>
    <x v="1"/>
    <s v="Text"/>
    <n v="15"/>
    <n v="17"/>
    <n v="0.1333333333333333"/>
    <x v="0"/>
    <x v="0"/>
  </r>
  <r>
    <n v="586"/>
    <n v="3"/>
    <x v="2"/>
    <s v="Übung"/>
    <n v="30"/>
    <n v="27"/>
    <n v="-9.9999999999999978E-2"/>
    <x v="0"/>
    <x v="1"/>
  </r>
  <r>
    <n v="586"/>
    <n v="4"/>
    <x v="3"/>
    <s v="Übung"/>
    <n v="30"/>
    <n v="24"/>
    <n v="-0.19999999999999996"/>
    <x v="0"/>
    <x v="3"/>
  </r>
  <r>
    <n v="586"/>
    <n v="5"/>
    <x v="4"/>
    <s v="Übung"/>
    <n v="30"/>
    <n v="50"/>
    <n v="0.66666666666666674"/>
    <x v="3"/>
    <x v="2"/>
  </r>
  <r>
    <n v="586"/>
    <n v="6"/>
    <x v="5"/>
    <s v="Handout"/>
    <n v="5"/>
    <n v="1"/>
    <n v="-0.8"/>
    <x v="2"/>
    <x v="1"/>
  </r>
  <r>
    <n v="586"/>
    <n v="7"/>
    <x v="6"/>
    <s v="Quiz"/>
    <n v="10"/>
    <n v="11"/>
    <n v="0.10000000000000009"/>
    <x v="0"/>
    <x v="3"/>
  </r>
  <r>
    <n v="586"/>
    <n v="8"/>
    <x v="7"/>
    <s v="Video"/>
    <n v="5"/>
    <n v="5"/>
    <n v="0"/>
    <x v="0"/>
    <x v="0"/>
  </r>
  <r>
    <n v="587"/>
    <n v="1"/>
    <x v="0"/>
    <s v="Video"/>
    <n v="4"/>
    <n v="4"/>
    <n v="0"/>
    <x v="0"/>
    <x v="0"/>
  </r>
  <r>
    <n v="587"/>
    <n v="2"/>
    <x v="1"/>
    <s v="Text"/>
    <n v="15"/>
    <n v="15"/>
    <n v="0"/>
    <x v="0"/>
    <x v="1"/>
  </r>
  <r>
    <n v="587"/>
    <n v="3"/>
    <x v="2"/>
    <s v="Übung"/>
    <n v="30"/>
    <n v="28"/>
    <n v="-6.6666666666666652E-2"/>
    <x v="0"/>
    <x v="1"/>
  </r>
  <r>
    <n v="587"/>
    <n v="4"/>
    <x v="3"/>
    <s v="Übung"/>
    <n v="30"/>
    <n v="24"/>
    <n v="-0.19999999999999996"/>
    <x v="0"/>
    <x v="3"/>
  </r>
  <r>
    <n v="587"/>
    <n v="5"/>
    <x v="4"/>
    <s v="Übung"/>
    <n v="30"/>
    <n v="44"/>
    <n v="0.46666666666666656"/>
    <x v="1"/>
    <x v="2"/>
  </r>
  <r>
    <n v="587"/>
    <n v="6"/>
    <x v="5"/>
    <s v="Handout"/>
    <n v="5"/>
    <n v="1"/>
    <n v="-0.8"/>
    <x v="2"/>
    <x v="0"/>
  </r>
  <r>
    <n v="587"/>
    <n v="7"/>
    <x v="6"/>
    <s v="Quiz"/>
    <n v="10"/>
    <n v="8"/>
    <n v="-0.19999999999999996"/>
    <x v="0"/>
    <x v="2"/>
  </r>
  <r>
    <n v="587"/>
    <n v="8"/>
    <x v="7"/>
    <s v="Video"/>
    <n v="5"/>
    <n v="5"/>
    <n v="0"/>
    <x v="0"/>
    <x v="0"/>
  </r>
  <r>
    <n v="588"/>
    <n v="1"/>
    <x v="0"/>
    <s v="Video"/>
    <n v="4"/>
    <n v="6"/>
    <n v="0.5"/>
    <x v="1"/>
    <x v="0"/>
  </r>
  <r>
    <n v="588"/>
    <n v="2"/>
    <x v="1"/>
    <s v="Text"/>
    <n v="15"/>
    <n v="16"/>
    <n v="6.6666666666666652E-2"/>
    <x v="0"/>
    <x v="0"/>
  </r>
  <r>
    <n v="588"/>
    <n v="3"/>
    <x v="2"/>
    <s v="Übung"/>
    <n v="30"/>
    <n v="27"/>
    <n v="-9.9999999999999978E-2"/>
    <x v="0"/>
    <x v="3"/>
  </r>
  <r>
    <n v="588"/>
    <n v="4"/>
    <x v="3"/>
    <s v="Übung"/>
    <n v="30"/>
    <n v="28"/>
    <n v="-6.6666666666666652E-2"/>
    <x v="0"/>
    <x v="3"/>
  </r>
  <r>
    <n v="588"/>
    <n v="5"/>
    <x v="4"/>
    <s v="Übung"/>
    <n v="30"/>
    <n v="46"/>
    <n v="0.53333333333333344"/>
    <x v="1"/>
    <x v="2"/>
  </r>
  <r>
    <n v="588"/>
    <n v="6"/>
    <x v="5"/>
    <s v="Handout"/>
    <n v="5"/>
    <n v="1"/>
    <n v="-0.8"/>
    <x v="2"/>
    <x v="1"/>
  </r>
  <r>
    <n v="588"/>
    <n v="7"/>
    <x v="6"/>
    <s v="Quiz"/>
    <n v="10"/>
    <n v="10"/>
    <n v="0"/>
    <x v="0"/>
    <x v="2"/>
  </r>
  <r>
    <n v="588"/>
    <n v="8"/>
    <x v="7"/>
    <s v="Video"/>
    <n v="5"/>
    <n v="7"/>
    <n v="0.39999999999999991"/>
    <x v="1"/>
    <x v="0"/>
  </r>
  <r>
    <n v="589"/>
    <n v="1"/>
    <x v="0"/>
    <s v="Video"/>
    <n v="4"/>
    <n v="4"/>
    <n v="0"/>
    <x v="0"/>
    <x v="0"/>
  </r>
  <r>
    <n v="589"/>
    <n v="2"/>
    <x v="1"/>
    <s v="Text"/>
    <n v="15"/>
    <n v="18"/>
    <n v="0.19999999999999996"/>
    <x v="0"/>
    <x v="0"/>
  </r>
  <r>
    <n v="589"/>
    <n v="3"/>
    <x v="2"/>
    <s v="Übung"/>
    <n v="30"/>
    <n v="36"/>
    <n v="0.19999999999999996"/>
    <x v="0"/>
    <x v="2"/>
  </r>
  <r>
    <n v="589"/>
    <n v="4"/>
    <x v="3"/>
    <s v="Übung"/>
    <n v="30"/>
    <n v="26"/>
    <n v="-0.1333333333333333"/>
    <x v="0"/>
    <x v="1"/>
  </r>
  <r>
    <n v="589"/>
    <n v="5"/>
    <x v="4"/>
    <s v="Übung"/>
    <n v="30"/>
    <n v="44"/>
    <n v="0.46666666666666656"/>
    <x v="1"/>
    <x v="2"/>
  </r>
  <r>
    <n v="589"/>
    <n v="6"/>
    <x v="5"/>
    <s v="Handout"/>
    <n v="5"/>
    <n v="2"/>
    <n v="-0.6"/>
    <x v="2"/>
    <x v="0"/>
  </r>
  <r>
    <n v="589"/>
    <n v="7"/>
    <x v="6"/>
    <s v="Quiz"/>
    <n v="10"/>
    <n v="9"/>
    <n v="-9.9999999999999978E-2"/>
    <x v="0"/>
    <x v="3"/>
  </r>
  <r>
    <n v="589"/>
    <n v="8"/>
    <x v="7"/>
    <s v="Video"/>
    <n v="5"/>
    <n v="5"/>
    <n v="0"/>
    <x v="0"/>
    <x v="0"/>
  </r>
  <r>
    <n v="590"/>
    <n v="1"/>
    <x v="0"/>
    <s v="Video"/>
    <n v="4"/>
    <n v="4"/>
    <n v="0"/>
    <x v="0"/>
    <x v="0"/>
  </r>
  <r>
    <n v="590"/>
    <n v="2"/>
    <x v="1"/>
    <s v="Text"/>
    <n v="15"/>
    <n v="16"/>
    <n v="6.6666666666666652E-2"/>
    <x v="0"/>
    <x v="1"/>
  </r>
  <r>
    <n v="590"/>
    <n v="3"/>
    <x v="2"/>
    <s v="Übung"/>
    <n v="30"/>
    <n v="30"/>
    <n v="0"/>
    <x v="0"/>
    <x v="3"/>
  </r>
  <r>
    <n v="590"/>
    <n v="4"/>
    <x v="3"/>
    <s v="Übung"/>
    <n v="30"/>
    <n v="30"/>
    <n v="0"/>
    <x v="0"/>
    <x v="3"/>
  </r>
  <r>
    <n v="590"/>
    <n v="5"/>
    <x v="4"/>
    <s v="Übung"/>
    <n v="30"/>
    <n v="45"/>
    <n v="0.5"/>
    <x v="1"/>
    <x v="3"/>
  </r>
  <r>
    <n v="590"/>
    <n v="6"/>
    <x v="5"/>
    <s v="Handout"/>
    <n v="5"/>
    <n v="3"/>
    <n v="-0.4"/>
    <x v="2"/>
    <x v="1"/>
  </r>
  <r>
    <n v="590"/>
    <n v="7"/>
    <x v="6"/>
    <s v="Quiz"/>
    <n v="10"/>
    <n v="10"/>
    <n v="0"/>
    <x v="0"/>
    <x v="2"/>
  </r>
  <r>
    <n v="590"/>
    <n v="8"/>
    <x v="7"/>
    <s v="Video"/>
    <n v="5"/>
    <n v="5"/>
    <n v="0"/>
    <x v="0"/>
    <x v="1"/>
  </r>
  <r>
    <n v="591"/>
    <n v="1"/>
    <x v="0"/>
    <s v="Video"/>
    <n v="4"/>
    <n v="7"/>
    <n v="0.75"/>
    <x v="3"/>
    <x v="0"/>
  </r>
  <r>
    <n v="591"/>
    <n v="2"/>
    <x v="1"/>
    <s v="Text"/>
    <n v="15"/>
    <n v="22"/>
    <n v="0.46666666666666656"/>
    <x v="1"/>
    <x v="1"/>
  </r>
  <r>
    <n v="591"/>
    <n v="3"/>
    <x v="2"/>
    <s v="Übung"/>
    <n v="30"/>
    <n v="27"/>
    <n v="-9.9999999999999978E-2"/>
    <x v="0"/>
    <x v="1"/>
  </r>
  <r>
    <n v="591"/>
    <n v="4"/>
    <x v="3"/>
    <s v="Übung"/>
    <n v="30"/>
    <n v="25"/>
    <n v="-0.16666666666666663"/>
    <x v="0"/>
    <x v="2"/>
  </r>
  <r>
    <n v="591"/>
    <n v="5"/>
    <x v="4"/>
    <s v="Übung"/>
    <n v="30"/>
    <n v="44"/>
    <n v="0.46666666666666656"/>
    <x v="1"/>
    <x v="3"/>
  </r>
  <r>
    <n v="591"/>
    <n v="6"/>
    <x v="5"/>
    <s v="Handout"/>
    <n v="5"/>
    <n v="1"/>
    <n v="-0.8"/>
    <x v="2"/>
    <x v="1"/>
  </r>
  <r>
    <n v="591"/>
    <n v="7"/>
    <x v="6"/>
    <s v="Quiz"/>
    <n v="10"/>
    <n v="10"/>
    <n v="0"/>
    <x v="0"/>
    <x v="3"/>
  </r>
  <r>
    <n v="591"/>
    <n v="8"/>
    <x v="7"/>
    <s v="Video"/>
    <n v="5"/>
    <n v="5"/>
    <n v="0"/>
    <x v="0"/>
    <x v="0"/>
  </r>
  <r>
    <n v="592"/>
    <n v="1"/>
    <x v="0"/>
    <s v="Video"/>
    <n v="4"/>
    <n v="4"/>
    <n v="0"/>
    <x v="0"/>
    <x v="0"/>
  </r>
  <r>
    <n v="592"/>
    <n v="2"/>
    <x v="1"/>
    <s v="Text"/>
    <n v="15"/>
    <n v="19"/>
    <n v="0.26666666666666661"/>
    <x v="0"/>
    <x v="1"/>
  </r>
  <r>
    <n v="592"/>
    <n v="3"/>
    <x v="2"/>
    <s v="Übung"/>
    <n v="30"/>
    <n v="30"/>
    <n v="0"/>
    <x v="0"/>
    <x v="3"/>
  </r>
  <r>
    <n v="592"/>
    <n v="4"/>
    <x v="3"/>
    <s v="Übung"/>
    <n v="30"/>
    <n v="35"/>
    <n v="0.16666666666666674"/>
    <x v="0"/>
    <x v="3"/>
  </r>
  <r>
    <n v="592"/>
    <n v="5"/>
    <x v="4"/>
    <s v="Übung"/>
    <n v="30"/>
    <n v="49"/>
    <n v="0.6333333333333333"/>
    <x v="3"/>
    <x v="2"/>
  </r>
  <r>
    <n v="592"/>
    <n v="6"/>
    <x v="5"/>
    <s v="Handout"/>
    <n v="5"/>
    <n v="1"/>
    <n v="-0.8"/>
    <x v="2"/>
    <x v="0"/>
  </r>
  <r>
    <n v="592"/>
    <n v="7"/>
    <x v="6"/>
    <s v="Quiz"/>
    <n v="10"/>
    <n v="10"/>
    <n v="0"/>
    <x v="0"/>
    <x v="3"/>
  </r>
  <r>
    <n v="592"/>
    <n v="8"/>
    <x v="7"/>
    <s v="Video"/>
    <n v="5"/>
    <n v="5"/>
    <n v="0"/>
    <x v="0"/>
    <x v="0"/>
  </r>
  <r>
    <n v="593"/>
    <n v="1"/>
    <x v="0"/>
    <s v="Video"/>
    <n v="4"/>
    <n v="4"/>
    <n v="0"/>
    <x v="0"/>
    <x v="0"/>
  </r>
  <r>
    <n v="593"/>
    <n v="2"/>
    <x v="1"/>
    <s v="Text"/>
    <n v="15"/>
    <n v="17"/>
    <n v="0.1333333333333333"/>
    <x v="0"/>
    <x v="1"/>
  </r>
  <r>
    <n v="593"/>
    <n v="3"/>
    <x v="2"/>
    <s v="Übung"/>
    <n v="30"/>
    <n v="30"/>
    <n v="0"/>
    <x v="0"/>
    <x v="1"/>
  </r>
  <r>
    <n v="593"/>
    <n v="4"/>
    <x v="3"/>
    <s v="Übung"/>
    <n v="30"/>
    <n v="31"/>
    <n v="3.3333333333333437E-2"/>
    <x v="0"/>
    <x v="3"/>
  </r>
  <r>
    <n v="593"/>
    <n v="5"/>
    <x v="4"/>
    <s v="Übung"/>
    <n v="30"/>
    <n v="44"/>
    <n v="0.46666666666666656"/>
    <x v="1"/>
    <x v="2"/>
  </r>
  <r>
    <n v="593"/>
    <n v="6"/>
    <x v="5"/>
    <s v="Handout"/>
    <n v="5"/>
    <n v="2"/>
    <n v="-0.6"/>
    <x v="2"/>
    <x v="1"/>
  </r>
  <r>
    <n v="593"/>
    <n v="7"/>
    <x v="6"/>
    <s v="Quiz"/>
    <n v="10"/>
    <n v="9"/>
    <n v="-9.9999999999999978E-2"/>
    <x v="0"/>
    <x v="3"/>
  </r>
  <r>
    <n v="593"/>
    <n v="8"/>
    <x v="7"/>
    <s v="Video"/>
    <n v="5"/>
    <n v="5"/>
    <n v="0"/>
    <x v="0"/>
    <x v="0"/>
  </r>
  <r>
    <n v="594"/>
    <n v="1"/>
    <x v="0"/>
    <s v="Video"/>
    <n v="4"/>
    <n v="4"/>
    <n v="0"/>
    <x v="0"/>
    <x v="0"/>
  </r>
  <r>
    <n v="594"/>
    <n v="2"/>
    <x v="1"/>
    <s v="Text"/>
    <n v="15"/>
    <n v="16"/>
    <n v="6.6666666666666652E-2"/>
    <x v="0"/>
    <x v="1"/>
  </r>
  <r>
    <n v="594"/>
    <n v="3"/>
    <x v="2"/>
    <s v="Übung"/>
    <n v="30"/>
    <n v="28"/>
    <n v="-6.6666666666666652E-2"/>
    <x v="0"/>
    <x v="1"/>
  </r>
  <r>
    <n v="594"/>
    <n v="4"/>
    <x v="3"/>
    <s v="Übung"/>
    <n v="30"/>
    <n v="21"/>
    <n v="-0.30000000000000004"/>
    <x v="0"/>
    <x v="3"/>
  </r>
  <r>
    <n v="594"/>
    <n v="5"/>
    <x v="4"/>
    <s v="Übung"/>
    <n v="30"/>
    <n v="55"/>
    <n v="0.83333333333333326"/>
    <x v="3"/>
    <x v="2"/>
  </r>
  <r>
    <n v="594"/>
    <n v="6"/>
    <x v="5"/>
    <s v="Handout"/>
    <n v="5"/>
    <n v="1"/>
    <n v="-0.8"/>
    <x v="2"/>
    <x v="1"/>
  </r>
  <r>
    <n v="594"/>
    <n v="7"/>
    <x v="6"/>
    <s v="Quiz"/>
    <n v="10"/>
    <n v="9"/>
    <n v="-9.9999999999999978E-2"/>
    <x v="0"/>
    <x v="3"/>
  </r>
  <r>
    <n v="594"/>
    <n v="8"/>
    <x v="7"/>
    <s v="Video"/>
    <n v="5"/>
    <n v="6"/>
    <n v="0.19999999999999996"/>
    <x v="0"/>
    <x v="0"/>
  </r>
  <r>
    <n v="595"/>
    <n v="1"/>
    <x v="0"/>
    <s v="Video"/>
    <n v="4"/>
    <n v="4"/>
    <n v="0"/>
    <x v="0"/>
    <x v="0"/>
  </r>
  <r>
    <n v="595"/>
    <n v="2"/>
    <x v="1"/>
    <s v="Text"/>
    <n v="15"/>
    <n v="15"/>
    <n v="0"/>
    <x v="0"/>
    <x v="0"/>
  </r>
  <r>
    <n v="595"/>
    <n v="3"/>
    <x v="2"/>
    <s v="Übung"/>
    <n v="30"/>
    <n v="28"/>
    <n v="-6.6666666666666652E-2"/>
    <x v="0"/>
    <x v="3"/>
  </r>
  <r>
    <n v="595"/>
    <n v="4"/>
    <x v="3"/>
    <s v="Übung"/>
    <n v="30"/>
    <n v="17"/>
    <n v="-0.43333333333333335"/>
    <x v="2"/>
    <x v="3"/>
  </r>
  <r>
    <n v="595"/>
    <n v="5"/>
    <x v="4"/>
    <s v="Übung"/>
    <n v="30"/>
    <n v="43"/>
    <n v="0.43333333333333335"/>
    <x v="1"/>
    <x v="3"/>
  </r>
  <r>
    <n v="595"/>
    <n v="6"/>
    <x v="5"/>
    <s v="Handout"/>
    <n v="5"/>
    <n v="1"/>
    <n v="-0.8"/>
    <x v="2"/>
    <x v="0"/>
  </r>
  <r>
    <n v="595"/>
    <n v="7"/>
    <x v="6"/>
    <s v="Quiz"/>
    <n v="10"/>
    <n v="12"/>
    <n v="0.19999999999999996"/>
    <x v="0"/>
    <x v="2"/>
  </r>
  <r>
    <n v="595"/>
    <n v="8"/>
    <x v="7"/>
    <s v="Video"/>
    <n v="5"/>
    <n v="5"/>
    <n v="0"/>
    <x v="0"/>
    <x v="0"/>
  </r>
  <r>
    <n v="596"/>
    <n v="1"/>
    <x v="0"/>
    <s v="Video"/>
    <n v="4"/>
    <n v="6"/>
    <n v="0.5"/>
    <x v="1"/>
    <x v="0"/>
  </r>
  <r>
    <n v="596"/>
    <n v="2"/>
    <x v="1"/>
    <s v="Text"/>
    <n v="15"/>
    <n v="16"/>
    <n v="6.6666666666666652E-2"/>
    <x v="0"/>
    <x v="0"/>
  </r>
  <r>
    <n v="596"/>
    <n v="3"/>
    <x v="2"/>
    <s v="Übung"/>
    <n v="30"/>
    <n v="28"/>
    <n v="-6.6666666666666652E-2"/>
    <x v="0"/>
    <x v="1"/>
  </r>
  <r>
    <n v="596"/>
    <n v="4"/>
    <x v="3"/>
    <s v="Übung"/>
    <n v="30"/>
    <n v="28"/>
    <n v="-6.6666666666666652E-2"/>
    <x v="0"/>
    <x v="1"/>
  </r>
  <r>
    <n v="596"/>
    <n v="5"/>
    <x v="4"/>
    <s v="Übung"/>
    <n v="30"/>
    <n v="34"/>
    <n v="0.1333333333333333"/>
    <x v="0"/>
    <x v="4"/>
  </r>
  <r>
    <n v="596"/>
    <n v="6"/>
    <x v="5"/>
    <s v="Handout"/>
    <n v="5"/>
    <n v="3"/>
    <n v="-0.4"/>
    <x v="2"/>
    <x v="1"/>
  </r>
  <r>
    <n v="596"/>
    <n v="7"/>
    <x v="6"/>
    <s v="Quiz"/>
    <n v="10"/>
    <n v="8"/>
    <n v="-0.19999999999999996"/>
    <x v="0"/>
    <x v="3"/>
  </r>
  <r>
    <n v="596"/>
    <n v="8"/>
    <x v="7"/>
    <s v="Video"/>
    <n v="5"/>
    <n v="8"/>
    <n v="0.60000000000000009"/>
    <x v="1"/>
    <x v="0"/>
  </r>
  <r>
    <n v="597"/>
    <n v="1"/>
    <x v="0"/>
    <s v="Video"/>
    <n v="4"/>
    <n v="4"/>
    <n v="0"/>
    <x v="0"/>
    <x v="0"/>
  </r>
  <r>
    <n v="597"/>
    <n v="2"/>
    <x v="1"/>
    <s v="Text"/>
    <n v="15"/>
    <n v="15"/>
    <n v="0"/>
    <x v="0"/>
    <x v="0"/>
  </r>
  <r>
    <n v="597"/>
    <n v="3"/>
    <x v="2"/>
    <s v="Übung"/>
    <n v="30"/>
    <n v="31"/>
    <n v="3.3333333333333437E-2"/>
    <x v="0"/>
    <x v="2"/>
  </r>
  <r>
    <n v="597"/>
    <n v="4"/>
    <x v="3"/>
    <s v="Übung"/>
    <n v="30"/>
    <n v="20"/>
    <n v="-0.33333333333333337"/>
    <x v="2"/>
    <x v="1"/>
  </r>
  <r>
    <n v="597"/>
    <n v="5"/>
    <x v="4"/>
    <s v="Übung"/>
    <n v="30"/>
    <n v="51"/>
    <n v="0.7"/>
    <x v="3"/>
    <x v="2"/>
  </r>
  <r>
    <n v="597"/>
    <n v="6"/>
    <x v="5"/>
    <s v="Handout"/>
    <n v="5"/>
    <n v="2"/>
    <n v="-0.6"/>
    <x v="2"/>
    <x v="1"/>
  </r>
  <r>
    <n v="597"/>
    <n v="7"/>
    <x v="6"/>
    <s v="Quiz"/>
    <n v="10"/>
    <n v="9"/>
    <n v="-9.9999999999999978E-2"/>
    <x v="0"/>
    <x v="3"/>
  </r>
  <r>
    <n v="597"/>
    <n v="8"/>
    <x v="7"/>
    <s v="Video"/>
    <n v="5"/>
    <n v="7"/>
    <n v="0.39999999999999991"/>
    <x v="1"/>
    <x v="0"/>
  </r>
  <r>
    <n v="598"/>
    <n v="1"/>
    <x v="0"/>
    <s v="Video"/>
    <n v="4"/>
    <n v="4"/>
    <n v="0"/>
    <x v="0"/>
    <x v="0"/>
  </r>
  <r>
    <n v="598"/>
    <n v="2"/>
    <x v="1"/>
    <s v="Text"/>
    <n v="15"/>
    <n v="18"/>
    <n v="0.19999999999999996"/>
    <x v="0"/>
    <x v="0"/>
  </r>
  <r>
    <n v="598"/>
    <n v="3"/>
    <x v="2"/>
    <s v="Übung"/>
    <n v="30"/>
    <n v="28"/>
    <n v="-6.6666666666666652E-2"/>
    <x v="0"/>
    <x v="3"/>
  </r>
  <r>
    <n v="598"/>
    <n v="4"/>
    <x v="3"/>
    <s v="Übung"/>
    <n v="30"/>
    <n v="32"/>
    <n v="6.6666666666666652E-2"/>
    <x v="0"/>
    <x v="3"/>
  </r>
  <r>
    <n v="598"/>
    <n v="5"/>
    <x v="4"/>
    <s v="Übung"/>
    <n v="30"/>
    <n v="46"/>
    <n v="0.53333333333333344"/>
    <x v="1"/>
    <x v="2"/>
  </r>
  <r>
    <n v="598"/>
    <n v="6"/>
    <x v="5"/>
    <s v="Handout"/>
    <n v="5"/>
    <n v="1"/>
    <n v="-0.8"/>
    <x v="2"/>
    <x v="1"/>
  </r>
  <r>
    <n v="598"/>
    <n v="7"/>
    <x v="6"/>
    <s v="Quiz"/>
    <n v="10"/>
    <n v="9"/>
    <n v="-9.9999999999999978E-2"/>
    <x v="0"/>
    <x v="2"/>
  </r>
  <r>
    <n v="598"/>
    <n v="8"/>
    <x v="7"/>
    <s v="Video"/>
    <n v="5"/>
    <n v="5"/>
    <n v="0"/>
    <x v="0"/>
    <x v="0"/>
  </r>
  <r>
    <n v="599"/>
    <n v="1"/>
    <x v="0"/>
    <s v="Video"/>
    <n v="4"/>
    <n v="4"/>
    <n v="0"/>
    <x v="0"/>
    <x v="0"/>
  </r>
  <r>
    <n v="599"/>
    <n v="2"/>
    <x v="1"/>
    <s v="Text"/>
    <n v="15"/>
    <n v="15"/>
    <n v="0"/>
    <x v="0"/>
    <x v="0"/>
  </r>
  <r>
    <n v="599"/>
    <n v="3"/>
    <x v="2"/>
    <s v="Übung"/>
    <n v="30"/>
    <n v="28"/>
    <n v="-6.6666666666666652E-2"/>
    <x v="0"/>
    <x v="1"/>
  </r>
  <r>
    <n v="599"/>
    <n v="4"/>
    <x v="3"/>
    <s v="Übung"/>
    <n v="30"/>
    <n v="27"/>
    <n v="-9.9999999999999978E-2"/>
    <x v="0"/>
    <x v="3"/>
  </r>
  <r>
    <n v="599"/>
    <n v="5"/>
    <x v="4"/>
    <s v="Übung"/>
    <n v="30"/>
    <n v="47"/>
    <n v="0.56666666666666665"/>
    <x v="1"/>
    <x v="2"/>
  </r>
  <r>
    <n v="599"/>
    <n v="6"/>
    <x v="5"/>
    <s v="Handout"/>
    <n v="5"/>
    <n v="2"/>
    <n v="-0.6"/>
    <x v="2"/>
    <x v="1"/>
  </r>
  <r>
    <n v="599"/>
    <n v="7"/>
    <x v="6"/>
    <s v="Quiz"/>
    <n v="10"/>
    <n v="8"/>
    <n v="-0.19999999999999996"/>
    <x v="0"/>
    <x v="3"/>
  </r>
  <r>
    <n v="599"/>
    <n v="8"/>
    <x v="7"/>
    <s v="Video"/>
    <n v="5"/>
    <n v="6"/>
    <n v="0.19999999999999996"/>
    <x v="0"/>
    <x v="0"/>
  </r>
  <r>
    <n v="600"/>
    <n v="1"/>
    <x v="0"/>
    <s v="Video"/>
    <n v="4"/>
    <n v="4"/>
    <n v="0"/>
    <x v="0"/>
    <x v="0"/>
  </r>
  <r>
    <n v="600"/>
    <n v="2"/>
    <x v="1"/>
    <s v="Text"/>
    <n v="15"/>
    <n v="21"/>
    <n v="0.39999999999999991"/>
    <x v="1"/>
    <x v="0"/>
  </r>
  <r>
    <n v="600"/>
    <n v="3"/>
    <x v="2"/>
    <s v="Übung"/>
    <n v="30"/>
    <n v="27"/>
    <n v="-9.9999999999999978E-2"/>
    <x v="0"/>
    <x v="3"/>
  </r>
  <r>
    <n v="600"/>
    <n v="4"/>
    <x v="3"/>
    <s v="Übung"/>
    <n v="30"/>
    <n v="24"/>
    <n v="-0.19999999999999996"/>
    <x v="0"/>
    <x v="1"/>
  </r>
  <r>
    <n v="600"/>
    <n v="5"/>
    <x v="4"/>
    <s v="Übung"/>
    <n v="30"/>
    <n v="44"/>
    <n v="0.46666666666666656"/>
    <x v="1"/>
    <x v="4"/>
  </r>
  <r>
    <n v="600"/>
    <n v="6"/>
    <x v="5"/>
    <s v="Handout"/>
    <n v="5"/>
    <n v="3"/>
    <n v="-0.4"/>
    <x v="2"/>
    <x v="1"/>
  </r>
  <r>
    <n v="600"/>
    <n v="7"/>
    <x v="6"/>
    <s v="Quiz"/>
    <n v="10"/>
    <n v="8"/>
    <n v="-0.19999999999999996"/>
    <x v="0"/>
    <x v="3"/>
  </r>
  <r>
    <n v="600"/>
    <n v="8"/>
    <x v="7"/>
    <s v="Video"/>
    <n v="5"/>
    <n v="5"/>
    <n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95F15-52AB-47C2-9ECE-C7038945F1E9}" name="PivotTable4"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7">
  <location ref="A49:E55" firstHeaderRow="1" firstDataRow="2" firstDataCol="1"/>
  <pivotFields count="20">
    <pivotField dataField="1" numFmtId="165" showAll="0"/>
    <pivotField numFmtId="164" showAll="0"/>
    <pivotField numFmtId="164" showAll="0"/>
    <pivotField numFmtId="164" showAll="0"/>
    <pivotField numFmtId="164" showAll="0"/>
    <pivotField numFmtId="164" showAll="0"/>
    <pivotField showAll="0"/>
    <pivotField axis="axisRow" showAll="0">
      <items count="5">
        <item n="Kein Abschluss" x="0"/>
        <item x="1"/>
        <item x="2"/>
        <item x="3"/>
        <item t="default"/>
      </items>
    </pivotField>
    <pivotField numFmtId="1" showAll="0"/>
    <pivotField showAll="0"/>
    <pivotField numFmtId="9" showAll="0"/>
    <pivotField numFmtId="9" showAll="0"/>
    <pivotField numFmtId="9" showAll="0"/>
    <pivotField numFmtId="9" showAll="0"/>
    <pivotField numFmtId="9" showAll="0"/>
    <pivotField numFmtId="164" showAll="0"/>
    <pivotField numFmtId="9" showAll="0"/>
    <pivotField showAll="0"/>
    <pivotField numFmtId="1" showAll="0"/>
    <pivotField axis="axisCol" showAll="0">
      <items count="4">
        <item x="0"/>
        <item x="1"/>
        <item x="2"/>
        <item t="default"/>
      </items>
    </pivotField>
  </pivotFields>
  <rowFields count="1">
    <field x="7"/>
  </rowFields>
  <rowItems count="5">
    <i>
      <x/>
    </i>
    <i>
      <x v="1"/>
    </i>
    <i>
      <x v="2"/>
    </i>
    <i>
      <x v="3"/>
    </i>
    <i t="grand">
      <x/>
    </i>
  </rowItems>
  <colFields count="1">
    <field x="19"/>
  </colFields>
  <colItems count="4">
    <i>
      <x/>
    </i>
    <i>
      <x v="1"/>
    </i>
    <i>
      <x v="2"/>
    </i>
    <i t="grand">
      <x/>
    </i>
  </colItems>
  <dataFields count="1">
    <dataField name="Anzahl von UserID" fld="0" subtotal="count" showDataAs="percentOfRow" baseField="18" baseItem="0" numFmtId="10"/>
  </dataFields>
  <chartFormats count="15">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2"/>
          </reference>
        </references>
      </pivotArea>
    </chartFormat>
    <chartFormat chart="2" format="3" series="1">
      <pivotArea type="data" outline="0" fieldPosition="0">
        <references count="2">
          <reference field="4294967294" count="1" selected="0">
            <x v="0"/>
          </reference>
          <reference field="7" count="1" selected="0">
            <x v="3"/>
          </reference>
        </references>
      </pivotArea>
    </chartFormat>
    <chartFormat chart="2" format="4" series="1">
      <pivotArea type="data" outline="0" fieldPosition="0">
        <references count="3">
          <reference field="4294967294" count="1" selected="0">
            <x v="0"/>
          </reference>
          <reference field="7" count="1" selected="0">
            <x v="1"/>
          </reference>
          <reference field="19" count="1" selected="0">
            <x v="1"/>
          </reference>
        </references>
      </pivotArea>
    </chartFormat>
    <chartFormat chart="2" format="5" series="1">
      <pivotArea type="data" outline="0" fieldPosition="0">
        <references count="3">
          <reference field="4294967294" count="1" selected="0">
            <x v="0"/>
          </reference>
          <reference field="7" count="1" selected="0">
            <x v="1"/>
          </reference>
          <reference field="19" count="1" selected="0">
            <x v="2"/>
          </reference>
        </references>
      </pivotArea>
    </chartFormat>
    <chartFormat chart="2" format="6" series="1">
      <pivotArea type="data" outline="0" fieldPosition="0">
        <references count="3">
          <reference field="4294967294" count="1" selected="0">
            <x v="0"/>
          </reference>
          <reference field="7" count="1" selected="0">
            <x v="2"/>
          </reference>
          <reference field="19" count="1" selected="0">
            <x v="0"/>
          </reference>
        </references>
      </pivotArea>
    </chartFormat>
    <chartFormat chart="2" format="7" series="1">
      <pivotArea type="data" outline="0" fieldPosition="0">
        <references count="3">
          <reference field="4294967294" count="1" selected="0">
            <x v="0"/>
          </reference>
          <reference field="7" count="1" selected="0">
            <x v="2"/>
          </reference>
          <reference field="19" count="1" selected="0">
            <x v="1"/>
          </reference>
        </references>
      </pivotArea>
    </chartFormat>
    <chartFormat chart="2" format="8" series="1">
      <pivotArea type="data" outline="0" fieldPosition="0">
        <references count="3">
          <reference field="4294967294" count="1" selected="0">
            <x v="0"/>
          </reference>
          <reference field="7" count="1" selected="0">
            <x v="2"/>
          </reference>
          <reference field="19" count="1" selected="0">
            <x v="2"/>
          </reference>
        </references>
      </pivotArea>
    </chartFormat>
    <chartFormat chart="2" format="9" series="1">
      <pivotArea type="data" outline="0" fieldPosition="0">
        <references count="3">
          <reference field="4294967294" count="1" selected="0">
            <x v="0"/>
          </reference>
          <reference field="7" count="1" selected="0">
            <x v="3"/>
          </reference>
          <reference field="19" count="1" selected="0">
            <x v="0"/>
          </reference>
        </references>
      </pivotArea>
    </chartFormat>
    <chartFormat chart="2" format="10" series="1">
      <pivotArea type="data" outline="0" fieldPosition="0">
        <references count="3">
          <reference field="4294967294" count="1" selected="0">
            <x v="0"/>
          </reference>
          <reference field="7" count="1" selected="0">
            <x v="3"/>
          </reference>
          <reference field="19" count="1" selected="0">
            <x v="1"/>
          </reference>
        </references>
      </pivotArea>
    </chartFormat>
    <chartFormat chart="2" format="11" series="1">
      <pivotArea type="data" outline="0" fieldPosition="0">
        <references count="3">
          <reference field="4294967294" count="1" selected="0">
            <x v="0"/>
          </reference>
          <reference field="7" count="1" selected="0">
            <x v="3"/>
          </reference>
          <reference field="19" count="1" selected="0">
            <x v="2"/>
          </reference>
        </references>
      </pivotArea>
    </chartFormat>
    <chartFormat chart="2" format="12" series="1">
      <pivotArea type="data" outline="0" fieldPosition="0">
        <references count="2">
          <reference field="4294967294" count="1" selected="0">
            <x v="0"/>
          </reference>
          <reference field="19" count="1" selected="0">
            <x v="0"/>
          </reference>
        </references>
      </pivotArea>
    </chartFormat>
    <chartFormat chart="2" format="13" series="1">
      <pivotArea type="data" outline="0" fieldPosition="0">
        <references count="2">
          <reference field="4294967294" count="1" selected="0">
            <x v="0"/>
          </reference>
          <reference field="19" count="1" selected="0">
            <x v="1"/>
          </reference>
        </references>
      </pivotArea>
    </chartFormat>
    <chartFormat chart="2" format="14"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74AAF-292A-444E-8EC7-D2E3EF587453}" name="PivotTable2"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A33:B38" firstHeaderRow="1" firstDataRow="1" firstDataCol="1"/>
  <pivotFields count="20">
    <pivotField numFmtId="165" showAll="0"/>
    <pivotField numFmtId="164" showAll="0"/>
    <pivotField numFmtId="164" showAll="0"/>
    <pivotField numFmtId="164" showAll="0"/>
    <pivotField numFmtId="164" showAll="0"/>
    <pivotField numFmtId="164" showAll="0"/>
    <pivotField showAll="0"/>
    <pivotField showAll="0"/>
    <pivotField numFmtId="1" showAll="0"/>
    <pivotField showAll="0"/>
    <pivotField numFmtId="9" showAll="0"/>
    <pivotField numFmtId="9" showAll="0"/>
    <pivotField numFmtId="9" showAll="0"/>
    <pivotField numFmtId="9" showAll="0"/>
    <pivotField numFmtId="9" showAll="0"/>
    <pivotField numFmtId="164" showAll="0"/>
    <pivotField numFmtId="9" showAll="0"/>
    <pivotField axis="axisRow" showAll="0">
      <items count="5">
        <item x="2"/>
        <item x="1"/>
        <item x="0"/>
        <item x="3"/>
        <item t="default"/>
      </items>
    </pivotField>
    <pivotField dataField="1" numFmtId="1" showAll="0"/>
    <pivotField showAll="0"/>
  </pivotFields>
  <rowFields count="1">
    <field x="17"/>
  </rowFields>
  <rowItems count="5">
    <i>
      <x/>
    </i>
    <i>
      <x v="1"/>
    </i>
    <i>
      <x v="2"/>
    </i>
    <i>
      <x v="3"/>
    </i>
    <i t="grand">
      <x/>
    </i>
  </rowItems>
  <colItems count="1">
    <i/>
  </colItems>
  <dataFields count="1">
    <dataField name="Mittelwert von Training_Bewertung" fld="18" subtotal="average" baseField="13"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99A866-721B-498F-AB79-8DDC1F46F408}" name="PivotTable3"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A18:B22" firstHeaderRow="1" firstDataRow="1" firstDataCol="1"/>
  <pivotFields count="20">
    <pivotField numFmtId="165" showAll="0"/>
    <pivotField numFmtId="164" showAll="0"/>
    <pivotField numFmtId="164" showAll="0"/>
    <pivotField numFmtId="164" showAll="0"/>
    <pivotField numFmtId="164" showAll="0"/>
    <pivotField numFmtId="164" showAll="0"/>
    <pivotField showAll="0"/>
    <pivotField showAll="0"/>
    <pivotField numFmtId="1" showAll="0"/>
    <pivotField showAll="0"/>
    <pivotField numFmtId="9" showAll="0"/>
    <pivotField numFmtId="9" showAll="0"/>
    <pivotField numFmtId="9" showAll="0"/>
    <pivotField numFmtId="9" showAll="0"/>
    <pivotField numFmtId="9" showAll="0"/>
    <pivotField numFmtId="164" showAll="0"/>
    <pivotField dataField="1" numFmtId="9" showAll="0"/>
    <pivotField showAll="0"/>
    <pivotField numFmtId="1" showAll="0"/>
    <pivotField axis="axisRow" showAll="0">
      <items count="4">
        <item x="0"/>
        <item x="1"/>
        <item x="2"/>
        <item t="default"/>
      </items>
    </pivotField>
  </pivotFields>
  <rowFields count="1">
    <field x="19"/>
  </rowFields>
  <rowItems count="4">
    <i>
      <x/>
    </i>
    <i>
      <x v="1"/>
    </i>
    <i>
      <x v="2"/>
    </i>
    <i t="grand">
      <x/>
    </i>
  </rowItems>
  <colItems count="1">
    <i/>
  </colItems>
  <dataFields count="1">
    <dataField name="Mittelwert von Quizergebnis_Prozent" fld="16" subtotal="average" baseField="15"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5BB14-329D-41F2-8193-69526B75596D}" name="PivotTable1"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3">
  <location ref="A10:F15" firstHeaderRow="1" firstDataRow="2" firstDataCol="1"/>
  <pivotFields count="20">
    <pivotField numFmtId="165" showAll="0"/>
    <pivotField numFmtId="164" showAll="0"/>
    <pivotField numFmtId="164" showAll="0"/>
    <pivotField numFmtId="164" showAll="0"/>
    <pivotField numFmtId="164" showAll="0"/>
    <pivotField numFmtId="164" showAll="0"/>
    <pivotField showAll="0"/>
    <pivotField showAll="0"/>
    <pivotField numFmtId="1" showAll="0"/>
    <pivotField showAll="0"/>
    <pivotField numFmtId="9" showAll="0"/>
    <pivotField numFmtId="9" showAll="0"/>
    <pivotField numFmtId="9" showAll="0"/>
    <pivotField numFmtId="9" showAll="0"/>
    <pivotField numFmtId="9" showAll="0"/>
    <pivotField numFmtId="164" showAll="0"/>
    <pivotField numFmtId="9" showAll="0"/>
    <pivotField axis="axisCol" showAll="0">
      <items count="5">
        <item x="2"/>
        <item x="1"/>
        <item x="0"/>
        <item x="3"/>
        <item t="default"/>
      </items>
    </pivotField>
    <pivotField numFmtId="1" showAll="0"/>
    <pivotField axis="axisRow" dataField="1" showAll="0">
      <items count="4">
        <item x="0"/>
        <item x="1"/>
        <item x="2"/>
        <item t="default"/>
      </items>
    </pivotField>
  </pivotFields>
  <rowFields count="1">
    <field x="19"/>
  </rowFields>
  <rowItems count="4">
    <i>
      <x/>
    </i>
    <i>
      <x v="1"/>
    </i>
    <i>
      <x v="2"/>
    </i>
    <i t="grand">
      <x/>
    </i>
  </rowItems>
  <colFields count="1">
    <field x="17"/>
  </colFields>
  <colItems count="5">
    <i>
      <x/>
    </i>
    <i>
      <x v="1"/>
    </i>
    <i>
      <x v="2"/>
    </i>
    <i>
      <x v="3"/>
    </i>
    <i t="grand">
      <x/>
    </i>
  </colItems>
  <dataFields count="1">
    <dataField name="Anzahl von Bewertungssegment" fld="19" subtotal="count" showDataAs="percentOfRow" baseField="15" baseItem="0" numFmtId="10"/>
  </dataFields>
  <chartFormats count="12">
    <chartFormat chart="0" format="0" series="1">
      <pivotArea type="data" outline="0" fieldPosition="0">
        <references count="2">
          <reference field="4294967294" count="1" selected="0">
            <x v="0"/>
          </reference>
          <reference field="17" count="1" selected="0">
            <x v="1"/>
          </reference>
        </references>
      </pivotArea>
    </chartFormat>
    <chartFormat chart="0" format="1" series="1">
      <pivotArea type="data" outline="0" fieldPosition="0">
        <references count="2">
          <reference field="4294967294" count="1" selected="0">
            <x v="0"/>
          </reference>
          <reference field="17" count="1" selected="0">
            <x v="2"/>
          </reference>
        </references>
      </pivotArea>
    </chartFormat>
    <chartFormat chart="0" format="2" series="1">
      <pivotArea type="data" outline="0" fieldPosition="0">
        <references count="2">
          <reference field="4294967294" count="1" selected="0">
            <x v="0"/>
          </reference>
          <reference field="17" count="1" selected="0">
            <x v="0"/>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2" format="0" series="1">
      <pivotArea type="data" outline="0" fieldPosition="0">
        <references count="2">
          <reference field="4294967294" count="1" selected="0">
            <x v="0"/>
          </reference>
          <reference field="17" count="1" selected="0">
            <x v="1"/>
          </reference>
        </references>
      </pivotArea>
    </chartFormat>
    <chartFormat chart="2" format="1" series="1">
      <pivotArea type="data" outline="0" fieldPosition="0">
        <references count="2">
          <reference field="4294967294" count="1" selected="0">
            <x v="0"/>
          </reference>
          <reference field="17" count="1" selected="0">
            <x v="2"/>
          </reference>
        </references>
      </pivotArea>
    </chartFormat>
    <chartFormat chart="2" format="2" series="1">
      <pivotArea type="data" outline="0" fieldPosition="0">
        <references count="2">
          <reference field="4294967294" count="1" selected="0">
            <x v="0"/>
          </reference>
          <reference field="17" count="1" selected="0">
            <x v="0"/>
          </reference>
        </references>
      </pivotArea>
    </chartFormat>
    <chartFormat chart="2" format="3" series="1">
      <pivotArea type="data" outline="0" fieldPosition="0">
        <references count="2">
          <reference field="4294967294" count="1" selected="0">
            <x v="0"/>
          </reference>
          <reference field="17" count="1" selected="0">
            <x v="3"/>
          </reference>
        </references>
      </pivotArea>
    </chartFormat>
    <chartFormat chart="12" format="0" series="1">
      <pivotArea type="data" outline="0" fieldPosition="0">
        <references count="2">
          <reference field="4294967294" count="1" selected="0">
            <x v="0"/>
          </reference>
          <reference field="17" count="1" selected="0">
            <x v="0"/>
          </reference>
        </references>
      </pivotArea>
    </chartFormat>
    <chartFormat chart="12" format="1" series="1">
      <pivotArea type="data" outline="0" fieldPosition="0">
        <references count="2">
          <reference field="4294967294" count="1" selected="0">
            <x v="0"/>
          </reference>
          <reference field="17" count="1" selected="0">
            <x v="1"/>
          </reference>
        </references>
      </pivotArea>
    </chartFormat>
    <chartFormat chart="12" format="2" series="1">
      <pivotArea type="data" outline="0" fieldPosition="0">
        <references count="2">
          <reference field="4294967294" count="1" selected="0">
            <x v="0"/>
          </reference>
          <reference field="17" count="1" selected="0">
            <x v="2"/>
          </reference>
        </references>
      </pivotArea>
    </chartFormat>
    <chartFormat chart="12" format="3"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1EBC56-550E-4ECE-B91C-A5D558B28F7A}" name="PivotTable6"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A81:E95" firstHeaderRow="1" firstDataRow="2" firstDataCol="1"/>
  <pivotFields count="20">
    <pivotField dataField="1" showAll="0"/>
    <pivotField numFmtId="164" showAll="0"/>
    <pivotField numFmtId="164" showAll="0"/>
    <pivotField numFmtId="164" showAll="0"/>
    <pivotField numFmtId="164" showAll="0"/>
    <pivotField numFmtId="164" showAll="0"/>
    <pivotField axis="axisRow" showAll="0">
      <items count="13">
        <item x="10"/>
        <item x="0"/>
        <item x="5"/>
        <item x="1"/>
        <item x="2"/>
        <item x="6"/>
        <item x="7"/>
        <item x="8"/>
        <item x="3"/>
        <item x="9"/>
        <item x="4"/>
        <item x="11"/>
        <item t="default"/>
      </items>
    </pivotField>
    <pivotField showAll="0"/>
    <pivotField numFmtId="1" showAll="0"/>
    <pivotField showAll="0"/>
    <pivotField numFmtId="9" showAll="0"/>
    <pivotField numFmtId="9" showAll="0"/>
    <pivotField numFmtId="9" showAll="0"/>
    <pivotField numFmtId="9" showAll="0"/>
    <pivotField numFmtId="9" showAll="0"/>
    <pivotField numFmtId="164" showAll="0"/>
    <pivotField numFmtId="9" showAll="0"/>
    <pivotField showAll="0"/>
    <pivotField numFmtId="1" showAll="0"/>
    <pivotField axis="axisCol" showAll="0">
      <items count="4">
        <item x="0"/>
        <item x="1"/>
        <item x="2"/>
        <item t="default"/>
      </items>
    </pivotField>
  </pivotFields>
  <rowFields count="1">
    <field x="6"/>
  </rowFields>
  <rowItems count="13">
    <i>
      <x/>
    </i>
    <i>
      <x v="1"/>
    </i>
    <i>
      <x v="2"/>
    </i>
    <i>
      <x v="3"/>
    </i>
    <i>
      <x v="4"/>
    </i>
    <i>
      <x v="5"/>
    </i>
    <i>
      <x v="6"/>
    </i>
    <i>
      <x v="7"/>
    </i>
    <i>
      <x v="8"/>
    </i>
    <i>
      <x v="9"/>
    </i>
    <i>
      <x v="10"/>
    </i>
    <i>
      <x v="11"/>
    </i>
    <i t="grand">
      <x/>
    </i>
  </rowItems>
  <colFields count="1">
    <field x="19"/>
  </colFields>
  <colItems count="4">
    <i>
      <x/>
    </i>
    <i>
      <x v="1"/>
    </i>
    <i>
      <x v="2"/>
    </i>
    <i t="grand">
      <x/>
    </i>
  </colItems>
  <dataFields count="1">
    <dataField name="Anzahl von UserID" fld="0" subtotal="count" showDataAs="percentOfRow" baseField="19" baseItem="0" numFmtId="10"/>
  </dataFields>
  <chartFormats count="2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3">
          <reference field="4294967294" count="1" selected="0">
            <x v="0"/>
          </reference>
          <reference field="6" count="1" selected="0">
            <x v="5"/>
          </reference>
          <reference field="19" count="1" selected="0">
            <x v="0"/>
          </reference>
        </references>
      </pivotArea>
    </chartFormat>
    <chartFormat chart="0" format="13" series="1">
      <pivotArea type="data" outline="0" fieldPosition="0">
        <references count="3">
          <reference field="4294967294" count="1" selected="0">
            <x v="0"/>
          </reference>
          <reference field="6" count="1" selected="0">
            <x v="5"/>
          </reference>
          <reference field="19" count="1" selected="0">
            <x v="2"/>
          </reference>
        </references>
      </pivotArea>
    </chartFormat>
    <chartFormat chart="0" format="14" series="1">
      <pivotArea type="data" outline="0" fieldPosition="0">
        <references count="3">
          <reference field="4294967294" count="1" selected="0">
            <x v="0"/>
          </reference>
          <reference field="6" count="1" selected="0">
            <x v="6"/>
          </reference>
          <reference field="19" count="1" selected="0">
            <x v="1"/>
          </reference>
        </references>
      </pivotArea>
    </chartFormat>
    <chartFormat chart="0" format="15" series="1">
      <pivotArea type="data" outline="0" fieldPosition="0">
        <references count="3">
          <reference field="4294967294" count="1" selected="0">
            <x v="0"/>
          </reference>
          <reference field="6" count="1" selected="0">
            <x v="6"/>
          </reference>
          <reference field="19" count="1" selected="0">
            <x v="2"/>
          </reference>
        </references>
      </pivotArea>
    </chartFormat>
    <chartFormat chart="0" format="16" series="1">
      <pivotArea type="data" outline="0" fieldPosition="0">
        <references count="3">
          <reference field="4294967294" count="1" selected="0">
            <x v="0"/>
          </reference>
          <reference field="6" count="1" selected="0">
            <x v="7"/>
          </reference>
          <reference field="19" count="1" selected="0">
            <x v="1"/>
          </reference>
        </references>
      </pivotArea>
    </chartFormat>
    <chartFormat chart="0" format="17" series="1">
      <pivotArea type="data" outline="0" fieldPosition="0">
        <references count="3">
          <reference field="4294967294" count="1" selected="0">
            <x v="0"/>
          </reference>
          <reference field="6" count="1" selected="0">
            <x v="8"/>
          </reference>
          <reference field="19" count="1" selected="0">
            <x v="0"/>
          </reference>
        </references>
      </pivotArea>
    </chartFormat>
    <chartFormat chart="0" format="18" series="1">
      <pivotArea type="data" outline="0" fieldPosition="0">
        <references count="3">
          <reference field="4294967294" count="1" selected="0">
            <x v="0"/>
          </reference>
          <reference field="6" count="1" selected="0">
            <x v="8"/>
          </reference>
          <reference field="19" count="1" selected="0">
            <x v="1"/>
          </reference>
        </references>
      </pivotArea>
    </chartFormat>
    <chartFormat chart="0" format="19" series="1">
      <pivotArea type="data" outline="0" fieldPosition="0">
        <references count="3">
          <reference field="4294967294" count="1" selected="0">
            <x v="0"/>
          </reference>
          <reference field="6" count="1" selected="0">
            <x v="8"/>
          </reference>
          <reference field="19" count="1" selected="0">
            <x v="2"/>
          </reference>
        </references>
      </pivotArea>
    </chartFormat>
    <chartFormat chart="0" format="20" series="1">
      <pivotArea type="data" outline="0" fieldPosition="0">
        <references count="3">
          <reference field="4294967294" count="1" selected="0">
            <x v="0"/>
          </reference>
          <reference field="6" count="1" selected="0">
            <x v="9"/>
          </reference>
          <reference field="19" count="1" selected="0">
            <x v="1"/>
          </reference>
        </references>
      </pivotArea>
    </chartFormat>
    <chartFormat chart="0" format="21" series="1">
      <pivotArea type="data" outline="0" fieldPosition="0">
        <references count="3">
          <reference field="4294967294" count="1" selected="0">
            <x v="0"/>
          </reference>
          <reference field="6" count="1" selected="0">
            <x v="9"/>
          </reference>
          <reference field="19" count="1" selected="0">
            <x v="2"/>
          </reference>
        </references>
      </pivotArea>
    </chartFormat>
    <chartFormat chart="0" format="22" series="1">
      <pivotArea type="data" outline="0" fieldPosition="0">
        <references count="3">
          <reference field="4294967294" count="1" selected="0">
            <x v="0"/>
          </reference>
          <reference field="6" count="1" selected="0">
            <x v="10"/>
          </reference>
          <reference field="19" count="1" selected="0">
            <x v="0"/>
          </reference>
        </references>
      </pivotArea>
    </chartFormat>
    <chartFormat chart="0" format="23" series="1">
      <pivotArea type="data" outline="0" fieldPosition="0">
        <references count="3">
          <reference field="4294967294" count="1" selected="0">
            <x v="0"/>
          </reference>
          <reference field="6" count="1" selected="0">
            <x v="10"/>
          </reference>
          <reference field="19" count="1" selected="0">
            <x v="1"/>
          </reference>
        </references>
      </pivotArea>
    </chartFormat>
    <chartFormat chart="0" format="24" series="1">
      <pivotArea type="data" outline="0" fieldPosition="0">
        <references count="3">
          <reference field="4294967294" count="1" selected="0">
            <x v="0"/>
          </reference>
          <reference field="6" count="1" selected="0">
            <x v="10"/>
          </reference>
          <reference field="19" count="1" selected="0">
            <x v="2"/>
          </reference>
        </references>
      </pivotArea>
    </chartFormat>
    <chartFormat chart="0" format="25" series="1">
      <pivotArea type="data" outline="0" fieldPosition="0">
        <references count="3">
          <reference field="4294967294" count="1" selected="0">
            <x v="0"/>
          </reference>
          <reference field="6" count="1" selected="0">
            <x v="11"/>
          </reference>
          <reference field="19" count="1" selected="0">
            <x v="2"/>
          </reference>
        </references>
      </pivotArea>
    </chartFormat>
    <chartFormat chart="0" format="26" series="1">
      <pivotArea type="data" outline="0" fieldPosition="0">
        <references count="2">
          <reference field="4294967294" count="1" selected="0">
            <x v="0"/>
          </reference>
          <reference field="19" count="1" selected="0">
            <x v="0"/>
          </reference>
        </references>
      </pivotArea>
    </chartFormat>
    <chartFormat chart="0" format="27" series="1">
      <pivotArea type="data" outline="0" fieldPosition="0">
        <references count="2">
          <reference field="4294967294" count="1" selected="0">
            <x v="0"/>
          </reference>
          <reference field="19" count="1" selected="0">
            <x v="1"/>
          </reference>
        </references>
      </pivotArea>
    </chartFormat>
    <chartFormat chart="0" format="2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265936-020B-4F60-B7F3-1C3C0438CA3D}" name="PivotTable5"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4">
  <location ref="A65:E72" firstHeaderRow="1" firstDataRow="2" firstDataCol="1"/>
  <pivotFields count="20">
    <pivotField dataField="1" showAll="0"/>
    <pivotField numFmtId="164" showAll="0"/>
    <pivotField numFmtId="164" showAll="0"/>
    <pivotField numFmtId="164" showAll="0"/>
    <pivotField numFmtId="164" showAll="0"/>
    <pivotField numFmtId="164" showAll="0"/>
    <pivotField showAll="0"/>
    <pivotField showAll="0"/>
    <pivotField numFmtId="1" showAll="0"/>
    <pivotField axis="axisRow" showAll="0">
      <items count="6">
        <item x="0"/>
        <item x="1"/>
        <item x="4"/>
        <item x="3"/>
        <item x="2"/>
        <item t="default"/>
      </items>
    </pivotField>
    <pivotField numFmtId="9" showAll="0"/>
    <pivotField numFmtId="9" showAll="0"/>
    <pivotField numFmtId="9" showAll="0"/>
    <pivotField numFmtId="9" showAll="0"/>
    <pivotField numFmtId="9" showAll="0"/>
    <pivotField numFmtId="164" showAll="0"/>
    <pivotField numFmtId="9" showAll="0"/>
    <pivotField showAll="0"/>
    <pivotField numFmtId="1" showAll="0"/>
    <pivotField axis="axisCol" showAll="0">
      <items count="4">
        <item x="0"/>
        <item x="1"/>
        <item x="2"/>
        <item t="default"/>
      </items>
    </pivotField>
  </pivotFields>
  <rowFields count="1">
    <field x="9"/>
  </rowFields>
  <rowItems count="6">
    <i>
      <x/>
    </i>
    <i>
      <x v="1"/>
    </i>
    <i>
      <x v="2"/>
    </i>
    <i>
      <x v="3"/>
    </i>
    <i>
      <x v="4"/>
    </i>
    <i t="grand">
      <x/>
    </i>
  </rowItems>
  <colFields count="1">
    <field x="19"/>
  </colFields>
  <colItems count="4">
    <i>
      <x/>
    </i>
    <i>
      <x v="1"/>
    </i>
    <i>
      <x v="2"/>
    </i>
    <i t="grand">
      <x/>
    </i>
  </colItems>
  <dataFields count="1">
    <dataField name="Anzahl von UserID" fld="0" subtotal="count" showDataAs="percentOfRow" baseField="19" baseItem="0" numFmtId="10"/>
  </dataFields>
  <chartFormats count="1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3">
          <reference field="4294967294" count="1" selected="0">
            <x v="0"/>
          </reference>
          <reference field="9" count="1" selected="0">
            <x v="1"/>
          </reference>
          <reference field="19" count="1" selected="0">
            <x v="2"/>
          </reference>
        </references>
      </pivotArea>
    </chartFormat>
    <chartFormat chart="0" format="6" series="1">
      <pivotArea type="data" outline="0" fieldPosition="0">
        <references count="3">
          <reference field="4294967294" count="1" selected="0">
            <x v="0"/>
          </reference>
          <reference field="9" count="1" selected="0">
            <x v="2"/>
          </reference>
          <reference field="19" count="1" selected="0">
            <x v="0"/>
          </reference>
        </references>
      </pivotArea>
    </chartFormat>
    <chartFormat chart="0" format="7" series="1">
      <pivotArea type="data" outline="0" fieldPosition="0">
        <references count="3">
          <reference field="4294967294" count="1" selected="0">
            <x v="0"/>
          </reference>
          <reference field="9" count="1" selected="0">
            <x v="2"/>
          </reference>
          <reference field="19" count="1" selected="0">
            <x v="1"/>
          </reference>
        </references>
      </pivotArea>
    </chartFormat>
    <chartFormat chart="0" format="8" series="1">
      <pivotArea type="data" outline="0" fieldPosition="0">
        <references count="3">
          <reference field="4294967294" count="1" selected="0">
            <x v="0"/>
          </reference>
          <reference field="9" count="1" selected="0">
            <x v="2"/>
          </reference>
          <reference field="19" count="1" selected="0">
            <x v="2"/>
          </reference>
        </references>
      </pivotArea>
    </chartFormat>
    <chartFormat chart="0" format="9" series="1">
      <pivotArea type="data" outline="0" fieldPosition="0">
        <references count="3">
          <reference field="4294967294" count="1" selected="0">
            <x v="0"/>
          </reference>
          <reference field="9" count="1" selected="0">
            <x v="3"/>
          </reference>
          <reference field="19" count="1" selected="0">
            <x v="0"/>
          </reference>
        </references>
      </pivotArea>
    </chartFormat>
    <chartFormat chart="0" format="10" series="1">
      <pivotArea type="data" outline="0" fieldPosition="0">
        <references count="3">
          <reference field="4294967294" count="1" selected="0">
            <x v="0"/>
          </reference>
          <reference field="9" count="1" selected="0">
            <x v="3"/>
          </reference>
          <reference field="19" count="1" selected="0">
            <x v="1"/>
          </reference>
        </references>
      </pivotArea>
    </chartFormat>
    <chartFormat chart="0" format="11" series="1">
      <pivotArea type="data" outline="0" fieldPosition="0">
        <references count="3">
          <reference field="4294967294" count="1" selected="0">
            <x v="0"/>
          </reference>
          <reference field="9" count="1" selected="0">
            <x v="3"/>
          </reference>
          <reference field="19" count="1" selected="0">
            <x v="2"/>
          </reference>
        </references>
      </pivotArea>
    </chartFormat>
    <chartFormat chart="0" format="12" series="1">
      <pivotArea type="data" outline="0" fieldPosition="0">
        <references count="3">
          <reference field="4294967294" count="1" selected="0">
            <x v="0"/>
          </reference>
          <reference field="9" count="1" selected="0">
            <x v="4"/>
          </reference>
          <reference field="19" count="1" selected="0">
            <x v="0"/>
          </reference>
        </references>
      </pivotArea>
    </chartFormat>
    <chartFormat chart="0" format="13" series="1">
      <pivotArea type="data" outline="0" fieldPosition="0">
        <references count="3">
          <reference field="4294967294" count="1" selected="0">
            <x v="0"/>
          </reference>
          <reference field="9" count="1" selected="0">
            <x v="4"/>
          </reference>
          <reference field="19" count="1" selected="0">
            <x v="1"/>
          </reference>
        </references>
      </pivotArea>
    </chartFormat>
    <chartFormat chart="0" format="14" series="1">
      <pivotArea type="data" outline="0" fieldPosition="0">
        <references count="3">
          <reference field="4294967294" count="1" selected="0">
            <x v="0"/>
          </reference>
          <reference field="9" count="1" selected="0">
            <x v="4"/>
          </reference>
          <reference field="19" count="1" selected="0">
            <x v="2"/>
          </reference>
        </references>
      </pivotArea>
    </chartFormat>
    <chartFormat chart="0" format="15" series="1">
      <pivotArea type="data" outline="0" fieldPosition="0">
        <references count="2">
          <reference field="4294967294" count="1" selected="0">
            <x v="0"/>
          </reference>
          <reference field="19" count="1" selected="0">
            <x v="0"/>
          </reference>
        </references>
      </pivotArea>
    </chartFormat>
    <chartFormat chart="0" format="16" series="1">
      <pivotArea type="data" outline="0" fieldPosition="0">
        <references count="2">
          <reference field="4294967294" count="1" selected="0">
            <x v="0"/>
          </reference>
          <reference field="19" count="1" selected="0">
            <x v="1"/>
          </reference>
        </references>
      </pivotArea>
    </chartFormat>
    <chartFormat chart="0" format="17"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8FC2BC-5886-4180-9B65-EB584EC48ECC}" name="PivotTable3" cacheId="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8">
  <location ref="A59:G65" firstHeaderRow="1" firstDataRow="2" firstDataCol="1"/>
  <pivotFields count="9">
    <pivotField dataField="1" numFmtId="165" showAll="0"/>
    <pivotField numFmtId="49" showAll="0"/>
    <pivotField axis="axisRow" showAll="0">
      <items count="9">
        <item h="1" x="7"/>
        <item x="6"/>
        <item x="3"/>
        <item x="2"/>
        <item h="1" x="0"/>
        <item h="1" x="1"/>
        <item x="4"/>
        <item h="1" x="5"/>
        <item t="default"/>
      </items>
    </pivotField>
    <pivotField showAll="0"/>
    <pivotField showAll="0"/>
    <pivotField showAll="0"/>
    <pivotField numFmtId="9" showAll="0"/>
    <pivotField showAll="0"/>
    <pivotField axis="axisCol">
      <items count="6">
        <item x="0"/>
        <item x="1"/>
        <item x="3"/>
        <item x="2"/>
        <item x="4"/>
        <item t="default"/>
      </items>
    </pivotField>
  </pivotFields>
  <rowFields count="1">
    <field x="2"/>
  </rowFields>
  <rowItems count="5">
    <i>
      <x v="1"/>
    </i>
    <i>
      <x v="2"/>
    </i>
    <i>
      <x v="3"/>
    </i>
    <i>
      <x v="6"/>
    </i>
    <i t="grand">
      <x/>
    </i>
  </rowItems>
  <colFields count="1">
    <field x="8"/>
  </colFields>
  <colItems count="6">
    <i>
      <x/>
    </i>
    <i>
      <x v="1"/>
    </i>
    <i>
      <x v="2"/>
    </i>
    <i>
      <x v="3"/>
    </i>
    <i>
      <x v="4"/>
    </i>
    <i t="grand">
      <x/>
    </i>
  </colItems>
  <dataFields count="1">
    <dataField name="Anzahl von UserID" fld="0" subtotal="count" baseField="0" baseItem="1"/>
  </dataFields>
  <chartFormats count="10">
    <chartFormat chart="0" format="15" series="1">
      <pivotArea type="data" outline="0" fieldPosition="0">
        <references count="2">
          <reference field="4294967294" count="1" selected="0">
            <x v="0"/>
          </reference>
          <reference field="8" count="1" selected="0">
            <x v="0"/>
          </reference>
        </references>
      </pivotArea>
    </chartFormat>
    <chartFormat chart="0" format="16" series="1">
      <pivotArea type="data" outline="0" fieldPosition="0">
        <references count="2">
          <reference field="4294967294" count="1" selected="0">
            <x v="0"/>
          </reference>
          <reference field="8" count="1" selected="0">
            <x v="1"/>
          </reference>
        </references>
      </pivotArea>
    </chartFormat>
    <chartFormat chart="0" format="17" series="1">
      <pivotArea type="data" outline="0" fieldPosition="0">
        <references count="2">
          <reference field="4294967294" count="1" selected="0">
            <x v="0"/>
          </reference>
          <reference field="8" count="1" selected="0">
            <x v="2"/>
          </reference>
        </references>
      </pivotArea>
    </chartFormat>
    <chartFormat chart="0" format="18" series="1">
      <pivotArea type="data" outline="0" fieldPosition="0">
        <references count="2">
          <reference field="4294967294" count="1" selected="0">
            <x v="0"/>
          </reference>
          <reference field="8" count="1" selected="0">
            <x v="3"/>
          </reference>
        </references>
      </pivotArea>
    </chartFormat>
    <chartFormat chart="0" format="19" series="1">
      <pivotArea type="data" outline="0" fieldPosition="0">
        <references count="2">
          <reference field="4294967294" count="1" selected="0">
            <x v="0"/>
          </reference>
          <reference field="8" count="1" selected="0">
            <x v="4"/>
          </reference>
        </references>
      </pivotArea>
    </chartFormat>
    <chartFormat chart="11" format="20" series="1">
      <pivotArea type="data" outline="0" fieldPosition="0">
        <references count="2">
          <reference field="4294967294" count="1" selected="0">
            <x v="0"/>
          </reference>
          <reference field="8" count="1" selected="0">
            <x v="0"/>
          </reference>
        </references>
      </pivotArea>
    </chartFormat>
    <chartFormat chart="11" format="21" series="1">
      <pivotArea type="data" outline="0" fieldPosition="0">
        <references count="2">
          <reference field="4294967294" count="1" selected="0">
            <x v="0"/>
          </reference>
          <reference field="8" count="1" selected="0">
            <x v="1"/>
          </reference>
        </references>
      </pivotArea>
    </chartFormat>
    <chartFormat chart="11" format="22" series="1">
      <pivotArea type="data" outline="0" fieldPosition="0">
        <references count="2">
          <reference field="4294967294" count="1" selected="0">
            <x v="0"/>
          </reference>
          <reference field="8" count="1" selected="0">
            <x v="2"/>
          </reference>
        </references>
      </pivotArea>
    </chartFormat>
    <chartFormat chart="11" format="23" series="1">
      <pivotArea type="data" outline="0" fieldPosition="0">
        <references count="2">
          <reference field="4294967294" count="1" selected="0">
            <x v="0"/>
          </reference>
          <reference field="8" count="1" selected="0">
            <x v="3"/>
          </reference>
        </references>
      </pivotArea>
    </chartFormat>
    <chartFormat chart="11" format="2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9C129A-6F66-4237-A74C-9EC7515239D6}" name="PivotTable15" cacheId="2" applyNumberFormats="0" applyBorderFormats="0" applyFontFormats="0" applyPatternFormats="0" applyAlignmentFormats="0" applyWidthHeightFormats="1" dataCaption="Werte" updatedVersion="8" minRefreshableVersion="3" useAutoFormatting="1" itemPrintTitles="1" createdVersion="8" indent="0" showHeaders="0" outline="1" outlineData="1" multipleFieldFilters="0" chartFormat="35">
  <location ref="A84:F90" firstHeaderRow="1" firstDataRow="2" firstDataCol="1"/>
  <pivotFields count="9">
    <pivotField dataField="1" numFmtId="165" showAll="0"/>
    <pivotField numFmtId="49" showAll="0"/>
    <pivotField axis="axisRow" showAll="0">
      <items count="9">
        <item h="1" x="7"/>
        <item x="6"/>
        <item x="3"/>
        <item x="2"/>
        <item h="1" x="0"/>
        <item h="1" x="1"/>
        <item x="4"/>
        <item h="1" x="5"/>
        <item t="default"/>
      </items>
    </pivotField>
    <pivotField showAll="0"/>
    <pivotField showAll="0"/>
    <pivotField showAll="0"/>
    <pivotField numFmtId="9" showAll="0"/>
    <pivotField axis="axisCol" showAll="0">
      <items count="5">
        <item x="2"/>
        <item x="0"/>
        <item x="1"/>
        <item x="3"/>
        <item t="default"/>
      </items>
    </pivotField>
    <pivotField showAll="0"/>
  </pivotFields>
  <rowFields count="1">
    <field x="2"/>
  </rowFields>
  <rowItems count="5">
    <i>
      <x v="1"/>
    </i>
    <i>
      <x v="2"/>
    </i>
    <i>
      <x v="3"/>
    </i>
    <i>
      <x v="6"/>
    </i>
    <i t="grand">
      <x/>
    </i>
  </rowItems>
  <colFields count="1">
    <field x="7"/>
  </colFields>
  <colItems count="5">
    <i>
      <x/>
    </i>
    <i>
      <x v="1"/>
    </i>
    <i>
      <x v="2"/>
    </i>
    <i>
      <x v="3"/>
    </i>
    <i t="grand">
      <x/>
    </i>
  </colItems>
  <dataFields count="1">
    <dataField name="Anzahl von UserID" fld="0" subtotal="count" showDataAs="percentOfRow" baseField="2" baseItem="3" numFmtId="10"/>
  </dataFields>
  <formats count="2">
    <format dxfId="4">
      <pivotArea outline="0" collapsedLevelsAreSubtotals="1" fieldPosition="0"/>
    </format>
    <format dxfId="3">
      <pivotArea outline="0" fieldPosition="0">
        <references count="1">
          <reference field="4294967294" count="1">
            <x v="0"/>
          </reference>
        </references>
      </pivotArea>
    </format>
  </formats>
  <chartFormats count="8">
    <chartFormat chart="13" format="4" series="1">
      <pivotArea type="data" outline="0" fieldPosition="0">
        <references count="2">
          <reference field="4294967294" count="1" selected="0">
            <x v="0"/>
          </reference>
          <reference field="7" count="1" selected="0">
            <x v="0"/>
          </reference>
        </references>
      </pivotArea>
    </chartFormat>
    <chartFormat chart="13" format="5" series="1">
      <pivotArea type="data" outline="0" fieldPosition="0">
        <references count="2">
          <reference field="4294967294" count="1" selected="0">
            <x v="0"/>
          </reference>
          <reference field="7" count="1" selected="0">
            <x v="1"/>
          </reference>
        </references>
      </pivotArea>
    </chartFormat>
    <chartFormat chart="13" format="6" series="1">
      <pivotArea type="data" outline="0" fieldPosition="0">
        <references count="2">
          <reference field="4294967294" count="1" selected="0">
            <x v="0"/>
          </reference>
          <reference field="7" count="1" selected="0">
            <x v="2"/>
          </reference>
        </references>
      </pivotArea>
    </chartFormat>
    <chartFormat chart="13" format="7" series="1">
      <pivotArea type="data" outline="0" fieldPosition="0">
        <references count="2">
          <reference field="4294967294" count="1" selected="0">
            <x v="0"/>
          </reference>
          <reference field="7" count="1" selected="0">
            <x v="3"/>
          </reference>
        </references>
      </pivotArea>
    </chartFormat>
    <chartFormat chart="26" format="8" series="1">
      <pivotArea type="data" outline="0" fieldPosition="0">
        <references count="2">
          <reference field="4294967294" count="1" selected="0">
            <x v="0"/>
          </reference>
          <reference field="7" count="1" selected="0">
            <x v="0"/>
          </reference>
        </references>
      </pivotArea>
    </chartFormat>
    <chartFormat chart="26" format="9" series="1">
      <pivotArea type="data" outline="0" fieldPosition="0">
        <references count="2">
          <reference field="4294967294" count="1" selected="0">
            <x v="0"/>
          </reference>
          <reference field="7" count="1" selected="0">
            <x v="1"/>
          </reference>
        </references>
      </pivotArea>
    </chartFormat>
    <chartFormat chart="26" format="10" series="1">
      <pivotArea type="data" outline="0" fieldPosition="0">
        <references count="2">
          <reference field="4294967294" count="1" selected="0">
            <x v="0"/>
          </reference>
          <reference field="7" count="1" selected="0">
            <x v="2"/>
          </reference>
        </references>
      </pivotArea>
    </chartFormat>
    <chartFormat chart="2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C5BEBD-8941-4029-9D74-8994F756CB90}" name="PivotTable1" cacheId="2" dataPosition="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14">
  <location ref="A25:C30" firstHeaderRow="0" firstDataRow="1" firstDataCol="1"/>
  <pivotFields count="9">
    <pivotField numFmtId="165" showAll="0"/>
    <pivotField numFmtId="49" showAll="0"/>
    <pivotField axis="axisRow" showAll="0">
      <items count="9">
        <item h="1" x="7"/>
        <item h="1" x="6"/>
        <item x="3"/>
        <item x="2"/>
        <item h="1" x="0"/>
        <item x="1"/>
        <item x="4"/>
        <item h="1" x="5"/>
        <item t="default"/>
      </items>
    </pivotField>
    <pivotField showAll="0"/>
    <pivotField showAll="0"/>
    <pivotField dataField="1" showAll="0"/>
    <pivotField numFmtId="9" showAll="0"/>
    <pivotField showAll="0"/>
    <pivotField showAll="0"/>
  </pivotFields>
  <rowFields count="1">
    <field x="2"/>
  </rowFields>
  <rowItems count="5">
    <i>
      <x v="2"/>
    </i>
    <i>
      <x v="3"/>
    </i>
    <i>
      <x v="5"/>
    </i>
    <i>
      <x v="6"/>
    </i>
    <i t="grand">
      <x/>
    </i>
  </rowItems>
  <colFields count="1">
    <field x="-2"/>
  </colFields>
  <colItems count="2">
    <i>
      <x/>
    </i>
    <i i="1">
      <x v="1"/>
    </i>
  </colItems>
  <dataFields count="2">
    <dataField name="Mittelwert" fld="5" subtotal="average" baseField="2" baseItem="2"/>
    <dataField name="Standardabweichung (Grundgesamtheit)" fld="5" subtotal="stdDevp" baseField="2" baseItem="2"/>
  </dataFields>
  <formats count="1">
    <format dxfId="5">
      <pivotArea dataOnly="0" labelOnly="1" outline="0" fieldPosition="0">
        <references count="1">
          <reference field="4294967294" count="2">
            <x v="0"/>
            <x v="1"/>
          </reference>
        </references>
      </pivotArea>
    </format>
  </formats>
  <chartFormats count="6">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0" format="6" series="1">
      <pivotArea type="data" outline="0" fieldPosition="0">
        <references count="2">
          <reference field="4294967294" count="1" selected="0">
            <x v="0"/>
          </reference>
          <reference field="2" count="1" selected="0">
            <x v="5"/>
          </reference>
        </references>
      </pivotArea>
    </chartFormat>
    <chartFormat chart="0" format="7" series="1">
      <pivotArea type="data" outline="0" fieldPosition="0">
        <references count="2">
          <reference field="4294967294" count="1" selected="0">
            <x v="0"/>
          </reference>
          <reference field="2" count="1" selected="0">
            <x v="6"/>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0EB19B-4FF9-4F87-A55C-93F9A51EAE45}" name="PivotTable2" cacheId="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48:C53" firstHeaderRow="0" firstDataRow="1" firstDataCol="1"/>
  <pivotFields count="9">
    <pivotField numFmtId="165" showAll="0"/>
    <pivotField numFmtId="49" showAll="0"/>
    <pivotField axis="axisRow" showAll="0">
      <items count="9">
        <item h="1" x="7"/>
        <item x="6"/>
        <item x="3"/>
        <item x="2"/>
        <item h="1" x="0"/>
        <item h="1" x="1"/>
        <item x="4"/>
        <item h="1" x="5"/>
        <item t="default"/>
      </items>
    </pivotField>
    <pivotField showAll="0"/>
    <pivotField showAll="0"/>
    <pivotField showAll="0"/>
    <pivotField numFmtId="9" showAll="0"/>
    <pivotField showAll="0"/>
    <pivotField dataField="1" showAll="0"/>
  </pivotFields>
  <rowFields count="1">
    <field x="2"/>
  </rowFields>
  <rowItems count="5">
    <i>
      <x v="1"/>
    </i>
    <i>
      <x v="2"/>
    </i>
    <i>
      <x v="3"/>
    </i>
    <i>
      <x v="6"/>
    </i>
    <i t="grand">
      <x/>
    </i>
  </rowItems>
  <colFields count="1">
    <field x="-2"/>
  </colFields>
  <colItems count="2">
    <i>
      <x/>
    </i>
    <i i="1">
      <x v="1"/>
    </i>
  </colItems>
  <dataFields count="2">
    <dataField name="Mittelwert von Bewertung_Schwierigkeit" fld="8" subtotal="average" baseField="2" baseItem="0"/>
    <dataField name="Standardabweichung (Grundgesamtheit) von Bewertung_Schwierigkeit" fld="8" subtotal="stdDevp" baseField="2" baseItem="0"/>
  </dataFields>
  <formats count="1">
    <format dxfId="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11" xr10:uid="{B874C315-AB9C-4A82-9C8A-DD5C1DF01FCF}" sourceName="Lektionstitel">
  <pivotTables>
    <pivotTable tabId="13" name="PivotTable1"/>
  </pivotTables>
  <data>
    <tabular pivotCacheId="108158616">
      <items count="8">
        <i x="7"/>
        <i x="6"/>
        <i x="3" s="1"/>
        <i x="2" s="1"/>
        <i x="0"/>
        <i x="1" s="1"/>
        <i x="4" s="1"/>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2" xr10:uid="{06CF392C-1345-486F-9411-991BD247468E}" sourceName="Lektionstitel">
  <pivotTables>
    <pivotTable tabId="13" name="PivotTable2"/>
  </pivotTables>
  <data>
    <tabular pivotCacheId="108158616">
      <items count="8">
        <i x="7"/>
        <i x="6" s="1"/>
        <i x="3" s="1"/>
        <i x="2" s="1"/>
        <i x="0"/>
        <i x="1"/>
        <i x="4"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3" xr10:uid="{3A51BC9B-95F0-401E-8254-D91B8CDF3C8B}" sourceName="Lektionstitel">
  <pivotTables>
    <pivotTable tabId="13" name="PivotTable3"/>
  </pivotTables>
  <data>
    <tabular pivotCacheId="108158616">
      <items count="8">
        <i x="7"/>
        <i x="6" s="1"/>
        <i x="3" s="1"/>
        <i x="2" s="1"/>
        <i x="0"/>
        <i x="1"/>
        <i x="4" s="1"/>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4" xr10:uid="{70A9BC58-2A75-4119-9655-44234BF89216}" sourceName="Lektionstitel">
  <pivotTables>
    <pivotTable tabId="13" name="PivotTable15"/>
  </pivotTables>
  <data>
    <tabular pivotCacheId="108158616">
      <items count="8">
        <i x="7"/>
        <i x="6" s="1"/>
        <i x="3" s="1"/>
        <i x="2" s="1"/>
        <i x="0"/>
        <i x="1"/>
        <i x="4" s="1"/>
        <i x="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ektionstitel" xr10:uid="{A500858F-F619-445C-A0D7-E719B27E3C6F}" sourceName="Lektionstitel">
  <extLst>
    <x:ext xmlns:x15="http://schemas.microsoft.com/office/spreadsheetml/2010/11/main" uri="{2F2917AC-EB37-4324-AD4E-5DD8C200BD13}">
      <x15:tableSlicerCache tableId="1"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Bewertung_Schwierigkeit" xr10:uid="{CB50E48F-C8C9-44E4-9876-B6374132010F}" sourceName="Bewertung_Schwierigkeit">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ktionstitel" xr10:uid="{79B857DB-2D37-4275-8381-78C74E5690C4}" cache="Datenschnitt_Lektionstitel" caption="Lektionstitel" rowHeight="234950"/>
  <slicer name="Bewertung_Schwierigkeit" xr10:uid="{CDA7CF18-B0A7-452B-8709-E824AF6D6B1F}" cache="Datenschnitt_Bewertung_Schwierigkeit" caption="Bewertung_Schwierigkei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ktionstitel 2" xr10:uid="{5B162EBC-6604-47A9-8771-48D27D0A17D5}" cache="Datenschnitt_Lektionstitel11" caption="Lektionstitel" rowHeight="234950"/>
  <slicer name="Lektionstitel 3" xr10:uid="{5BD345BC-280E-4DF5-A7AA-966F5EA6A355}" cache="Datenschnitt_Lektionstitel2" caption="Lektionstitel" rowHeight="234950"/>
  <slicer name="Lektionstitel 4" xr10:uid="{2153CDA7-A4D9-43AC-A33A-55E68DAD8CBB}" cache="Datenschnitt_Lektionstitel3" caption="Lektionstitel" rowHeight="234950"/>
  <slicer name="Lektionstitel 5" xr10:uid="{B7C48FE0-F3FE-4EE9-A83E-12E49561688C}" cache="Datenschnitt_Lektionstitel4" caption="Lektionstite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ktionstitel 1" xr10:uid="{D7FE9C3A-2370-4298-A42F-27FD5402950A}" cache="Datenschnitt_Lektionstitel" caption="Lektionstit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5500C5-6604-43A7-895B-FA1BEEFE654A}" name="Teilnehmende" displayName="Teilnehmende" ref="A1:F488" totalsRowShown="0">
  <autoFilter ref="A1:F488" xr:uid="{385500C5-6604-43A7-895B-FA1BEEFE654A}"/>
  <tableColumns count="6">
    <tableColumn id="1" xr3:uid="{A302EB64-D303-48BD-9CBB-9F043E253D81}" name="UserID" dataDxfId="31"/>
    <tableColumn id="2" xr3:uid="{18AE9E09-1511-409B-8362-FE84460EE7DD}" name="Registrierungsdatum" dataDxfId="30"/>
    <tableColumn id="3" xr3:uid="{857D7E48-448A-4A78-8F4F-8D5862045EC9}" name="Alter" dataDxfId="29"/>
    <tableColumn id="4" xr3:uid="{CCFAF916-7EAA-4FB5-8BA3-FAA4958819C8}" name="Branche" dataDxfId="28"/>
    <tableColumn id="5" xr3:uid="{D1D27A6A-4593-44BE-8112-873EF73F72B3}" name="Bildungsabschluss" dataDxfId="27"/>
    <tableColumn id="6" xr3:uid="{7BB16E5F-88DE-45AE-9660-DBAFCA9C7104}" name="Berufserfahrung" dataDxfId="2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A37983-B146-4450-8146-20D26673E378}" name="Trainingsabschluss" displayName="Trainingsabschluss" ref="A1:T488" totalsRowShown="0">
  <autoFilter ref="A1:T488" xr:uid="{1DA37983-B146-4450-8146-20D26673E378}"/>
  <tableColumns count="20">
    <tableColumn id="1" xr3:uid="{E0A91A89-6425-4E7D-9CD6-FAC5F7CAE59E}" name="UserID" dataDxfId="25"/>
    <tableColumn id="2" xr3:uid="{44E3751F-408D-492A-B80C-7FB7FB040CF2}" name="Quiz_Frage1_Punkte" dataDxfId="24"/>
    <tableColumn id="3" xr3:uid="{3A17BF1E-D6D5-4812-958E-380358EBD350}" name="Quiz_Frage2_Punkte" dataDxfId="23"/>
    <tableColumn id="4" xr3:uid="{B45D582A-143A-417D-967F-6619CC14D0C0}" name="Quiz_Frage3_Punkte" dataDxfId="22"/>
    <tableColumn id="5" xr3:uid="{04987AD8-B4BB-4366-A391-EC7182C4CBCA}" name="Quiz_Frage4_Punkte" dataDxfId="21"/>
    <tableColumn id="6" xr3:uid="{F50BF75C-E11F-4B41-80F6-78183CE7E1E0}" name="Quiz_Frage5_Punkte" dataDxfId="20"/>
    <tableColumn id="14" xr3:uid="{B7BEB6BD-2D68-471C-B4A9-B3A410CA65FF}" name="Branche" dataDxfId="19">
      <calculatedColumnFormula>_xlfn.XLOOKUP(Trainingsabschluss[[#This Row],[UserID]], Teilnehmende[UserID], Teilnehmende[Branche], "UserID nicht gefunden")</calculatedColumnFormula>
    </tableColumn>
    <tableColumn id="15" xr3:uid="{9C30EA19-845E-4478-8487-19DD1705432D}" name="Bildungsabschluss" dataDxfId="18">
      <calculatedColumnFormula>_xlfn.XLOOKUP(Trainingsabschluss[[#This Row],[UserID]], Teilnehmende[UserID], Teilnehmende[Bildungsabschluss], "UserID nicht gefunden")</calculatedColumnFormula>
    </tableColumn>
    <tableColumn id="16" xr3:uid="{2B633365-CBC1-4889-B1DE-282B8FFB38F3}" name="Berufserfahrung" dataDxfId="17">
      <calculatedColumnFormula>_xlfn.XLOOKUP(Trainingsabschluss[[#This Row],[UserID]], Teilnehmende[UserID], Teilnehmende[Berufserfahrung])</calculatedColumnFormula>
    </tableColumn>
    <tableColumn id="17" xr3:uid="{3BFACCF4-9744-4974-A643-02337449644E}" name="Erfahrungsstufe" dataDxfId="16">
      <calculatedColumnFormula array="1">_xlfn.IFS(Trainingsabschluss[[#This Row],[Berufserfahrung]]&lt;=4,"wenig",Trainingsabschluss[[#This Row],[Berufserfahrung]]&lt;=9,"mittel",Trainingsabschluss[[#This Row],[Berufserfahrung]]&lt;=14,"fortgeschritten",Trainingsabschluss[[#This Row],[Berufserfahrung]]&lt;=19,"viel",Trainingsabschluss[[#This Row],[Berufserfahrung]]&gt;=20,"sehr viel")</calculatedColumnFormula>
    </tableColumn>
    <tableColumn id="25" xr3:uid="{748E2295-35F3-4956-B1C6-1B16BC70EBEF}" name="Frage1_Prozent" dataCellStyle="Prozent">
      <calculatedColumnFormula>Trainingsabschluss[[#This Row],[Quiz_Frage1_Punkte]]/Max_Frage1</calculatedColumnFormula>
    </tableColumn>
    <tableColumn id="24" xr3:uid="{4F183431-0F10-48DE-B512-E626A2A995BC}" name="Frage2_Prozent" dataCellStyle="Prozent">
      <calculatedColumnFormula>Trainingsabschluss[[#This Row],[Quiz_Frage2_Punkte]]/Max_Frage2</calculatedColumnFormula>
    </tableColumn>
    <tableColumn id="23" xr3:uid="{B5B72526-78DE-4ED8-A6DD-0AA10D17A40D}" name="Frage3_Prozent" dataCellStyle="Prozent">
      <calculatedColumnFormula>Trainingsabschluss[[#This Row],[Quiz_Frage3_Punkte]]/Max_Frage3</calculatedColumnFormula>
    </tableColumn>
    <tableColumn id="22" xr3:uid="{3A6128D9-6ECA-4EEC-BB2F-C97E94318251}" name="Frage4_Prozent" dataCellStyle="Prozent">
      <calculatedColumnFormula>Trainingsabschluss[[#This Row],[Quiz_Frage4_Punkte]]/Max_Frage4</calculatedColumnFormula>
    </tableColumn>
    <tableColumn id="21" xr3:uid="{E3F4CC6C-D320-47D9-A326-64CA4224A4D2}" name="Frage5_Prozent" dataCellStyle="Prozent">
      <calculatedColumnFormula>Trainingsabschluss[[#This Row],[Quiz_Frage5_Punkte]]/Max_Frage5</calculatedColumnFormula>
    </tableColumn>
    <tableColumn id="8" xr3:uid="{1ED5026F-8DC6-482C-BA91-76C43C76DABD}" name="Quizergebnis" dataDxfId="15">
      <calculatedColumnFormula>Trainingsabschluss[[#This Row],[Quiz_Frage1_Punkte]]+Trainingsabschluss[[#This Row],[Quiz_Frage2_Punkte]]+Trainingsabschluss[[#This Row],[Quiz_Frage3_Punkte]]+Trainingsabschluss[[#This Row],[Quiz_Frage4_Punkte]]+Trainingsabschluss[[#This Row],[Quiz_Frage5_Punkte]]</calculatedColumnFormula>
    </tableColumn>
    <tableColumn id="12" xr3:uid="{02768595-70E8-484D-8259-2F6E2B4F7E72}" name="Quizergebnis_Prozent" dataDxfId="14">
      <calculatedColumnFormula>Trainingsabschluss[[#This Row],[Quizergebnis]]/Max_Quizergebnis</calculatedColumnFormula>
    </tableColumn>
    <tableColumn id="11" xr3:uid="{D625A984-49E2-4A0A-8F26-E66E10A983BD}" name="Quizergebnis_Note" dataDxfId="13">
      <calculatedColumnFormula array="1">_xlfn.IFS(Trainingsabschluss[[#This Row],[Quizergebnis_Prozent]]&lt;0.5, "Nicht bestanden",
Trainingsabschluss[[#This Row],[Quizergebnis_Prozent]]&lt;0.65, "Bestanden",
Trainingsabschluss[[#This Row],[Quizergebnis_Prozent]]&lt;0.8, "Gut bestanden",
TRUE, "Sehr gut bestanden")</calculatedColumnFormula>
    </tableColumn>
    <tableColumn id="7" xr3:uid="{378BB6F8-559D-4FFA-BB08-F568FC8FC2D8}" name="Training_Bewertung" dataDxfId="12"/>
    <tableColumn id="10" xr3:uid="{881A1698-4BAA-4F1E-993E-052F87209CE2}" name="Bewertungssegment" dataDxfId="11">
      <calculatedColumnFormula array="1">_xlfn.IFS(Trainingsabschluss[[#This Row],[Training_Bewertung]]&gt;=9, "Promotor", Trainingsabschluss[[#This Row],[Training_Bewertung]]
&lt;=6, "Detraktor",
TRUE, "Passiv")</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14DE1D-2513-4802-AAD0-223E6C353B65}" name="Lektionen" displayName="Lektionen" ref="A1:I3897" totalsRowShown="0">
  <autoFilter ref="A1:I3897" xr:uid="{5E14DE1D-2513-4802-AAD0-223E6C353B65}">
    <filterColumn colId="2">
      <filters>
        <filter val="Forecasting"/>
      </filters>
    </filterColumn>
  </autoFilter>
  <tableColumns count="9">
    <tableColumn id="1" xr3:uid="{27FDE11A-0BC2-46E7-9B33-BDF4EF4EB5B0}" name="UserID" dataDxfId="10"/>
    <tableColumn id="2" xr3:uid="{9A90389D-C6E9-4785-9F08-3808BD0D540A}" name="Lektionsnummer" dataDxfId="9"/>
    <tableColumn id="3" xr3:uid="{0DDAC783-124B-4C5E-ABE5-FF61F4BDC6EF}" name="Lektionstitel"/>
    <tableColumn id="4" xr3:uid="{414E0E40-9A01-4194-939A-C9387B183494}" name="Lektionstyp"/>
    <tableColumn id="5" xr3:uid="{D4C85BFD-8DB9-4E7C-8B74-A16793FF435B}" name="Bearbeitungsdauer_geschätzt"/>
    <tableColumn id="6" xr3:uid="{0032BD83-42D8-4136-BA32-DDFEB1D00973}" name="Bearbeitungsdauer_real"/>
    <tableColumn id="8" xr3:uid="{B96ED7B7-BA4B-4B0C-A182-CA23CB0BBA94}" name="Bearbeitungsdauer_abgewichen" dataDxfId="8">
      <calculatedColumnFormula>Lektionen[[#This Row],[Bearbeitungsdauer_real]]/Lektionen[[#This Row],[Bearbeitungsdauer_geschätzt]]-1</calculatedColumnFormula>
    </tableColumn>
    <tableColumn id="10" xr3:uid="{8816C021-7E6B-4795-96F6-30C3FA4C5B0A}" name="Bearbeitungsdauer_Abweichungskategorie" dataDxfId="7">
      <calculatedColumnFormula array="1">_xlfn.IFS(Lektionen[[#This Row],[Bearbeitungsdauer_abgewichen]]&gt;0.6,"viel länger",Lektionen[[#This Row],[Bearbeitungsdauer_abgewichen]]&gt;0.3,"länger",Lektionen[[#This Row],[Bearbeitungsdauer_abgewichen]]&lt;-0.3,"kürzer",TRUE,"keine Abweichung")</calculatedColumnFormula>
    </tableColumn>
    <tableColumn id="7" xr3:uid="{09FCC17F-7C58-4E9B-A033-52084A5C8C38}" name="Bewertung_Schwierigkeit"/>
  </tableColumns>
  <tableStyleInfo name="TableStyleMedium9" showFirstColumn="0" showLastColumn="0" showRowStripes="1" showColumnStripes="0"/>
</table>
</file>

<file path=xl/theme/theme1.xml><?xml version="1.0" encoding="utf-8"?>
<a:theme xmlns:a="http://schemas.openxmlformats.org/drawingml/2006/main" name="SF_Excel_Design">
  <a:themeElements>
    <a:clrScheme name="StackFuel">
      <a:dk1>
        <a:srgbClr val="000000"/>
      </a:dk1>
      <a:lt1>
        <a:srgbClr val="FFFFFF"/>
      </a:lt1>
      <a:dk2>
        <a:srgbClr val="140046"/>
      </a:dk2>
      <a:lt2>
        <a:srgbClr val="5500EB"/>
      </a:lt2>
      <a:accent1>
        <a:srgbClr val="551EEA"/>
      </a:accent1>
      <a:accent2>
        <a:srgbClr val="BCC7FA"/>
      </a:accent2>
      <a:accent3>
        <a:srgbClr val="E5E8FD"/>
      </a:accent3>
      <a:accent4>
        <a:srgbClr val="CBC8BF"/>
      </a:accent4>
      <a:accent5>
        <a:srgbClr val="E8637F"/>
      </a:accent5>
      <a:accent6>
        <a:srgbClr val="32B185"/>
      </a:accent6>
      <a:hlink>
        <a:srgbClr val="5500EB"/>
      </a:hlink>
      <a:folHlink>
        <a:srgbClr val="551EEA"/>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8"/>
  <sheetViews>
    <sheetView workbookViewId="0">
      <selection activeCell="P20" sqref="P20"/>
    </sheetView>
  </sheetViews>
  <sheetFormatPr baseColWidth="10" defaultColWidth="8.5546875" defaultRowHeight="14.4" x14ac:dyDescent="0.3"/>
  <cols>
    <col min="1" max="1" width="8.6640625" bestFit="1" customWidth="1"/>
    <col min="2" max="2" width="20.5546875" bestFit="1" customWidth="1"/>
    <col min="3" max="3" width="9.5546875" customWidth="1"/>
    <col min="4" max="4" width="18.33203125" customWidth="1"/>
    <col min="5" max="5" width="16.5546875" style="3" customWidth="1"/>
  </cols>
  <sheetData>
    <row r="1" spans="1:6" x14ac:dyDescent="0.3">
      <c r="A1" t="s">
        <v>0</v>
      </c>
      <c r="B1" t="s">
        <v>1</v>
      </c>
      <c r="C1" t="s">
        <v>2</v>
      </c>
      <c r="D1" t="s">
        <v>3</v>
      </c>
      <c r="E1" t="s">
        <v>4</v>
      </c>
      <c r="F1" s="3" t="s">
        <v>5</v>
      </c>
    </row>
    <row r="2" spans="1:6" x14ac:dyDescent="0.3">
      <c r="A2" t="s">
        <v>165</v>
      </c>
      <c r="B2" s="1">
        <v>45352</v>
      </c>
      <c r="C2" s="3">
        <v>25</v>
      </c>
      <c r="D2" s="4" t="s">
        <v>156</v>
      </c>
      <c r="E2" s="4" t="s">
        <v>16</v>
      </c>
      <c r="F2" s="3">
        <v>6</v>
      </c>
    </row>
    <row r="3" spans="1:6" x14ac:dyDescent="0.3">
      <c r="A3" t="s">
        <v>235</v>
      </c>
      <c r="B3" s="1">
        <v>45352</v>
      </c>
      <c r="C3" s="3">
        <v>43</v>
      </c>
      <c r="D3" s="4" t="s">
        <v>156</v>
      </c>
      <c r="E3" s="4" t="s">
        <v>8</v>
      </c>
      <c r="F3" s="3">
        <v>18</v>
      </c>
    </row>
    <row r="4" spans="1:6" x14ac:dyDescent="0.3">
      <c r="A4" t="s">
        <v>389</v>
      </c>
      <c r="B4" s="1">
        <v>45352</v>
      </c>
      <c r="C4" s="3">
        <v>42</v>
      </c>
      <c r="D4" s="4" t="s">
        <v>366</v>
      </c>
      <c r="E4" s="4" t="s">
        <v>8</v>
      </c>
      <c r="F4" s="3">
        <v>13</v>
      </c>
    </row>
    <row r="5" spans="1:6" x14ac:dyDescent="0.3">
      <c r="A5" t="s">
        <v>433</v>
      </c>
      <c r="B5" s="1">
        <v>45352</v>
      </c>
      <c r="C5" s="3">
        <v>39</v>
      </c>
      <c r="D5" s="4" t="s">
        <v>366</v>
      </c>
      <c r="E5" s="4" t="s">
        <v>8</v>
      </c>
      <c r="F5" s="3">
        <v>8</v>
      </c>
    </row>
    <row r="6" spans="1:6" x14ac:dyDescent="0.3">
      <c r="A6" t="s">
        <v>57</v>
      </c>
      <c r="B6" s="1">
        <v>45353</v>
      </c>
      <c r="C6" s="3">
        <v>42</v>
      </c>
      <c r="D6" s="4" t="s">
        <v>7</v>
      </c>
      <c r="E6" s="4" t="s">
        <v>8</v>
      </c>
      <c r="F6" s="3">
        <v>22</v>
      </c>
    </row>
    <row r="7" spans="1:6" x14ac:dyDescent="0.3">
      <c r="A7" t="s">
        <v>277</v>
      </c>
      <c r="B7" s="1">
        <v>45353</v>
      </c>
      <c r="C7" s="3">
        <v>38</v>
      </c>
      <c r="D7" s="4" t="s">
        <v>265</v>
      </c>
      <c r="E7" s="4" t="s">
        <v>8</v>
      </c>
      <c r="F7" s="3">
        <v>3</v>
      </c>
    </row>
    <row r="8" spans="1:6" x14ac:dyDescent="0.3">
      <c r="A8" t="s">
        <v>285</v>
      </c>
      <c r="B8" s="1">
        <v>45353</v>
      </c>
      <c r="C8" s="3">
        <v>39</v>
      </c>
      <c r="D8" s="4" t="s">
        <v>286</v>
      </c>
      <c r="E8" s="4" t="s">
        <v>8</v>
      </c>
      <c r="F8" s="3">
        <v>2</v>
      </c>
    </row>
    <row r="9" spans="1:6" x14ac:dyDescent="0.3">
      <c r="A9" t="s">
        <v>427</v>
      </c>
      <c r="B9" s="1">
        <v>45353</v>
      </c>
      <c r="C9" s="3">
        <v>42</v>
      </c>
      <c r="D9" s="4" t="s">
        <v>366</v>
      </c>
      <c r="E9" s="4" t="s">
        <v>13</v>
      </c>
      <c r="F9" s="3">
        <v>18</v>
      </c>
    </row>
    <row r="10" spans="1:6" x14ac:dyDescent="0.3">
      <c r="A10" t="s">
        <v>135</v>
      </c>
      <c r="B10" s="1">
        <v>45354</v>
      </c>
      <c r="C10" s="3">
        <v>28</v>
      </c>
      <c r="D10" s="4" t="s">
        <v>7</v>
      </c>
      <c r="E10" s="4" t="s">
        <v>8</v>
      </c>
      <c r="F10" s="3">
        <v>2</v>
      </c>
    </row>
    <row r="11" spans="1:6" x14ac:dyDescent="0.3">
      <c r="A11" t="s">
        <v>229</v>
      </c>
      <c r="B11" s="1">
        <v>45354</v>
      </c>
      <c r="C11" s="3">
        <v>29</v>
      </c>
      <c r="D11" s="4" t="s">
        <v>156</v>
      </c>
      <c r="E11" s="4" t="s">
        <v>13</v>
      </c>
      <c r="F11" s="3">
        <v>5</v>
      </c>
    </row>
    <row r="12" spans="1:6" x14ac:dyDescent="0.3">
      <c r="A12" t="s">
        <v>152</v>
      </c>
      <c r="B12" s="1">
        <v>45355</v>
      </c>
      <c r="C12" s="3">
        <v>39</v>
      </c>
      <c r="D12" s="4" t="s">
        <v>140</v>
      </c>
      <c r="E12" s="4" t="s">
        <v>8</v>
      </c>
      <c r="F12" s="3">
        <v>18</v>
      </c>
    </row>
    <row r="13" spans="1:6" x14ac:dyDescent="0.3">
      <c r="A13" t="s">
        <v>166</v>
      </c>
      <c r="B13" s="1">
        <v>45355</v>
      </c>
      <c r="C13" s="3">
        <v>28</v>
      </c>
      <c r="D13" s="4" t="s">
        <v>156</v>
      </c>
      <c r="E13" s="4" t="s">
        <v>8</v>
      </c>
      <c r="F13" s="3">
        <v>6</v>
      </c>
    </row>
    <row r="14" spans="1:6" x14ac:dyDescent="0.3">
      <c r="A14" t="s">
        <v>62</v>
      </c>
      <c r="B14" s="1">
        <v>45356</v>
      </c>
      <c r="C14" s="3">
        <v>33</v>
      </c>
      <c r="D14" s="4" t="s">
        <v>10</v>
      </c>
      <c r="E14" s="4"/>
      <c r="F14" s="3">
        <v>14</v>
      </c>
    </row>
    <row r="15" spans="1:6" x14ac:dyDescent="0.3">
      <c r="A15" t="s">
        <v>440</v>
      </c>
      <c r="B15" s="1">
        <v>45356</v>
      </c>
      <c r="C15" s="3">
        <v>42</v>
      </c>
      <c r="D15" s="4" t="s">
        <v>366</v>
      </c>
      <c r="E15" s="4" t="s">
        <v>8</v>
      </c>
      <c r="F15" s="3">
        <v>18</v>
      </c>
    </row>
    <row r="16" spans="1:6" x14ac:dyDescent="0.3">
      <c r="A16" t="s">
        <v>507</v>
      </c>
      <c r="B16" s="1">
        <v>45356</v>
      </c>
      <c r="C16" s="3">
        <v>36</v>
      </c>
      <c r="D16" s="4" t="s">
        <v>488</v>
      </c>
      <c r="E16" s="4" t="s">
        <v>13</v>
      </c>
      <c r="F16" s="3">
        <v>5</v>
      </c>
    </row>
    <row r="17" spans="1:6" x14ac:dyDescent="0.3">
      <c r="A17" t="s">
        <v>142</v>
      </c>
      <c r="B17" s="1">
        <v>45357</v>
      </c>
      <c r="C17" s="3">
        <v>33</v>
      </c>
      <c r="D17" s="4" t="s">
        <v>140</v>
      </c>
      <c r="E17" s="4" t="s">
        <v>13</v>
      </c>
      <c r="F17" s="3">
        <v>4</v>
      </c>
    </row>
    <row r="18" spans="1:6" x14ac:dyDescent="0.3">
      <c r="A18" t="s">
        <v>193</v>
      </c>
      <c r="B18" s="1">
        <v>45357</v>
      </c>
      <c r="C18" s="3">
        <v>29</v>
      </c>
      <c r="D18" s="4" t="s">
        <v>156</v>
      </c>
      <c r="E18" s="4" t="s">
        <v>8</v>
      </c>
      <c r="F18" s="3">
        <v>6</v>
      </c>
    </row>
    <row r="19" spans="1:6" x14ac:dyDescent="0.3">
      <c r="A19" t="s">
        <v>338</v>
      </c>
      <c r="B19" s="1">
        <v>45357</v>
      </c>
      <c r="C19" s="3">
        <v>38</v>
      </c>
      <c r="D19" s="4" t="s">
        <v>328</v>
      </c>
      <c r="E19" s="4" t="s">
        <v>8</v>
      </c>
      <c r="F19" s="3">
        <v>6</v>
      </c>
    </row>
    <row r="20" spans="1:6" x14ac:dyDescent="0.3">
      <c r="A20" t="s">
        <v>82</v>
      </c>
      <c r="B20" s="1">
        <v>45358</v>
      </c>
      <c r="C20" s="3">
        <v>28</v>
      </c>
      <c r="D20" s="4" t="s">
        <v>12</v>
      </c>
      <c r="E20" s="4" t="s">
        <v>8</v>
      </c>
      <c r="F20" s="3">
        <v>4</v>
      </c>
    </row>
    <row r="21" spans="1:6" x14ac:dyDescent="0.3">
      <c r="A21" t="s">
        <v>391</v>
      </c>
      <c r="B21" s="1">
        <v>45358</v>
      </c>
      <c r="C21" s="3">
        <v>42</v>
      </c>
      <c r="D21" s="4" t="s">
        <v>366</v>
      </c>
      <c r="E21" s="4" t="s">
        <v>16</v>
      </c>
      <c r="F21" s="3">
        <v>13</v>
      </c>
    </row>
    <row r="22" spans="1:6" x14ac:dyDescent="0.3">
      <c r="A22" t="s">
        <v>434</v>
      </c>
      <c r="B22" s="1">
        <v>45358</v>
      </c>
      <c r="C22" s="3">
        <v>35</v>
      </c>
      <c r="D22" s="4" t="s">
        <v>366</v>
      </c>
      <c r="E22" s="4"/>
      <c r="F22" s="3">
        <v>13</v>
      </c>
    </row>
    <row r="23" spans="1:6" x14ac:dyDescent="0.3">
      <c r="A23" t="s">
        <v>481</v>
      </c>
      <c r="B23" s="1">
        <v>45358</v>
      </c>
      <c r="C23" s="3">
        <v>37</v>
      </c>
      <c r="D23" s="4" t="s">
        <v>366</v>
      </c>
      <c r="E23" s="4" t="s">
        <v>16</v>
      </c>
      <c r="F23" s="3">
        <v>11</v>
      </c>
    </row>
    <row r="24" spans="1:6" x14ac:dyDescent="0.3">
      <c r="A24" t="s">
        <v>56</v>
      </c>
      <c r="B24" s="1">
        <v>45359</v>
      </c>
      <c r="C24" s="3">
        <v>30</v>
      </c>
      <c r="D24" s="4" t="s">
        <v>10</v>
      </c>
      <c r="E24" s="4" t="s">
        <v>8</v>
      </c>
      <c r="F24" s="3">
        <v>2</v>
      </c>
    </row>
    <row r="25" spans="1:6" x14ac:dyDescent="0.3">
      <c r="A25" t="s">
        <v>76</v>
      </c>
      <c r="B25" s="1">
        <v>45359</v>
      </c>
      <c r="C25" s="3">
        <v>32</v>
      </c>
      <c r="D25" s="4" t="s">
        <v>12</v>
      </c>
      <c r="E25" s="4"/>
      <c r="F25" s="3">
        <v>5</v>
      </c>
    </row>
    <row r="26" spans="1:6" x14ac:dyDescent="0.3">
      <c r="A26" t="s">
        <v>209</v>
      </c>
      <c r="B26" s="1">
        <v>45359</v>
      </c>
      <c r="C26" s="3">
        <v>43</v>
      </c>
      <c r="D26" s="4" t="s">
        <v>156</v>
      </c>
      <c r="E26" s="4" t="s">
        <v>13</v>
      </c>
      <c r="F26" s="3">
        <v>8</v>
      </c>
    </row>
    <row r="27" spans="1:6" x14ac:dyDescent="0.3">
      <c r="A27" t="s">
        <v>330</v>
      </c>
      <c r="B27" s="1">
        <v>45359</v>
      </c>
      <c r="C27" s="3">
        <v>36</v>
      </c>
      <c r="D27" s="4" t="s">
        <v>328</v>
      </c>
      <c r="E27" s="4" t="s">
        <v>8</v>
      </c>
      <c r="F27" s="3">
        <v>2</v>
      </c>
    </row>
    <row r="28" spans="1:6" x14ac:dyDescent="0.3">
      <c r="A28" t="s">
        <v>380</v>
      </c>
      <c r="B28" s="1">
        <v>45359</v>
      </c>
      <c r="C28" s="3">
        <v>35</v>
      </c>
      <c r="D28" s="4" t="s">
        <v>366</v>
      </c>
      <c r="E28" s="4"/>
      <c r="F28" s="3">
        <v>4</v>
      </c>
    </row>
    <row r="29" spans="1:6" x14ac:dyDescent="0.3">
      <c r="A29" t="s">
        <v>479</v>
      </c>
      <c r="B29" s="1">
        <v>45359</v>
      </c>
      <c r="C29" s="3">
        <v>39</v>
      </c>
      <c r="D29" s="4" t="s">
        <v>366</v>
      </c>
      <c r="E29" s="4" t="s">
        <v>16</v>
      </c>
      <c r="F29" s="3">
        <v>8</v>
      </c>
    </row>
    <row r="30" spans="1:6" x14ac:dyDescent="0.3">
      <c r="A30" t="s">
        <v>77</v>
      </c>
      <c r="B30" s="1">
        <v>45360</v>
      </c>
      <c r="C30" s="3">
        <v>31</v>
      </c>
      <c r="D30" s="4" t="s">
        <v>7</v>
      </c>
      <c r="E30" s="4" t="s">
        <v>13</v>
      </c>
      <c r="F30" s="3">
        <v>4</v>
      </c>
    </row>
    <row r="31" spans="1:6" x14ac:dyDescent="0.3">
      <c r="A31" t="s">
        <v>251</v>
      </c>
      <c r="B31" s="1">
        <v>45360</v>
      </c>
      <c r="C31" s="3">
        <v>33</v>
      </c>
      <c r="D31" s="4" t="s">
        <v>156</v>
      </c>
      <c r="E31" s="4"/>
      <c r="F31" s="3">
        <v>9</v>
      </c>
    </row>
    <row r="32" spans="1:6" x14ac:dyDescent="0.3">
      <c r="A32" t="s">
        <v>377</v>
      </c>
      <c r="B32" s="1">
        <v>45360</v>
      </c>
      <c r="C32" s="3">
        <v>38</v>
      </c>
      <c r="D32" s="4" t="s">
        <v>366</v>
      </c>
      <c r="E32" s="4" t="s">
        <v>8</v>
      </c>
      <c r="F32" s="3">
        <v>6</v>
      </c>
    </row>
    <row r="33" spans="1:6" x14ac:dyDescent="0.3">
      <c r="A33" t="s">
        <v>399</v>
      </c>
      <c r="B33" s="1">
        <v>45360</v>
      </c>
      <c r="C33" s="3">
        <v>33</v>
      </c>
      <c r="D33" s="4" t="s">
        <v>366</v>
      </c>
      <c r="E33" s="4" t="s">
        <v>8</v>
      </c>
      <c r="F33" s="3">
        <v>8</v>
      </c>
    </row>
    <row r="34" spans="1:6" x14ac:dyDescent="0.3">
      <c r="A34" t="s">
        <v>271</v>
      </c>
      <c r="B34" s="1">
        <v>45361</v>
      </c>
      <c r="C34" s="3">
        <v>26</v>
      </c>
      <c r="D34" s="4" t="s">
        <v>265</v>
      </c>
      <c r="E34" s="4" t="s">
        <v>16</v>
      </c>
      <c r="F34" s="3">
        <v>6</v>
      </c>
    </row>
    <row r="35" spans="1:6" x14ac:dyDescent="0.3">
      <c r="A35" t="s">
        <v>291</v>
      </c>
      <c r="B35" s="1">
        <v>45361</v>
      </c>
      <c r="C35" s="3">
        <v>39</v>
      </c>
      <c r="D35" s="4" t="s">
        <v>286</v>
      </c>
      <c r="E35" s="4" t="s">
        <v>8</v>
      </c>
      <c r="F35" s="3">
        <v>13</v>
      </c>
    </row>
    <row r="36" spans="1:6" x14ac:dyDescent="0.3">
      <c r="A36" t="s">
        <v>58</v>
      </c>
      <c r="B36" s="1">
        <v>45362</v>
      </c>
      <c r="C36" s="3">
        <v>25</v>
      </c>
      <c r="D36" s="4" t="s">
        <v>7</v>
      </c>
      <c r="E36" s="4"/>
      <c r="F36" s="3">
        <v>1</v>
      </c>
    </row>
    <row r="37" spans="1:6" x14ac:dyDescent="0.3">
      <c r="A37" t="s">
        <v>155</v>
      </c>
      <c r="B37" s="1">
        <v>45362</v>
      </c>
      <c r="C37" s="3">
        <v>32</v>
      </c>
      <c r="D37" s="4" t="s">
        <v>156</v>
      </c>
      <c r="E37" s="4" t="s">
        <v>8</v>
      </c>
      <c r="F37" s="3">
        <v>6</v>
      </c>
    </row>
    <row r="38" spans="1:6" x14ac:dyDescent="0.3">
      <c r="A38" t="s">
        <v>219</v>
      </c>
      <c r="B38" s="1">
        <v>45362</v>
      </c>
      <c r="C38" s="3">
        <v>24</v>
      </c>
      <c r="D38" s="4" t="s">
        <v>156</v>
      </c>
      <c r="E38" s="4" t="s">
        <v>13</v>
      </c>
      <c r="F38" s="3">
        <v>4</v>
      </c>
    </row>
    <row r="39" spans="1:6" x14ac:dyDescent="0.3">
      <c r="A39" t="s">
        <v>428</v>
      </c>
      <c r="B39" s="1">
        <v>45363</v>
      </c>
      <c r="C39" s="3">
        <v>37</v>
      </c>
      <c r="D39" s="4" t="s">
        <v>366</v>
      </c>
      <c r="E39" s="4" t="s">
        <v>8</v>
      </c>
      <c r="F39" s="3">
        <v>13</v>
      </c>
    </row>
    <row r="40" spans="1:6" x14ac:dyDescent="0.3">
      <c r="A40" t="s">
        <v>218</v>
      </c>
      <c r="B40" s="1">
        <v>45364</v>
      </c>
      <c r="C40" s="3">
        <v>39</v>
      </c>
      <c r="D40" s="4" t="s">
        <v>156</v>
      </c>
      <c r="E40" s="4" t="s">
        <v>8</v>
      </c>
      <c r="F40" s="3">
        <v>13</v>
      </c>
    </row>
    <row r="41" spans="1:6" x14ac:dyDescent="0.3">
      <c r="A41" t="s">
        <v>447</v>
      </c>
      <c r="B41" s="1">
        <v>45364</v>
      </c>
      <c r="C41" s="3">
        <v>28</v>
      </c>
      <c r="D41" s="4" t="s">
        <v>366</v>
      </c>
      <c r="E41" s="4"/>
      <c r="F41" s="3">
        <v>10</v>
      </c>
    </row>
    <row r="42" spans="1:6" x14ac:dyDescent="0.3">
      <c r="A42" t="s">
        <v>454</v>
      </c>
      <c r="B42" s="1">
        <v>45364</v>
      </c>
      <c r="C42" s="3">
        <v>29</v>
      </c>
      <c r="D42" s="4" t="s">
        <v>366</v>
      </c>
      <c r="E42" s="4" t="s">
        <v>16</v>
      </c>
      <c r="F42" s="3">
        <v>6</v>
      </c>
    </row>
    <row r="43" spans="1:6" x14ac:dyDescent="0.3">
      <c r="A43" t="s">
        <v>322</v>
      </c>
      <c r="B43" s="1">
        <v>45365</v>
      </c>
      <c r="C43" s="3">
        <v>28</v>
      </c>
      <c r="D43" s="4" t="s">
        <v>305</v>
      </c>
      <c r="E43" s="4" t="s">
        <v>8</v>
      </c>
      <c r="F43" s="3">
        <v>2</v>
      </c>
    </row>
    <row r="44" spans="1:6" x14ac:dyDescent="0.3">
      <c r="A44" t="s">
        <v>463</v>
      </c>
      <c r="B44" s="1">
        <v>45365</v>
      </c>
      <c r="C44" s="3">
        <v>24</v>
      </c>
      <c r="D44" s="4" t="s">
        <v>366</v>
      </c>
      <c r="E44" s="4"/>
      <c r="F44" s="3">
        <v>4</v>
      </c>
    </row>
    <row r="45" spans="1:6" x14ac:dyDescent="0.3">
      <c r="A45" t="s">
        <v>476</v>
      </c>
      <c r="B45" s="1">
        <v>45365</v>
      </c>
      <c r="C45" s="3">
        <v>32</v>
      </c>
      <c r="D45" s="4" t="s">
        <v>366</v>
      </c>
      <c r="E45" s="4"/>
      <c r="F45" s="3">
        <v>13</v>
      </c>
    </row>
    <row r="46" spans="1:6" x14ac:dyDescent="0.3">
      <c r="A46" t="s">
        <v>485</v>
      </c>
      <c r="B46" s="1">
        <v>45365</v>
      </c>
      <c r="C46" s="3">
        <v>42</v>
      </c>
      <c r="D46" s="4" t="s">
        <v>366</v>
      </c>
      <c r="E46" s="4"/>
      <c r="F46" s="3">
        <v>21</v>
      </c>
    </row>
    <row r="47" spans="1:6" x14ac:dyDescent="0.3">
      <c r="A47" t="s">
        <v>32</v>
      </c>
      <c r="B47" s="1">
        <v>45366</v>
      </c>
      <c r="C47" s="3">
        <v>44</v>
      </c>
      <c r="D47" s="4" t="s">
        <v>12</v>
      </c>
      <c r="E47" s="4" t="s">
        <v>8</v>
      </c>
      <c r="F47" s="3">
        <v>10</v>
      </c>
    </row>
    <row r="48" spans="1:6" x14ac:dyDescent="0.3">
      <c r="A48" t="s">
        <v>329</v>
      </c>
      <c r="B48" s="1">
        <v>45366</v>
      </c>
      <c r="C48" s="3">
        <v>45</v>
      </c>
      <c r="D48" s="4" t="s">
        <v>328</v>
      </c>
      <c r="E48" s="4" t="s">
        <v>8</v>
      </c>
      <c r="F48" s="3">
        <v>13</v>
      </c>
    </row>
    <row r="49" spans="1:6" x14ac:dyDescent="0.3">
      <c r="A49" t="s">
        <v>489</v>
      </c>
      <c r="B49" s="1">
        <v>45366</v>
      </c>
      <c r="C49" s="3">
        <v>45</v>
      </c>
      <c r="D49" s="4" t="s">
        <v>488</v>
      </c>
      <c r="E49" s="4" t="s">
        <v>13</v>
      </c>
      <c r="F49" s="3">
        <v>11</v>
      </c>
    </row>
    <row r="50" spans="1:6" x14ac:dyDescent="0.3">
      <c r="A50" t="s">
        <v>198</v>
      </c>
      <c r="B50" s="1">
        <v>45367</v>
      </c>
      <c r="C50" s="3">
        <v>30</v>
      </c>
      <c r="D50" s="4" t="s">
        <v>156</v>
      </c>
      <c r="E50" s="4"/>
      <c r="F50" s="3">
        <v>9</v>
      </c>
    </row>
    <row r="51" spans="1:6" x14ac:dyDescent="0.3">
      <c r="A51" t="s">
        <v>223</v>
      </c>
      <c r="B51" s="1">
        <v>45367</v>
      </c>
      <c r="C51" s="3">
        <v>39</v>
      </c>
      <c r="D51" s="4" t="s">
        <v>156</v>
      </c>
      <c r="E51" s="4" t="s">
        <v>8</v>
      </c>
      <c r="F51" s="3">
        <v>11</v>
      </c>
    </row>
    <row r="52" spans="1:6" x14ac:dyDescent="0.3">
      <c r="A52" t="s">
        <v>430</v>
      </c>
      <c r="B52" s="1">
        <v>45367</v>
      </c>
      <c r="C52" s="3">
        <v>35</v>
      </c>
      <c r="D52" s="4" t="s">
        <v>366</v>
      </c>
      <c r="E52" s="4" t="s">
        <v>16</v>
      </c>
      <c r="F52" s="3">
        <v>9</v>
      </c>
    </row>
    <row r="53" spans="1:6" x14ac:dyDescent="0.3">
      <c r="A53" t="s">
        <v>497</v>
      </c>
      <c r="B53" s="1">
        <v>45367</v>
      </c>
      <c r="C53" s="3">
        <v>41</v>
      </c>
      <c r="D53" s="4" t="s">
        <v>488</v>
      </c>
      <c r="E53" s="4" t="s">
        <v>8</v>
      </c>
      <c r="F53" s="3">
        <v>18</v>
      </c>
    </row>
    <row r="54" spans="1:6" x14ac:dyDescent="0.3">
      <c r="A54" t="s">
        <v>467</v>
      </c>
      <c r="B54" s="1">
        <v>45368</v>
      </c>
      <c r="C54" s="3">
        <v>37</v>
      </c>
      <c r="D54" s="4" t="s">
        <v>366</v>
      </c>
      <c r="E54" s="4" t="s">
        <v>8</v>
      </c>
      <c r="F54" s="3">
        <v>10</v>
      </c>
    </row>
    <row r="55" spans="1:6" x14ac:dyDescent="0.3">
      <c r="A55" t="s">
        <v>297</v>
      </c>
      <c r="B55" s="1">
        <v>45369</v>
      </c>
      <c r="C55" s="3">
        <v>35</v>
      </c>
      <c r="D55" s="4" t="s">
        <v>286</v>
      </c>
      <c r="E55" s="4" t="s">
        <v>8</v>
      </c>
      <c r="F55" s="3">
        <v>10</v>
      </c>
    </row>
    <row r="56" spans="1:6" x14ac:dyDescent="0.3">
      <c r="A56" t="s">
        <v>318</v>
      </c>
      <c r="B56" s="1">
        <v>45369</v>
      </c>
      <c r="C56" s="3">
        <v>26</v>
      </c>
      <c r="D56" s="4" t="s">
        <v>305</v>
      </c>
      <c r="E56" s="4"/>
      <c r="F56" s="3">
        <v>7</v>
      </c>
    </row>
    <row r="57" spans="1:6" x14ac:dyDescent="0.3">
      <c r="A57" t="s">
        <v>503</v>
      </c>
      <c r="B57" s="1">
        <v>45369</v>
      </c>
      <c r="C57" s="3">
        <v>42</v>
      </c>
      <c r="D57" s="4" t="s">
        <v>488</v>
      </c>
      <c r="E57" s="4" t="s">
        <v>8</v>
      </c>
      <c r="F57" s="3">
        <v>8</v>
      </c>
    </row>
    <row r="58" spans="1:6" x14ac:dyDescent="0.3">
      <c r="A58" t="s">
        <v>67</v>
      </c>
      <c r="B58" s="1">
        <v>45370</v>
      </c>
      <c r="C58" s="3">
        <v>45</v>
      </c>
      <c r="D58" s="4" t="s">
        <v>10</v>
      </c>
      <c r="E58" s="4" t="s">
        <v>8</v>
      </c>
      <c r="F58" s="3">
        <v>12</v>
      </c>
    </row>
    <row r="59" spans="1:6" x14ac:dyDescent="0.3">
      <c r="A59" t="s">
        <v>311</v>
      </c>
      <c r="B59" s="1">
        <v>45370</v>
      </c>
      <c r="C59" s="3">
        <v>32</v>
      </c>
      <c r="D59" s="4" t="s">
        <v>305</v>
      </c>
      <c r="E59" s="4" t="s">
        <v>8</v>
      </c>
      <c r="F59" s="3">
        <v>9</v>
      </c>
    </row>
    <row r="60" spans="1:6" x14ac:dyDescent="0.3">
      <c r="A60" t="s">
        <v>499</v>
      </c>
      <c r="B60" s="1">
        <v>45371</v>
      </c>
      <c r="C60" s="3">
        <v>30</v>
      </c>
      <c r="D60" s="4" t="s">
        <v>488</v>
      </c>
      <c r="E60" s="4" t="s">
        <v>16</v>
      </c>
      <c r="F60" s="3">
        <v>6</v>
      </c>
    </row>
    <row r="61" spans="1:6" x14ac:dyDescent="0.3">
      <c r="A61" t="s">
        <v>174</v>
      </c>
      <c r="B61" s="1">
        <v>45372</v>
      </c>
      <c r="C61" s="3">
        <v>36</v>
      </c>
      <c r="D61" s="4" t="s">
        <v>156</v>
      </c>
      <c r="E61" s="4"/>
      <c r="F61" s="3">
        <v>11</v>
      </c>
    </row>
    <row r="62" spans="1:6" x14ac:dyDescent="0.3">
      <c r="A62" t="s">
        <v>261</v>
      </c>
      <c r="B62" s="1">
        <v>45372</v>
      </c>
      <c r="C62" s="3">
        <v>44</v>
      </c>
      <c r="D62" s="4" t="s">
        <v>156</v>
      </c>
      <c r="E62" s="4" t="s">
        <v>13</v>
      </c>
      <c r="F62" s="3">
        <v>10</v>
      </c>
    </row>
    <row r="63" spans="1:6" x14ac:dyDescent="0.3">
      <c r="A63" t="s">
        <v>269</v>
      </c>
      <c r="B63" s="1">
        <v>45372</v>
      </c>
      <c r="C63" s="3">
        <v>37</v>
      </c>
      <c r="D63" s="4" t="s">
        <v>265</v>
      </c>
      <c r="E63" s="4" t="s">
        <v>8</v>
      </c>
      <c r="F63" s="3">
        <v>3</v>
      </c>
    </row>
    <row r="64" spans="1:6" x14ac:dyDescent="0.3">
      <c r="A64" t="s">
        <v>282</v>
      </c>
      <c r="B64" s="1">
        <v>45372</v>
      </c>
      <c r="C64" s="3">
        <v>41</v>
      </c>
      <c r="D64" s="4" t="s">
        <v>265</v>
      </c>
      <c r="E64" s="4"/>
      <c r="F64" s="3">
        <v>4</v>
      </c>
    </row>
    <row r="65" spans="1:6" x14ac:dyDescent="0.3">
      <c r="A65" t="s">
        <v>461</v>
      </c>
      <c r="B65" s="1">
        <v>45372</v>
      </c>
      <c r="C65" s="3">
        <v>35</v>
      </c>
      <c r="D65" s="4" t="s">
        <v>366</v>
      </c>
      <c r="E65" s="4" t="s">
        <v>13</v>
      </c>
      <c r="F65" s="3">
        <v>7</v>
      </c>
    </row>
    <row r="66" spans="1:6" x14ac:dyDescent="0.3">
      <c r="A66" t="s">
        <v>462</v>
      </c>
      <c r="B66" s="1">
        <v>45372</v>
      </c>
      <c r="C66" s="3">
        <v>36</v>
      </c>
      <c r="D66" s="4" t="s">
        <v>366</v>
      </c>
      <c r="E66" s="4"/>
      <c r="F66" s="3">
        <v>9</v>
      </c>
    </row>
    <row r="67" spans="1:6" x14ac:dyDescent="0.3">
      <c r="A67" t="s">
        <v>69</v>
      </c>
      <c r="B67" s="1">
        <v>45373</v>
      </c>
      <c r="C67" s="3">
        <v>36</v>
      </c>
      <c r="D67" s="4" t="s">
        <v>12</v>
      </c>
      <c r="E67" s="4"/>
      <c r="F67" s="3">
        <v>11</v>
      </c>
    </row>
    <row r="68" spans="1:6" x14ac:dyDescent="0.3">
      <c r="A68" t="s">
        <v>331</v>
      </c>
      <c r="B68" s="1">
        <v>45373</v>
      </c>
      <c r="C68" s="3">
        <v>25</v>
      </c>
      <c r="D68" s="4" t="s">
        <v>328</v>
      </c>
      <c r="E68" s="4" t="s">
        <v>8</v>
      </c>
      <c r="F68" s="3">
        <v>3</v>
      </c>
    </row>
    <row r="69" spans="1:6" x14ac:dyDescent="0.3">
      <c r="A69" t="s">
        <v>405</v>
      </c>
      <c r="B69" s="1">
        <v>45373</v>
      </c>
      <c r="C69" s="3">
        <v>29</v>
      </c>
      <c r="D69" s="4" t="s">
        <v>366</v>
      </c>
      <c r="E69" s="4" t="s">
        <v>8</v>
      </c>
      <c r="F69" s="3">
        <v>2</v>
      </c>
    </row>
    <row r="70" spans="1:6" x14ac:dyDescent="0.3">
      <c r="A70" t="s">
        <v>448</v>
      </c>
      <c r="B70" s="1">
        <v>45373</v>
      </c>
      <c r="C70" s="3">
        <v>31</v>
      </c>
      <c r="D70" s="4" t="s">
        <v>366</v>
      </c>
      <c r="E70" s="4" t="s">
        <v>16</v>
      </c>
      <c r="F70" s="3">
        <v>7</v>
      </c>
    </row>
    <row r="71" spans="1:6" x14ac:dyDescent="0.3">
      <c r="A71" t="s">
        <v>225</v>
      </c>
      <c r="B71" s="1">
        <v>45374</v>
      </c>
      <c r="C71" s="3">
        <v>36</v>
      </c>
      <c r="D71" s="4" t="s">
        <v>156</v>
      </c>
      <c r="E71" s="4" t="s">
        <v>13</v>
      </c>
      <c r="F71" s="3">
        <v>13</v>
      </c>
    </row>
    <row r="72" spans="1:6" x14ac:dyDescent="0.3">
      <c r="A72" t="s">
        <v>239</v>
      </c>
      <c r="B72" s="1">
        <v>45374</v>
      </c>
      <c r="C72" s="3">
        <v>40</v>
      </c>
      <c r="D72" s="4" t="s">
        <v>156</v>
      </c>
      <c r="E72" s="4" t="s">
        <v>13</v>
      </c>
      <c r="F72" s="3">
        <v>13</v>
      </c>
    </row>
    <row r="73" spans="1:6" x14ac:dyDescent="0.3">
      <c r="A73" t="s">
        <v>185</v>
      </c>
      <c r="B73" s="1">
        <v>45375</v>
      </c>
      <c r="C73" s="3">
        <v>38</v>
      </c>
      <c r="D73" s="4" t="s">
        <v>156</v>
      </c>
      <c r="E73" s="4" t="s">
        <v>13</v>
      </c>
      <c r="F73" s="3">
        <v>10</v>
      </c>
    </row>
    <row r="74" spans="1:6" x14ac:dyDescent="0.3">
      <c r="A74" t="s">
        <v>200</v>
      </c>
      <c r="B74" s="1">
        <v>45375</v>
      </c>
      <c r="C74" s="3">
        <v>37</v>
      </c>
      <c r="D74" s="4" t="s">
        <v>156</v>
      </c>
      <c r="E74" s="4" t="s">
        <v>8</v>
      </c>
      <c r="F74" s="3">
        <v>3</v>
      </c>
    </row>
    <row r="75" spans="1:6" x14ac:dyDescent="0.3">
      <c r="A75" t="s">
        <v>31</v>
      </c>
      <c r="B75" s="1">
        <v>45376</v>
      </c>
      <c r="C75" s="3">
        <v>35</v>
      </c>
      <c r="D75" s="4" t="s">
        <v>10</v>
      </c>
      <c r="E75" s="4"/>
      <c r="F75" s="3">
        <v>11</v>
      </c>
    </row>
    <row r="76" spans="1:6" x14ac:dyDescent="0.3">
      <c r="A76" t="s">
        <v>34</v>
      </c>
      <c r="B76" s="1">
        <v>45376</v>
      </c>
      <c r="C76" s="3">
        <v>40</v>
      </c>
      <c r="D76" s="4" t="s">
        <v>7</v>
      </c>
      <c r="E76" s="4" t="s">
        <v>8</v>
      </c>
      <c r="F76" s="3">
        <v>20</v>
      </c>
    </row>
    <row r="77" spans="1:6" x14ac:dyDescent="0.3">
      <c r="A77" t="s">
        <v>116</v>
      </c>
      <c r="B77" s="1">
        <v>45376</v>
      </c>
      <c r="C77" s="3">
        <v>29</v>
      </c>
      <c r="D77" s="4" t="s">
        <v>10</v>
      </c>
      <c r="E77" s="4"/>
      <c r="F77" s="3">
        <v>9</v>
      </c>
    </row>
    <row r="78" spans="1:6" x14ac:dyDescent="0.3">
      <c r="A78" t="s">
        <v>278</v>
      </c>
      <c r="B78" s="1">
        <v>45376</v>
      </c>
      <c r="C78" s="3">
        <v>35</v>
      </c>
      <c r="D78" s="4" t="s">
        <v>265</v>
      </c>
      <c r="E78" s="4" t="s">
        <v>8</v>
      </c>
      <c r="F78" s="3">
        <v>14</v>
      </c>
    </row>
    <row r="79" spans="1:6" x14ac:dyDescent="0.3">
      <c r="A79" t="s">
        <v>345</v>
      </c>
      <c r="B79" s="1">
        <v>45376</v>
      </c>
      <c r="C79" s="3">
        <v>39</v>
      </c>
      <c r="D79" s="4" t="s">
        <v>328</v>
      </c>
      <c r="E79" s="4" t="s">
        <v>8</v>
      </c>
      <c r="F79" s="3">
        <v>16</v>
      </c>
    </row>
    <row r="80" spans="1:6" x14ac:dyDescent="0.3">
      <c r="A80" t="s">
        <v>394</v>
      </c>
      <c r="B80" s="1">
        <v>45376</v>
      </c>
      <c r="C80" s="3">
        <v>32</v>
      </c>
      <c r="D80" s="4" t="s">
        <v>366</v>
      </c>
      <c r="E80" s="4" t="s">
        <v>8</v>
      </c>
      <c r="F80" s="3">
        <v>11</v>
      </c>
    </row>
    <row r="81" spans="1:6" x14ac:dyDescent="0.3">
      <c r="A81" t="s">
        <v>102</v>
      </c>
      <c r="B81" s="1">
        <v>45377</v>
      </c>
      <c r="C81" s="3">
        <v>30</v>
      </c>
      <c r="D81" s="4" t="s">
        <v>7</v>
      </c>
      <c r="E81" s="4" t="s">
        <v>8</v>
      </c>
      <c r="F81" s="3">
        <v>8</v>
      </c>
    </row>
    <row r="82" spans="1:6" x14ac:dyDescent="0.3">
      <c r="A82" t="s">
        <v>158</v>
      </c>
      <c r="B82" s="1">
        <v>45377</v>
      </c>
      <c r="C82" s="3">
        <v>31</v>
      </c>
      <c r="D82" s="4" t="s">
        <v>156</v>
      </c>
      <c r="E82" s="4" t="s">
        <v>8</v>
      </c>
      <c r="F82" s="3">
        <v>6</v>
      </c>
    </row>
    <row r="83" spans="1:6" x14ac:dyDescent="0.3">
      <c r="A83" t="s">
        <v>46</v>
      </c>
      <c r="B83" s="1">
        <v>45378</v>
      </c>
      <c r="C83" s="3">
        <v>39</v>
      </c>
      <c r="D83" s="4" t="s">
        <v>12</v>
      </c>
      <c r="E83" s="4" t="s">
        <v>8</v>
      </c>
      <c r="F83" s="3">
        <v>13</v>
      </c>
    </row>
    <row r="84" spans="1:6" x14ac:dyDescent="0.3">
      <c r="A84" t="s">
        <v>183</v>
      </c>
      <c r="B84" s="1">
        <v>45378</v>
      </c>
      <c r="C84" s="3">
        <v>35</v>
      </c>
      <c r="D84" s="4" t="s">
        <v>156</v>
      </c>
      <c r="E84" s="4" t="s">
        <v>16</v>
      </c>
      <c r="F84" s="3">
        <v>8</v>
      </c>
    </row>
    <row r="85" spans="1:6" x14ac:dyDescent="0.3">
      <c r="A85" t="s">
        <v>262</v>
      </c>
      <c r="B85" s="1">
        <v>45378</v>
      </c>
      <c r="C85" s="3">
        <v>33</v>
      </c>
      <c r="D85" s="4" t="s">
        <v>156</v>
      </c>
      <c r="E85" s="4" t="s">
        <v>8</v>
      </c>
      <c r="F85" s="3">
        <v>12</v>
      </c>
    </row>
    <row r="86" spans="1:6" x14ac:dyDescent="0.3">
      <c r="A86" t="s">
        <v>85</v>
      </c>
      <c r="B86" s="1">
        <v>45379</v>
      </c>
      <c r="C86" s="3">
        <v>34</v>
      </c>
      <c r="D86" s="4" t="s">
        <v>12</v>
      </c>
      <c r="E86" s="4" t="s">
        <v>8</v>
      </c>
      <c r="F86" s="3">
        <v>9</v>
      </c>
    </row>
    <row r="87" spans="1:6" x14ac:dyDescent="0.3">
      <c r="A87" t="s">
        <v>409</v>
      </c>
      <c r="B87" s="1">
        <v>45379</v>
      </c>
      <c r="C87" s="3">
        <v>32</v>
      </c>
      <c r="D87" s="4" t="s">
        <v>366</v>
      </c>
      <c r="E87" s="4" t="s">
        <v>8</v>
      </c>
      <c r="F87" s="3">
        <v>6</v>
      </c>
    </row>
    <row r="88" spans="1:6" x14ac:dyDescent="0.3">
      <c r="A88" t="s">
        <v>395</v>
      </c>
      <c r="B88" s="1">
        <v>45380</v>
      </c>
      <c r="C88" s="3">
        <v>39</v>
      </c>
      <c r="D88" s="4" t="s">
        <v>366</v>
      </c>
      <c r="E88" s="4"/>
      <c r="F88" s="3">
        <v>19</v>
      </c>
    </row>
    <row r="89" spans="1:6" x14ac:dyDescent="0.3">
      <c r="A89" t="s">
        <v>445</v>
      </c>
      <c r="B89" s="1">
        <v>45380</v>
      </c>
      <c r="C89" s="3">
        <v>27</v>
      </c>
      <c r="D89" s="4" t="s">
        <v>366</v>
      </c>
      <c r="E89" s="4" t="s">
        <v>8</v>
      </c>
      <c r="F89" s="3">
        <v>6</v>
      </c>
    </row>
    <row r="90" spans="1:6" x14ac:dyDescent="0.3">
      <c r="A90" t="s">
        <v>284</v>
      </c>
      <c r="B90" s="1">
        <v>45382</v>
      </c>
      <c r="C90" s="3">
        <v>42</v>
      </c>
      <c r="D90" s="4" t="s">
        <v>265</v>
      </c>
      <c r="E90" s="4" t="s">
        <v>13</v>
      </c>
      <c r="F90" s="3">
        <v>19</v>
      </c>
    </row>
    <row r="91" spans="1:6" x14ac:dyDescent="0.3">
      <c r="A91" t="s">
        <v>376</v>
      </c>
      <c r="B91" s="1">
        <v>45382</v>
      </c>
      <c r="C91" s="3">
        <v>38</v>
      </c>
      <c r="D91" s="4" t="s">
        <v>366</v>
      </c>
      <c r="E91" s="4" t="s">
        <v>8</v>
      </c>
      <c r="F91" s="3">
        <v>10</v>
      </c>
    </row>
    <row r="92" spans="1:6" x14ac:dyDescent="0.3">
      <c r="A92" t="s">
        <v>496</v>
      </c>
      <c r="B92" s="1">
        <v>45382</v>
      </c>
      <c r="C92" s="3">
        <v>30</v>
      </c>
      <c r="D92" s="4" t="s">
        <v>488</v>
      </c>
      <c r="E92" s="4" t="s">
        <v>8</v>
      </c>
      <c r="F92" s="3">
        <v>10</v>
      </c>
    </row>
    <row r="93" spans="1:6" x14ac:dyDescent="0.3">
      <c r="A93" t="s">
        <v>341</v>
      </c>
      <c r="B93" s="1">
        <v>45383</v>
      </c>
      <c r="C93" s="3">
        <v>35</v>
      </c>
      <c r="D93" s="4" t="s">
        <v>328</v>
      </c>
      <c r="E93" s="4" t="s">
        <v>8</v>
      </c>
      <c r="F93" s="3">
        <v>3</v>
      </c>
    </row>
    <row r="94" spans="1:6" x14ac:dyDescent="0.3">
      <c r="A94" t="s">
        <v>369</v>
      </c>
      <c r="B94" s="1">
        <v>45383</v>
      </c>
      <c r="C94" s="3">
        <v>25</v>
      </c>
      <c r="D94" s="4" t="s">
        <v>366</v>
      </c>
      <c r="E94" s="4"/>
      <c r="F94" s="3">
        <v>5</v>
      </c>
    </row>
    <row r="95" spans="1:6" x14ac:dyDescent="0.3">
      <c r="A95" t="s">
        <v>247</v>
      </c>
      <c r="B95" s="1">
        <v>45384</v>
      </c>
      <c r="C95" s="3">
        <v>31</v>
      </c>
      <c r="D95" s="4" t="s">
        <v>156</v>
      </c>
      <c r="E95" s="4" t="s">
        <v>8</v>
      </c>
      <c r="F95" s="3">
        <v>6</v>
      </c>
    </row>
    <row r="96" spans="1:6" x14ac:dyDescent="0.3">
      <c r="A96" t="s">
        <v>48</v>
      </c>
      <c r="B96" s="1">
        <v>45385</v>
      </c>
      <c r="C96" s="3">
        <v>35</v>
      </c>
      <c r="D96" s="4" t="s">
        <v>7</v>
      </c>
      <c r="E96" s="4"/>
      <c r="F96" s="3">
        <v>12</v>
      </c>
    </row>
    <row r="97" spans="1:6" x14ac:dyDescent="0.3">
      <c r="A97" t="s">
        <v>141</v>
      </c>
      <c r="B97" s="1">
        <v>45385</v>
      </c>
      <c r="C97" s="3">
        <v>42</v>
      </c>
      <c r="D97" s="4" t="s">
        <v>140</v>
      </c>
      <c r="E97" s="4" t="s">
        <v>8</v>
      </c>
      <c r="F97" s="3">
        <v>14</v>
      </c>
    </row>
    <row r="98" spans="1:6" x14ac:dyDescent="0.3">
      <c r="A98" t="s">
        <v>194</v>
      </c>
      <c r="B98" s="1">
        <v>45385</v>
      </c>
      <c r="C98" s="3">
        <v>26</v>
      </c>
      <c r="D98" s="4" t="s">
        <v>156</v>
      </c>
      <c r="E98" s="4" t="s">
        <v>8</v>
      </c>
      <c r="F98" s="3">
        <v>3</v>
      </c>
    </row>
    <row r="99" spans="1:6" x14ac:dyDescent="0.3">
      <c r="A99" t="s">
        <v>133</v>
      </c>
      <c r="B99" s="1">
        <v>45386</v>
      </c>
      <c r="C99" s="3">
        <v>30</v>
      </c>
      <c r="D99" s="4" t="s">
        <v>10</v>
      </c>
      <c r="E99" s="4" t="s">
        <v>13</v>
      </c>
      <c r="F99" s="3">
        <v>6</v>
      </c>
    </row>
    <row r="100" spans="1:6" x14ac:dyDescent="0.3">
      <c r="A100" t="s">
        <v>492</v>
      </c>
      <c r="B100" s="1">
        <v>45386</v>
      </c>
      <c r="C100" s="3">
        <v>35</v>
      </c>
      <c r="D100" s="4" t="s">
        <v>488</v>
      </c>
      <c r="E100" s="4" t="s">
        <v>13</v>
      </c>
      <c r="F100" s="3">
        <v>10</v>
      </c>
    </row>
    <row r="101" spans="1:6" x14ac:dyDescent="0.3">
      <c r="A101" t="s">
        <v>127</v>
      </c>
      <c r="B101" s="1">
        <v>45387</v>
      </c>
      <c r="C101" s="3">
        <v>39</v>
      </c>
      <c r="D101" s="4" t="s">
        <v>12</v>
      </c>
      <c r="E101" s="4" t="s">
        <v>8</v>
      </c>
      <c r="F101" s="3">
        <v>9</v>
      </c>
    </row>
    <row r="102" spans="1:6" x14ac:dyDescent="0.3">
      <c r="A102" t="s">
        <v>206</v>
      </c>
      <c r="B102" s="1">
        <v>45387</v>
      </c>
      <c r="C102" s="3">
        <v>44</v>
      </c>
      <c r="D102" s="4" t="s">
        <v>156</v>
      </c>
      <c r="E102" s="4" t="s">
        <v>8</v>
      </c>
      <c r="F102" s="3">
        <v>16</v>
      </c>
    </row>
    <row r="103" spans="1:6" x14ac:dyDescent="0.3">
      <c r="A103" t="s">
        <v>272</v>
      </c>
      <c r="B103" s="1">
        <v>45387</v>
      </c>
      <c r="C103" s="3">
        <v>34</v>
      </c>
      <c r="D103" s="4" t="s">
        <v>265</v>
      </c>
      <c r="E103" s="4" t="s">
        <v>8</v>
      </c>
      <c r="F103" s="3">
        <v>10</v>
      </c>
    </row>
    <row r="104" spans="1:6" x14ac:dyDescent="0.3">
      <c r="A104" t="s">
        <v>28</v>
      </c>
      <c r="B104" s="1">
        <v>45388</v>
      </c>
      <c r="C104" s="3">
        <v>45</v>
      </c>
      <c r="D104" s="4" t="s">
        <v>7</v>
      </c>
      <c r="E104" s="4" t="s">
        <v>13</v>
      </c>
      <c r="F104" s="3">
        <v>8</v>
      </c>
    </row>
    <row r="105" spans="1:6" x14ac:dyDescent="0.3">
      <c r="A105" t="s">
        <v>324</v>
      </c>
      <c r="B105" s="1">
        <v>45388</v>
      </c>
      <c r="C105" s="3">
        <v>34</v>
      </c>
      <c r="D105" s="4" t="s">
        <v>305</v>
      </c>
      <c r="E105" s="4" t="s">
        <v>8</v>
      </c>
      <c r="F105" s="3">
        <v>8</v>
      </c>
    </row>
    <row r="106" spans="1:6" x14ac:dyDescent="0.3">
      <c r="A106" t="s">
        <v>381</v>
      </c>
      <c r="B106" s="1">
        <v>45389</v>
      </c>
      <c r="C106" s="3">
        <v>32</v>
      </c>
      <c r="D106" s="4" t="s">
        <v>366</v>
      </c>
      <c r="E106" s="4" t="s">
        <v>13</v>
      </c>
      <c r="F106" s="3">
        <v>7</v>
      </c>
    </row>
    <row r="107" spans="1:6" x14ac:dyDescent="0.3">
      <c r="A107" t="s">
        <v>21</v>
      </c>
      <c r="B107" s="1">
        <v>45390</v>
      </c>
      <c r="C107" s="3">
        <v>35</v>
      </c>
      <c r="D107" s="4" t="s">
        <v>7</v>
      </c>
      <c r="E107" s="4" t="s">
        <v>13</v>
      </c>
      <c r="F107" s="3">
        <v>6</v>
      </c>
    </row>
    <row r="108" spans="1:6" x14ac:dyDescent="0.3">
      <c r="A108" t="s">
        <v>43</v>
      </c>
      <c r="B108" s="1">
        <v>45390</v>
      </c>
      <c r="C108" s="3">
        <v>25</v>
      </c>
      <c r="D108" s="4" t="s">
        <v>7</v>
      </c>
      <c r="E108" s="4" t="s">
        <v>8</v>
      </c>
      <c r="F108" s="3">
        <v>2</v>
      </c>
    </row>
    <row r="109" spans="1:6" x14ac:dyDescent="0.3">
      <c r="A109" t="s">
        <v>160</v>
      </c>
      <c r="B109" s="1">
        <v>45390</v>
      </c>
      <c r="C109" s="3">
        <v>45</v>
      </c>
      <c r="D109" s="4" t="s">
        <v>156</v>
      </c>
      <c r="E109" s="4" t="s">
        <v>13</v>
      </c>
      <c r="F109" s="3">
        <v>4</v>
      </c>
    </row>
    <row r="110" spans="1:6" x14ac:dyDescent="0.3">
      <c r="A110" t="s">
        <v>222</v>
      </c>
      <c r="B110" s="1">
        <v>45390</v>
      </c>
      <c r="C110" s="3">
        <v>30</v>
      </c>
      <c r="D110" s="4" t="s">
        <v>156</v>
      </c>
      <c r="E110" s="4" t="s">
        <v>8</v>
      </c>
      <c r="F110" s="3">
        <v>6</v>
      </c>
    </row>
    <row r="111" spans="1:6" x14ac:dyDescent="0.3">
      <c r="A111" t="s">
        <v>356</v>
      </c>
      <c r="B111" s="1">
        <v>45390</v>
      </c>
      <c r="C111" s="3">
        <v>27</v>
      </c>
      <c r="D111" s="4" t="s">
        <v>347</v>
      </c>
      <c r="E111" s="4" t="s">
        <v>8</v>
      </c>
      <c r="F111" s="3">
        <v>4</v>
      </c>
    </row>
    <row r="112" spans="1:6" x14ac:dyDescent="0.3">
      <c r="A112" t="s">
        <v>240</v>
      </c>
      <c r="B112" s="1">
        <v>45391</v>
      </c>
      <c r="C112" s="3">
        <v>25</v>
      </c>
      <c r="D112" s="4" t="s">
        <v>156</v>
      </c>
      <c r="E112" s="4" t="s">
        <v>8</v>
      </c>
      <c r="F112" s="3">
        <v>5</v>
      </c>
    </row>
    <row r="113" spans="1:6" x14ac:dyDescent="0.3">
      <c r="A113" t="s">
        <v>415</v>
      </c>
      <c r="B113" s="1">
        <v>45391</v>
      </c>
      <c r="C113" s="3">
        <v>41</v>
      </c>
      <c r="D113" s="4" t="s">
        <v>366</v>
      </c>
      <c r="E113" s="4" t="s">
        <v>8</v>
      </c>
      <c r="F113" s="3">
        <v>17</v>
      </c>
    </row>
    <row r="114" spans="1:6" x14ac:dyDescent="0.3">
      <c r="A114" t="s">
        <v>505</v>
      </c>
      <c r="B114" s="1">
        <v>45391</v>
      </c>
      <c r="C114" s="3">
        <v>31</v>
      </c>
      <c r="D114" s="4" t="s">
        <v>488</v>
      </c>
      <c r="E114" s="4" t="s">
        <v>8</v>
      </c>
      <c r="F114" s="3">
        <v>10</v>
      </c>
    </row>
    <row r="115" spans="1:6" x14ac:dyDescent="0.3">
      <c r="A115" t="s">
        <v>162</v>
      </c>
      <c r="B115" s="1">
        <v>45392</v>
      </c>
      <c r="C115" s="3">
        <v>30</v>
      </c>
      <c r="D115" s="4" t="s">
        <v>156</v>
      </c>
      <c r="E115" s="4" t="s">
        <v>13</v>
      </c>
      <c r="F115" s="3">
        <v>8</v>
      </c>
    </row>
    <row r="116" spans="1:6" x14ac:dyDescent="0.3">
      <c r="A116" t="s">
        <v>195</v>
      </c>
      <c r="B116" s="1">
        <v>45392</v>
      </c>
      <c r="C116" s="3">
        <v>30</v>
      </c>
      <c r="D116" s="4" t="s">
        <v>156</v>
      </c>
      <c r="E116" s="4" t="s">
        <v>13</v>
      </c>
      <c r="F116" s="3">
        <v>8</v>
      </c>
    </row>
    <row r="117" spans="1:6" x14ac:dyDescent="0.3">
      <c r="A117" t="s">
        <v>201</v>
      </c>
      <c r="B117" s="1">
        <v>45392</v>
      </c>
      <c r="C117" s="3">
        <v>27</v>
      </c>
      <c r="D117" s="4" t="s">
        <v>156</v>
      </c>
      <c r="E117" s="4" t="s">
        <v>8</v>
      </c>
      <c r="F117" s="3">
        <v>6</v>
      </c>
    </row>
    <row r="118" spans="1:6" x14ac:dyDescent="0.3">
      <c r="A118" t="s">
        <v>411</v>
      </c>
      <c r="B118" s="1">
        <v>45392</v>
      </c>
      <c r="C118" s="3">
        <v>30</v>
      </c>
      <c r="D118" s="4" t="s">
        <v>366</v>
      </c>
      <c r="E118" s="4" t="s">
        <v>16</v>
      </c>
      <c r="F118" s="3">
        <v>6</v>
      </c>
    </row>
    <row r="119" spans="1:6" x14ac:dyDescent="0.3">
      <c r="A119" t="s">
        <v>104</v>
      </c>
      <c r="B119" s="1">
        <v>45393</v>
      </c>
      <c r="C119" s="3">
        <v>41</v>
      </c>
      <c r="D119" s="4" t="s">
        <v>12</v>
      </c>
      <c r="E119" s="4" t="s">
        <v>13</v>
      </c>
      <c r="F119" s="3">
        <v>8</v>
      </c>
    </row>
    <row r="120" spans="1:6" x14ac:dyDescent="0.3">
      <c r="A120" t="s">
        <v>113</v>
      </c>
      <c r="B120" s="1">
        <v>45393</v>
      </c>
      <c r="C120" s="3">
        <v>39</v>
      </c>
      <c r="D120" s="4" t="s">
        <v>12</v>
      </c>
      <c r="E120" s="4" t="s">
        <v>8</v>
      </c>
      <c r="F120" s="3">
        <v>15</v>
      </c>
    </row>
    <row r="121" spans="1:6" x14ac:dyDescent="0.3">
      <c r="A121" t="s">
        <v>176</v>
      </c>
      <c r="B121" s="1">
        <v>45393</v>
      </c>
      <c r="C121" s="3">
        <v>38</v>
      </c>
      <c r="D121" s="4" t="s">
        <v>156</v>
      </c>
      <c r="E121" s="4"/>
      <c r="F121" s="3">
        <v>6</v>
      </c>
    </row>
    <row r="122" spans="1:6" x14ac:dyDescent="0.3">
      <c r="A122" t="s">
        <v>211</v>
      </c>
      <c r="B122" s="1">
        <v>45393</v>
      </c>
      <c r="C122" s="3">
        <v>36</v>
      </c>
      <c r="D122" s="4" t="s">
        <v>156</v>
      </c>
      <c r="E122" s="4" t="s">
        <v>13</v>
      </c>
      <c r="F122" s="3">
        <v>13</v>
      </c>
    </row>
    <row r="123" spans="1:6" x14ac:dyDescent="0.3">
      <c r="A123" t="s">
        <v>252</v>
      </c>
      <c r="B123" s="1">
        <v>45393</v>
      </c>
      <c r="C123" s="3">
        <v>37</v>
      </c>
      <c r="D123" s="4" t="s">
        <v>156</v>
      </c>
      <c r="E123" s="4" t="s">
        <v>13</v>
      </c>
      <c r="F123" s="3">
        <v>10</v>
      </c>
    </row>
    <row r="124" spans="1:6" x14ac:dyDescent="0.3">
      <c r="A124" t="s">
        <v>337</v>
      </c>
      <c r="B124" s="1">
        <v>45393</v>
      </c>
      <c r="C124" s="3">
        <v>33</v>
      </c>
      <c r="D124" s="4" t="s">
        <v>328</v>
      </c>
      <c r="E124" s="4"/>
      <c r="F124" s="3">
        <v>9</v>
      </c>
    </row>
    <row r="125" spans="1:6" x14ac:dyDescent="0.3">
      <c r="A125" t="s">
        <v>27</v>
      </c>
      <c r="B125" s="1">
        <v>45394</v>
      </c>
      <c r="C125" s="3">
        <v>34</v>
      </c>
      <c r="D125" s="4" t="s">
        <v>7</v>
      </c>
      <c r="E125" s="4" t="s">
        <v>13</v>
      </c>
      <c r="F125" s="3">
        <v>7</v>
      </c>
    </row>
    <row r="126" spans="1:6" x14ac:dyDescent="0.3">
      <c r="A126" t="s">
        <v>107</v>
      </c>
      <c r="B126" s="1">
        <v>45394</v>
      </c>
      <c r="C126" s="3">
        <v>35</v>
      </c>
      <c r="D126" s="4" t="s">
        <v>7</v>
      </c>
      <c r="E126" s="4" t="s">
        <v>13</v>
      </c>
      <c r="F126" s="3">
        <v>11</v>
      </c>
    </row>
    <row r="127" spans="1:6" x14ac:dyDescent="0.3">
      <c r="A127" t="s">
        <v>431</v>
      </c>
      <c r="B127" s="1">
        <v>45394</v>
      </c>
      <c r="C127" s="3">
        <v>25</v>
      </c>
      <c r="D127" s="4" t="s">
        <v>366</v>
      </c>
      <c r="E127" s="4" t="s">
        <v>8</v>
      </c>
      <c r="F127" s="3">
        <v>2</v>
      </c>
    </row>
    <row r="128" spans="1:6" x14ac:dyDescent="0.3">
      <c r="A128" t="s">
        <v>50</v>
      </c>
      <c r="B128" s="1">
        <v>45395</v>
      </c>
      <c r="C128" s="3">
        <v>33</v>
      </c>
      <c r="D128" s="4" t="s">
        <v>12</v>
      </c>
      <c r="E128" s="4" t="s">
        <v>8</v>
      </c>
      <c r="F128" s="3">
        <v>11</v>
      </c>
    </row>
    <row r="129" spans="1:6" x14ac:dyDescent="0.3">
      <c r="A129" t="s">
        <v>368</v>
      </c>
      <c r="B129" s="1">
        <v>45395</v>
      </c>
      <c r="C129" s="3">
        <v>42</v>
      </c>
      <c r="D129" s="4" t="s">
        <v>366</v>
      </c>
      <c r="E129" s="4"/>
      <c r="F129" s="3">
        <v>15</v>
      </c>
    </row>
    <row r="130" spans="1:6" x14ac:dyDescent="0.3">
      <c r="A130" t="s">
        <v>163</v>
      </c>
      <c r="B130" s="1">
        <v>45397</v>
      </c>
      <c r="C130" s="3">
        <v>31</v>
      </c>
      <c r="D130" s="4" t="s">
        <v>156</v>
      </c>
      <c r="E130" s="4" t="s">
        <v>8</v>
      </c>
      <c r="F130" s="3">
        <v>5</v>
      </c>
    </row>
    <row r="131" spans="1:6" x14ac:dyDescent="0.3">
      <c r="A131" t="s">
        <v>233</v>
      </c>
      <c r="B131" s="1">
        <v>45397</v>
      </c>
      <c r="C131" s="3">
        <v>35</v>
      </c>
      <c r="D131" s="4" t="s">
        <v>156</v>
      </c>
      <c r="E131" s="4" t="s">
        <v>8</v>
      </c>
      <c r="F131" s="3">
        <v>3</v>
      </c>
    </row>
    <row r="132" spans="1:6" x14ac:dyDescent="0.3">
      <c r="A132" t="s">
        <v>362</v>
      </c>
      <c r="B132" s="1">
        <v>45397</v>
      </c>
      <c r="C132" s="3">
        <v>39</v>
      </c>
      <c r="D132" s="4" t="s">
        <v>347</v>
      </c>
      <c r="E132" s="4" t="s">
        <v>8</v>
      </c>
      <c r="F132" s="3">
        <v>13</v>
      </c>
    </row>
    <row r="133" spans="1:6" x14ac:dyDescent="0.3">
      <c r="A133" t="s">
        <v>128</v>
      </c>
      <c r="B133" s="1">
        <v>45398</v>
      </c>
      <c r="C133" s="3">
        <v>43</v>
      </c>
      <c r="D133" s="4" t="s">
        <v>7</v>
      </c>
      <c r="E133" s="4"/>
      <c r="F133" s="3">
        <v>15</v>
      </c>
    </row>
    <row r="134" spans="1:6" x14ac:dyDescent="0.3">
      <c r="A134" t="s">
        <v>139</v>
      </c>
      <c r="B134" s="1">
        <v>45398</v>
      </c>
      <c r="C134" s="3">
        <v>33</v>
      </c>
      <c r="D134" s="4" t="s">
        <v>140</v>
      </c>
      <c r="E134" s="4" t="s">
        <v>13</v>
      </c>
      <c r="F134" s="3">
        <v>11</v>
      </c>
    </row>
    <row r="135" spans="1:6" x14ac:dyDescent="0.3">
      <c r="A135" t="s">
        <v>486</v>
      </c>
      <c r="B135" s="1">
        <v>45398</v>
      </c>
      <c r="C135" s="3">
        <v>28</v>
      </c>
      <c r="D135" s="4" t="s">
        <v>366</v>
      </c>
      <c r="E135" s="4" t="s">
        <v>13</v>
      </c>
      <c r="F135" s="3">
        <v>4</v>
      </c>
    </row>
    <row r="136" spans="1:6" x14ac:dyDescent="0.3">
      <c r="A136" t="s">
        <v>184</v>
      </c>
      <c r="B136" s="1">
        <v>45399</v>
      </c>
      <c r="C136" s="3">
        <v>30</v>
      </c>
      <c r="D136" s="4" t="s">
        <v>156</v>
      </c>
      <c r="E136" s="4" t="s">
        <v>8</v>
      </c>
      <c r="F136" s="3">
        <v>10</v>
      </c>
    </row>
    <row r="137" spans="1:6" x14ac:dyDescent="0.3">
      <c r="A137" t="s">
        <v>296</v>
      </c>
      <c r="B137" s="1">
        <v>45399</v>
      </c>
      <c r="C137" s="3">
        <v>32</v>
      </c>
      <c r="D137" s="4" t="s">
        <v>286</v>
      </c>
      <c r="E137" s="4"/>
      <c r="F137" s="3">
        <v>6</v>
      </c>
    </row>
    <row r="138" spans="1:6" x14ac:dyDescent="0.3">
      <c r="A138" t="s">
        <v>309</v>
      </c>
      <c r="B138" s="1">
        <v>45399</v>
      </c>
      <c r="C138" s="3">
        <v>42</v>
      </c>
      <c r="D138" s="4" t="s">
        <v>305</v>
      </c>
      <c r="E138" s="4" t="s">
        <v>8</v>
      </c>
      <c r="F138" s="3">
        <v>16</v>
      </c>
    </row>
    <row r="139" spans="1:6" x14ac:dyDescent="0.3">
      <c r="A139" t="s">
        <v>353</v>
      </c>
      <c r="B139" s="1">
        <v>45399</v>
      </c>
      <c r="C139" s="3">
        <v>34</v>
      </c>
      <c r="D139" s="4" t="s">
        <v>347</v>
      </c>
      <c r="E139" s="4" t="s">
        <v>13</v>
      </c>
      <c r="F139" s="3">
        <v>6</v>
      </c>
    </row>
    <row r="140" spans="1:6" x14ac:dyDescent="0.3">
      <c r="A140" t="s">
        <v>424</v>
      </c>
      <c r="B140" s="1">
        <v>45400</v>
      </c>
      <c r="C140" s="3">
        <v>35</v>
      </c>
      <c r="D140" s="4" t="s">
        <v>366</v>
      </c>
      <c r="E140" s="4"/>
      <c r="F140" s="3">
        <v>17</v>
      </c>
    </row>
    <row r="141" spans="1:6" x14ac:dyDescent="0.3">
      <c r="A141" t="s">
        <v>441</v>
      </c>
      <c r="B141" s="1">
        <v>45400</v>
      </c>
      <c r="C141" s="3">
        <v>45</v>
      </c>
      <c r="D141" s="4" t="s">
        <v>366</v>
      </c>
      <c r="E141" s="4" t="s">
        <v>8</v>
      </c>
      <c r="F141" s="3">
        <v>21</v>
      </c>
    </row>
    <row r="142" spans="1:6" x14ac:dyDescent="0.3">
      <c r="A142" t="s">
        <v>14</v>
      </c>
      <c r="B142" s="1">
        <v>45401</v>
      </c>
      <c r="C142" s="3">
        <v>33</v>
      </c>
      <c r="D142" s="4" t="s">
        <v>7</v>
      </c>
      <c r="E142" s="4" t="s">
        <v>8</v>
      </c>
      <c r="F142" s="3">
        <v>3</v>
      </c>
    </row>
    <row r="143" spans="1:6" x14ac:dyDescent="0.3">
      <c r="A143" t="s">
        <v>88</v>
      </c>
      <c r="B143" s="1">
        <v>45401</v>
      </c>
      <c r="C143" s="3">
        <v>27</v>
      </c>
      <c r="D143" s="4" t="s">
        <v>12</v>
      </c>
      <c r="E143" s="4" t="s">
        <v>8</v>
      </c>
      <c r="F143" s="3">
        <v>7</v>
      </c>
    </row>
    <row r="144" spans="1:6" x14ac:dyDescent="0.3">
      <c r="A144" t="s">
        <v>230</v>
      </c>
      <c r="B144" s="1">
        <v>45401</v>
      </c>
      <c r="C144" s="3">
        <v>36</v>
      </c>
      <c r="D144" s="4" t="s">
        <v>156</v>
      </c>
      <c r="E144" s="4"/>
      <c r="F144" s="3">
        <v>5</v>
      </c>
    </row>
    <row r="145" spans="1:6" x14ac:dyDescent="0.3">
      <c r="A145" t="s">
        <v>385</v>
      </c>
      <c r="B145" s="1">
        <v>45401</v>
      </c>
      <c r="C145" s="3">
        <v>43</v>
      </c>
      <c r="D145" s="4" t="s">
        <v>366</v>
      </c>
      <c r="E145" s="4" t="s">
        <v>8</v>
      </c>
      <c r="F145" s="3">
        <v>8</v>
      </c>
    </row>
    <row r="146" spans="1:6" x14ac:dyDescent="0.3">
      <c r="A146" t="s">
        <v>79</v>
      </c>
      <c r="B146" s="1">
        <v>45402</v>
      </c>
      <c r="C146" s="3">
        <v>44</v>
      </c>
      <c r="D146" s="4" t="s">
        <v>12</v>
      </c>
      <c r="E146" s="4" t="s">
        <v>16</v>
      </c>
      <c r="F146" s="3">
        <v>12</v>
      </c>
    </row>
    <row r="147" spans="1:6" x14ac:dyDescent="0.3">
      <c r="A147" t="s">
        <v>114</v>
      </c>
      <c r="B147" s="1">
        <v>45404</v>
      </c>
      <c r="C147" s="3">
        <v>35</v>
      </c>
      <c r="D147" s="4" t="s">
        <v>7</v>
      </c>
      <c r="E147" s="4" t="s">
        <v>16</v>
      </c>
      <c r="F147" s="3">
        <v>6</v>
      </c>
    </row>
    <row r="148" spans="1:6" x14ac:dyDescent="0.3">
      <c r="A148" t="s">
        <v>157</v>
      </c>
      <c r="B148" s="1">
        <v>45404</v>
      </c>
      <c r="C148" s="3">
        <v>45</v>
      </c>
      <c r="D148" s="4" t="s">
        <v>156</v>
      </c>
      <c r="E148" s="4"/>
      <c r="F148" s="3">
        <v>14</v>
      </c>
    </row>
    <row r="149" spans="1:6" x14ac:dyDescent="0.3">
      <c r="A149" t="s">
        <v>312</v>
      </c>
      <c r="B149" s="1">
        <v>45404</v>
      </c>
      <c r="C149" s="3">
        <v>42</v>
      </c>
      <c r="D149" s="4" t="s">
        <v>305</v>
      </c>
      <c r="E149" s="4" t="s">
        <v>8</v>
      </c>
      <c r="F149" s="3">
        <v>7</v>
      </c>
    </row>
    <row r="150" spans="1:6" x14ac:dyDescent="0.3">
      <c r="A150" t="s">
        <v>349</v>
      </c>
      <c r="B150" s="1">
        <v>45404</v>
      </c>
      <c r="C150" s="3">
        <v>42</v>
      </c>
      <c r="D150" s="4" t="s">
        <v>347</v>
      </c>
      <c r="E150" s="4" t="s">
        <v>8</v>
      </c>
      <c r="F150" s="3">
        <v>18</v>
      </c>
    </row>
    <row r="151" spans="1:6" x14ac:dyDescent="0.3">
      <c r="A151" t="s">
        <v>442</v>
      </c>
      <c r="B151" s="1">
        <v>45404</v>
      </c>
      <c r="C151" s="3">
        <v>36</v>
      </c>
      <c r="D151" s="4" t="s">
        <v>366</v>
      </c>
      <c r="E151" s="4" t="s">
        <v>13</v>
      </c>
      <c r="F151" s="3">
        <v>10</v>
      </c>
    </row>
    <row r="152" spans="1:6" x14ac:dyDescent="0.3">
      <c r="A152" t="s">
        <v>504</v>
      </c>
      <c r="B152" s="1">
        <v>45404</v>
      </c>
      <c r="C152" s="3">
        <v>44</v>
      </c>
      <c r="D152" s="4" t="s">
        <v>488</v>
      </c>
      <c r="E152" s="4"/>
      <c r="F152" s="3">
        <v>12</v>
      </c>
    </row>
    <row r="153" spans="1:6" x14ac:dyDescent="0.3">
      <c r="A153" t="s">
        <v>161</v>
      </c>
      <c r="B153" s="1">
        <v>45405</v>
      </c>
      <c r="C153" s="3">
        <v>32</v>
      </c>
      <c r="D153" s="4" t="s">
        <v>156</v>
      </c>
      <c r="E153" s="4"/>
      <c r="F153" s="3">
        <v>12</v>
      </c>
    </row>
    <row r="154" spans="1:6" x14ac:dyDescent="0.3">
      <c r="A154" t="s">
        <v>249</v>
      </c>
      <c r="B154" s="1">
        <v>45405</v>
      </c>
      <c r="C154" s="3">
        <v>26</v>
      </c>
      <c r="D154" s="4" t="s">
        <v>156</v>
      </c>
      <c r="E154" s="4" t="s">
        <v>13</v>
      </c>
      <c r="F154" s="3">
        <v>4</v>
      </c>
    </row>
    <row r="155" spans="1:6" x14ac:dyDescent="0.3">
      <c r="A155" t="s">
        <v>429</v>
      </c>
      <c r="B155" s="1">
        <v>45405</v>
      </c>
      <c r="C155" s="3">
        <v>33</v>
      </c>
      <c r="D155" s="4" t="s">
        <v>366</v>
      </c>
      <c r="E155" s="4"/>
      <c r="F155" s="3">
        <v>15</v>
      </c>
    </row>
    <row r="156" spans="1:6" x14ac:dyDescent="0.3">
      <c r="A156" t="s">
        <v>42</v>
      </c>
      <c r="B156" s="1">
        <v>45406</v>
      </c>
      <c r="C156" s="3">
        <v>37</v>
      </c>
      <c r="D156" s="4" t="s">
        <v>10</v>
      </c>
      <c r="E156" s="4" t="s">
        <v>8</v>
      </c>
      <c r="F156" s="3">
        <v>17</v>
      </c>
    </row>
    <row r="157" spans="1:6" x14ac:dyDescent="0.3">
      <c r="A157" t="s">
        <v>232</v>
      </c>
      <c r="B157" s="1">
        <v>45407</v>
      </c>
      <c r="C157" s="3">
        <v>27</v>
      </c>
      <c r="D157" s="4" t="s">
        <v>156</v>
      </c>
      <c r="E157" s="4" t="s">
        <v>13</v>
      </c>
      <c r="F157" s="3">
        <v>4</v>
      </c>
    </row>
    <row r="158" spans="1:6" x14ac:dyDescent="0.3">
      <c r="A158" t="s">
        <v>236</v>
      </c>
      <c r="B158" s="1">
        <v>45407</v>
      </c>
      <c r="C158" s="3">
        <v>43</v>
      </c>
      <c r="D158" s="4" t="s">
        <v>156</v>
      </c>
      <c r="E158" s="4" t="s">
        <v>13</v>
      </c>
      <c r="F158" s="3">
        <v>7</v>
      </c>
    </row>
    <row r="159" spans="1:6" x14ac:dyDescent="0.3">
      <c r="A159" t="s">
        <v>90</v>
      </c>
      <c r="B159" s="1">
        <v>45408</v>
      </c>
      <c r="C159" s="3">
        <v>27</v>
      </c>
      <c r="D159" s="4" t="s">
        <v>10</v>
      </c>
      <c r="E159" s="4" t="s">
        <v>8</v>
      </c>
      <c r="F159" s="3">
        <v>7</v>
      </c>
    </row>
    <row r="160" spans="1:6" x14ac:dyDescent="0.3">
      <c r="A160" t="s">
        <v>109</v>
      </c>
      <c r="B160" s="1">
        <v>45408</v>
      </c>
      <c r="C160" s="3">
        <v>35</v>
      </c>
      <c r="D160" s="4" t="s">
        <v>10</v>
      </c>
      <c r="E160" s="4" t="s">
        <v>13</v>
      </c>
      <c r="F160" s="3">
        <v>13</v>
      </c>
    </row>
    <row r="161" spans="1:6" x14ac:dyDescent="0.3">
      <c r="A161" t="s">
        <v>327</v>
      </c>
      <c r="B161" s="1">
        <v>45408</v>
      </c>
      <c r="C161" s="3">
        <v>26</v>
      </c>
      <c r="D161" s="4" t="s">
        <v>328</v>
      </c>
      <c r="E161" s="4"/>
      <c r="F161" s="3">
        <v>5</v>
      </c>
    </row>
    <row r="162" spans="1:6" x14ac:dyDescent="0.3">
      <c r="A162" t="s">
        <v>241</v>
      </c>
      <c r="B162" s="1">
        <v>45409</v>
      </c>
      <c r="C162" s="3">
        <v>26</v>
      </c>
      <c r="D162" s="4" t="s">
        <v>156</v>
      </c>
      <c r="E162" s="4" t="s">
        <v>8</v>
      </c>
      <c r="F162" s="3">
        <v>2</v>
      </c>
    </row>
    <row r="163" spans="1:6" x14ac:dyDescent="0.3">
      <c r="A163" t="s">
        <v>455</v>
      </c>
      <c r="B163" s="1">
        <v>45409</v>
      </c>
      <c r="C163" s="3">
        <v>42</v>
      </c>
      <c r="D163" s="4" t="s">
        <v>366</v>
      </c>
      <c r="E163" s="4" t="s">
        <v>16</v>
      </c>
      <c r="F163" s="3">
        <v>18</v>
      </c>
    </row>
    <row r="164" spans="1:6" x14ac:dyDescent="0.3">
      <c r="A164" t="s">
        <v>149</v>
      </c>
      <c r="B164" s="1">
        <v>45410</v>
      </c>
      <c r="C164" s="3">
        <v>41</v>
      </c>
      <c r="D164" s="4" t="s">
        <v>140</v>
      </c>
      <c r="E164" s="4"/>
      <c r="F164" s="3">
        <v>2</v>
      </c>
    </row>
    <row r="165" spans="1:6" x14ac:dyDescent="0.3">
      <c r="A165" t="s">
        <v>268</v>
      </c>
      <c r="B165" s="1">
        <v>45410</v>
      </c>
      <c r="C165" s="3">
        <v>42</v>
      </c>
      <c r="D165" s="4" t="s">
        <v>265</v>
      </c>
      <c r="E165" s="4" t="s">
        <v>16</v>
      </c>
      <c r="F165" s="3">
        <v>7</v>
      </c>
    </row>
    <row r="166" spans="1:6" x14ac:dyDescent="0.3">
      <c r="A166" t="s">
        <v>319</v>
      </c>
      <c r="B166" s="1">
        <v>45411</v>
      </c>
      <c r="C166" s="3">
        <v>32</v>
      </c>
      <c r="D166" s="4" t="s">
        <v>305</v>
      </c>
      <c r="E166" s="4" t="s">
        <v>8</v>
      </c>
      <c r="F166" s="3">
        <v>6</v>
      </c>
    </row>
    <row r="167" spans="1:6" x14ac:dyDescent="0.3">
      <c r="A167" t="s">
        <v>192</v>
      </c>
      <c r="B167" s="1">
        <v>45412</v>
      </c>
      <c r="C167" s="3">
        <v>37</v>
      </c>
      <c r="D167" s="4" t="s">
        <v>156</v>
      </c>
      <c r="E167" s="4" t="s">
        <v>13</v>
      </c>
      <c r="F167" s="3">
        <v>13</v>
      </c>
    </row>
    <row r="168" spans="1:6" x14ac:dyDescent="0.3">
      <c r="A168" t="s">
        <v>407</v>
      </c>
      <c r="B168" s="1">
        <v>45412</v>
      </c>
      <c r="C168" s="3">
        <v>36</v>
      </c>
      <c r="D168" s="4" t="s">
        <v>366</v>
      </c>
      <c r="E168" s="4"/>
      <c r="F168" s="3">
        <v>16</v>
      </c>
    </row>
    <row r="169" spans="1:6" x14ac:dyDescent="0.3">
      <c r="A169" t="s">
        <v>494</v>
      </c>
      <c r="B169" s="1">
        <v>45413</v>
      </c>
      <c r="C169" s="3">
        <v>43</v>
      </c>
      <c r="D169" s="4" t="s">
        <v>488</v>
      </c>
      <c r="E169" s="4" t="s">
        <v>8</v>
      </c>
      <c r="F169" s="3">
        <v>4</v>
      </c>
    </row>
    <row r="170" spans="1:6" x14ac:dyDescent="0.3">
      <c r="A170" t="s">
        <v>498</v>
      </c>
      <c r="B170" s="1">
        <v>45413</v>
      </c>
      <c r="C170" s="3">
        <v>25</v>
      </c>
      <c r="D170" s="4" t="s">
        <v>488</v>
      </c>
      <c r="E170" s="4" t="s">
        <v>13</v>
      </c>
      <c r="F170" s="3">
        <v>4</v>
      </c>
    </row>
    <row r="171" spans="1:6" x14ac:dyDescent="0.3">
      <c r="A171" t="s">
        <v>227</v>
      </c>
      <c r="B171" s="1">
        <v>45414</v>
      </c>
      <c r="C171" s="3">
        <v>43</v>
      </c>
      <c r="D171" s="4" t="s">
        <v>156</v>
      </c>
      <c r="E171" s="4" t="s">
        <v>8</v>
      </c>
      <c r="F171" s="3">
        <v>10</v>
      </c>
    </row>
    <row r="172" spans="1:6" x14ac:dyDescent="0.3">
      <c r="A172" t="s">
        <v>299</v>
      </c>
      <c r="B172" s="1">
        <v>45414</v>
      </c>
      <c r="C172" s="3">
        <v>36</v>
      </c>
      <c r="D172" s="4" t="s">
        <v>286</v>
      </c>
      <c r="E172" s="4"/>
      <c r="F172" s="3">
        <v>6</v>
      </c>
    </row>
    <row r="173" spans="1:6" x14ac:dyDescent="0.3">
      <c r="A173" t="s">
        <v>279</v>
      </c>
      <c r="B173" s="1">
        <v>45415</v>
      </c>
      <c r="C173" s="3">
        <v>37</v>
      </c>
      <c r="D173" s="4" t="s">
        <v>265</v>
      </c>
      <c r="E173" s="4" t="s">
        <v>8</v>
      </c>
      <c r="F173" s="3">
        <v>5</v>
      </c>
    </row>
    <row r="174" spans="1:6" x14ac:dyDescent="0.3">
      <c r="A174" t="s">
        <v>400</v>
      </c>
      <c r="B174" s="1">
        <v>45415</v>
      </c>
      <c r="C174" s="3">
        <v>37</v>
      </c>
      <c r="D174" s="4" t="s">
        <v>366</v>
      </c>
      <c r="E174" s="4" t="s">
        <v>8</v>
      </c>
      <c r="F174" s="3">
        <v>8</v>
      </c>
    </row>
    <row r="175" spans="1:6" x14ac:dyDescent="0.3">
      <c r="A175" t="s">
        <v>283</v>
      </c>
      <c r="B175" s="1">
        <v>45416</v>
      </c>
      <c r="C175" s="3">
        <v>30</v>
      </c>
      <c r="D175" s="4" t="s">
        <v>265</v>
      </c>
      <c r="E175" s="4" t="s">
        <v>8</v>
      </c>
      <c r="F175" s="3">
        <v>10</v>
      </c>
    </row>
    <row r="176" spans="1:6" x14ac:dyDescent="0.3">
      <c r="A176" t="s">
        <v>382</v>
      </c>
      <c r="B176" s="1">
        <v>45416</v>
      </c>
      <c r="C176" s="3">
        <v>38</v>
      </c>
      <c r="D176" s="4" t="s">
        <v>366</v>
      </c>
      <c r="E176" s="4"/>
      <c r="F176" s="3">
        <v>7</v>
      </c>
    </row>
    <row r="177" spans="1:6" x14ac:dyDescent="0.3">
      <c r="A177" t="s">
        <v>501</v>
      </c>
      <c r="B177" s="1">
        <v>45416</v>
      </c>
      <c r="C177" s="3">
        <v>26</v>
      </c>
      <c r="D177" s="4" t="s">
        <v>488</v>
      </c>
      <c r="E177" s="4" t="s">
        <v>13</v>
      </c>
      <c r="F177" s="3">
        <v>4</v>
      </c>
    </row>
    <row r="178" spans="1:6" x14ac:dyDescent="0.3">
      <c r="A178" t="s">
        <v>35</v>
      </c>
      <c r="B178" s="1">
        <v>45417</v>
      </c>
      <c r="C178" s="3">
        <v>39</v>
      </c>
      <c r="D178" s="4" t="s">
        <v>7</v>
      </c>
      <c r="E178" s="4" t="s">
        <v>13</v>
      </c>
      <c r="F178" s="3">
        <v>10</v>
      </c>
    </row>
    <row r="179" spans="1:6" x14ac:dyDescent="0.3">
      <c r="A179" t="s">
        <v>72</v>
      </c>
      <c r="B179" s="1">
        <v>45418</v>
      </c>
      <c r="C179" s="3">
        <v>44</v>
      </c>
      <c r="D179" s="4" t="s">
        <v>10</v>
      </c>
      <c r="E179" s="4" t="s">
        <v>16</v>
      </c>
      <c r="F179" s="3">
        <v>7</v>
      </c>
    </row>
    <row r="180" spans="1:6" x14ac:dyDescent="0.3">
      <c r="A180" t="s">
        <v>276</v>
      </c>
      <c r="B180" s="1">
        <v>45418</v>
      </c>
      <c r="C180" s="3">
        <v>28</v>
      </c>
      <c r="D180" s="4" t="s">
        <v>265</v>
      </c>
      <c r="E180" s="4" t="s">
        <v>16</v>
      </c>
      <c r="F180" s="3">
        <v>6</v>
      </c>
    </row>
    <row r="181" spans="1:6" x14ac:dyDescent="0.3">
      <c r="A181" t="s">
        <v>94</v>
      </c>
      <c r="B181" s="1">
        <v>45419</v>
      </c>
      <c r="C181" s="3">
        <v>37</v>
      </c>
      <c r="D181" s="4" t="s">
        <v>12</v>
      </c>
      <c r="E181" s="4" t="s">
        <v>8</v>
      </c>
      <c r="F181" s="3">
        <v>14</v>
      </c>
    </row>
    <row r="182" spans="1:6" x14ac:dyDescent="0.3">
      <c r="A182" t="s">
        <v>118</v>
      </c>
      <c r="B182" s="1">
        <v>45420</v>
      </c>
      <c r="C182" s="3">
        <v>40</v>
      </c>
      <c r="D182" s="4" t="s">
        <v>12</v>
      </c>
      <c r="E182" s="4"/>
      <c r="F182" s="3">
        <v>5</v>
      </c>
    </row>
    <row r="183" spans="1:6" x14ac:dyDescent="0.3">
      <c r="A183" t="s">
        <v>280</v>
      </c>
      <c r="B183" s="1">
        <v>45420</v>
      </c>
      <c r="C183" s="3">
        <v>26</v>
      </c>
      <c r="D183" s="4" t="s">
        <v>265</v>
      </c>
      <c r="E183" s="4" t="s">
        <v>13</v>
      </c>
      <c r="F183" s="3">
        <v>4</v>
      </c>
    </row>
    <row r="184" spans="1:6" x14ac:dyDescent="0.3">
      <c r="A184" t="s">
        <v>426</v>
      </c>
      <c r="B184" s="1">
        <v>45420</v>
      </c>
      <c r="C184" s="3">
        <v>45</v>
      </c>
      <c r="D184" s="4" t="s">
        <v>366</v>
      </c>
      <c r="E184" s="4" t="s">
        <v>8</v>
      </c>
      <c r="F184" s="3">
        <v>17</v>
      </c>
    </row>
    <row r="185" spans="1:6" x14ac:dyDescent="0.3">
      <c r="A185" t="s">
        <v>26</v>
      </c>
      <c r="B185" s="1">
        <v>45421</v>
      </c>
      <c r="C185" s="3">
        <v>44</v>
      </c>
      <c r="D185" s="4" t="s">
        <v>10</v>
      </c>
      <c r="E185" s="4" t="s">
        <v>16</v>
      </c>
      <c r="F185" s="3">
        <v>10</v>
      </c>
    </row>
    <row r="186" spans="1:6" x14ac:dyDescent="0.3">
      <c r="A186" t="s">
        <v>281</v>
      </c>
      <c r="B186" s="1">
        <v>45421</v>
      </c>
      <c r="C186" s="3">
        <v>39</v>
      </c>
      <c r="D186" s="4" t="s">
        <v>265</v>
      </c>
      <c r="E186" s="4"/>
      <c r="F186" s="3">
        <v>2</v>
      </c>
    </row>
    <row r="187" spans="1:6" x14ac:dyDescent="0.3">
      <c r="A187" t="s">
        <v>266</v>
      </c>
      <c r="B187" s="1">
        <v>45422</v>
      </c>
      <c r="C187" s="3">
        <v>34</v>
      </c>
      <c r="D187" s="4" t="s">
        <v>265</v>
      </c>
      <c r="E187" s="4"/>
      <c r="F187" s="3">
        <v>5</v>
      </c>
    </row>
    <row r="188" spans="1:6" x14ac:dyDescent="0.3">
      <c r="A188" t="s">
        <v>364</v>
      </c>
      <c r="B188" s="1">
        <v>45422</v>
      </c>
      <c r="C188" s="3">
        <v>45</v>
      </c>
      <c r="D188" s="4" t="s">
        <v>347</v>
      </c>
      <c r="E188" s="4" t="s">
        <v>8</v>
      </c>
      <c r="F188" s="3">
        <v>16</v>
      </c>
    </row>
    <row r="189" spans="1:6" x14ac:dyDescent="0.3">
      <c r="A189" t="s">
        <v>375</v>
      </c>
      <c r="B189" s="1">
        <v>45422</v>
      </c>
      <c r="C189" s="3">
        <v>33</v>
      </c>
      <c r="D189" s="4" t="s">
        <v>366</v>
      </c>
      <c r="E189" s="4" t="s">
        <v>8</v>
      </c>
      <c r="F189" s="3">
        <v>10</v>
      </c>
    </row>
    <row r="190" spans="1:6" x14ac:dyDescent="0.3">
      <c r="A190" t="s">
        <v>138</v>
      </c>
      <c r="B190" s="1">
        <v>45423</v>
      </c>
      <c r="C190" s="3">
        <v>38</v>
      </c>
      <c r="D190" s="4" t="s">
        <v>12</v>
      </c>
      <c r="E190" s="4" t="s">
        <v>13</v>
      </c>
      <c r="F190" s="3">
        <v>6</v>
      </c>
    </row>
    <row r="191" spans="1:6" x14ac:dyDescent="0.3">
      <c r="A191" t="s">
        <v>308</v>
      </c>
      <c r="B191" s="1">
        <v>45423</v>
      </c>
      <c r="C191" s="3">
        <v>38</v>
      </c>
      <c r="D191" s="4" t="s">
        <v>305</v>
      </c>
      <c r="E191" s="4" t="s">
        <v>16</v>
      </c>
      <c r="F191" s="3">
        <v>14</v>
      </c>
    </row>
    <row r="192" spans="1:6" x14ac:dyDescent="0.3">
      <c r="A192" t="s">
        <v>370</v>
      </c>
      <c r="B192" s="1">
        <v>45423</v>
      </c>
      <c r="C192" s="3">
        <v>30</v>
      </c>
      <c r="D192" s="4" t="s">
        <v>366</v>
      </c>
      <c r="E192" s="4" t="s">
        <v>16</v>
      </c>
      <c r="F192" s="3">
        <v>6</v>
      </c>
    </row>
    <row r="193" spans="1:6" x14ac:dyDescent="0.3">
      <c r="A193" t="s">
        <v>108</v>
      </c>
      <c r="B193" s="1">
        <v>45424</v>
      </c>
      <c r="C193" s="3">
        <v>45</v>
      </c>
      <c r="D193" s="4" t="s">
        <v>7</v>
      </c>
      <c r="E193" s="4" t="s">
        <v>8</v>
      </c>
      <c r="F193" s="3">
        <v>19</v>
      </c>
    </row>
    <row r="194" spans="1:6" x14ac:dyDescent="0.3">
      <c r="A194" t="s">
        <v>137</v>
      </c>
      <c r="B194" s="1">
        <v>45424</v>
      </c>
      <c r="C194" s="3">
        <v>35</v>
      </c>
      <c r="D194" s="4" t="s">
        <v>7</v>
      </c>
      <c r="E194" s="4" t="s">
        <v>13</v>
      </c>
      <c r="F194" s="3">
        <v>9</v>
      </c>
    </row>
    <row r="195" spans="1:6" x14ac:dyDescent="0.3">
      <c r="A195" t="s">
        <v>197</v>
      </c>
      <c r="B195" s="1">
        <v>45424</v>
      </c>
      <c r="C195" s="3">
        <v>45</v>
      </c>
      <c r="D195" s="4" t="s">
        <v>156</v>
      </c>
      <c r="E195" s="4" t="s">
        <v>13</v>
      </c>
      <c r="F195" s="3">
        <v>21</v>
      </c>
    </row>
    <row r="196" spans="1:6" x14ac:dyDescent="0.3">
      <c r="A196" t="s">
        <v>248</v>
      </c>
      <c r="B196" s="1">
        <v>45424</v>
      </c>
      <c r="C196" s="3">
        <v>31</v>
      </c>
      <c r="D196" s="4" t="s">
        <v>156</v>
      </c>
      <c r="E196" s="4"/>
      <c r="F196" s="3">
        <v>6</v>
      </c>
    </row>
    <row r="197" spans="1:6" x14ac:dyDescent="0.3">
      <c r="A197" t="s">
        <v>253</v>
      </c>
      <c r="B197" s="1">
        <v>45424</v>
      </c>
      <c r="C197" s="3">
        <v>32</v>
      </c>
      <c r="D197" s="4" t="s">
        <v>156</v>
      </c>
      <c r="E197" s="4" t="s">
        <v>13</v>
      </c>
      <c r="F197" s="3">
        <v>9</v>
      </c>
    </row>
    <row r="198" spans="1:6" x14ac:dyDescent="0.3">
      <c r="A198" t="s">
        <v>295</v>
      </c>
      <c r="B198" s="1">
        <v>45424</v>
      </c>
      <c r="C198" s="3">
        <v>38</v>
      </c>
      <c r="D198" s="4" t="s">
        <v>286</v>
      </c>
      <c r="E198" s="4" t="s">
        <v>13</v>
      </c>
      <c r="F198" s="3">
        <v>12</v>
      </c>
    </row>
    <row r="199" spans="1:6" x14ac:dyDescent="0.3">
      <c r="A199" t="s">
        <v>321</v>
      </c>
      <c r="B199" s="1">
        <v>45424</v>
      </c>
      <c r="C199" s="3">
        <v>45</v>
      </c>
      <c r="D199" s="4" t="s">
        <v>305</v>
      </c>
      <c r="E199" s="4"/>
      <c r="F199" s="3">
        <v>2</v>
      </c>
    </row>
    <row r="200" spans="1:6" x14ac:dyDescent="0.3">
      <c r="A200" t="s">
        <v>421</v>
      </c>
      <c r="B200" s="1">
        <v>45424</v>
      </c>
      <c r="C200" s="3">
        <v>40</v>
      </c>
      <c r="D200" s="4" t="s">
        <v>366</v>
      </c>
      <c r="E200" s="4" t="s">
        <v>13</v>
      </c>
      <c r="F200" s="3">
        <v>13</v>
      </c>
    </row>
    <row r="201" spans="1:6" x14ac:dyDescent="0.3">
      <c r="A201" t="s">
        <v>397</v>
      </c>
      <c r="B201" s="1">
        <v>45425</v>
      </c>
      <c r="C201" s="3">
        <v>29</v>
      </c>
      <c r="D201" s="4" t="s">
        <v>366</v>
      </c>
      <c r="E201" s="4" t="s">
        <v>13</v>
      </c>
      <c r="F201" s="3">
        <v>7</v>
      </c>
    </row>
    <row r="202" spans="1:6" x14ac:dyDescent="0.3">
      <c r="A202" t="s">
        <v>258</v>
      </c>
      <c r="B202" s="1">
        <v>45426</v>
      </c>
      <c r="C202" s="3">
        <v>29</v>
      </c>
      <c r="D202" s="4" t="s">
        <v>156</v>
      </c>
      <c r="E202" s="4" t="s">
        <v>8</v>
      </c>
      <c r="F202" s="3">
        <v>5</v>
      </c>
    </row>
    <row r="203" spans="1:6" x14ac:dyDescent="0.3">
      <c r="A203" t="s">
        <v>396</v>
      </c>
      <c r="B203" s="1">
        <v>45427</v>
      </c>
      <c r="C203" s="3">
        <v>26</v>
      </c>
      <c r="D203" s="4" t="s">
        <v>366</v>
      </c>
      <c r="E203" s="4"/>
      <c r="F203" s="3">
        <v>2</v>
      </c>
    </row>
    <row r="204" spans="1:6" x14ac:dyDescent="0.3">
      <c r="A204" t="s">
        <v>466</v>
      </c>
      <c r="B204" s="1">
        <v>45427</v>
      </c>
      <c r="C204" s="3">
        <v>25</v>
      </c>
      <c r="D204" s="4" t="s">
        <v>366</v>
      </c>
      <c r="E204" s="4" t="s">
        <v>8</v>
      </c>
      <c r="F204" s="3">
        <v>5</v>
      </c>
    </row>
    <row r="205" spans="1:6" x14ac:dyDescent="0.3">
      <c r="A205" t="s">
        <v>196</v>
      </c>
      <c r="B205" s="1">
        <v>45428</v>
      </c>
      <c r="C205" s="3">
        <v>44</v>
      </c>
      <c r="D205" s="4" t="s">
        <v>156</v>
      </c>
      <c r="E205" s="4" t="s">
        <v>16</v>
      </c>
      <c r="F205" s="3">
        <v>8</v>
      </c>
    </row>
    <row r="206" spans="1:6" x14ac:dyDescent="0.3">
      <c r="A206" t="s">
        <v>255</v>
      </c>
      <c r="B206" s="1">
        <v>45428</v>
      </c>
      <c r="C206" s="3">
        <v>43</v>
      </c>
      <c r="D206" s="4" t="s">
        <v>156</v>
      </c>
      <c r="E206" s="4"/>
      <c r="F206" s="3">
        <v>6</v>
      </c>
    </row>
    <row r="207" spans="1:6" x14ac:dyDescent="0.3">
      <c r="A207" t="s">
        <v>19</v>
      </c>
      <c r="B207" s="1">
        <v>45429</v>
      </c>
      <c r="C207" s="3">
        <v>30</v>
      </c>
      <c r="D207" s="4" t="s">
        <v>12</v>
      </c>
      <c r="E207" s="4" t="s">
        <v>16</v>
      </c>
      <c r="F207" s="3">
        <v>6</v>
      </c>
    </row>
    <row r="208" spans="1:6" x14ac:dyDescent="0.3">
      <c r="A208" t="s">
        <v>153</v>
      </c>
      <c r="B208" s="1">
        <v>45429</v>
      </c>
      <c r="C208" s="3">
        <v>35</v>
      </c>
      <c r="D208" s="4" t="s">
        <v>140</v>
      </c>
      <c r="E208" s="4" t="s">
        <v>13</v>
      </c>
      <c r="F208" s="3">
        <v>9</v>
      </c>
    </row>
    <row r="209" spans="1:6" x14ac:dyDescent="0.3">
      <c r="A209" t="s">
        <v>373</v>
      </c>
      <c r="B209" s="1">
        <v>45429</v>
      </c>
      <c r="C209" s="3">
        <v>32</v>
      </c>
      <c r="D209" s="4" t="s">
        <v>366</v>
      </c>
      <c r="E209" s="4" t="s">
        <v>8</v>
      </c>
      <c r="F209" s="3">
        <v>9</v>
      </c>
    </row>
    <row r="210" spans="1:6" x14ac:dyDescent="0.3">
      <c r="A210" t="s">
        <v>410</v>
      </c>
      <c r="B210" s="1">
        <v>45429</v>
      </c>
      <c r="C210" s="3">
        <v>28</v>
      </c>
      <c r="D210" s="4" t="s">
        <v>366</v>
      </c>
      <c r="E210" s="4" t="s">
        <v>13</v>
      </c>
      <c r="F210" s="3">
        <v>6</v>
      </c>
    </row>
    <row r="211" spans="1:6" x14ac:dyDescent="0.3">
      <c r="A211" t="s">
        <v>167</v>
      </c>
      <c r="B211" s="1">
        <v>45431</v>
      </c>
      <c r="C211" s="3">
        <v>33</v>
      </c>
      <c r="D211" s="4" t="s">
        <v>156</v>
      </c>
      <c r="E211" s="4"/>
      <c r="F211" s="3">
        <v>3</v>
      </c>
    </row>
    <row r="212" spans="1:6" x14ac:dyDescent="0.3">
      <c r="A212" t="s">
        <v>378</v>
      </c>
      <c r="B212" s="1">
        <v>45431</v>
      </c>
      <c r="C212" s="3">
        <v>37</v>
      </c>
      <c r="D212" s="4" t="s">
        <v>366</v>
      </c>
      <c r="E212" s="4"/>
      <c r="F212" s="3">
        <v>1</v>
      </c>
    </row>
    <row r="213" spans="1:6" x14ac:dyDescent="0.3">
      <c r="A213" t="s">
        <v>464</v>
      </c>
      <c r="B213" s="1">
        <v>45431</v>
      </c>
      <c r="C213" s="3">
        <v>36</v>
      </c>
      <c r="D213" s="4" t="s">
        <v>366</v>
      </c>
      <c r="E213" s="4" t="s">
        <v>8</v>
      </c>
      <c r="F213" s="3">
        <v>13</v>
      </c>
    </row>
    <row r="214" spans="1:6" x14ac:dyDescent="0.3">
      <c r="A214" t="s">
        <v>40</v>
      </c>
      <c r="B214" s="1">
        <v>45432</v>
      </c>
      <c r="C214" s="3">
        <v>34</v>
      </c>
      <c r="D214" s="4" t="s">
        <v>10</v>
      </c>
      <c r="E214" s="4"/>
      <c r="F214" s="3">
        <v>1</v>
      </c>
    </row>
    <row r="215" spans="1:6" x14ac:dyDescent="0.3">
      <c r="A215" t="s">
        <v>173</v>
      </c>
      <c r="B215" s="1">
        <v>45432</v>
      </c>
      <c r="C215" s="3">
        <v>25</v>
      </c>
      <c r="D215" s="4" t="s">
        <v>156</v>
      </c>
      <c r="E215" s="4"/>
      <c r="F215" s="3">
        <v>4</v>
      </c>
    </row>
    <row r="216" spans="1:6" x14ac:dyDescent="0.3">
      <c r="A216" t="s">
        <v>484</v>
      </c>
      <c r="B216" s="1">
        <v>45432</v>
      </c>
      <c r="C216" s="3">
        <v>37</v>
      </c>
      <c r="D216" s="4" t="s">
        <v>366</v>
      </c>
      <c r="E216" s="4"/>
      <c r="F216" s="3">
        <v>18</v>
      </c>
    </row>
    <row r="217" spans="1:6" x14ac:dyDescent="0.3">
      <c r="A217" t="s">
        <v>6</v>
      </c>
      <c r="B217" s="1">
        <v>45433</v>
      </c>
      <c r="C217" s="3">
        <v>31</v>
      </c>
      <c r="D217" s="4" t="s">
        <v>7</v>
      </c>
      <c r="E217" s="4" t="s">
        <v>8</v>
      </c>
      <c r="F217" s="3">
        <v>9</v>
      </c>
    </row>
    <row r="218" spans="1:6" x14ac:dyDescent="0.3">
      <c r="A218" t="s">
        <v>22</v>
      </c>
      <c r="B218" s="1">
        <v>45433</v>
      </c>
      <c r="C218" s="3">
        <v>39</v>
      </c>
      <c r="D218" s="4" t="s">
        <v>12</v>
      </c>
      <c r="E218" s="4" t="s">
        <v>8</v>
      </c>
      <c r="F218" s="3">
        <v>14</v>
      </c>
    </row>
    <row r="219" spans="1:6" x14ac:dyDescent="0.3">
      <c r="A219" t="s">
        <v>53</v>
      </c>
      <c r="B219" s="1">
        <v>45433</v>
      </c>
      <c r="C219" s="3">
        <v>43</v>
      </c>
      <c r="D219" s="4" t="s">
        <v>10</v>
      </c>
      <c r="E219" s="4" t="s">
        <v>8</v>
      </c>
      <c r="F219" s="3">
        <v>12</v>
      </c>
    </row>
    <row r="220" spans="1:6" x14ac:dyDescent="0.3">
      <c r="A220" t="s">
        <v>65</v>
      </c>
      <c r="B220" s="1">
        <v>45433</v>
      </c>
      <c r="C220" s="3">
        <v>34</v>
      </c>
      <c r="D220" s="4" t="s">
        <v>7</v>
      </c>
      <c r="E220" s="4"/>
      <c r="F220" s="3">
        <v>12</v>
      </c>
    </row>
    <row r="221" spans="1:6" x14ac:dyDescent="0.3">
      <c r="A221" t="s">
        <v>159</v>
      </c>
      <c r="B221" s="1">
        <v>45433</v>
      </c>
      <c r="C221" s="3">
        <v>29</v>
      </c>
      <c r="D221" s="4" t="s">
        <v>156</v>
      </c>
      <c r="E221" s="4"/>
      <c r="F221" s="3">
        <v>4</v>
      </c>
    </row>
    <row r="222" spans="1:6" x14ac:dyDescent="0.3">
      <c r="A222" t="s">
        <v>336</v>
      </c>
      <c r="B222" s="1">
        <v>45433</v>
      </c>
      <c r="C222" s="3">
        <v>32</v>
      </c>
      <c r="D222" s="4" t="s">
        <v>328</v>
      </c>
      <c r="E222" s="4" t="s">
        <v>8</v>
      </c>
      <c r="F222" s="3">
        <v>6</v>
      </c>
    </row>
    <row r="223" spans="1:6" x14ac:dyDescent="0.3">
      <c r="A223" t="s">
        <v>346</v>
      </c>
      <c r="B223" s="1">
        <v>45433</v>
      </c>
      <c r="C223" s="3">
        <v>29</v>
      </c>
      <c r="D223" s="4" t="s">
        <v>347</v>
      </c>
      <c r="E223" s="4"/>
      <c r="F223" s="3">
        <v>1</v>
      </c>
    </row>
    <row r="224" spans="1:6" x14ac:dyDescent="0.3">
      <c r="A224" t="s">
        <v>352</v>
      </c>
      <c r="B224" s="1">
        <v>45433</v>
      </c>
      <c r="C224" s="3">
        <v>37</v>
      </c>
      <c r="D224" s="4" t="s">
        <v>347</v>
      </c>
      <c r="E224" s="4" t="s">
        <v>8</v>
      </c>
      <c r="F224" s="3">
        <v>15</v>
      </c>
    </row>
    <row r="225" spans="1:6" x14ac:dyDescent="0.3">
      <c r="A225" t="s">
        <v>458</v>
      </c>
      <c r="B225" s="1">
        <v>45433</v>
      </c>
      <c r="C225" s="3">
        <v>32</v>
      </c>
      <c r="D225" s="4" t="s">
        <v>366</v>
      </c>
      <c r="E225" s="4" t="s">
        <v>13</v>
      </c>
      <c r="F225" s="3">
        <v>8</v>
      </c>
    </row>
    <row r="226" spans="1:6" x14ac:dyDescent="0.3">
      <c r="A226" t="s">
        <v>342</v>
      </c>
      <c r="B226" s="1">
        <v>45434</v>
      </c>
      <c r="C226" s="3">
        <v>30</v>
      </c>
      <c r="D226" s="4" t="s">
        <v>328</v>
      </c>
      <c r="E226" s="4" t="s">
        <v>13</v>
      </c>
      <c r="F226" s="3">
        <v>7</v>
      </c>
    </row>
    <row r="227" spans="1:6" x14ac:dyDescent="0.3">
      <c r="A227" t="s">
        <v>473</v>
      </c>
      <c r="B227" s="1">
        <v>45434</v>
      </c>
      <c r="C227" s="3">
        <v>30</v>
      </c>
      <c r="D227" s="4" t="s">
        <v>366</v>
      </c>
      <c r="E227" s="4" t="s">
        <v>8</v>
      </c>
      <c r="F227" s="3">
        <v>6</v>
      </c>
    </row>
    <row r="228" spans="1:6" x14ac:dyDescent="0.3">
      <c r="A228" t="s">
        <v>164</v>
      </c>
      <c r="B228" s="1">
        <v>45435</v>
      </c>
      <c r="C228" s="3">
        <v>27</v>
      </c>
      <c r="D228" s="4" t="s">
        <v>156</v>
      </c>
      <c r="E228" s="4" t="s">
        <v>13</v>
      </c>
      <c r="F228" s="3">
        <v>4</v>
      </c>
    </row>
    <row r="229" spans="1:6" x14ac:dyDescent="0.3">
      <c r="A229" t="s">
        <v>186</v>
      </c>
      <c r="B229" s="1">
        <v>45435</v>
      </c>
      <c r="C229" s="3">
        <v>41</v>
      </c>
      <c r="D229" s="4" t="s">
        <v>156</v>
      </c>
      <c r="E229" s="4" t="s">
        <v>13</v>
      </c>
      <c r="F229" s="3">
        <v>4</v>
      </c>
    </row>
    <row r="230" spans="1:6" x14ac:dyDescent="0.3">
      <c r="A230" t="s">
        <v>84</v>
      </c>
      <c r="B230" s="1">
        <v>45436</v>
      </c>
      <c r="C230" s="3">
        <v>28</v>
      </c>
      <c r="D230" s="4" t="s">
        <v>12</v>
      </c>
      <c r="E230" s="4" t="s">
        <v>8</v>
      </c>
      <c r="F230" s="3">
        <v>5</v>
      </c>
    </row>
    <row r="231" spans="1:6" x14ac:dyDescent="0.3">
      <c r="A231" t="s">
        <v>383</v>
      </c>
      <c r="B231" s="1">
        <v>45436</v>
      </c>
      <c r="C231" s="3">
        <v>32</v>
      </c>
      <c r="D231" s="4" t="s">
        <v>366</v>
      </c>
      <c r="E231" s="4" t="s">
        <v>8</v>
      </c>
      <c r="F231" s="3">
        <v>9</v>
      </c>
    </row>
    <row r="232" spans="1:6" x14ac:dyDescent="0.3">
      <c r="A232" t="s">
        <v>460</v>
      </c>
      <c r="B232" s="1">
        <v>45436</v>
      </c>
      <c r="C232" s="3">
        <v>30</v>
      </c>
      <c r="D232" s="4" t="s">
        <v>366</v>
      </c>
      <c r="E232" s="4" t="s">
        <v>8</v>
      </c>
      <c r="F232" s="3">
        <v>9</v>
      </c>
    </row>
    <row r="233" spans="1:6" x14ac:dyDescent="0.3">
      <c r="A233" t="s">
        <v>491</v>
      </c>
      <c r="B233" s="1">
        <v>45436</v>
      </c>
      <c r="C233" s="3">
        <v>30</v>
      </c>
      <c r="D233" s="4" t="s">
        <v>488</v>
      </c>
      <c r="E233" s="4" t="s">
        <v>13</v>
      </c>
      <c r="F233" s="3">
        <v>5</v>
      </c>
    </row>
    <row r="234" spans="1:6" x14ac:dyDescent="0.3">
      <c r="A234" t="s">
        <v>96</v>
      </c>
      <c r="B234" s="1">
        <v>45437</v>
      </c>
      <c r="C234" s="3">
        <v>25</v>
      </c>
      <c r="D234" s="4" t="s">
        <v>12</v>
      </c>
      <c r="E234" s="4" t="s">
        <v>13</v>
      </c>
      <c r="F234" s="3">
        <v>4</v>
      </c>
    </row>
    <row r="235" spans="1:6" x14ac:dyDescent="0.3">
      <c r="A235" t="s">
        <v>289</v>
      </c>
      <c r="B235" s="1">
        <v>45437</v>
      </c>
      <c r="C235" s="3">
        <v>25</v>
      </c>
      <c r="D235" s="4" t="s">
        <v>286</v>
      </c>
      <c r="E235" s="4"/>
      <c r="F235" s="3">
        <v>2</v>
      </c>
    </row>
    <row r="236" spans="1:6" x14ac:dyDescent="0.3">
      <c r="A236" t="s">
        <v>412</v>
      </c>
      <c r="B236" s="1">
        <v>45437</v>
      </c>
      <c r="C236" s="3">
        <v>45</v>
      </c>
      <c r="D236" s="4" t="s">
        <v>366</v>
      </c>
      <c r="E236" s="4"/>
      <c r="F236" s="3">
        <v>6</v>
      </c>
    </row>
    <row r="237" spans="1:6" x14ac:dyDescent="0.3">
      <c r="A237" t="s">
        <v>123</v>
      </c>
      <c r="B237" s="1">
        <v>45438</v>
      </c>
      <c r="C237" s="3">
        <v>43</v>
      </c>
      <c r="D237" s="4" t="s">
        <v>10</v>
      </c>
      <c r="E237" s="4" t="s">
        <v>13</v>
      </c>
      <c r="F237" s="3">
        <v>17</v>
      </c>
    </row>
    <row r="238" spans="1:6" x14ac:dyDescent="0.3">
      <c r="A238" t="s">
        <v>234</v>
      </c>
      <c r="B238" s="1">
        <v>45438</v>
      </c>
      <c r="C238" s="3">
        <v>39</v>
      </c>
      <c r="D238" s="4" t="s">
        <v>156</v>
      </c>
      <c r="E238" s="4" t="s">
        <v>16</v>
      </c>
      <c r="F238" s="3">
        <v>14</v>
      </c>
    </row>
    <row r="239" spans="1:6" x14ac:dyDescent="0.3">
      <c r="A239" t="s">
        <v>270</v>
      </c>
      <c r="B239" s="1">
        <v>45438</v>
      </c>
      <c r="C239" s="3">
        <v>28</v>
      </c>
      <c r="D239" s="4" t="s">
        <v>265</v>
      </c>
      <c r="E239" s="4"/>
      <c r="F239" s="3">
        <v>6</v>
      </c>
    </row>
    <row r="240" spans="1:6" x14ac:dyDescent="0.3">
      <c r="A240" t="s">
        <v>350</v>
      </c>
      <c r="B240" s="1">
        <v>45438</v>
      </c>
      <c r="C240" s="3">
        <v>33</v>
      </c>
      <c r="D240" s="4" t="s">
        <v>347</v>
      </c>
      <c r="E240" s="4" t="s">
        <v>13</v>
      </c>
      <c r="F240" s="3">
        <v>10</v>
      </c>
    </row>
    <row r="241" spans="1:6" x14ac:dyDescent="0.3">
      <c r="A241" t="s">
        <v>490</v>
      </c>
      <c r="B241" s="1">
        <v>45438</v>
      </c>
      <c r="C241" s="3">
        <v>36</v>
      </c>
      <c r="D241" s="4" t="s">
        <v>488</v>
      </c>
      <c r="E241" s="4" t="s">
        <v>13</v>
      </c>
      <c r="F241" s="3">
        <v>7</v>
      </c>
    </row>
    <row r="242" spans="1:6" x14ac:dyDescent="0.3">
      <c r="A242" t="s">
        <v>18</v>
      </c>
      <c r="B242" s="1">
        <v>45439</v>
      </c>
      <c r="C242" s="3">
        <v>43</v>
      </c>
      <c r="D242" s="4" t="s">
        <v>10</v>
      </c>
      <c r="E242" s="4" t="s">
        <v>8</v>
      </c>
      <c r="F242" s="3">
        <v>4</v>
      </c>
    </row>
    <row r="243" spans="1:6" x14ac:dyDescent="0.3">
      <c r="A243" t="s">
        <v>33</v>
      </c>
      <c r="B243" s="1">
        <v>45439</v>
      </c>
      <c r="C243" s="3">
        <v>45</v>
      </c>
      <c r="D243" s="4" t="s">
        <v>10</v>
      </c>
      <c r="E243" s="4" t="s">
        <v>8</v>
      </c>
      <c r="F243" s="3">
        <v>2</v>
      </c>
    </row>
    <row r="244" spans="1:6" x14ac:dyDescent="0.3">
      <c r="A244" t="s">
        <v>87</v>
      </c>
      <c r="B244" s="1">
        <v>45439</v>
      </c>
      <c r="C244" s="3">
        <v>28</v>
      </c>
      <c r="D244" s="4" t="s">
        <v>7</v>
      </c>
      <c r="E244" s="4" t="s">
        <v>13</v>
      </c>
      <c r="F244" s="3">
        <v>4</v>
      </c>
    </row>
    <row r="245" spans="1:6" x14ac:dyDescent="0.3">
      <c r="A245" t="s">
        <v>210</v>
      </c>
      <c r="B245" s="1">
        <v>45439</v>
      </c>
      <c r="C245" s="3">
        <v>35</v>
      </c>
      <c r="D245" s="4" t="s">
        <v>156</v>
      </c>
      <c r="E245" s="4" t="s">
        <v>8</v>
      </c>
      <c r="F245" s="3">
        <v>3</v>
      </c>
    </row>
    <row r="246" spans="1:6" x14ac:dyDescent="0.3">
      <c r="A246" t="s">
        <v>216</v>
      </c>
      <c r="B246" s="1">
        <v>45440</v>
      </c>
      <c r="C246" s="3">
        <v>36</v>
      </c>
      <c r="D246" s="4" t="s">
        <v>156</v>
      </c>
      <c r="E246" s="4" t="s">
        <v>8</v>
      </c>
      <c r="F246" s="3">
        <v>3</v>
      </c>
    </row>
    <row r="247" spans="1:6" x14ac:dyDescent="0.3">
      <c r="A247" t="s">
        <v>372</v>
      </c>
      <c r="B247" s="1">
        <v>45440</v>
      </c>
      <c r="C247" s="3">
        <v>35</v>
      </c>
      <c r="D247" s="4" t="s">
        <v>366</v>
      </c>
      <c r="E247" s="4" t="s">
        <v>8</v>
      </c>
      <c r="F247" s="3">
        <v>14</v>
      </c>
    </row>
    <row r="248" spans="1:6" x14ac:dyDescent="0.3">
      <c r="A248" t="s">
        <v>190</v>
      </c>
      <c r="B248" s="1">
        <v>45441</v>
      </c>
      <c r="C248" s="3">
        <v>29</v>
      </c>
      <c r="D248" s="4" t="s">
        <v>156</v>
      </c>
      <c r="E248" s="4" t="s">
        <v>8</v>
      </c>
      <c r="F248" s="3">
        <v>4</v>
      </c>
    </row>
    <row r="249" spans="1:6" x14ac:dyDescent="0.3">
      <c r="A249" t="s">
        <v>207</v>
      </c>
      <c r="B249" s="1">
        <v>45441</v>
      </c>
      <c r="C249" s="3">
        <v>29</v>
      </c>
      <c r="D249" s="4" t="s">
        <v>156</v>
      </c>
      <c r="E249" s="4" t="s">
        <v>8</v>
      </c>
      <c r="F249" s="3">
        <v>7</v>
      </c>
    </row>
    <row r="250" spans="1:6" x14ac:dyDescent="0.3">
      <c r="A250" t="s">
        <v>314</v>
      </c>
      <c r="B250" s="1">
        <v>45441</v>
      </c>
      <c r="C250" s="3">
        <v>31</v>
      </c>
      <c r="D250" s="4" t="s">
        <v>305</v>
      </c>
      <c r="E250" s="4" t="s">
        <v>8</v>
      </c>
      <c r="F250" s="3">
        <v>8</v>
      </c>
    </row>
    <row r="251" spans="1:6" x14ac:dyDescent="0.3">
      <c r="A251" t="s">
        <v>402</v>
      </c>
      <c r="B251" s="1">
        <v>45441</v>
      </c>
      <c r="C251" s="3">
        <v>26</v>
      </c>
      <c r="D251" s="4" t="s">
        <v>366</v>
      </c>
      <c r="E251" s="4" t="s">
        <v>13</v>
      </c>
      <c r="F251" s="3">
        <v>4</v>
      </c>
    </row>
    <row r="252" spans="1:6" x14ac:dyDescent="0.3">
      <c r="A252" t="s">
        <v>89</v>
      </c>
      <c r="B252" s="1">
        <v>45442</v>
      </c>
      <c r="C252" s="3">
        <v>26</v>
      </c>
      <c r="D252" s="4" t="s">
        <v>10</v>
      </c>
      <c r="E252" s="4" t="s">
        <v>8</v>
      </c>
      <c r="F252" s="3">
        <v>4</v>
      </c>
    </row>
    <row r="253" spans="1:6" x14ac:dyDescent="0.3">
      <c r="A253" t="s">
        <v>150</v>
      </c>
      <c r="B253" s="1">
        <v>45442</v>
      </c>
      <c r="C253" s="3">
        <v>45</v>
      </c>
      <c r="D253" s="4" t="s">
        <v>140</v>
      </c>
      <c r="E253" s="4" t="s">
        <v>8</v>
      </c>
      <c r="F253" s="3">
        <v>23</v>
      </c>
    </row>
    <row r="254" spans="1:6" x14ac:dyDescent="0.3">
      <c r="A254" t="s">
        <v>204</v>
      </c>
      <c r="B254" s="1">
        <v>45442</v>
      </c>
      <c r="C254" s="3">
        <v>35</v>
      </c>
      <c r="D254" s="4" t="s">
        <v>156</v>
      </c>
      <c r="E254" s="4" t="s">
        <v>8</v>
      </c>
      <c r="F254" s="3">
        <v>10</v>
      </c>
    </row>
    <row r="255" spans="1:6" x14ac:dyDescent="0.3">
      <c r="A255" t="s">
        <v>335</v>
      </c>
      <c r="B255" s="1">
        <v>45442</v>
      </c>
      <c r="C255" s="3">
        <v>45</v>
      </c>
      <c r="D255" s="4" t="s">
        <v>328</v>
      </c>
      <c r="E255" s="4" t="s">
        <v>8</v>
      </c>
      <c r="F255" s="3">
        <v>3</v>
      </c>
    </row>
    <row r="256" spans="1:6" x14ac:dyDescent="0.3">
      <c r="A256" t="s">
        <v>404</v>
      </c>
      <c r="B256" s="1">
        <v>45442</v>
      </c>
      <c r="C256" s="3">
        <v>42</v>
      </c>
      <c r="D256" s="4" t="s">
        <v>366</v>
      </c>
      <c r="E256" s="4"/>
      <c r="F256" s="3">
        <v>8</v>
      </c>
    </row>
    <row r="257" spans="1:6" x14ac:dyDescent="0.3">
      <c r="A257" t="s">
        <v>51</v>
      </c>
      <c r="B257" s="1">
        <v>45443</v>
      </c>
      <c r="C257" s="3">
        <v>26</v>
      </c>
      <c r="D257" s="4" t="s">
        <v>7</v>
      </c>
      <c r="E257" s="4" t="s">
        <v>8</v>
      </c>
      <c r="F257" s="3">
        <v>2</v>
      </c>
    </row>
    <row r="258" spans="1:6" x14ac:dyDescent="0.3">
      <c r="A258" t="s">
        <v>78</v>
      </c>
      <c r="B258" s="1">
        <v>45443</v>
      </c>
      <c r="C258" s="3">
        <v>40</v>
      </c>
      <c r="D258" s="4" t="s">
        <v>12</v>
      </c>
      <c r="E258" s="4" t="s">
        <v>13</v>
      </c>
      <c r="F258" s="3">
        <v>16</v>
      </c>
    </row>
    <row r="259" spans="1:6" x14ac:dyDescent="0.3">
      <c r="A259" t="s">
        <v>408</v>
      </c>
      <c r="B259" s="1">
        <v>45443</v>
      </c>
      <c r="C259" s="3">
        <v>33</v>
      </c>
      <c r="D259" s="4" t="s">
        <v>366</v>
      </c>
      <c r="E259" s="4" t="s">
        <v>8</v>
      </c>
      <c r="F259" s="3">
        <v>10</v>
      </c>
    </row>
    <row r="260" spans="1:6" x14ac:dyDescent="0.3">
      <c r="A260" t="s">
        <v>103</v>
      </c>
      <c r="B260" s="1">
        <v>45444</v>
      </c>
      <c r="C260" s="3">
        <v>33</v>
      </c>
      <c r="D260" s="4" t="s">
        <v>12</v>
      </c>
      <c r="E260" s="4" t="s">
        <v>8</v>
      </c>
      <c r="F260" s="3">
        <v>10</v>
      </c>
    </row>
    <row r="261" spans="1:6" x14ac:dyDescent="0.3">
      <c r="A261" t="s">
        <v>451</v>
      </c>
      <c r="B261" s="1">
        <v>45444</v>
      </c>
      <c r="C261" s="3">
        <v>29</v>
      </c>
      <c r="D261" s="4" t="s">
        <v>366</v>
      </c>
      <c r="E261" s="4" t="s">
        <v>8</v>
      </c>
      <c r="F261" s="3">
        <v>6</v>
      </c>
    </row>
    <row r="262" spans="1:6" x14ac:dyDescent="0.3">
      <c r="A262" t="s">
        <v>105</v>
      </c>
      <c r="B262" s="1">
        <v>45445</v>
      </c>
      <c r="C262" s="3">
        <v>43</v>
      </c>
      <c r="D262" s="4" t="s">
        <v>7</v>
      </c>
      <c r="E262" s="4" t="s">
        <v>8</v>
      </c>
      <c r="F262" s="3">
        <v>10</v>
      </c>
    </row>
    <row r="263" spans="1:6" x14ac:dyDescent="0.3">
      <c r="A263" t="s">
        <v>506</v>
      </c>
      <c r="B263" s="1">
        <v>45445</v>
      </c>
      <c r="C263" s="3">
        <v>41</v>
      </c>
      <c r="D263" s="4" t="s">
        <v>488</v>
      </c>
      <c r="E263" s="4" t="s">
        <v>8</v>
      </c>
      <c r="F263" s="3">
        <v>15</v>
      </c>
    </row>
    <row r="264" spans="1:6" x14ac:dyDescent="0.3">
      <c r="A264" t="s">
        <v>180</v>
      </c>
      <c r="B264" s="1">
        <v>45446</v>
      </c>
      <c r="C264" s="3">
        <v>29</v>
      </c>
      <c r="D264" s="4" t="s">
        <v>156</v>
      </c>
      <c r="E264" s="4" t="s">
        <v>8</v>
      </c>
      <c r="F264" s="3">
        <v>6</v>
      </c>
    </row>
    <row r="265" spans="1:6" x14ac:dyDescent="0.3">
      <c r="A265" t="s">
        <v>388</v>
      </c>
      <c r="B265" s="1">
        <v>45446</v>
      </c>
      <c r="C265" s="3">
        <v>39</v>
      </c>
      <c r="D265" s="4" t="s">
        <v>366</v>
      </c>
      <c r="E265" s="4" t="s">
        <v>13</v>
      </c>
      <c r="F265" s="3">
        <v>13</v>
      </c>
    </row>
    <row r="266" spans="1:6" x14ac:dyDescent="0.3">
      <c r="A266" t="s">
        <v>293</v>
      </c>
      <c r="B266" s="1">
        <v>45447</v>
      </c>
      <c r="C266" s="3">
        <v>32</v>
      </c>
      <c r="D266" s="4" t="s">
        <v>286</v>
      </c>
      <c r="E266" s="4" t="s">
        <v>8</v>
      </c>
      <c r="F266" s="3">
        <v>8</v>
      </c>
    </row>
    <row r="267" spans="1:6" x14ac:dyDescent="0.3">
      <c r="A267" t="s">
        <v>15</v>
      </c>
      <c r="B267" s="1">
        <v>45448</v>
      </c>
      <c r="C267" s="3">
        <v>39</v>
      </c>
      <c r="D267" s="4" t="s">
        <v>12</v>
      </c>
      <c r="E267" s="4" t="s">
        <v>16</v>
      </c>
      <c r="F267" s="3">
        <v>6</v>
      </c>
    </row>
    <row r="268" spans="1:6" x14ac:dyDescent="0.3">
      <c r="A268" t="s">
        <v>100</v>
      </c>
      <c r="B268" s="1">
        <v>45449</v>
      </c>
      <c r="C268" s="3">
        <v>32</v>
      </c>
      <c r="D268" s="4" t="s">
        <v>12</v>
      </c>
      <c r="E268" s="4" t="s">
        <v>8</v>
      </c>
      <c r="F268" s="3">
        <v>9</v>
      </c>
    </row>
    <row r="269" spans="1:6" x14ac:dyDescent="0.3">
      <c r="A269" t="s">
        <v>260</v>
      </c>
      <c r="B269" s="1">
        <v>45449</v>
      </c>
      <c r="C269" s="3">
        <v>29</v>
      </c>
      <c r="D269" s="4" t="s">
        <v>156</v>
      </c>
      <c r="E269" s="4" t="s">
        <v>8</v>
      </c>
      <c r="F269" s="3">
        <v>2</v>
      </c>
    </row>
    <row r="270" spans="1:6" x14ac:dyDescent="0.3">
      <c r="A270" t="s">
        <v>263</v>
      </c>
      <c r="B270" s="1">
        <v>45449</v>
      </c>
      <c r="C270" s="3">
        <v>40</v>
      </c>
      <c r="D270" s="4" t="s">
        <v>156</v>
      </c>
      <c r="E270" s="4"/>
      <c r="F270" s="3">
        <v>4</v>
      </c>
    </row>
    <row r="271" spans="1:6" x14ac:dyDescent="0.3">
      <c r="A271" t="s">
        <v>315</v>
      </c>
      <c r="B271" s="1">
        <v>45449</v>
      </c>
      <c r="C271" s="3">
        <v>41</v>
      </c>
      <c r="D271" s="4" t="s">
        <v>305</v>
      </c>
      <c r="E271" s="4"/>
      <c r="F271" s="3">
        <v>21</v>
      </c>
    </row>
    <row r="272" spans="1:6" x14ac:dyDescent="0.3">
      <c r="A272" t="s">
        <v>456</v>
      </c>
      <c r="B272" s="1">
        <v>45450</v>
      </c>
      <c r="C272" s="3">
        <v>32</v>
      </c>
      <c r="D272" s="4" t="s">
        <v>366</v>
      </c>
      <c r="E272" s="4" t="s">
        <v>13</v>
      </c>
      <c r="F272" s="3">
        <v>10</v>
      </c>
    </row>
    <row r="273" spans="1:6" x14ac:dyDescent="0.3">
      <c r="A273" t="s">
        <v>61</v>
      </c>
      <c r="B273" s="1">
        <v>45451</v>
      </c>
      <c r="C273" s="3">
        <v>28</v>
      </c>
      <c r="D273" s="4" t="s">
        <v>12</v>
      </c>
      <c r="E273" s="4"/>
      <c r="F273" s="3">
        <v>10</v>
      </c>
    </row>
    <row r="274" spans="1:6" x14ac:dyDescent="0.3">
      <c r="A274" t="s">
        <v>242</v>
      </c>
      <c r="B274" s="1">
        <v>45451</v>
      </c>
      <c r="C274" s="3">
        <v>28</v>
      </c>
      <c r="D274" s="4" t="s">
        <v>156</v>
      </c>
      <c r="E274" s="4" t="s">
        <v>8</v>
      </c>
      <c r="F274" s="3">
        <v>5</v>
      </c>
    </row>
    <row r="275" spans="1:6" x14ac:dyDescent="0.3">
      <c r="A275" t="s">
        <v>169</v>
      </c>
      <c r="B275" s="1">
        <v>45452</v>
      </c>
      <c r="C275" s="3">
        <v>38</v>
      </c>
      <c r="D275" s="4" t="s">
        <v>156</v>
      </c>
      <c r="E275" s="4" t="s">
        <v>13</v>
      </c>
      <c r="F275" s="3">
        <v>11</v>
      </c>
    </row>
    <row r="276" spans="1:6" x14ac:dyDescent="0.3">
      <c r="A276" t="s">
        <v>416</v>
      </c>
      <c r="B276" s="1">
        <v>45452</v>
      </c>
      <c r="C276" s="3">
        <v>29</v>
      </c>
      <c r="D276" s="4" t="s">
        <v>366</v>
      </c>
      <c r="E276" s="4" t="s">
        <v>13</v>
      </c>
      <c r="F276" s="3">
        <v>4</v>
      </c>
    </row>
    <row r="277" spans="1:6" x14ac:dyDescent="0.3">
      <c r="A277" t="s">
        <v>182</v>
      </c>
      <c r="B277" s="1">
        <v>45453</v>
      </c>
      <c r="C277" s="3">
        <v>30</v>
      </c>
      <c r="D277" s="4" t="s">
        <v>156</v>
      </c>
      <c r="E277" s="4"/>
      <c r="F277" s="3">
        <v>3</v>
      </c>
    </row>
    <row r="278" spans="1:6" x14ac:dyDescent="0.3">
      <c r="A278" t="s">
        <v>208</v>
      </c>
      <c r="B278" s="1">
        <v>45453</v>
      </c>
      <c r="C278" s="3">
        <v>40</v>
      </c>
      <c r="D278" s="4" t="s">
        <v>156</v>
      </c>
      <c r="E278" s="4" t="s">
        <v>8</v>
      </c>
      <c r="F278" s="3">
        <v>19</v>
      </c>
    </row>
    <row r="279" spans="1:6" x14ac:dyDescent="0.3">
      <c r="A279" t="s">
        <v>358</v>
      </c>
      <c r="B279" s="1">
        <v>45453</v>
      </c>
      <c r="C279" s="3">
        <v>34</v>
      </c>
      <c r="D279" s="4" t="s">
        <v>347</v>
      </c>
      <c r="E279" s="4" t="s">
        <v>13</v>
      </c>
      <c r="F279" s="3">
        <v>6</v>
      </c>
    </row>
    <row r="280" spans="1:6" x14ac:dyDescent="0.3">
      <c r="A280" t="s">
        <v>436</v>
      </c>
      <c r="B280" s="1">
        <v>45453</v>
      </c>
      <c r="C280" s="3">
        <v>39</v>
      </c>
      <c r="D280" s="4" t="s">
        <v>366</v>
      </c>
      <c r="E280" s="4" t="s">
        <v>8</v>
      </c>
      <c r="F280" s="3">
        <v>14</v>
      </c>
    </row>
    <row r="281" spans="1:6" x14ac:dyDescent="0.3">
      <c r="A281" t="s">
        <v>38</v>
      </c>
      <c r="B281" s="1">
        <v>45454</v>
      </c>
      <c r="C281" s="3">
        <v>40</v>
      </c>
      <c r="D281" s="4" t="s">
        <v>12</v>
      </c>
      <c r="E281" s="4" t="s">
        <v>8</v>
      </c>
      <c r="F281" s="3">
        <v>3</v>
      </c>
    </row>
    <row r="282" spans="1:6" x14ac:dyDescent="0.3">
      <c r="A282" t="s">
        <v>97</v>
      </c>
      <c r="B282" s="1">
        <v>45454</v>
      </c>
      <c r="C282" s="3">
        <v>36</v>
      </c>
      <c r="D282" s="4" t="s">
        <v>7</v>
      </c>
      <c r="E282" s="4" t="s">
        <v>8</v>
      </c>
      <c r="F282" s="3">
        <v>10</v>
      </c>
    </row>
    <row r="283" spans="1:6" x14ac:dyDescent="0.3">
      <c r="A283" t="s">
        <v>131</v>
      </c>
      <c r="B283" s="1">
        <v>45454</v>
      </c>
      <c r="C283" s="3">
        <v>38</v>
      </c>
      <c r="D283" s="4" t="s">
        <v>7</v>
      </c>
      <c r="E283" s="4" t="s">
        <v>13</v>
      </c>
      <c r="F283" s="3">
        <v>7</v>
      </c>
    </row>
    <row r="284" spans="1:6" x14ac:dyDescent="0.3">
      <c r="A284" t="s">
        <v>360</v>
      </c>
      <c r="B284" s="1">
        <v>45454</v>
      </c>
      <c r="C284" s="3">
        <v>43</v>
      </c>
      <c r="D284" s="4" t="s">
        <v>347</v>
      </c>
      <c r="E284" s="4"/>
      <c r="F284" s="3">
        <v>22</v>
      </c>
    </row>
    <row r="285" spans="1:6" x14ac:dyDescent="0.3">
      <c r="A285" t="s">
        <v>55</v>
      </c>
      <c r="B285" s="1">
        <v>45455</v>
      </c>
      <c r="C285" s="3">
        <v>36</v>
      </c>
      <c r="D285" s="4" t="s">
        <v>10</v>
      </c>
      <c r="E285" s="4" t="s">
        <v>13</v>
      </c>
      <c r="F285" s="3">
        <v>13</v>
      </c>
    </row>
    <row r="286" spans="1:6" x14ac:dyDescent="0.3">
      <c r="A286" t="s">
        <v>111</v>
      </c>
      <c r="B286" s="1">
        <v>45455</v>
      </c>
      <c r="C286" s="3">
        <v>26</v>
      </c>
      <c r="D286" s="4" t="s">
        <v>12</v>
      </c>
      <c r="E286" s="4" t="s">
        <v>8</v>
      </c>
      <c r="F286" s="3">
        <v>4</v>
      </c>
    </row>
    <row r="287" spans="1:6" x14ac:dyDescent="0.3">
      <c r="A287" t="s">
        <v>119</v>
      </c>
      <c r="B287" s="1">
        <v>45455</v>
      </c>
      <c r="C287" s="3">
        <v>27</v>
      </c>
      <c r="D287" s="4" t="s">
        <v>12</v>
      </c>
      <c r="E287" s="4" t="s">
        <v>13</v>
      </c>
      <c r="F287" s="3">
        <v>5</v>
      </c>
    </row>
    <row r="288" spans="1:6" x14ac:dyDescent="0.3">
      <c r="A288" t="s">
        <v>41</v>
      </c>
      <c r="B288" s="1">
        <v>45456</v>
      </c>
      <c r="C288" s="3">
        <v>31</v>
      </c>
      <c r="D288" s="4" t="s">
        <v>7</v>
      </c>
      <c r="E288" s="4" t="s">
        <v>13</v>
      </c>
      <c r="F288" s="3">
        <v>4</v>
      </c>
    </row>
    <row r="289" spans="1:6" x14ac:dyDescent="0.3">
      <c r="A289" t="s">
        <v>288</v>
      </c>
      <c r="B289" s="1">
        <v>45456</v>
      </c>
      <c r="C289" s="3">
        <v>27</v>
      </c>
      <c r="D289" s="4" t="s">
        <v>286</v>
      </c>
      <c r="E289" s="4" t="s">
        <v>8</v>
      </c>
      <c r="F289" s="3">
        <v>3</v>
      </c>
    </row>
    <row r="290" spans="1:6" x14ac:dyDescent="0.3">
      <c r="A290" t="s">
        <v>106</v>
      </c>
      <c r="B290" s="1">
        <v>45457</v>
      </c>
      <c r="C290" s="3">
        <v>30</v>
      </c>
      <c r="D290" s="4" t="s">
        <v>12</v>
      </c>
      <c r="E290" s="4" t="s">
        <v>13</v>
      </c>
      <c r="F290" s="3">
        <v>7</v>
      </c>
    </row>
    <row r="291" spans="1:6" x14ac:dyDescent="0.3">
      <c r="A291" t="s">
        <v>188</v>
      </c>
      <c r="B291" s="1">
        <v>45457</v>
      </c>
      <c r="C291" s="3">
        <v>31</v>
      </c>
      <c r="D291" s="4" t="s">
        <v>156</v>
      </c>
      <c r="E291" s="4" t="s">
        <v>8</v>
      </c>
      <c r="F291" s="3">
        <v>7</v>
      </c>
    </row>
    <row r="292" spans="1:6" x14ac:dyDescent="0.3">
      <c r="A292" t="s">
        <v>81</v>
      </c>
      <c r="B292" s="1">
        <v>45458</v>
      </c>
      <c r="C292" s="3">
        <v>45</v>
      </c>
      <c r="D292" s="4" t="s">
        <v>7</v>
      </c>
      <c r="E292" s="4" t="s">
        <v>8</v>
      </c>
      <c r="F292" s="3">
        <v>21</v>
      </c>
    </row>
    <row r="293" spans="1:6" x14ac:dyDescent="0.3">
      <c r="A293" t="s">
        <v>374</v>
      </c>
      <c r="B293" s="1">
        <v>45458</v>
      </c>
      <c r="C293" s="3">
        <v>36</v>
      </c>
      <c r="D293" s="4" t="s">
        <v>366</v>
      </c>
      <c r="E293" s="4" t="s">
        <v>8</v>
      </c>
      <c r="F293" s="3">
        <v>4</v>
      </c>
    </row>
    <row r="294" spans="1:6" x14ac:dyDescent="0.3">
      <c r="A294" t="s">
        <v>191</v>
      </c>
      <c r="B294" s="1">
        <v>45460</v>
      </c>
      <c r="C294" s="3">
        <v>27</v>
      </c>
      <c r="D294" s="4" t="s">
        <v>156</v>
      </c>
      <c r="E294" s="4" t="s">
        <v>13</v>
      </c>
      <c r="F294" s="3">
        <v>4</v>
      </c>
    </row>
    <row r="295" spans="1:6" x14ac:dyDescent="0.3">
      <c r="A295" t="s">
        <v>74</v>
      </c>
      <c r="B295" s="1">
        <v>45461</v>
      </c>
      <c r="C295" s="3">
        <v>38</v>
      </c>
      <c r="D295" s="4" t="s">
        <v>12</v>
      </c>
      <c r="E295" s="4" t="s">
        <v>13</v>
      </c>
      <c r="F295" s="3">
        <v>4</v>
      </c>
    </row>
    <row r="296" spans="1:6" x14ac:dyDescent="0.3">
      <c r="A296" t="s">
        <v>450</v>
      </c>
      <c r="B296" s="1">
        <v>45461</v>
      </c>
      <c r="C296" s="3">
        <v>41</v>
      </c>
      <c r="D296" s="4" t="s">
        <v>366</v>
      </c>
      <c r="E296" s="4"/>
      <c r="F296" s="3">
        <v>23</v>
      </c>
    </row>
    <row r="297" spans="1:6" x14ac:dyDescent="0.3">
      <c r="A297" t="s">
        <v>203</v>
      </c>
      <c r="B297" s="1">
        <v>45462</v>
      </c>
      <c r="C297" s="3">
        <v>39</v>
      </c>
      <c r="D297" s="4" t="s">
        <v>156</v>
      </c>
      <c r="E297" s="4" t="s">
        <v>13</v>
      </c>
      <c r="F297" s="3">
        <v>4</v>
      </c>
    </row>
    <row r="298" spans="1:6" x14ac:dyDescent="0.3">
      <c r="A298" t="s">
        <v>244</v>
      </c>
      <c r="B298" s="1">
        <v>45462</v>
      </c>
      <c r="C298" s="3">
        <v>34</v>
      </c>
      <c r="D298" s="4" t="s">
        <v>156</v>
      </c>
      <c r="E298" s="4" t="s">
        <v>8</v>
      </c>
      <c r="F298" s="3">
        <v>5</v>
      </c>
    </row>
    <row r="299" spans="1:6" x14ac:dyDescent="0.3">
      <c r="A299" t="s">
        <v>250</v>
      </c>
      <c r="B299" s="1">
        <v>45462</v>
      </c>
      <c r="C299" s="3">
        <v>33</v>
      </c>
      <c r="D299" s="4" t="s">
        <v>156</v>
      </c>
      <c r="E299" s="4" t="s">
        <v>8</v>
      </c>
      <c r="F299" s="3">
        <v>10</v>
      </c>
    </row>
    <row r="300" spans="1:6" x14ac:dyDescent="0.3">
      <c r="A300" t="s">
        <v>320</v>
      </c>
      <c r="B300" s="1">
        <v>45462</v>
      </c>
      <c r="C300" s="3">
        <v>33</v>
      </c>
      <c r="D300" s="4" t="s">
        <v>305</v>
      </c>
      <c r="E300" s="4"/>
      <c r="F300" s="3">
        <v>3</v>
      </c>
    </row>
    <row r="301" spans="1:6" x14ac:dyDescent="0.3">
      <c r="A301" t="s">
        <v>326</v>
      </c>
      <c r="B301" s="1">
        <v>45462</v>
      </c>
      <c r="C301" s="3">
        <v>43</v>
      </c>
      <c r="D301" s="4" t="s">
        <v>305</v>
      </c>
      <c r="E301" s="4"/>
      <c r="F301" s="3">
        <v>8</v>
      </c>
    </row>
    <row r="302" spans="1:6" x14ac:dyDescent="0.3">
      <c r="A302" t="s">
        <v>136</v>
      </c>
      <c r="B302" s="1">
        <v>45463</v>
      </c>
      <c r="C302" s="3">
        <v>42</v>
      </c>
      <c r="D302" s="4" t="s">
        <v>7</v>
      </c>
      <c r="E302" s="4" t="s">
        <v>8</v>
      </c>
      <c r="F302" s="3">
        <v>7</v>
      </c>
    </row>
    <row r="303" spans="1:6" x14ac:dyDescent="0.3">
      <c r="A303" t="s">
        <v>154</v>
      </c>
      <c r="B303" s="1">
        <v>45463</v>
      </c>
      <c r="C303" s="3">
        <v>25</v>
      </c>
      <c r="D303" s="4" t="s">
        <v>140</v>
      </c>
      <c r="E303" s="4"/>
      <c r="F303" s="3">
        <v>4</v>
      </c>
    </row>
    <row r="304" spans="1:6" x14ac:dyDescent="0.3">
      <c r="A304" t="s">
        <v>25</v>
      </c>
      <c r="B304" s="1">
        <v>45464</v>
      </c>
      <c r="C304" s="3">
        <v>37</v>
      </c>
      <c r="D304" s="4" t="s">
        <v>7</v>
      </c>
      <c r="E304" s="4" t="s">
        <v>8</v>
      </c>
      <c r="F304" s="3">
        <v>14</v>
      </c>
    </row>
    <row r="305" spans="1:6" x14ac:dyDescent="0.3">
      <c r="A305" t="s">
        <v>294</v>
      </c>
      <c r="B305" s="1">
        <v>45464</v>
      </c>
      <c r="C305" s="3">
        <v>31</v>
      </c>
      <c r="D305" s="4" t="s">
        <v>286</v>
      </c>
      <c r="E305" s="4"/>
      <c r="F305" s="3">
        <v>3</v>
      </c>
    </row>
    <row r="306" spans="1:6" x14ac:dyDescent="0.3">
      <c r="A306" t="s">
        <v>471</v>
      </c>
      <c r="B306" s="1">
        <v>45464</v>
      </c>
      <c r="C306" s="3">
        <v>26</v>
      </c>
      <c r="D306" s="4" t="s">
        <v>366</v>
      </c>
      <c r="E306" s="4" t="s">
        <v>8</v>
      </c>
      <c r="F306" s="3">
        <v>5</v>
      </c>
    </row>
    <row r="307" spans="1:6" x14ac:dyDescent="0.3">
      <c r="A307" t="s">
        <v>145</v>
      </c>
      <c r="B307" s="1">
        <v>45465</v>
      </c>
      <c r="C307" s="3">
        <v>36</v>
      </c>
      <c r="D307" s="4" t="s">
        <v>140</v>
      </c>
      <c r="E307" s="4" t="s">
        <v>8</v>
      </c>
      <c r="F307" s="3">
        <v>12</v>
      </c>
    </row>
    <row r="308" spans="1:6" x14ac:dyDescent="0.3">
      <c r="A308" t="s">
        <v>340</v>
      </c>
      <c r="B308" s="1">
        <v>45465</v>
      </c>
      <c r="C308" s="3">
        <v>31</v>
      </c>
      <c r="D308" s="4" t="s">
        <v>328</v>
      </c>
      <c r="E308" s="4" t="s">
        <v>8</v>
      </c>
      <c r="F308" s="3">
        <v>7</v>
      </c>
    </row>
    <row r="309" spans="1:6" x14ac:dyDescent="0.3">
      <c r="A309" t="s">
        <v>401</v>
      </c>
      <c r="B309" s="1">
        <v>45465</v>
      </c>
      <c r="C309" s="3">
        <v>36</v>
      </c>
      <c r="D309" s="4" t="s">
        <v>366</v>
      </c>
      <c r="E309" s="4" t="s">
        <v>13</v>
      </c>
      <c r="F309" s="3">
        <v>5</v>
      </c>
    </row>
    <row r="310" spans="1:6" x14ac:dyDescent="0.3">
      <c r="A310" t="s">
        <v>446</v>
      </c>
      <c r="B310" s="1">
        <v>45465</v>
      </c>
      <c r="C310" s="3">
        <v>38</v>
      </c>
      <c r="D310" s="4" t="s">
        <v>366</v>
      </c>
      <c r="E310" s="4" t="s">
        <v>13</v>
      </c>
      <c r="F310" s="3">
        <v>12</v>
      </c>
    </row>
    <row r="311" spans="1:6" x14ac:dyDescent="0.3">
      <c r="A311" t="s">
        <v>367</v>
      </c>
      <c r="B311" s="1">
        <v>45467</v>
      </c>
      <c r="C311" s="3">
        <v>41</v>
      </c>
      <c r="D311" s="4" t="s">
        <v>366</v>
      </c>
      <c r="E311" s="4" t="s">
        <v>13</v>
      </c>
      <c r="F311" s="3">
        <v>5</v>
      </c>
    </row>
    <row r="312" spans="1:6" x14ac:dyDescent="0.3">
      <c r="A312" t="s">
        <v>465</v>
      </c>
      <c r="B312" s="1">
        <v>45467</v>
      </c>
      <c r="C312" s="3">
        <v>40</v>
      </c>
      <c r="D312" s="4" t="s">
        <v>366</v>
      </c>
      <c r="E312" s="4" t="s">
        <v>8</v>
      </c>
      <c r="F312" s="3">
        <v>17</v>
      </c>
    </row>
    <row r="313" spans="1:6" x14ac:dyDescent="0.3">
      <c r="A313" t="s">
        <v>449</v>
      </c>
      <c r="B313" s="1">
        <v>45468</v>
      </c>
      <c r="C313" s="3">
        <v>33</v>
      </c>
      <c r="D313" s="4" t="s">
        <v>366</v>
      </c>
      <c r="E313" s="4" t="s">
        <v>13</v>
      </c>
      <c r="F313" s="3">
        <v>4</v>
      </c>
    </row>
    <row r="314" spans="1:6" x14ac:dyDescent="0.3">
      <c r="A314" t="s">
        <v>54</v>
      </c>
      <c r="B314" s="1">
        <v>45469</v>
      </c>
      <c r="C314" s="3">
        <v>29</v>
      </c>
      <c r="D314" s="4" t="s">
        <v>7</v>
      </c>
      <c r="E314" s="4" t="s">
        <v>8</v>
      </c>
      <c r="F314" s="3">
        <v>8</v>
      </c>
    </row>
    <row r="315" spans="1:6" x14ac:dyDescent="0.3">
      <c r="A315" t="s">
        <v>202</v>
      </c>
      <c r="B315" s="1">
        <v>45469</v>
      </c>
      <c r="C315" s="3">
        <v>35</v>
      </c>
      <c r="D315" s="4" t="s">
        <v>156</v>
      </c>
      <c r="E315" s="4" t="s">
        <v>13</v>
      </c>
      <c r="F315" s="3">
        <v>7</v>
      </c>
    </row>
    <row r="316" spans="1:6" x14ac:dyDescent="0.3">
      <c r="A316" t="s">
        <v>126</v>
      </c>
      <c r="B316" s="1">
        <v>45470</v>
      </c>
      <c r="C316" s="3">
        <v>35</v>
      </c>
      <c r="D316" s="4" t="s">
        <v>7</v>
      </c>
      <c r="E316" s="4" t="s">
        <v>13</v>
      </c>
      <c r="F316" s="3">
        <v>5</v>
      </c>
    </row>
    <row r="317" spans="1:6" x14ac:dyDescent="0.3">
      <c r="A317" t="s">
        <v>468</v>
      </c>
      <c r="B317" s="1">
        <v>45470</v>
      </c>
      <c r="C317" s="3">
        <v>28</v>
      </c>
      <c r="D317" s="4" t="s">
        <v>366</v>
      </c>
      <c r="E317" s="4" t="s">
        <v>8</v>
      </c>
      <c r="F317" s="3">
        <v>5</v>
      </c>
    </row>
    <row r="318" spans="1:6" x14ac:dyDescent="0.3">
      <c r="A318" t="s">
        <v>480</v>
      </c>
      <c r="B318" s="1">
        <v>45470</v>
      </c>
      <c r="C318" s="3">
        <v>28</v>
      </c>
      <c r="D318" s="4" t="s">
        <v>366</v>
      </c>
      <c r="E318" s="4" t="s">
        <v>13</v>
      </c>
      <c r="F318" s="3">
        <v>4</v>
      </c>
    </row>
    <row r="319" spans="1:6" x14ac:dyDescent="0.3">
      <c r="A319" t="s">
        <v>80</v>
      </c>
      <c r="B319" s="1">
        <v>45471</v>
      </c>
      <c r="C319" s="3">
        <v>41</v>
      </c>
      <c r="D319" s="4" t="s">
        <v>10</v>
      </c>
      <c r="E319" s="4" t="s">
        <v>13</v>
      </c>
      <c r="F319" s="3">
        <v>16</v>
      </c>
    </row>
    <row r="320" spans="1:6" x14ac:dyDescent="0.3">
      <c r="A320" t="s">
        <v>117</v>
      </c>
      <c r="B320" s="1">
        <v>45471</v>
      </c>
      <c r="C320" s="3">
        <v>42</v>
      </c>
      <c r="D320" s="4" t="s">
        <v>10</v>
      </c>
      <c r="E320" s="4" t="s">
        <v>8</v>
      </c>
      <c r="F320" s="3">
        <v>18</v>
      </c>
    </row>
    <row r="321" spans="1:6" x14ac:dyDescent="0.3">
      <c r="A321" t="s">
        <v>125</v>
      </c>
      <c r="B321" s="1">
        <v>45471</v>
      </c>
      <c r="C321" s="3">
        <v>31</v>
      </c>
      <c r="D321" s="4" t="s">
        <v>7</v>
      </c>
      <c r="E321" s="4" t="s">
        <v>8</v>
      </c>
      <c r="F321" s="3">
        <v>7</v>
      </c>
    </row>
    <row r="322" spans="1:6" x14ac:dyDescent="0.3">
      <c r="A322" t="s">
        <v>300</v>
      </c>
      <c r="B322" s="1">
        <v>45471</v>
      </c>
      <c r="C322" s="3">
        <v>33</v>
      </c>
      <c r="D322" s="4" t="s">
        <v>286</v>
      </c>
      <c r="E322" s="4" t="s">
        <v>8</v>
      </c>
      <c r="F322" s="3">
        <v>8</v>
      </c>
    </row>
    <row r="323" spans="1:6" x14ac:dyDescent="0.3">
      <c r="A323" t="s">
        <v>70</v>
      </c>
      <c r="B323" s="1">
        <v>45472</v>
      </c>
      <c r="C323" s="3">
        <v>30</v>
      </c>
      <c r="D323" s="4" t="s">
        <v>7</v>
      </c>
      <c r="E323" s="4" t="s">
        <v>13</v>
      </c>
      <c r="F323" s="3">
        <v>7</v>
      </c>
    </row>
    <row r="324" spans="1:6" x14ac:dyDescent="0.3">
      <c r="A324" t="s">
        <v>351</v>
      </c>
      <c r="B324" s="1">
        <v>45472</v>
      </c>
      <c r="C324" s="3">
        <v>41</v>
      </c>
      <c r="D324" s="4" t="s">
        <v>347</v>
      </c>
      <c r="E324" s="4" t="s">
        <v>13</v>
      </c>
      <c r="F324" s="3">
        <v>7</v>
      </c>
    </row>
    <row r="325" spans="1:6" x14ac:dyDescent="0.3">
      <c r="A325" t="s">
        <v>9</v>
      </c>
      <c r="B325" s="1">
        <v>45473</v>
      </c>
      <c r="C325" s="3">
        <v>43</v>
      </c>
      <c r="D325" s="4" t="s">
        <v>10</v>
      </c>
      <c r="E325" s="4" t="s">
        <v>8</v>
      </c>
      <c r="F325" s="3">
        <v>12</v>
      </c>
    </row>
    <row r="326" spans="1:6" x14ac:dyDescent="0.3">
      <c r="A326" t="s">
        <v>23</v>
      </c>
      <c r="B326" s="1">
        <v>45473</v>
      </c>
      <c r="C326" s="3">
        <v>41</v>
      </c>
      <c r="D326" s="4" t="s">
        <v>12</v>
      </c>
      <c r="E326" s="4" t="s">
        <v>8</v>
      </c>
      <c r="F326" s="3">
        <v>18</v>
      </c>
    </row>
    <row r="327" spans="1:6" x14ac:dyDescent="0.3">
      <c r="A327" t="s">
        <v>99</v>
      </c>
      <c r="B327" s="1">
        <v>45473</v>
      </c>
      <c r="C327" s="3">
        <v>32</v>
      </c>
      <c r="D327" s="4" t="s">
        <v>10</v>
      </c>
      <c r="E327" s="4" t="s">
        <v>8</v>
      </c>
      <c r="F327" s="3">
        <v>6</v>
      </c>
    </row>
    <row r="328" spans="1:6" x14ac:dyDescent="0.3">
      <c r="A328" t="s">
        <v>275</v>
      </c>
      <c r="B328" s="1">
        <v>45473</v>
      </c>
      <c r="C328" s="3">
        <v>31</v>
      </c>
      <c r="D328" s="4" t="s">
        <v>265</v>
      </c>
      <c r="E328" s="4"/>
      <c r="F328" s="3">
        <v>7</v>
      </c>
    </row>
    <row r="329" spans="1:6" x14ac:dyDescent="0.3">
      <c r="A329" t="s">
        <v>355</v>
      </c>
      <c r="B329" s="1">
        <v>45473</v>
      </c>
      <c r="C329" s="3">
        <v>35</v>
      </c>
      <c r="D329" s="4" t="s">
        <v>347</v>
      </c>
      <c r="E329" s="4"/>
      <c r="F329" s="3">
        <v>10</v>
      </c>
    </row>
    <row r="330" spans="1:6" x14ac:dyDescent="0.3">
      <c r="A330" t="s">
        <v>66</v>
      </c>
      <c r="B330" s="1">
        <v>45474</v>
      </c>
      <c r="C330" s="3">
        <v>32</v>
      </c>
      <c r="D330" s="4" t="s">
        <v>7</v>
      </c>
      <c r="E330" s="4" t="s">
        <v>16</v>
      </c>
      <c r="F330" s="3">
        <v>8</v>
      </c>
    </row>
    <row r="331" spans="1:6" x14ac:dyDescent="0.3">
      <c r="A331" t="s">
        <v>221</v>
      </c>
      <c r="B331" s="1">
        <v>45474</v>
      </c>
      <c r="C331" s="3">
        <v>30</v>
      </c>
      <c r="D331" s="4" t="s">
        <v>156</v>
      </c>
      <c r="E331" s="4" t="s">
        <v>13</v>
      </c>
      <c r="F331" s="3">
        <v>6</v>
      </c>
    </row>
    <row r="332" spans="1:6" x14ac:dyDescent="0.3">
      <c r="A332" t="s">
        <v>348</v>
      </c>
      <c r="B332" s="1">
        <v>45474</v>
      </c>
      <c r="C332" s="3">
        <v>32</v>
      </c>
      <c r="D332" s="4" t="s">
        <v>347</v>
      </c>
      <c r="E332" s="4" t="s">
        <v>8</v>
      </c>
      <c r="F332" s="3">
        <v>2</v>
      </c>
    </row>
    <row r="333" spans="1:6" x14ac:dyDescent="0.3">
      <c r="A333" t="s">
        <v>398</v>
      </c>
      <c r="B333" s="1">
        <v>45474</v>
      </c>
      <c r="C333" s="3">
        <v>26</v>
      </c>
      <c r="D333" s="4" t="s">
        <v>366</v>
      </c>
      <c r="E333" s="4" t="s">
        <v>8</v>
      </c>
      <c r="F333" s="3">
        <v>3</v>
      </c>
    </row>
    <row r="334" spans="1:6" x14ac:dyDescent="0.3">
      <c r="A334" t="s">
        <v>39</v>
      </c>
      <c r="B334" s="1">
        <v>45475</v>
      </c>
      <c r="C334" s="3">
        <v>39</v>
      </c>
      <c r="D334" s="4" t="s">
        <v>12</v>
      </c>
      <c r="E334" s="4"/>
      <c r="F334" s="3">
        <v>20</v>
      </c>
    </row>
    <row r="335" spans="1:6" x14ac:dyDescent="0.3">
      <c r="A335" t="s">
        <v>178</v>
      </c>
      <c r="B335" s="1">
        <v>45475</v>
      </c>
      <c r="C335" s="3">
        <v>29</v>
      </c>
      <c r="D335" s="4" t="s">
        <v>156</v>
      </c>
      <c r="E335" s="4" t="s">
        <v>13</v>
      </c>
      <c r="F335" s="3">
        <v>7</v>
      </c>
    </row>
    <row r="336" spans="1:6" x14ac:dyDescent="0.3">
      <c r="A336" t="s">
        <v>212</v>
      </c>
      <c r="B336" s="1">
        <v>45475</v>
      </c>
      <c r="C336" s="3">
        <v>44</v>
      </c>
      <c r="D336" s="4" t="s">
        <v>156</v>
      </c>
      <c r="E336" s="4" t="s">
        <v>8</v>
      </c>
      <c r="F336" s="3">
        <v>9</v>
      </c>
    </row>
    <row r="337" spans="1:6" x14ac:dyDescent="0.3">
      <c r="A337" t="s">
        <v>273</v>
      </c>
      <c r="B337" s="1">
        <v>45475</v>
      </c>
      <c r="C337" s="3">
        <v>39</v>
      </c>
      <c r="D337" s="4" t="s">
        <v>265</v>
      </c>
      <c r="E337" s="4" t="s">
        <v>13</v>
      </c>
      <c r="F337" s="3">
        <v>5</v>
      </c>
    </row>
    <row r="338" spans="1:6" x14ac:dyDescent="0.3">
      <c r="A338" t="s">
        <v>403</v>
      </c>
      <c r="B338" s="1">
        <v>45475</v>
      </c>
      <c r="C338" s="3">
        <v>37</v>
      </c>
      <c r="D338" s="4" t="s">
        <v>366</v>
      </c>
      <c r="E338" s="4" t="s">
        <v>8</v>
      </c>
      <c r="F338" s="3">
        <v>7</v>
      </c>
    </row>
    <row r="339" spans="1:6" x14ac:dyDescent="0.3">
      <c r="A339" t="s">
        <v>83</v>
      </c>
      <c r="B339" s="1">
        <v>45476</v>
      </c>
      <c r="C339" s="3">
        <v>28</v>
      </c>
      <c r="D339" s="4" t="s">
        <v>10</v>
      </c>
      <c r="E339" s="4" t="s">
        <v>8</v>
      </c>
      <c r="F339" s="3">
        <v>6</v>
      </c>
    </row>
    <row r="340" spans="1:6" x14ac:dyDescent="0.3">
      <c r="A340" t="s">
        <v>343</v>
      </c>
      <c r="B340" s="1">
        <v>45476</v>
      </c>
      <c r="C340" s="3">
        <v>26</v>
      </c>
      <c r="D340" s="4" t="s">
        <v>328</v>
      </c>
      <c r="E340" s="4" t="s">
        <v>8</v>
      </c>
      <c r="F340" s="3">
        <v>5</v>
      </c>
    </row>
    <row r="341" spans="1:6" x14ac:dyDescent="0.3">
      <c r="A341" t="s">
        <v>365</v>
      </c>
      <c r="B341" s="1">
        <v>45476</v>
      </c>
      <c r="C341" s="3">
        <v>42</v>
      </c>
      <c r="D341" s="4" t="s">
        <v>366</v>
      </c>
      <c r="E341" s="4" t="s">
        <v>8</v>
      </c>
      <c r="F341" s="3">
        <v>7</v>
      </c>
    </row>
    <row r="342" spans="1:6" x14ac:dyDescent="0.3">
      <c r="A342" t="s">
        <v>95</v>
      </c>
      <c r="B342" s="1">
        <v>45478</v>
      </c>
      <c r="C342" s="3">
        <v>37</v>
      </c>
      <c r="D342" s="4" t="s">
        <v>7</v>
      </c>
      <c r="E342" s="4" t="s">
        <v>13</v>
      </c>
      <c r="F342" s="3">
        <v>15</v>
      </c>
    </row>
    <row r="343" spans="1:6" x14ac:dyDescent="0.3">
      <c r="A343" t="s">
        <v>344</v>
      </c>
      <c r="B343" s="1">
        <v>45478</v>
      </c>
      <c r="C343" s="3">
        <v>44</v>
      </c>
      <c r="D343" s="4" t="s">
        <v>328</v>
      </c>
      <c r="E343" s="4" t="s">
        <v>8</v>
      </c>
      <c r="F343" s="3">
        <v>24</v>
      </c>
    </row>
    <row r="344" spans="1:6" x14ac:dyDescent="0.3">
      <c r="A344" t="s">
        <v>64</v>
      </c>
      <c r="B344" s="1">
        <v>45479</v>
      </c>
      <c r="C344" s="3">
        <v>29</v>
      </c>
      <c r="D344" s="4" t="s">
        <v>7</v>
      </c>
      <c r="E344" s="4" t="s">
        <v>13</v>
      </c>
      <c r="F344" s="3">
        <v>4</v>
      </c>
    </row>
    <row r="345" spans="1:6" x14ac:dyDescent="0.3">
      <c r="A345" t="s">
        <v>304</v>
      </c>
      <c r="B345" s="1">
        <v>45479</v>
      </c>
      <c r="C345" s="3">
        <v>42</v>
      </c>
      <c r="D345" s="4" t="s">
        <v>305</v>
      </c>
      <c r="E345" s="4" t="s">
        <v>8</v>
      </c>
      <c r="F345" s="3">
        <v>19</v>
      </c>
    </row>
    <row r="346" spans="1:6" x14ac:dyDescent="0.3">
      <c r="A346" t="s">
        <v>422</v>
      </c>
      <c r="B346" s="1">
        <v>45479</v>
      </c>
      <c r="C346" s="3">
        <v>30</v>
      </c>
      <c r="D346" s="4" t="s">
        <v>366</v>
      </c>
      <c r="E346" s="4" t="s">
        <v>8</v>
      </c>
      <c r="F346" s="3">
        <v>8</v>
      </c>
    </row>
    <row r="347" spans="1:6" x14ac:dyDescent="0.3">
      <c r="A347" t="s">
        <v>475</v>
      </c>
      <c r="B347" s="1">
        <v>45479</v>
      </c>
      <c r="C347" s="3">
        <v>34</v>
      </c>
      <c r="D347" s="4" t="s">
        <v>366</v>
      </c>
      <c r="E347" s="4" t="s">
        <v>8</v>
      </c>
      <c r="F347" s="3">
        <v>12</v>
      </c>
    </row>
    <row r="348" spans="1:6" x14ac:dyDescent="0.3">
      <c r="A348" t="s">
        <v>93</v>
      </c>
      <c r="B348" s="1">
        <v>45480</v>
      </c>
      <c r="C348" s="3">
        <v>28</v>
      </c>
      <c r="D348" s="4" t="s">
        <v>10</v>
      </c>
      <c r="E348" s="4"/>
      <c r="F348" s="3">
        <v>7</v>
      </c>
    </row>
    <row r="349" spans="1:6" x14ac:dyDescent="0.3">
      <c r="A349" t="s">
        <v>313</v>
      </c>
      <c r="B349" s="1">
        <v>45480</v>
      </c>
      <c r="C349" s="3">
        <v>45</v>
      </c>
      <c r="D349" s="4" t="s">
        <v>305</v>
      </c>
      <c r="E349" s="4" t="s">
        <v>8</v>
      </c>
      <c r="F349" s="3">
        <v>17</v>
      </c>
    </row>
    <row r="350" spans="1:6" x14ac:dyDescent="0.3">
      <c r="A350" t="s">
        <v>325</v>
      </c>
      <c r="B350" s="1">
        <v>45480</v>
      </c>
      <c r="C350" s="3">
        <v>32</v>
      </c>
      <c r="D350" s="4" t="s">
        <v>305</v>
      </c>
      <c r="E350" s="4" t="s">
        <v>8</v>
      </c>
      <c r="F350" s="3">
        <v>11</v>
      </c>
    </row>
    <row r="351" spans="1:6" x14ac:dyDescent="0.3">
      <c r="A351" t="s">
        <v>101</v>
      </c>
      <c r="B351" s="1">
        <v>45481</v>
      </c>
      <c r="C351" s="3">
        <v>25</v>
      </c>
      <c r="D351" s="4" t="s">
        <v>7</v>
      </c>
      <c r="E351" s="4"/>
      <c r="F351" s="3">
        <v>7</v>
      </c>
    </row>
    <row r="352" spans="1:6" x14ac:dyDescent="0.3">
      <c r="A352" t="s">
        <v>487</v>
      </c>
      <c r="B352" s="1">
        <v>45481</v>
      </c>
      <c r="C352" s="3">
        <v>28</v>
      </c>
      <c r="D352" s="4" t="s">
        <v>488</v>
      </c>
      <c r="E352" s="4" t="s">
        <v>13</v>
      </c>
      <c r="F352" s="3">
        <v>6</v>
      </c>
    </row>
    <row r="353" spans="1:6" x14ac:dyDescent="0.3">
      <c r="A353" t="s">
        <v>110</v>
      </c>
      <c r="B353" s="1">
        <v>45482</v>
      </c>
      <c r="C353" s="3">
        <v>30</v>
      </c>
      <c r="D353" s="4" t="s">
        <v>12</v>
      </c>
      <c r="E353" s="4"/>
      <c r="F353" s="3">
        <v>12</v>
      </c>
    </row>
    <row r="354" spans="1:6" x14ac:dyDescent="0.3">
      <c r="A354" t="s">
        <v>86</v>
      </c>
      <c r="B354" s="1">
        <v>45483</v>
      </c>
      <c r="C354" s="3">
        <v>27</v>
      </c>
      <c r="D354" s="4" t="s">
        <v>12</v>
      </c>
      <c r="E354" s="4"/>
      <c r="F354" s="3">
        <v>5</v>
      </c>
    </row>
    <row r="355" spans="1:6" x14ac:dyDescent="0.3">
      <c r="A355" t="s">
        <v>246</v>
      </c>
      <c r="B355" s="1">
        <v>45483</v>
      </c>
      <c r="C355" s="3">
        <v>37</v>
      </c>
      <c r="D355" s="4" t="s">
        <v>156</v>
      </c>
      <c r="E355" s="4" t="s">
        <v>8</v>
      </c>
      <c r="F355" s="3">
        <v>16</v>
      </c>
    </row>
    <row r="356" spans="1:6" x14ac:dyDescent="0.3">
      <c r="A356" t="s">
        <v>359</v>
      </c>
      <c r="B356" s="1">
        <v>45483</v>
      </c>
      <c r="C356" s="3">
        <v>21</v>
      </c>
      <c r="D356" s="4" t="s">
        <v>347</v>
      </c>
      <c r="E356" s="4"/>
      <c r="F356" s="3">
        <v>2</v>
      </c>
    </row>
    <row r="357" spans="1:6" x14ac:dyDescent="0.3">
      <c r="A357" t="s">
        <v>472</v>
      </c>
      <c r="B357" s="1">
        <v>45483</v>
      </c>
      <c r="C357" s="3">
        <v>38</v>
      </c>
      <c r="D357" s="4" t="s">
        <v>366</v>
      </c>
      <c r="E357" s="4"/>
      <c r="F357" s="3">
        <v>14</v>
      </c>
    </row>
    <row r="358" spans="1:6" x14ac:dyDescent="0.3">
      <c r="A358" t="s">
        <v>274</v>
      </c>
      <c r="B358" s="1">
        <v>45484</v>
      </c>
      <c r="C358" s="3">
        <v>41</v>
      </c>
      <c r="D358" s="4" t="s">
        <v>265</v>
      </c>
      <c r="E358" s="4" t="s">
        <v>8</v>
      </c>
      <c r="F358" s="3">
        <v>3</v>
      </c>
    </row>
    <row r="359" spans="1:6" x14ac:dyDescent="0.3">
      <c r="A359" t="s">
        <v>357</v>
      </c>
      <c r="B359" s="1">
        <v>45485</v>
      </c>
      <c r="C359" s="3">
        <v>42</v>
      </c>
      <c r="D359" s="4" t="s">
        <v>347</v>
      </c>
      <c r="E359" s="4" t="s">
        <v>8</v>
      </c>
      <c r="F359" s="3">
        <v>20</v>
      </c>
    </row>
    <row r="360" spans="1:6" x14ac:dyDescent="0.3">
      <c r="A360" t="s">
        <v>371</v>
      </c>
      <c r="B360" s="1">
        <v>45485</v>
      </c>
      <c r="C360" s="3">
        <v>32</v>
      </c>
      <c r="D360" s="4" t="s">
        <v>366</v>
      </c>
      <c r="E360" s="4" t="s">
        <v>8</v>
      </c>
      <c r="F360" s="3">
        <v>6</v>
      </c>
    </row>
    <row r="361" spans="1:6" x14ac:dyDescent="0.3">
      <c r="A361" t="s">
        <v>482</v>
      </c>
      <c r="B361" s="1">
        <v>45485</v>
      </c>
      <c r="C361" s="3">
        <v>36</v>
      </c>
      <c r="D361" s="4" t="s">
        <v>366</v>
      </c>
      <c r="E361" s="4"/>
      <c r="F361" s="3">
        <v>7</v>
      </c>
    </row>
    <row r="362" spans="1:6" x14ac:dyDescent="0.3">
      <c r="A362" t="s">
        <v>205</v>
      </c>
      <c r="B362" s="1">
        <v>45486</v>
      </c>
      <c r="C362" s="3">
        <v>38</v>
      </c>
      <c r="D362" s="4" t="s">
        <v>156</v>
      </c>
      <c r="E362" s="4" t="s">
        <v>16</v>
      </c>
      <c r="F362" s="3">
        <v>7</v>
      </c>
    </row>
    <row r="363" spans="1:6" x14ac:dyDescent="0.3">
      <c r="A363" t="s">
        <v>220</v>
      </c>
      <c r="B363" s="1">
        <v>45486</v>
      </c>
      <c r="C363" s="3">
        <v>42</v>
      </c>
      <c r="D363" s="4" t="s">
        <v>156</v>
      </c>
      <c r="E363" s="4" t="s">
        <v>8</v>
      </c>
      <c r="F363" s="3">
        <v>16</v>
      </c>
    </row>
    <row r="364" spans="1:6" x14ac:dyDescent="0.3">
      <c r="A364" t="s">
        <v>303</v>
      </c>
      <c r="B364" s="1">
        <v>45486</v>
      </c>
      <c r="C364" s="3">
        <v>36</v>
      </c>
      <c r="D364" s="4" t="s">
        <v>286</v>
      </c>
      <c r="E364" s="4"/>
      <c r="F364" s="3">
        <v>6</v>
      </c>
    </row>
    <row r="365" spans="1:6" x14ac:dyDescent="0.3">
      <c r="A365" t="s">
        <v>317</v>
      </c>
      <c r="B365" s="1">
        <v>45486</v>
      </c>
      <c r="C365" s="3">
        <v>45</v>
      </c>
      <c r="D365" s="4" t="s">
        <v>305</v>
      </c>
      <c r="E365" s="4"/>
      <c r="F365" s="3">
        <v>20</v>
      </c>
    </row>
    <row r="366" spans="1:6" x14ac:dyDescent="0.3">
      <c r="A366" t="s">
        <v>334</v>
      </c>
      <c r="B366" s="1">
        <v>45486</v>
      </c>
      <c r="C366" s="3">
        <v>37</v>
      </c>
      <c r="D366" s="4" t="s">
        <v>328</v>
      </c>
      <c r="E366" s="4" t="s">
        <v>13</v>
      </c>
      <c r="F366" s="3">
        <v>9</v>
      </c>
    </row>
    <row r="367" spans="1:6" x14ac:dyDescent="0.3">
      <c r="A367" t="s">
        <v>29</v>
      </c>
      <c r="B367" s="1">
        <v>45487</v>
      </c>
      <c r="C367" s="3">
        <v>27</v>
      </c>
      <c r="D367" s="4" t="s">
        <v>12</v>
      </c>
      <c r="E367" s="4" t="s">
        <v>8</v>
      </c>
      <c r="F367" s="3">
        <v>7</v>
      </c>
    </row>
    <row r="368" spans="1:6" x14ac:dyDescent="0.3">
      <c r="A368" t="s">
        <v>36</v>
      </c>
      <c r="B368" s="1">
        <v>45487</v>
      </c>
      <c r="C368" s="3">
        <v>28</v>
      </c>
      <c r="D368" s="4" t="s">
        <v>12</v>
      </c>
      <c r="E368" s="4" t="s">
        <v>13</v>
      </c>
      <c r="F368" s="3">
        <v>5</v>
      </c>
    </row>
    <row r="369" spans="1:6" x14ac:dyDescent="0.3">
      <c r="A369" t="s">
        <v>68</v>
      </c>
      <c r="B369" s="1">
        <v>45487</v>
      </c>
      <c r="C369" s="3">
        <v>36</v>
      </c>
      <c r="D369" s="4" t="s">
        <v>7</v>
      </c>
      <c r="E369" s="4" t="s">
        <v>8</v>
      </c>
      <c r="F369" s="3">
        <v>15</v>
      </c>
    </row>
    <row r="370" spans="1:6" x14ac:dyDescent="0.3">
      <c r="A370" t="s">
        <v>143</v>
      </c>
      <c r="B370" s="1">
        <v>45487</v>
      </c>
      <c r="C370" s="3">
        <v>33</v>
      </c>
      <c r="D370" s="4" t="s">
        <v>140</v>
      </c>
      <c r="E370" s="4" t="s">
        <v>8</v>
      </c>
      <c r="F370" s="3">
        <v>7</v>
      </c>
    </row>
    <row r="371" spans="1:6" x14ac:dyDescent="0.3">
      <c r="A371" t="s">
        <v>257</v>
      </c>
      <c r="B371" s="1">
        <v>45487</v>
      </c>
      <c r="C371" s="3">
        <v>45</v>
      </c>
      <c r="D371" s="4" t="s">
        <v>156</v>
      </c>
      <c r="E371" s="4" t="s">
        <v>13</v>
      </c>
      <c r="F371" s="3">
        <v>10</v>
      </c>
    </row>
    <row r="372" spans="1:6" x14ac:dyDescent="0.3">
      <c r="A372" t="s">
        <v>187</v>
      </c>
      <c r="B372" s="1">
        <v>45488</v>
      </c>
      <c r="C372" s="3">
        <v>31</v>
      </c>
      <c r="D372" s="4" t="s">
        <v>156</v>
      </c>
      <c r="E372" s="4" t="s">
        <v>8</v>
      </c>
      <c r="F372" s="3">
        <v>5</v>
      </c>
    </row>
    <row r="373" spans="1:6" x14ac:dyDescent="0.3">
      <c r="A373" t="s">
        <v>121</v>
      </c>
      <c r="B373" s="1">
        <v>45489</v>
      </c>
      <c r="C373" s="3">
        <v>39</v>
      </c>
      <c r="D373" s="4" t="s">
        <v>7</v>
      </c>
      <c r="E373" s="4"/>
      <c r="F373" s="3">
        <v>9</v>
      </c>
    </row>
    <row r="374" spans="1:6" x14ac:dyDescent="0.3">
      <c r="A374" t="s">
        <v>130</v>
      </c>
      <c r="B374" s="1">
        <v>45489</v>
      </c>
      <c r="C374" s="3">
        <v>31</v>
      </c>
      <c r="D374" s="4" t="s">
        <v>7</v>
      </c>
      <c r="E374" s="4" t="s">
        <v>8</v>
      </c>
      <c r="F374" s="3">
        <v>7</v>
      </c>
    </row>
    <row r="375" spans="1:6" x14ac:dyDescent="0.3">
      <c r="A375" t="s">
        <v>267</v>
      </c>
      <c r="B375" s="1">
        <v>45489</v>
      </c>
      <c r="C375" s="3">
        <v>43</v>
      </c>
      <c r="D375" s="4" t="s">
        <v>265</v>
      </c>
      <c r="E375" s="4" t="s">
        <v>13</v>
      </c>
      <c r="F375" s="3">
        <v>9</v>
      </c>
    </row>
    <row r="376" spans="1:6" x14ac:dyDescent="0.3">
      <c r="A376" t="s">
        <v>425</v>
      </c>
      <c r="B376" s="1">
        <v>45489</v>
      </c>
      <c r="C376" s="3">
        <v>43</v>
      </c>
      <c r="D376" s="4" t="s">
        <v>366</v>
      </c>
      <c r="E376" s="4" t="s">
        <v>13</v>
      </c>
      <c r="F376" s="3">
        <v>16</v>
      </c>
    </row>
    <row r="377" spans="1:6" x14ac:dyDescent="0.3">
      <c r="A377" t="s">
        <v>189</v>
      </c>
      <c r="B377" s="1">
        <v>45490</v>
      </c>
      <c r="C377" s="3">
        <v>35</v>
      </c>
      <c r="D377" s="4" t="s">
        <v>156</v>
      </c>
      <c r="E377" s="4" t="s">
        <v>8</v>
      </c>
      <c r="F377" s="3">
        <v>6</v>
      </c>
    </row>
    <row r="378" spans="1:6" x14ac:dyDescent="0.3">
      <c r="A378" t="s">
        <v>237</v>
      </c>
      <c r="B378" s="1">
        <v>45490</v>
      </c>
      <c r="C378" s="3">
        <v>31</v>
      </c>
      <c r="D378" s="4" t="s">
        <v>156</v>
      </c>
      <c r="E378" s="4" t="s">
        <v>8</v>
      </c>
      <c r="F378" s="3">
        <v>9</v>
      </c>
    </row>
    <row r="379" spans="1:6" x14ac:dyDescent="0.3">
      <c r="A379" t="s">
        <v>453</v>
      </c>
      <c r="B379" s="1">
        <v>45490</v>
      </c>
      <c r="C379" s="3">
        <v>44</v>
      </c>
      <c r="D379" s="4" t="s">
        <v>366</v>
      </c>
      <c r="E379" s="4" t="s">
        <v>8</v>
      </c>
      <c r="F379" s="3">
        <v>2</v>
      </c>
    </row>
    <row r="380" spans="1:6" x14ac:dyDescent="0.3">
      <c r="A380" t="s">
        <v>470</v>
      </c>
      <c r="B380" s="1">
        <v>45490</v>
      </c>
      <c r="C380" s="3">
        <v>43</v>
      </c>
      <c r="D380" s="4" t="s">
        <v>366</v>
      </c>
      <c r="E380" s="4" t="s">
        <v>8</v>
      </c>
      <c r="F380" s="3">
        <v>4</v>
      </c>
    </row>
    <row r="381" spans="1:6" x14ac:dyDescent="0.3">
      <c r="A381" t="s">
        <v>91</v>
      </c>
      <c r="B381" s="1">
        <v>45491</v>
      </c>
      <c r="C381" s="3">
        <v>32</v>
      </c>
      <c r="D381" s="4" t="s">
        <v>7</v>
      </c>
      <c r="E381" s="4" t="s">
        <v>8</v>
      </c>
      <c r="F381" s="3">
        <v>10</v>
      </c>
    </row>
    <row r="382" spans="1:6" x14ac:dyDescent="0.3">
      <c r="A382" t="s">
        <v>170</v>
      </c>
      <c r="B382" s="1">
        <v>45491</v>
      </c>
      <c r="C382" s="3">
        <v>38</v>
      </c>
      <c r="D382" s="4" t="s">
        <v>156</v>
      </c>
      <c r="E382" s="4" t="s">
        <v>8</v>
      </c>
      <c r="F382" s="3">
        <v>16</v>
      </c>
    </row>
    <row r="383" spans="1:6" x14ac:dyDescent="0.3">
      <c r="A383" t="s">
        <v>420</v>
      </c>
      <c r="B383" s="1">
        <v>45491</v>
      </c>
      <c r="C383" s="3">
        <v>33</v>
      </c>
      <c r="D383" s="4" t="s">
        <v>366</v>
      </c>
      <c r="E383" s="4" t="s">
        <v>13</v>
      </c>
      <c r="F383" s="3">
        <v>9</v>
      </c>
    </row>
    <row r="384" spans="1:6" x14ac:dyDescent="0.3">
      <c r="A384" t="s">
        <v>60</v>
      </c>
      <c r="B384" s="1">
        <v>45492</v>
      </c>
      <c r="C384" s="3">
        <v>28</v>
      </c>
      <c r="D384" s="4" t="s">
        <v>7</v>
      </c>
      <c r="E384" s="4"/>
      <c r="F384" s="3">
        <v>4</v>
      </c>
    </row>
    <row r="385" spans="1:6" x14ac:dyDescent="0.3">
      <c r="A385" t="s">
        <v>390</v>
      </c>
      <c r="B385" s="1">
        <v>45492</v>
      </c>
      <c r="C385" s="3">
        <v>42</v>
      </c>
      <c r="D385" s="4" t="s">
        <v>366</v>
      </c>
      <c r="E385" s="4" t="s">
        <v>8</v>
      </c>
      <c r="F385" s="3">
        <v>12</v>
      </c>
    </row>
    <row r="386" spans="1:6" x14ac:dyDescent="0.3">
      <c r="A386" t="s">
        <v>144</v>
      </c>
      <c r="B386" s="1">
        <v>45493</v>
      </c>
      <c r="C386" s="3">
        <v>31</v>
      </c>
      <c r="D386" s="4" t="s">
        <v>140</v>
      </c>
      <c r="E386" s="4" t="s">
        <v>13</v>
      </c>
      <c r="F386" s="3">
        <v>9</v>
      </c>
    </row>
    <row r="387" spans="1:6" x14ac:dyDescent="0.3">
      <c r="A387" t="s">
        <v>323</v>
      </c>
      <c r="B387" s="1">
        <v>45493</v>
      </c>
      <c r="C387" s="3">
        <v>43</v>
      </c>
      <c r="D387" s="4" t="s">
        <v>305</v>
      </c>
      <c r="E387" s="4" t="s">
        <v>8</v>
      </c>
      <c r="F387" s="3">
        <v>22</v>
      </c>
    </row>
    <row r="388" spans="1:6" x14ac:dyDescent="0.3">
      <c r="A388" t="s">
        <v>363</v>
      </c>
      <c r="B388" s="1">
        <v>45493</v>
      </c>
      <c r="C388" s="3">
        <v>57</v>
      </c>
      <c r="D388" s="4" t="s">
        <v>347</v>
      </c>
      <c r="E388" s="4"/>
      <c r="F388" s="3">
        <v>19</v>
      </c>
    </row>
    <row r="389" spans="1:6" x14ac:dyDescent="0.3">
      <c r="A389" t="s">
        <v>423</v>
      </c>
      <c r="B389" s="1">
        <v>45493</v>
      </c>
      <c r="C389" s="3">
        <v>28</v>
      </c>
      <c r="D389" s="4" t="s">
        <v>366</v>
      </c>
      <c r="E389" s="4" t="s">
        <v>8</v>
      </c>
      <c r="F389" s="3">
        <v>4</v>
      </c>
    </row>
    <row r="390" spans="1:6" x14ac:dyDescent="0.3">
      <c r="A390" t="s">
        <v>452</v>
      </c>
      <c r="B390" s="1">
        <v>45493</v>
      </c>
      <c r="C390" s="3">
        <v>34</v>
      </c>
      <c r="D390" s="4" t="s">
        <v>366</v>
      </c>
      <c r="E390" s="4" t="s">
        <v>8</v>
      </c>
      <c r="F390" s="3">
        <v>13</v>
      </c>
    </row>
    <row r="391" spans="1:6" x14ac:dyDescent="0.3">
      <c r="A391" t="s">
        <v>172</v>
      </c>
      <c r="B391" s="1">
        <v>45494</v>
      </c>
      <c r="C391" s="3">
        <v>38</v>
      </c>
      <c r="D391" s="4" t="s">
        <v>156</v>
      </c>
      <c r="E391" s="4" t="s">
        <v>8</v>
      </c>
      <c r="F391" s="3">
        <v>16</v>
      </c>
    </row>
    <row r="392" spans="1:6" x14ac:dyDescent="0.3">
      <c r="A392" t="s">
        <v>254</v>
      </c>
      <c r="B392" s="1">
        <v>45495</v>
      </c>
      <c r="C392" s="3">
        <v>39</v>
      </c>
      <c r="D392" s="4" t="s">
        <v>156</v>
      </c>
      <c r="E392" s="4" t="s">
        <v>8</v>
      </c>
      <c r="F392" s="3">
        <v>4</v>
      </c>
    </row>
    <row r="393" spans="1:6" x14ac:dyDescent="0.3">
      <c r="A393" t="s">
        <v>298</v>
      </c>
      <c r="B393" s="1">
        <v>45495</v>
      </c>
      <c r="C393" s="3">
        <v>37</v>
      </c>
      <c r="D393" s="4" t="s">
        <v>286</v>
      </c>
      <c r="E393" s="4" t="s">
        <v>13</v>
      </c>
      <c r="F393" s="3">
        <v>8</v>
      </c>
    </row>
    <row r="394" spans="1:6" x14ac:dyDescent="0.3">
      <c r="A394" t="s">
        <v>437</v>
      </c>
      <c r="B394" s="1">
        <v>45495</v>
      </c>
      <c r="C394" s="3">
        <v>38</v>
      </c>
      <c r="D394" s="4" t="s">
        <v>366</v>
      </c>
      <c r="E394" s="4" t="s">
        <v>8</v>
      </c>
      <c r="F394" s="3">
        <v>11</v>
      </c>
    </row>
    <row r="395" spans="1:6" x14ac:dyDescent="0.3">
      <c r="A395" t="s">
        <v>213</v>
      </c>
      <c r="B395" s="1">
        <v>45496</v>
      </c>
      <c r="C395" s="3">
        <v>31</v>
      </c>
      <c r="D395" s="4" t="s">
        <v>156</v>
      </c>
      <c r="E395" s="4" t="s">
        <v>8</v>
      </c>
      <c r="F395" s="3">
        <v>8</v>
      </c>
    </row>
    <row r="396" spans="1:6" x14ac:dyDescent="0.3">
      <c r="A396" t="s">
        <v>432</v>
      </c>
      <c r="B396" s="1">
        <v>45496</v>
      </c>
      <c r="C396" s="3">
        <v>41</v>
      </c>
      <c r="D396" s="4" t="s">
        <v>366</v>
      </c>
      <c r="E396" s="4" t="s">
        <v>8</v>
      </c>
      <c r="F396" s="3">
        <v>16</v>
      </c>
    </row>
    <row r="397" spans="1:6" x14ac:dyDescent="0.3">
      <c r="A397" t="s">
        <v>443</v>
      </c>
      <c r="B397" s="1">
        <v>45496</v>
      </c>
      <c r="C397" s="3">
        <v>45</v>
      </c>
      <c r="D397" s="4" t="s">
        <v>366</v>
      </c>
      <c r="E397" s="4"/>
      <c r="F397" s="3">
        <v>4</v>
      </c>
    </row>
    <row r="398" spans="1:6" x14ac:dyDescent="0.3">
      <c r="A398" t="s">
        <v>438</v>
      </c>
      <c r="B398" s="1">
        <v>45497</v>
      </c>
      <c r="C398" s="3">
        <v>32</v>
      </c>
      <c r="D398" s="4" t="s">
        <v>366</v>
      </c>
      <c r="E398" s="4" t="s">
        <v>8</v>
      </c>
      <c r="F398" s="3">
        <v>8</v>
      </c>
    </row>
    <row r="399" spans="1:6" x14ac:dyDescent="0.3">
      <c r="A399" t="s">
        <v>124</v>
      </c>
      <c r="B399" s="1">
        <v>45498</v>
      </c>
      <c r="C399" s="3">
        <v>41</v>
      </c>
      <c r="D399" s="4" t="s">
        <v>7</v>
      </c>
      <c r="E399" s="4" t="s">
        <v>8</v>
      </c>
      <c r="F399" s="3">
        <v>10</v>
      </c>
    </row>
    <row r="400" spans="1:6" x14ac:dyDescent="0.3">
      <c r="A400" t="s">
        <v>177</v>
      </c>
      <c r="B400" s="1">
        <v>45498</v>
      </c>
      <c r="C400" s="3">
        <v>34</v>
      </c>
      <c r="D400" s="4" t="s">
        <v>156</v>
      </c>
      <c r="E400" s="4" t="s">
        <v>8</v>
      </c>
      <c r="F400" s="3">
        <v>8</v>
      </c>
    </row>
    <row r="401" spans="1:6" x14ac:dyDescent="0.3">
      <c r="A401" t="s">
        <v>301</v>
      </c>
      <c r="B401" s="1">
        <v>45498</v>
      </c>
      <c r="C401" s="3">
        <v>43</v>
      </c>
      <c r="D401" s="4" t="s">
        <v>286</v>
      </c>
      <c r="E401" s="4" t="s">
        <v>13</v>
      </c>
      <c r="F401" s="3">
        <v>16</v>
      </c>
    </row>
    <row r="402" spans="1:6" x14ac:dyDescent="0.3">
      <c r="A402" t="s">
        <v>115</v>
      </c>
      <c r="B402" s="1">
        <v>45499</v>
      </c>
      <c r="C402" s="3">
        <v>45</v>
      </c>
      <c r="D402" s="4" t="s">
        <v>7</v>
      </c>
      <c r="E402" s="4" t="s">
        <v>16</v>
      </c>
      <c r="F402" s="3">
        <v>20</v>
      </c>
    </row>
    <row r="403" spans="1:6" x14ac:dyDescent="0.3">
      <c r="A403" t="s">
        <v>361</v>
      </c>
      <c r="B403" s="1">
        <v>45499</v>
      </c>
      <c r="C403" s="3">
        <v>40</v>
      </c>
      <c r="D403" s="4" t="s">
        <v>347</v>
      </c>
      <c r="E403" s="4" t="s">
        <v>13</v>
      </c>
      <c r="F403" s="3">
        <v>9</v>
      </c>
    </row>
    <row r="404" spans="1:6" x14ac:dyDescent="0.3">
      <c r="A404" t="s">
        <v>243</v>
      </c>
      <c r="B404" s="1">
        <v>45500</v>
      </c>
      <c r="C404" s="3">
        <v>29</v>
      </c>
      <c r="D404" s="4" t="s">
        <v>156</v>
      </c>
      <c r="E404" s="4"/>
      <c r="F404" s="3">
        <v>3</v>
      </c>
    </row>
    <row r="405" spans="1:6" x14ac:dyDescent="0.3">
      <c r="A405" t="s">
        <v>306</v>
      </c>
      <c r="B405" s="1">
        <v>45500</v>
      </c>
      <c r="C405" s="3">
        <v>30</v>
      </c>
      <c r="D405" s="4" t="s">
        <v>305</v>
      </c>
      <c r="E405" s="4"/>
      <c r="F405" s="3">
        <v>12</v>
      </c>
    </row>
    <row r="406" spans="1:6" x14ac:dyDescent="0.3">
      <c r="A406" t="s">
        <v>151</v>
      </c>
      <c r="B406" s="1">
        <v>45501</v>
      </c>
      <c r="C406" s="3">
        <v>36</v>
      </c>
      <c r="D406" s="4" t="s">
        <v>140</v>
      </c>
      <c r="E406" s="4" t="s">
        <v>13</v>
      </c>
      <c r="F406" s="3">
        <v>5</v>
      </c>
    </row>
    <row r="407" spans="1:6" x14ac:dyDescent="0.3">
      <c r="A407" t="s">
        <v>228</v>
      </c>
      <c r="B407" s="1">
        <v>45501</v>
      </c>
      <c r="C407" s="3">
        <v>42</v>
      </c>
      <c r="D407" s="4" t="s">
        <v>156</v>
      </c>
      <c r="E407" s="4"/>
      <c r="F407" s="3">
        <v>12</v>
      </c>
    </row>
    <row r="408" spans="1:6" x14ac:dyDescent="0.3">
      <c r="A408" t="s">
        <v>47</v>
      </c>
      <c r="B408" s="1">
        <v>45502</v>
      </c>
      <c r="C408" s="3">
        <v>43</v>
      </c>
      <c r="D408" s="4" t="s">
        <v>7</v>
      </c>
      <c r="E408" s="4" t="s">
        <v>8</v>
      </c>
      <c r="F408" s="3">
        <v>20</v>
      </c>
    </row>
    <row r="409" spans="1:6" x14ac:dyDescent="0.3">
      <c r="A409" t="s">
        <v>168</v>
      </c>
      <c r="B409" s="1">
        <v>45502</v>
      </c>
      <c r="C409" s="3">
        <v>31</v>
      </c>
      <c r="D409" s="4" t="s">
        <v>156</v>
      </c>
      <c r="E409" s="4" t="s">
        <v>8</v>
      </c>
      <c r="F409" s="3">
        <v>5</v>
      </c>
    </row>
    <row r="410" spans="1:6" x14ac:dyDescent="0.3">
      <c r="A410" t="s">
        <v>245</v>
      </c>
      <c r="B410" s="1">
        <v>45502</v>
      </c>
      <c r="C410" s="3">
        <v>25</v>
      </c>
      <c r="D410" s="4" t="s">
        <v>156</v>
      </c>
      <c r="E410" s="4" t="s">
        <v>13</v>
      </c>
      <c r="F410" s="3">
        <v>4</v>
      </c>
    </row>
    <row r="411" spans="1:6" x14ac:dyDescent="0.3">
      <c r="A411" t="s">
        <v>215</v>
      </c>
      <c r="B411" s="1">
        <v>45503</v>
      </c>
      <c r="C411" s="3">
        <v>30</v>
      </c>
      <c r="D411" s="4" t="s">
        <v>156</v>
      </c>
      <c r="E411" s="4"/>
      <c r="F411" s="3">
        <v>2</v>
      </c>
    </row>
    <row r="412" spans="1:6" x14ac:dyDescent="0.3">
      <c r="A412" t="s">
        <v>52</v>
      </c>
      <c r="B412" s="1">
        <v>45504</v>
      </c>
      <c r="C412" s="3">
        <v>32</v>
      </c>
      <c r="D412" s="4" t="s">
        <v>12</v>
      </c>
      <c r="E412" s="4" t="s">
        <v>8</v>
      </c>
      <c r="F412" s="3">
        <v>6</v>
      </c>
    </row>
    <row r="413" spans="1:6" x14ac:dyDescent="0.3">
      <c r="A413" t="s">
        <v>73</v>
      </c>
      <c r="B413" s="1">
        <v>45504</v>
      </c>
      <c r="C413" s="3">
        <v>25</v>
      </c>
      <c r="D413" s="4" t="s">
        <v>12</v>
      </c>
      <c r="E413" s="4" t="s">
        <v>13</v>
      </c>
      <c r="F413" s="3">
        <v>4</v>
      </c>
    </row>
    <row r="414" spans="1:6" x14ac:dyDescent="0.3">
      <c r="A414" t="s">
        <v>112</v>
      </c>
      <c r="B414" s="1">
        <v>45504</v>
      </c>
      <c r="C414" s="3">
        <v>36</v>
      </c>
      <c r="D414" s="4" t="s">
        <v>10</v>
      </c>
      <c r="E414" s="4" t="s">
        <v>8</v>
      </c>
      <c r="F414" s="3">
        <v>6</v>
      </c>
    </row>
    <row r="415" spans="1:6" x14ac:dyDescent="0.3">
      <c r="A415" t="s">
        <v>11</v>
      </c>
      <c r="B415" s="1">
        <v>45506</v>
      </c>
      <c r="C415" s="3">
        <v>26</v>
      </c>
      <c r="D415" s="4" t="s">
        <v>12</v>
      </c>
      <c r="E415" s="4" t="s">
        <v>13</v>
      </c>
      <c r="F415" s="3">
        <v>4</v>
      </c>
    </row>
    <row r="416" spans="1:6" x14ac:dyDescent="0.3">
      <c r="A416" t="s">
        <v>37</v>
      </c>
      <c r="B416" s="1">
        <v>45506</v>
      </c>
      <c r="C416" s="3">
        <v>28</v>
      </c>
      <c r="D416" s="4" t="s">
        <v>10</v>
      </c>
      <c r="E416" s="4" t="s">
        <v>8</v>
      </c>
      <c r="F416" s="3">
        <v>5</v>
      </c>
    </row>
    <row r="417" spans="1:6" x14ac:dyDescent="0.3">
      <c r="A417" t="s">
        <v>414</v>
      </c>
      <c r="B417" s="1">
        <v>45507</v>
      </c>
      <c r="C417" s="3">
        <v>33</v>
      </c>
      <c r="D417" s="4" t="s">
        <v>366</v>
      </c>
      <c r="E417" s="4"/>
      <c r="F417" s="3">
        <v>5</v>
      </c>
    </row>
    <row r="418" spans="1:6" x14ac:dyDescent="0.3">
      <c r="A418" t="s">
        <v>417</v>
      </c>
      <c r="B418" s="1">
        <v>45507</v>
      </c>
      <c r="C418" s="3">
        <v>40</v>
      </c>
      <c r="D418" s="4" t="s">
        <v>366</v>
      </c>
      <c r="E418" s="4" t="s">
        <v>8</v>
      </c>
      <c r="F418" s="3">
        <v>10</v>
      </c>
    </row>
    <row r="419" spans="1:6" x14ac:dyDescent="0.3">
      <c r="A419" t="s">
        <v>49</v>
      </c>
      <c r="B419" s="1">
        <v>45509</v>
      </c>
      <c r="C419" s="3">
        <v>29</v>
      </c>
      <c r="D419" s="4" t="s">
        <v>10</v>
      </c>
      <c r="E419" s="4" t="s">
        <v>8</v>
      </c>
      <c r="F419" s="3">
        <v>5</v>
      </c>
    </row>
    <row r="420" spans="1:6" x14ac:dyDescent="0.3">
      <c r="A420" t="s">
        <v>98</v>
      </c>
      <c r="B420" s="1">
        <v>45509</v>
      </c>
      <c r="C420" s="3">
        <v>39</v>
      </c>
      <c r="D420" s="4" t="s">
        <v>12</v>
      </c>
      <c r="E420" s="4" t="s">
        <v>8</v>
      </c>
      <c r="F420" s="3">
        <v>3</v>
      </c>
    </row>
    <row r="421" spans="1:6" x14ac:dyDescent="0.3">
      <c r="A421" t="s">
        <v>238</v>
      </c>
      <c r="B421" s="1">
        <v>45509</v>
      </c>
      <c r="C421" s="3">
        <v>28</v>
      </c>
      <c r="D421" s="4" t="s">
        <v>156</v>
      </c>
      <c r="E421" s="4" t="s">
        <v>8</v>
      </c>
      <c r="F421" s="3">
        <v>3</v>
      </c>
    </row>
    <row r="422" spans="1:6" x14ac:dyDescent="0.3">
      <c r="A422" t="s">
        <v>307</v>
      </c>
      <c r="B422" s="1">
        <v>45509</v>
      </c>
      <c r="C422" s="3">
        <v>42</v>
      </c>
      <c r="D422" s="4" t="s">
        <v>305</v>
      </c>
      <c r="E422" s="4"/>
      <c r="F422" s="3">
        <v>19</v>
      </c>
    </row>
    <row r="423" spans="1:6" x14ac:dyDescent="0.3">
      <c r="A423" t="s">
        <v>310</v>
      </c>
      <c r="B423" s="1">
        <v>45509</v>
      </c>
      <c r="C423" s="3">
        <v>45</v>
      </c>
      <c r="D423" s="4" t="s">
        <v>305</v>
      </c>
      <c r="E423" s="4"/>
      <c r="F423" s="3">
        <v>12</v>
      </c>
    </row>
    <row r="424" spans="1:6" x14ac:dyDescent="0.3">
      <c r="A424" t="s">
        <v>199</v>
      </c>
      <c r="B424" s="1">
        <v>45510</v>
      </c>
      <c r="C424" s="3">
        <v>41</v>
      </c>
      <c r="D424" s="4" t="s">
        <v>156</v>
      </c>
      <c r="E424" s="4" t="s">
        <v>8</v>
      </c>
      <c r="F424" s="3">
        <v>14</v>
      </c>
    </row>
    <row r="425" spans="1:6" x14ac:dyDescent="0.3">
      <c r="A425" t="s">
        <v>231</v>
      </c>
      <c r="B425" s="1">
        <v>45510</v>
      </c>
      <c r="C425" s="3">
        <v>34</v>
      </c>
      <c r="D425" s="4" t="s">
        <v>156</v>
      </c>
      <c r="E425" s="4" t="s">
        <v>8</v>
      </c>
      <c r="F425" s="3">
        <v>11</v>
      </c>
    </row>
    <row r="426" spans="1:6" x14ac:dyDescent="0.3">
      <c r="A426" t="s">
        <v>256</v>
      </c>
      <c r="B426" s="1">
        <v>45510</v>
      </c>
      <c r="C426" s="3">
        <v>33</v>
      </c>
      <c r="D426" s="4" t="s">
        <v>156</v>
      </c>
      <c r="E426" s="4" t="s">
        <v>8</v>
      </c>
      <c r="F426" s="3">
        <v>8</v>
      </c>
    </row>
    <row r="427" spans="1:6" x14ac:dyDescent="0.3">
      <c r="A427" t="s">
        <v>439</v>
      </c>
      <c r="B427" s="1">
        <v>45510</v>
      </c>
      <c r="C427" s="3">
        <v>29</v>
      </c>
      <c r="D427" s="4" t="s">
        <v>366</v>
      </c>
      <c r="E427" s="4" t="s">
        <v>8</v>
      </c>
      <c r="F427" s="3">
        <v>7</v>
      </c>
    </row>
    <row r="428" spans="1:6" x14ac:dyDescent="0.3">
      <c r="A428" t="s">
        <v>495</v>
      </c>
      <c r="B428" s="1">
        <v>45511</v>
      </c>
      <c r="C428" s="3">
        <v>37</v>
      </c>
      <c r="D428" s="4" t="s">
        <v>488</v>
      </c>
      <c r="E428" s="4" t="s">
        <v>8</v>
      </c>
      <c r="F428" s="3">
        <v>3</v>
      </c>
    </row>
    <row r="429" spans="1:6" x14ac:dyDescent="0.3">
      <c r="A429" t="s">
        <v>175</v>
      </c>
      <c r="B429" s="1">
        <v>45512</v>
      </c>
      <c r="C429" s="3">
        <v>32</v>
      </c>
      <c r="D429" s="4" t="s">
        <v>156</v>
      </c>
      <c r="E429" s="4" t="s">
        <v>8</v>
      </c>
      <c r="F429" s="3">
        <v>11</v>
      </c>
    </row>
    <row r="430" spans="1:6" x14ac:dyDescent="0.3">
      <c r="A430" t="s">
        <v>214</v>
      </c>
      <c r="B430" s="1">
        <v>45512</v>
      </c>
      <c r="C430" s="3">
        <v>38</v>
      </c>
      <c r="D430" s="4" t="s">
        <v>156</v>
      </c>
      <c r="E430" s="4" t="s">
        <v>13</v>
      </c>
      <c r="F430" s="3">
        <v>11</v>
      </c>
    </row>
    <row r="431" spans="1:6" x14ac:dyDescent="0.3">
      <c r="A431" t="s">
        <v>392</v>
      </c>
      <c r="B431" s="1">
        <v>45512</v>
      </c>
      <c r="C431" s="3">
        <v>36</v>
      </c>
      <c r="D431" s="4" t="s">
        <v>366</v>
      </c>
      <c r="E431" s="4" t="s">
        <v>13</v>
      </c>
      <c r="F431" s="3">
        <v>12</v>
      </c>
    </row>
    <row r="432" spans="1:6" x14ac:dyDescent="0.3">
      <c r="A432" t="s">
        <v>502</v>
      </c>
      <c r="B432" s="1">
        <v>45512</v>
      </c>
      <c r="C432" s="3">
        <v>27</v>
      </c>
      <c r="D432" s="4" t="s">
        <v>488</v>
      </c>
      <c r="E432" s="4"/>
      <c r="F432" s="3">
        <v>5</v>
      </c>
    </row>
    <row r="433" spans="1:6" x14ac:dyDescent="0.3">
      <c r="A433" t="s">
        <v>45</v>
      </c>
      <c r="B433" s="1">
        <v>45513</v>
      </c>
      <c r="C433" s="3">
        <v>32</v>
      </c>
      <c r="D433" s="4" t="s">
        <v>10</v>
      </c>
      <c r="E433" s="4" t="s">
        <v>13</v>
      </c>
      <c r="F433" s="3">
        <v>6</v>
      </c>
    </row>
    <row r="434" spans="1:6" x14ac:dyDescent="0.3">
      <c r="A434" t="s">
        <v>224</v>
      </c>
      <c r="B434" s="1">
        <v>45513</v>
      </c>
      <c r="C434" s="3">
        <v>45</v>
      </c>
      <c r="D434" s="4" t="s">
        <v>156</v>
      </c>
      <c r="E434" s="4" t="s">
        <v>8</v>
      </c>
      <c r="F434" s="3">
        <v>12</v>
      </c>
    </row>
    <row r="435" spans="1:6" x14ac:dyDescent="0.3">
      <c r="A435" t="s">
        <v>384</v>
      </c>
      <c r="B435" s="1">
        <v>45513</v>
      </c>
      <c r="C435" s="3">
        <v>39</v>
      </c>
      <c r="D435" s="4" t="s">
        <v>366</v>
      </c>
      <c r="E435" s="4" t="s">
        <v>8</v>
      </c>
      <c r="F435" s="3">
        <v>12</v>
      </c>
    </row>
    <row r="436" spans="1:6" x14ac:dyDescent="0.3">
      <c r="A436" t="s">
        <v>387</v>
      </c>
      <c r="B436" s="1">
        <v>45513</v>
      </c>
      <c r="C436" s="3">
        <v>36</v>
      </c>
      <c r="D436" s="4" t="s">
        <v>366</v>
      </c>
      <c r="E436" s="4" t="s">
        <v>8</v>
      </c>
      <c r="F436" s="3">
        <v>15</v>
      </c>
    </row>
    <row r="437" spans="1:6" x14ac:dyDescent="0.3">
      <c r="A437" t="s">
        <v>477</v>
      </c>
      <c r="B437" s="1">
        <v>45513</v>
      </c>
      <c r="C437" s="3">
        <v>28</v>
      </c>
      <c r="D437" s="4" t="s">
        <v>366</v>
      </c>
      <c r="E437" s="4" t="s">
        <v>8</v>
      </c>
      <c r="F437" s="3">
        <v>2</v>
      </c>
    </row>
    <row r="438" spans="1:6" x14ac:dyDescent="0.3">
      <c r="A438" t="s">
        <v>483</v>
      </c>
      <c r="B438" s="1">
        <v>45513</v>
      </c>
      <c r="C438" s="3">
        <v>25</v>
      </c>
      <c r="D438" s="4" t="s">
        <v>366</v>
      </c>
      <c r="E438" s="4" t="s">
        <v>13</v>
      </c>
      <c r="F438" s="3">
        <v>4</v>
      </c>
    </row>
    <row r="439" spans="1:6" x14ac:dyDescent="0.3">
      <c r="A439" t="s">
        <v>181</v>
      </c>
      <c r="B439" s="1">
        <v>45514</v>
      </c>
      <c r="C439" s="3">
        <v>37</v>
      </c>
      <c r="D439" s="4" t="s">
        <v>156</v>
      </c>
      <c r="E439" s="4"/>
      <c r="F439" s="3">
        <v>4</v>
      </c>
    </row>
    <row r="440" spans="1:6" x14ac:dyDescent="0.3">
      <c r="A440" t="s">
        <v>354</v>
      </c>
      <c r="B440" s="1">
        <v>45514</v>
      </c>
      <c r="C440" s="3">
        <v>31</v>
      </c>
      <c r="D440" s="4" t="s">
        <v>347</v>
      </c>
      <c r="E440" s="4"/>
      <c r="F440" s="3">
        <v>8</v>
      </c>
    </row>
    <row r="441" spans="1:6" x14ac:dyDescent="0.3">
      <c r="A441" t="s">
        <v>493</v>
      </c>
      <c r="B441" s="1">
        <v>45514</v>
      </c>
      <c r="C441" s="3">
        <v>27</v>
      </c>
      <c r="D441" s="4" t="s">
        <v>488</v>
      </c>
      <c r="E441" s="4" t="s">
        <v>8</v>
      </c>
      <c r="F441" s="3">
        <v>2</v>
      </c>
    </row>
    <row r="442" spans="1:6" x14ac:dyDescent="0.3">
      <c r="A442" t="s">
        <v>92</v>
      </c>
      <c r="B442" s="1">
        <v>45515</v>
      </c>
      <c r="C442" s="3">
        <v>43</v>
      </c>
      <c r="D442" s="4" t="s">
        <v>10</v>
      </c>
      <c r="E442" s="4" t="s">
        <v>8</v>
      </c>
      <c r="F442" s="3">
        <v>8</v>
      </c>
    </row>
    <row r="443" spans="1:6" x14ac:dyDescent="0.3">
      <c r="A443" t="s">
        <v>259</v>
      </c>
      <c r="B443" s="1">
        <v>45515</v>
      </c>
      <c r="C443" s="3">
        <v>27</v>
      </c>
      <c r="D443" s="4" t="s">
        <v>156</v>
      </c>
      <c r="E443" s="4"/>
      <c r="F443" s="3">
        <v>1</v>
      </c>
    </row>
    <row r="444" spans="1:6" x14ac:dyDescent="0.3">
      <c r="A444" t="s">
        <v>122</v>
      </c>
      <c r="B444" s="1">
        <v>45516</v>
      </c>
      <c r="C444" s="3">
        <v>44</v>
      </c>
      <c r="D444" s="4" t="s">
        <v>10</v>
      </c>
      <c r="E444" s="4" t="s">
        <v>13</v>
      </c>
      <c r="F444" s="3">
        <v>12</v>
      </c>
    </row>
    <row r="445" spans="1:6" x14ac:dyDescent="0.3">
      <c r="A445" t="s">
        <v>413</v>
      </c>
      <c r="B445" s="1">
        <v>45516</v>
      </c>
      <c r="C445" s="3">
        <v>45</v>
      </c>
      <c r="D445" s="4" t="s">
        <v>366</v>
      </c>
      <c r="E445" s="4" t="s">
        <v>13</v>
      </c>
      <c r="F445" s="3">
        <v>16</v>
      </c>
    </row>
    <row r="446" spans="1:6" x14ac:dyDescent="0.3">
      <c r="A446" t="s">
        <v>418</v>
      </c>
      <c r="B446" s="1">
        <v>45516</v>
      </c>
      <c r="C446" s="3">
        <v>36</v>
      </c>
      <c r="D446" s="4" t="s">
        <v>366</v>
      </c>
      <c r="E446" s="4" t="s">
        <v>8</v>
      </c>
      <c r="F446" s="3">
        <v>9</v>
      </c>
    </row>
    <row r="447" spans="1:6" x14ac:dyDescent="0.3">
      <c r="A447" t="s">
        <v>75</v>
      </c>
      <c r="B447" s="1">
        <v>45517</v>
      </c>
      <c r="C447" s="3">
        <v>38</v>
      </c>
      <c r="D447" s="4" t="s">
        <v>12</v>
      </c>
      <c r="E447" s="4" t="s">
        <v>13</v>
      </c>
      <c r="F447" s="3">
        <v>4</v>
      </c>
    </row>
    <row r="448" spans="1:6" x14ac:dyDescent="0.3">
      <c r="A448" t="s">
        <v>129</v>
      </c>
      <c r="B448" s="1">
        <v>45517</v>
      </c>
      <c r="C448" s="3">
        <v>32</v>
      </c>
      <c r="D448" s="4" t="s">
        <v>10</v>
      </c>
      <c r="E448" s="4"/>
      <c r="F448" s="3">
        <v>12</v>
      </c>
    </row>
    <row r="449" spans="1:6" x14ac:dyDescent="0.3">
      <c r="A449" t="s">
        <v>217</v>
      </c>
      <c r="B449" s="1">
        <v>45517</v>
      </c>
      <c r="C449" s="3">
        <v>44</v>
      </c>
      <c r="D449" s="4" t="s">
        <v>156</v>
      </c>
      <c r="E449" s="4" t="s">
        <v>8</v>
      </c>
      <c r="F449" s="3">
        <v>24</v>
      </c>
    </row>
    <row r="450" spans="1:6" x14ac:dyDescent="0.3">
      <c r="A450" t="s">
        <v>290</v>
      </c>
      <c r="B450" s="1">
        <v>45517</v>
      </c>
      <c r="C450" s="3">
        <v>34</v>
      </c>
      <c r="D450" s="4" t="s">
        <v>286</v>
      </c>
      <c r="E450" s="4" t="s">
        <v>8</v>
      </c>
      <c r="F450" s="3">
        <v>10</v>
      </c>
    </row>
    <row r="451" spans="1:6" x14ac:dyDescent="0.3">
      <c r="A451" t="s">
        <v>379</v>
      </c>
      <c r="B451" s="1">
        <v>45517</v>
      </c>
      <c r="C451" s="3">
        <v>34</v>
      </c>
      <c r="D451" s="4" t="s">
        <v>366</v>
      </c>
      <c r="E451" s="4" t="s">
        <v>8</v>
      </c>
      <c r="F451" s="3">
        <v>14</v>
      </c>
    </row>
    <row r="452" spans="1:6" x14ac:dyDescent="0.3">
      <c r="A452" t="s">
        <v>457</v>
      </c>
      <c r="B452" s="1">
        <v>45517</v>
      </c>
      <c r="C452" s="3">
        <v>28</v>
      </c>
      <c r="D452" s="4" t="s">
        <v>366</v>
      </c>
      <c r="E452" s="4"/>
      <c r="F452" s="3">
        <v>5</v>
      </c>
    </row>
    <row r="453" spans="1:6" x14ac:dyDescent="0.3">
      <c r="A453" t="s">
        <v>478</v>
      </c>
      <c r="B453" s="1">
        <v>45517</v>
      </c>
      <c r="C453" s="3">
        <v>30</v>
      </c>
      <c r="D453" s="4" t="s">
        <v>366</v>
      </c>
      <c r="E453" s="4" t="s">
        <v>13</v>
      </c>
      <c r="F453" s="3">
        <v>7</v>
      </c>
    </row>
    <row r="454" spans="1:6" x14ac:dyDescent="0.3">
      <c r="A454" t="s">
        <v>120</v>
      </c>
      <c r="B454" s="1">
        <v>45518</v>
      </c>
      <c r="C454" s="3">
        <v>33</v>
      </c>
      <c r="D454" s="4" t="s">
        <v>7</v>
      </c>
      <c r="E454" s="4" t="s">
        <v>8</v>
      </c>
      <c r="F454" s="3">
        <v>4</v>
      </c>
    </row>
    <row r="455" spans="1:6" x14ac:dyDescent="0.3">
      <c r="A455" t="s">
        <v>292</v>
      </c>
      <c r="B455" s="1">
        <v>45519</v>
      </c>
      <c r="C455" s="3">
        <v>44</v>
      </c>
      <c r="D455" s="4" t="s">
        <v>286</v>
      </c>
      <c r="E455" s="4" t="s">
        <v>8</v>
      </c>
      <c r="F455" s="3">
        <v>20</v>
      </c>
    </row>
    <row r="456" spans="1:6" x14ac:dyDescent="0.3">
      <c r="A456" t="s">
        <v>406</v>
      </c>
      <c r="B456" s="1">
        <v>45519</v>
      </c>
      <c r="C456" s="3">
        <v>25</v>
      </c>
      <c r="D456" s="4" t="s">
        <v>366</v>
      </c>
      <c r="E456" s="4" t="s">
        <v>8</v>
      </c>
      <c r="F456" s="3">
        <v>2</v>
      </c>
    </row>
    <row r="457" spans="1:6" x14ac:dyDescent="0.3">
      <c r="A457" t="s">
        <v>500</v>
      </c>
      <c r="B457" s="1">
        <v>45520</v>
      </c>
      <c r="C457" s="3">
        <v>40</v>
      </c>
      <c r="D457" s="4" t="s">
        <v>488</v>
      </c>
      <c r="E457" s="4" t="s">
        <v>8</v>
      </c>
      <c r="F457" s="3">
        <v>18</v>
      </c>
    </row>
    <row r="458" spans="1:6" x14ac:dyDescent="0.3">
      <c r="A458" t="s">
        <v>30</v>
      </c>
      <c r="B458" s="1">
        <v>45521</v>
      </c>
      <c r="C458" s="3">
        <v>33</v>
      </c>
      <c r="D458" s="4" t="s">
        <v>7</v>
      </c>
      <c r="E458" s="4" t="s">
        <v>8</v>
      </c>
      <c r="F458" s="3">
        <v>12</v>
      </c>
    </row>
    <row r="459" spans="1:6" x14ac:dyDescent="0.3">
      <c r="A459" t="s">
        <v>59</v>
      </c>
      <c r="B459" s="1">
        <v>45521</v>
      </c>
      <c r="C459" s="3">
        <v>30</v>
      </c>
      <c r="D459" s="4" t="s">
        <v>10</v>
      </c>
      <c r="E459" s="4" t="s">
        <v>8</v>
      </c>
      <c r="F459" s="3">
        <v>9</v>
      </c>
    </row>
    <row r="460" spans="1:6" x14ac:dyDescent="0.3">
      <c r="A460" t="s">
        <v>435</v>
      </c>
      <c r="B460" s="1">
        <v>45521</v>
      </c>
      <c r="C460" s="3">
        <v>40</v>
      </c>
      <c r="D460" s="4" t="s">
        <v>366</v>
      </c>
      <c r="E460" s="4" t="s">
        <v>13</v>
      </c>
      <c r="F460" s="3">
        <v>10</v>
      </c>
    </row>
    <row r="461" spans="1:6" x14ac:dyDescent="0.3">
      <c r="A461" t="s">
        <v>474</v>
      </c>
      <c r="B461" s="1">
        <v>45521</v>
      </c>
      <c r="C461" s="3">
        <v>34</v>
      </c>
      <c r="D461" s="4" t="s">
        <v>366</v>
      </c>
      <c r="E461" s="4" t="s">
        <v>13</v>
      </c>
      <c r="F461" s="3">
        <v>8</v>
      </c>
    </row>
    <row r="462" spans="1:6" x14ac:dyDescent="0.3">
      <c r="A462" t="s">
        <v>63</v>
      </c>
      <c r="B462" s="1">
        <v>45522</v>
      </c>
      <c r="C462" s="3">
        <v>45</v>
      </c>
      <c r="D462" s="4" t="s">
        <v>10</v>
      </c>
      <c r="E462" s="4" t="s">
        <v>13</v>
      </c>
      <c r="F462" s="3">
        <v>23</v>
      </c>
    </row>
    <row r="463" spans="1:6" x14ac:dyDescent="0.3">
      <c r="A463" t="s">
        <v>287</v>
      </c>
      <c r="B463" s="1">
        <v>45522</v>
      </c>
      <c r="C463" s="3">
        <v>39</v>
      </c>
      <c r="D463" s="4" t="s">
        <v>286</v>
      </c>
      <c r="E463" s="4" t="s">
        <v>8</v>
      </c>
      <c r="F463" s="3">
        <v>15</v>
      </c>
    </row>
    <row r="464" spans="1:6" x14ac:dyDescent="0.3">
      <c r="A464" t="s">
        <v>393</v>
      </c>
      <c r="B464" s="1">
        <v>45522</v>
      </c>
      <c r="C464" s="3">
        <v>30</v>
      </c>
      <c r="D464" s="4" t="s">
        <v>366</v>
      </c>
      <c r="E464" s="4" t="s">
        <v>13</v>
      </c>
      <c r="F464" s="3">
        <v>7</v>
      </c>
    </row>
    <row r="465" spans="1:6" x14ac:dyDescent="0.3">
      <c r="A465" t="s">
        <v>24</v>
      </c>
      <c r="B465" s="1">
        <v>45523</v>
      </c>
      <c r="C465" s="3">
        <v>43</v>
      </c>
      <c r="D465" s="4" t="s">
        <v>12</v>
      </c>
      <c r="E465" s="4" t="s">
        <v>13</v>
      </c>
      <c r="F465" s="3">
        <v>4</v>
      </c>
    </row>
    <row r="466" spans="1:6" x14ac:dyDescent="0.3">
      <c r="A466" t="s">
        <v>71</v>
      </c>
      <c r="B466" s="1">
        <v>45523</v>
      </c>
      <c r="C466" s="3">
        <v>30</v>
      </c>
      <c r="D466" s="4" t="s">
        <v>10</v>
      </c>
      <c r="E466" s="4" t="s">
        <v>8</v>
      </c>
      <c r="F466" s="3">
        <v>2</v>
      </c>
    </row>
    <row r="467" spans="1:6" x14ac:dyDescent="0.3">
      <c r="A467" t="s">
        <v>132</v>
      </c>
      <c r="B467" s="1">
        <v>45523</v>
      </c>
      <c r="C467" s="3">
        <v>40</v>
      </c>
      <c r="D467" s="4" t="s">
        <v>12</v>
      </c>
      <c r="E467" s="4" t="s">
        <v>8</v>
      </c>
      <c r="F467" s="3">
        <v>2</v>
      </c>
    </row>
    <row r="468" spans="1:6" x14ac:dyDescent="0.3">
      <c r="A468" t="s">
        <v>226</v>
      </c>
      <c r="B468" s="1">
        <v>45523</v>
      </c>
      <c r="C468" s="3">
        <v>28</v>
      </c>
      <c r="D468" s="4" t="s">
        <v>156</v>
      </c>
      <c r="E468" s="4" t="s">
        <v>8</v>
      </c>
      <c r="F468" s="3">
        <v>8</v>
      </c>
    </row>
    <row r="469" spans="1:6" x14ac:dyDescent="0.3">
      <c r="A469" t="s">
        <v>316</v>
      </c>
      <c r="B469" s="1">
        <v>45523</v>
      </c>
      <c r="C469" s="3">
        <v>42</v>
      </c>
      <c r="D469" s="4" t="s">
        <v>305</v>
      </c>
      <c r="E469" s="4" t="s">
        <v>13</v>
      </c>
      <c r="F469" s="3">
        <v>7</v>
      </c>
    </row>
    <row r="470" spans="1:6" x14ac:dyDescent="0.3">
      <c r="A470" t="s">
        <v>134</v>
      </c>
      <c r="B470" s="1">
        <v>45525</v>
      </c>
      <c r="C470" s="3">
        <v>43</v>
      </c>
      <c r="D470" s="4" t="s">
        <v>10</v>
      </c>
      <c r="E470" s="4" t="s">
        <v>8</v>
      </c>
      <c r="F470" s="3">
        <v>3</v>
      </c>
    </row>
    <row r="471" spans="1:6" x14ac:dyDescent="0.3">
      <c r="A471" t="s">
        <v>444</v>
      </c>
      <c r="B471" s="1">
        <v>45526</v>
      </c>
      <c r="C471" s="3">
        <v>43</v>
      </c>
      <c r="D471" s="4" t="s">
        <v>366</v>
      </c>
      <c r="E471" s="4" t="s">
        <v>8</v>
      </c>
      <c r="F471" s="3">
        <v>11</v>
      </c>
    </row>
    <row r="472" spans="1:6" x14ac:dyDescent="0.3">
      <c r="A472" t="s">
        <v>419</v>
      </c>
      <c r="B472" s="1">
        <v>45527</v>
      </c>
      <c r="C472" s="3">
        <v>29</v>
      </c>
      <c r="D472" s="4" t="s">
        <v>366</v>
      </c>
      <c r="E472" s="4" t="s">
        <v>8</v>
      </c>
      <c r="F472" s="3">
        <v>9</v>
      </c>
    </row>
    <row r="473" spans="1:6" x14ac:dyDescent="0.3">
      <c r="A473" t="s">
        <v>459</v>
      </c>
      <c r="B473" s="1">
        <v>45527</v>
      </c>
      <c r="C473" s="3">
        <v>28</v>
      </c>
      <c r="D473" s="4" t="s">
        <v>366</v>
      </c>
      <c r="E473" s="4" t="s">
        <v>8</v>
      </c>
      <c r="F473" s="3">
        <v>3</v>
      </c>
    </row>
    <row r="474" spans="1:6" x14ac:dyDescent="0.3">
      <c r="A474" t="s">
        <v>171</v>
      </c>
      <c r="B474" s="1">
        <v>45528</v>
      </c>
      <c r="C474" s="3">
        <v>38</v>
      </c>
      <c r="D474" s="4" t="s">
        <v>156</v>
      </c>
      <c r="E474" s="4" t="s">
        <v>8</v>
      </c>
      <c r="F474" s="3">
        <v>7</v>
      </c>
    </row>
    <row r="475" spans="1:6" x14ac:dyDescent="0.3">
      <c r="A475" t="s">
        <v>332</v>
      </c>
      <c r="B475" s="1">
        <v>45528</v>
      </c>
      <c r="C475" s="3">
        <v>38</v>
      </c>
      <c r="D475" s="4" t="s">
        <v>328</v>
      </c>
      <c r="E475" s="4" t="s">
        <v>8</v>
      </c>
      <c r="F475" s="3">
        <v>12</v>
      </c>
    </row>
    <row r="476" spans="1:6" x14ac:dyDescent="0.3">
      <c r="A476" t="s">
        <v>20</v>
      </c>
      <c r="B476" s="1">
        <v>45530</v>
      </c>
      <c r="C476" s="3">
        <v>33</v>
      </c>
      <c r="D476" s="4" t="s">
        <v>12</v>
      </c>
      <c r="E476" s="4" t="s">
        <v>13</v>
      </c>
      <c r="F476" s="3">
        <v>11</v>
      </c>
    </row>
    <row r="477" spans="1:6" x14ac:dyDescent="0.3">
      <c r="A477" t="s">
        <v>179</v>
      </c>
      <c r="B477" s="1">
        <v>45530</v>
      </c>
      <c r="C477" s="3">
        <v>43</v>
      </c>
      <c r="D477" s="4" t="s">
        <v>156</v>
      </c>
      <c r="E477" s="4" t="s">
        <v>8</v>
      </c>
      <c r="F477" s="3">
        <v>5</v>
      </c>
    </row>
    <row r="478" spans="1:6" x14ac:dyDescent="0.3">
      <c r="A478" t="s">
        <v>264</v>
      </c>
      <c r="B478" s="1">
        <v>45530</v>
      </c>
      <c r="C478" s="3">
        <v>39</v>
      </c>
      <c r="D478" s="4" t="s">
        <v>265</v>
      </c>
      <c r="E478" s="4"/>
      <c r="F478" s="3">
        <v>2</v>
      </c>
    </row>
    <row r="479" spans="1:6" x14ac:dyDescent="0.3">
      <c r="A479" t="s">
        <v>146</v>
      </c>
      <c r="B479" s="1">
        <v>45531</v>
      </c>
      <c r="C479" s="3">
        <v>37</v>
      </c>
      <c r="D479" s="4" t="s">
        <v>140</v>
      </c>
      <c r="E479" s="4" t="s">
        <v>8</v>
      </c>
      <c r="F479" s="3">
        <v>7</v>
      </c>
    </row>
    <row r="480" spans="1:6" x14ac:dyDescent="0.3">
      <c r="A480" t="s">
        <v>302</v>
      </c>
      <c r="B480" s="1">
        <v>45531</v>
      </c>
      <c r="C480" s="3">
        <v>43</v>
      </c>
      <c r="D480" s="4" t="s">
        <v>286</v>
      </c>
      <c r="E480" s="4" t="s">
        <v>8</v>
      </c>
      <c r="F480" s="3">
        <v>23</v>
      </c>
    </row>
    <row r="481" spans="1:6" x14ac:dyDescent="0.3">
      <c r="A481" t="s">
        <v>333</v>
      </c>
      <c r="B481" s="1">
        <v>45531</v>
      </c>
      <c r="C481" s="3">
        <v>35</v>
      </c>
      <c r="D481" s="4" t="s">
        <v>328</v>
      </c>
      <c r="E481" s="4" t="s">
        <v>8</v>
      </c>
      <c r="F481" s="3">
        <v>4</v>
      </c>
    </row>
    <row r="482" spans="1:6" x14ac:dyDescent="0.3">
      <c r="A482" t="s">
        <v>469</v>
      </c>
      <c r="B482" s="1">
        <v>45531</v>
      </c>
      <c r="C482" s="3">
        <v>25</v>
      </c>
      <c r="D482" s="4" t="s">
        <v>366</v>
      </c>
      <c r="E482" s="4" t="s">
        <v>8</v>
      </c>
      <c r="F482" s="3">
        <v>2</v>
      </c>
    </row>
    <row r="483" spans="1:6" x14ac:dyDescent="0.3">
      <c r="A483" t="s">
        <v>148</v>
      </c>
      <c r="B483" s="1">
        <v>45532</v>
      </c>
      <c r="C483" s="3">
        <v>38</v>
      </c>
      <c r="D483" s="4" t="s">
        <v>140</v>
      </c>
      <c r="E483" s="4" t="s">
        <v>13</v>
      </c>
      <c r="F483" s="3">
        <v>10</v>
      </c>
    </row>
    <row r="484" spans="1:6" x14ac:dyDescent="0.3">
      <c r="A484" t="s">
        <v>17</v>
      </c>
      <c r="B484" s="1">
        <v>45534</v>
      </c>
      <c r="C484" s="3">
        <v>31</v>
      </c>
      <c r="D484" s="4" t="s">
        <v>12</v>
      </c>
      <c r="E484" s="4" t="s">
        <v>8</v>
      </c>
      <c r="F484" s="3">
        <v>8</v>
      </c>
    </row>
    <row r="485" spans="1:6" x14ac:dyDescent="0.3">
      <c r="A485" t="s">
        <v>44</v>
      </c>
      <c r="B485" s="1">
        <v>45535</v>
      </c>
      <c r="C485" s="3">
        <v>39</v>
      </c>
      <c r="D485" s="4" t="s">
        <v>10</v>
      </c>
      <c r="E485" s="4" t="s">
        <v>13</v>
      </c>
      <c r="F485" s="3">
        <v>4</v>
      </c>
    </row>
    <row r="486" spans="1:6" x14ac:dyDescent="0.3">
      <c r="A486" t="s">
        <v>147</v>
      </c>
      <c r="B486" s="1">
        <v>45535</v>
      </c>
      <c r="C486" s="3">
        <v>29</v>
      </c>
      <c r="D486" s="4" t="s">
        <v>140</v>
      </c>
      <c r="E486" s="4" t="s">
        <v>8</v>
      </c>
      <c r="F486" s="3">
        <v>6</v>
      </c>
    </row>
    <row r="487" spans="1:6" x14ac:dyDescent="0.3">
      <c r="A487" t="s">
        <v>339</v>
      </c>
      <c r="B487" s="1">
        <v>45535</v>
      </c>
      <c r="C487" s="3">
        <v>26</v>
      </c>
      <c r="D487" s="4" t="s">
        <v>328</v>
      </c>
      <c r="E487" s="4"/>
      <c r="F487" s="3">
        <v>5</v>
      </c>
    </row>
    <row r="488" spans="1:6" x14ac:dyDescent="0.3">
      <c r="A488" t="s">
        <v>386</v>
      </c>
      <c r="B488" s="1">
        <v>45535</v>
      </c>
      <c r="C488" s="3">
        <v>28</v>
      </c>
      <c r="D488" s="4" t="s">
        <v>366</v>
      </c>
      <c r="E488" s="4" t="s">
        <v>8</v>
      </c>
      <c r="F488" s="3">
        <v>3</v>
      </c>
    </row>
  </sheetData>
  <pageMargins left="0.7" right="0.7" top="0.75" bottom="0.75" header="0.3" footer="0.3"/>
  <ignoredErrors>
    <ignoredError sqref="A2" numberStoredAsText="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AEBB-2F5F-40BB-9C58-7E4C2C1C2D56}">
  <dimension ref="A1:Z488"/>
  <sheetViews>
    <sheetView zoomScale="98" zoomScaleNormal="98" workbookViewId="0">
      <selection activeCell="U9" sqref="U9"/>
    </sheetView>
  </sheetViews>
  <sheetFormatPr baseColWidth="10" defaultColWidth="11.44140625" defaultRowHeight="14.4" x14ac:dyDescent="0.3"/>
  <cols>
    <col min="2" max="6" width="11.44140625" hidden="1" customWidth="1"/>
    <col min="7" max="10" width="11.44140625" customWidth="1"/>
    <col min="11" max="14" width="10.6640625" style="11"/>
    <col min="17" max="17" width="11.44140625" customWidth="1"/>
    <col min="23" max="23" width="10.6640625" style="3"/>
  </cols>
  <sheetData>
    <row r="1" spans="1:26" x14ac:dyDescent="0.3">
      <c r="A1" t="s">
        <v>0</v>
      </c>
      <c r="B1" t="s">
        <v>577</v>
      </c>
      <c r="C1" t="s">
        <v>578</v>
      </c>
      <c r="D1" t="s">
        <v>579</v>
      </c>
      <c r="E1" t="s">
        <v>580</v>
      </c>
      <c r="F1" t="s">
        <v>581</v>
      </c>
      <c r="G1" t="s">
        <v>3</v>
      </c>
      <c r="H1" t="s">
        <v>4</v>
      </c>
      <c r="I1" t="s">
        <v>5</v>
      </c>
      <c r="J1" t="s">
        <v>595</v>
      </c>
      <c r="K1" s="11" t="s">
        <v>508</v>
      </c>
      <c r="L1" s="11" t="s">
        <v>509</v>
      </c>
      <c r="M1" s="11" t="s">
        <v>510</v>
      </c>
      <c r="N1" s="11" t="s">
        <v>511</v>
      </c>
      <c r="O1" s="11" t="s">
        <v>512</v>
      </c>
      <c r="P1" t="s">
        <v>513</v>
      </c>
      <c r="Q1" s="8" t="s">
        <v>514</v>
      </c>
      <c r="R1" s="8" t="s">
        <v>588</v>
      </c>
      <c r="S1" t="s">
        <v>582</v>
      </c>
      <c r="T1" t="s">
        <v>583</v>
      </c>
      <c r="V1" t="s">
        <v>516</v>
      </c>
      <c r="W1" t="s">
        <v>517</v>
      </c>
      <c r="X1" t="s">
        <v>518</v>
      </c>
      <c r="Y1" t="s">
        <v>519</v>
      </c>
      <c r="Z1" t="s">
        <v>520</v>
      </c>
    </row>
    <row r="2" spans="1:26" x14ac:dyDescent="0.3">
      <c r="A2" s="13" t="s">
        <v>182</v>
      </c>
      <c r="B2" s="2">
        <v>5</v>
      </c>
      <c r="C2" s="2">
        <v>4.5</v>
      </c>
      <c r="D2" s="2">
        <v>2.5</v>
      </c>
      <c r="E2" s="2">
        <v>1.5</v>
      </c>
      <c r="F2" s="2">
        <v>1</v>
      </c>
      <c r="G2" s="2" t="str">
        <f>_xlfn.XLOOKUP(Trainingsabschluss[[#This Row],[UserID]], Teilnehmende[UserID], Teilnehmende[Branche], "UserID nicht gefunden")</f>
        <v>Beratung</v>
      </c>
      <c r="H2">
        <f>_xlfn.XLOOKUP(Trainingsabschluss[[#This Row],[UserID]], Teilnehmende[UserID], Teilnehmende[Bildungsabschluss])</f>
        <v>0</v>
      </c>
      <c r="I2" s="3">
        <f>_xlfn.XLOOKUP(Trainingsabschluss[[#This Row],[UserID]], Teilnehmende[UserID], Teilnehmende[Berufserfahrung])</f>
        <v>3</v>
      </c>
      <c r="J2" s="3" t="str" cm="1">
        <f t="array" ref="J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 s="11">
        <f>Trainingsabschluss[[#This Row],[Quiz_Frage1_Punkte]]/Max_Frage1</f>
        <v>1</v>
      </c>
      <c r="L2" s="11">
        <f>Trainingsabschluss[[#This Row],[Quiz_Frage2_Punkte]]/Max_Frage2</f>
        <v>0.9</v>
      </c>
      <c r="M2" s="11">
        <f>Trainingsabschluss[[#This Row],[Quiz_Frage3_Punkte]]/Max_Frage3</f>
        <v>0.5</v>
      </c>
      <c r="N2" s="11">
        <f>Trainingsabschluss[[#This Row],[Quiz_Frage4_Punkte]]/Max_Frage4</f>
        <v>0.375</v>
      </c>
      <c r="O2" s="11">
        <f>Trainingsabschluss[[#This Row],[Quiz_Frage5_Punkte]]/Max_Frage5</f>
        <v>0.33333333333333331</v>
      </c>
      <c r="P2" s="2">
        <f>Trainingsabschluss[[#This Row],[Quiz_Frage1_Punkte]]+Trainingsabschluss[[#This Row],[Quiz_Frage2_Punkte]]+Trainingsabschluss[[#This Row],[Quiz_Frage3_Punkte]]+Trainingsabschluss[[#This Row],[Quiz_Frage4_Punkte]]+Trainingsabschluss[[#This Row],[Quiz_Frage5_Punkte]]</f>
        <v>14.5</v>
      </c>
      <c r="Q2" s="8">
        <f>Trainingsabschluss[[#This Row],[Quizergebnis]]/Max_Quizergebnis</f>
        <v>0.65909090909090906</v>
      </c>
      <c r="R2" s="20" t="str" cm="1">
        <f t="array" ref="R2">_xlfn.IFS(Trainingsabschluss[[#This Row],[Quizergebnis_Prozent]]&lt;0.5, "Nicht bestanden",
Trainingsabschluss[[#This Row],[Quizergebnis_Prozent]]&lt;0.65, "Bestanden",
Trainingsabschluss[[#This Row],[Quizergebnis_Prozent]]&lt;0.8, "Gut bestanden",
TRUE, "Sehr gut bestanden")</f>
        <v>Gut bestanden</v>
      </c>
      <c r="S2" s="3">
        <v>2</v>
      </c>
      <c r="T2" s="3" t="str" cm="1">
        <f t="array" ref="T2">_xlfn.IFS(Trainingsabschluss[[#This Row],[Training_Bewertung]]&gt;=9, "Promotor", Trainingsabschluss[[#This Row],[Training_Bewertung]]
&lt;=6, "Detraktor",
TRUE, "Passiv")</f>
        <v>Detraktor</v>
      </c>
      <c r="V2">
        <v>5</v>
      </c>
      <c r="W2">
        <v>5</v>
      </c>
      <c r="X2">
        <v>5</v>
      </c>
      <c r="Y2">
        <v>4</v>
      </c>
      <c r="Z2">
        <v>3</v>
      </c>
    </row>
    <row r="3" spans="1:26" x14ac:dyDescent="0.3">
      <c r="A3" s="13" t="s">
        <v>251</v>
      </c>
      <c r="B3" s="2">
        <v>4.5</v>
      </c>
      <c r="C3" s="2">
        <v>2.5</v>
      </c>
      <c r="D3" s="2">
        <v>3</v>
      </c>
      <c r="E3" s="2">
        <v>3</v>
      </c>
      <c r="F3" s="2">
        <v>0</v>
      </c>
      <c r="G3" s="2" t="str">
        <f>_xlfn.XLOOKUP(Trainingsabschluss[[#This Row],[UserID]], Teilnehmende[UserID], Teilnehmende[Branche], "UserID nicht gefunden")</f>
        <v>Beratung</v>
      </c>
      <c r="H3">
        <f>_xlfn.XLOOKUP(Trainingsabschluss[[#This Row],[UserID]], Teilnehmende[UserID], Teilnehmende[Bildungsabschluss], "UserID nicht gefunden")</f>
        <v>0</v>
      </c>
      <c r="I3" s="3">
        <f>_xlfn.XLOOKUP(Trainingsabschluss[[#This Row],[UserID]], Teilnehmende[UserID], Teilnehmende[Berufserfahrung])</f>
        <v>9</v>
      </c>
      <c r="J3" s="3" t="str" cm="1">
        <f t="array" ref="J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 s="11">
        <f>Trainingsabschluss[[#This Row],[Quiz_Frage1_Punkte]]/Max_Frage1</f>
        <v>0.9</v>
      </c>
      <c r="L3" s="11">
        <f>Trainingsabschluss[[#This Row],[Quiz_Frage2_Punkte]]/Max_Frage2</f>
        <v>0.5</v>
      </c>
      <c r="M3" s="11">
        <f>Trainingsabschluss[[#This Row],[Quiz_Frage3_Punkte]]/Max_Frage3</f>
        <v>0.6</v>
      </c>
      <c r="N3" s="11">
        <f>Trainingsabschluss[[#This Row],[Quiz_Frage4_Punkte]]/Max_Frage4</f>
        <v>0.75</v>
      </c>
      <c r="O3" s="11">
        <f>Trainingsabschluss[[#This Row],[Quiz_Frage5_Punkte]]/Max_Frage5</f>
        <v>0</v>
      </c>
      <c r="P3" s="2">
        <f>Trainingsabschluss[[#This Row],[Quiz_Frage1_Punkte]]+Trainingsabschluss[[#This Row],[Quiz_Frage2_Punkte]]+Trainingsabschluss[[#This Row],[Quiz_Frage3_Punkte]]+Trainingsabschluss[[#This Row],[Quiz_Frage4_Punkte]]+Trainingsabschluss[[#This Row],[Quiz_Frage5_Punkte]]</f>
        <v>13</v>
      </c>
      <c r="Q3" s="8">
        <f>Trainingsabschluss[[#This Row],[Quizergebnis]]/Max_Quizergebnis</f>
        <v>0.59090909090909094</v>
      </c>
      <c r="R3" s="20" t="str" cm="1">
        <f t="array" ref="R3">_xlfn.IFS(Trainingsabschluss[[#This Row],[Quizergebnis_Prozent]]&lt;0.5, "Nicht bestanden",
Trainingsabschluss[[#This Row],[Quizergebnis_Prozent]]&lt;0.65, "Bestanden",
Trainingsabschluss[[#This Row],[Quizergebnis_Prozent]]&lt;0.8, "Gut bestanden",
TRUE, "Sehr gut bestanden")</f>
        <v>Bestanden</v>
      </c>
      <c r="S3" s="3">
        <v>5</v>
      </c>
      <c r="T3" s="3" t="str" cm="1">
        <f t="array" ref="T3">_xlfn.IFS(Trainingsabschluss[[#This Row],[Training_Bewertung]]&gt;=9, "Promotor", Trainingsabschluss[[#This Row],[Training_Bewertung]]
&lt;=6, "Detraktor",
TRUE, "Passiv")</f>
        <v>Detraktor</v>
      </c>
      <c r="W3"/>
    </row>
    <row r="4" spans="1:26" x14ac:dyDescent="0.3">
      <c r="A4" s="13" t="s">
        <v>255</v>
      </c>
      <c r="B4" s="2">
        <v>5</v>
      </c>
      <c r="C4" s="2">
        <v>2.5</v>
      </c>
      <c r="D4" s="2">
        <v>2</v>
      </c>
      <c r="E4" s="2">
        <v>4</v>
      </c>
      <c r="F4" s="2">
        <v>2</v>
      </c>
      <c r="G4" s="2" t="str">
        <f>_xlfn.XLOOKUP(Trainingsabschluss[[#This Row],[UserID]], Teilnehmende[UserID], Teilnehmende[Branche], "UserID nicht gefunden")</f>
        <v>Beratung</v>
      </c>
      <c r="H4">
        <f>_xlfn.XLOOKUP(Trainingsabschluss[[#This Row],[UserID]], Teilnehmende[UserID], Teilnehmende[Bildungsabschluss], "UserID nicht gefunden")</f>
        <v>0</v>
      </c>
      <c r="I4" s="3">
        <f>_xlfn.XLOOKUP(Trainingsabschluss[[#This Row],[UserID]], Teilnehmende[UserID], Teilnehmende[Berufserfahrung])</f>
        <v>6</v>
      </c>
      <c r="J4" s="3" t="str" cm="1">
        <f t="array" ref="J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 s="11">
        <f>Trainingsabschluss[[#This Row],[Quiz_Frage1_Punkte]]/Max_Frage1</f>
        <v>1</v>
      </c>
      <c r="L4" s="11">
        <f>Trainingsabschluss[[#This Row],[Quiz_Frage2_Punkte]]/Max_Frage2</f>
        <v>0.5</v>
      </c>
      <c r="M4" s="11">
        <f>Trainingsabschluss[[#This Row],[Quiz_Frage3_Punkte]]/Max_Frage3</f>
        <v>0.4</v>
      </c>
      <c r="N4" s="11">
        <f>Trainingsabschluss[[#This Row],[Quiz_Frage4_Punkte]]/Max_Frage4</f>
        <v>1</v>
      </c>
      <c r="O4" s="11">
        <f>Trainingsabschluss[[#This Row],[Quiz_Frage5_Punkte]]/Max_Frage5</f>
        <v>0.66666666666666663</v>
      </c>
      <c r="P4" s="2">
        <f>Trainingsabschluss[[#This Row],[Quiz_Frage1_Punkte]]+Trainingsabschluss[[#This Row],[Quiz_Frage2_Punkte]]+Trainingsabschluss[[#This Row],[Quiz_Frage3_Punkte]]+Trainingsabschluss[[#This Row],[Quiz_Frage4_Punkte]]+Trainingsabschluss[[#This Row],[Quiz_Frage5_Punkte]]</f>
        <v>15.5</v>
      </c>
      <c r="Q4" s="8">
        <f>Trainingsabschluss[[#This Row],[Quizergebnis]]/Max_Quizergebnis</f>
        <v>0.70454545454545459</v>
      </c>
      <c r="R4" s="20" t="str" cm="1">
        <f t="array" ref="R4">_xlfn.IFS(Trainingsabschluss[[#This Row],[Quizergebnis_Prozent]]&lt;0.5, "Nicht bestanden",
Trainingsabschluss[[#This Row],[Quizergebnis_Prozent]]&lt;0.65, "Bestanden",
Trainingsabschluss[[#This Row],[Quizergebnis_Prozent]]&lt;0.8, "Gut bestanden",
TRUE, "Sehr gut bestanden")</f>
        <v>Gut bestanden</v>
      </c>
      <c r="S4" s="3">
        <v>5</v>
      </c>
      <c r="T4" s="3" t="str" cm="1">
        <f t="array" ref="T4">_xlfn.IFS(Trainingsabschluss[[#This Row],[Training_Bewertung]]&gt;=9, "Promotor", Trainingsabschluss[[#This Row],[Training_Bewertung]]
&lt;=6, "Detraktor",
TRUE, "Passiv")</f>
        <v>Detraktor</v>
      </c>
      <c r="V4" t="s">
        <v>521</v>
      </c>
      <c r="W4" t="s">
        <v>522</v>
      </c>
    </row>
    <row r="5" spans="1:26" x14ac:dyDescent="0.3">
      <c r="A5" s="13" t="s">
        <v>167</v>
      </c>
      <c r="B5" s="2">
        <v>1.5</v>
      </c>
      <c r="C5" s="2">
        <v>0</v>
      </c>
      <c r="D5" s="2">
        <v>0</v>
      </c>
      <c r="E5" s="2">
        <v>1.5</v>
      </c>
      <c r="F5" s="2">
        <v>0</v>
      </c>
      <c r="G5" s="2" t="str">
        <f>_xlfn.XLOOKUP(Trainingsabschluss[[#This Row],[UserID]], Teilnehmende[UserID], Teilnehmende[Branche], "UserID nicht gefunden")</f>
        <v>Beratung</v>
      </c>
      <c r="H5">
        <f>_xlfn.XLOOKUP(Trainingsabschluss[[#This Row],[UserID]], Teilnehmende[UserID], Teilnehmende[Bildungsabschluss], "UserID nicht gefunden")</f>
        <v>0</v>
      </c>
      <c r="I5" s="3">
        <f>_xlfn.XLOOKUP(Trainingsabschluss[[#This Row],[UserID]], Teilnehmende[UserID], Teilnehmende[Berufserfahrung])</f>
        <v>3</v>
      </c>
      <c r="J5" s="3" t="str" cm="1">
        <f t="array" ref="J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5" s="11">
        <f>Trainingsabschluss[[#This Row],[Quiz_Frage1_Punkte]]/Max_Frage1</f>
        <v>0.3</v>
      </c>
      <c r="L5" s="11">
        <f>Trainingsabschluss[[#This Row],[Quiz_Frage2_Punkte]]/Max_Frage2</f>
        <v>0</v>
      </c>
      <c r="M5" s="11">
        <f>Trainingsabschluss[[#This Row],[Quiz_Frage3_Punkte]]/Max_Frage3</f>
        <v>0</v>
      </c>
      <c r="N5" s="11">
        <f>Trainingsabschluss[[#This Row],[Quiz_Frage4_Punkte]]/Max_Frage4</f>
        <v>0.375</v>
      </c>
      <c r="O5" s="11">
        <f>Trainingsabschluss[[#This Row],[Quiz_Frage5_Punkte]]/Max_Frage5</f>
        <v>0</v>
      </c>
      <c r="P5" s="2">
        <f>Trainingsabschluss[[#This Row],[Quiz_Frage1_Punkte]]+Trainingsabschluss[[#This Row],[Quiz_Frage2_Punkte]]+Trainingsabschluss[[#This Row],[Quiz_Frage3_Punkte]]+Trainingsabschluss[[#This Row],[Quiz_Frage4_Punkte]]+Trainingsabschluss[[#This Row],[Quiz_Frage5_Punkte]]</f>
        <v>3</v>
      </c>
      <c r="Q5" s="8">
        <f>Trainingsabschluss[[#This Row],[Quizergebnis]]/Max_Quizergebnis</f>
        <v>0.13636363636363635</v>
      </c>
      <c r="R5" s="20" t="str" cm="1">
        <f t="array" ref="R5">_xlfn.IFS(Trainingsabschluss[[#This Row],[Quizergebnis_Prozent]]&lt;0.5, "Nicht bestanden",
Trainingsabschluss[[#This Row],[Quizergebnis_Prozent]]&lt;0.65, "Bestanden",
Trainingsabschluss[[#This Row],[Quizergebnis_Prozent]]&lt;0.8, "Gut bestanden",
TRUE, "Sehr gut bestanden")</f>
        <v>Nicht bestanden</v>
      </c>
      <c r="S5" s="3">
        <v>8</v>
      </c>
      <c r="T5" s="3" t="str" cm="1">
        <f t="array" ref="T5">_xlfn.IFS(Trainingsabschluss[[#This Row],[Training_Bewertung]]&gt;=9, "Promotor", Trainingsabschluss[[#This Row],[Training_Bewertung]]
&lt;=6, "Detraktor",
TRUE, "Passiv")</f>
        <v>Passiv</v>
      </c>
      <c r="V5">
        <f>Max_Frage1+Max_Frage2+Max_Frage3+Max_Frage4+Max_Frage5</f>
        <v>22</v>
      </c>
      <c r="W5">
        <f>COUNTA(Trainingsabschluss[UserID])</f>
        <v>487</v>
      </c>
    </row>
    <row r="6" spans="1:26" x14ac:dyDescent="0.3">
      <c r="A6" s="13" t="s">
        <v>173</v>
      </c>
      <c r="B6" s="2">
        <v>5</v>
      </c>
      <c r="C6" s="2">
        <v>5</v>
      </c>
      <c r="D6" s="2">
        <v>1</v>
      </c>
      <c r="E6" s="2">
        <v>2</v>
      </c>
      <c r="F6" s="2">
        <v>0.5</v>
      </c>
      <c r="G6" s="2" t="str">
        <f>_xlfn.XLOOKUP(Trainingsabschluss[[#This Row],[UserID]], Teilnehmende[UserID], Teilnehmende[Branche], "UserID nicht gefunden")</f>
        <v>Beratung</v>
      </c>
      <c r="H6">
        <f>_xlfn.XLOOKUP(Trainingsabschluss[[#This Row],[UserID]], Teilnehmende[UserID], Teilnehmende[Bildungsabschluss], "UserID nicht gefunden")</f>
        <v>0</v>
      </c>
      <c r="I6" s="3">
        <f>_xlfn.XLOOKUP(Trainingsabschluss[[#This Row],[UserID]], Teilnehmende[UserID], Teilnehmende[Berufserfahrung])</f>
        <v>4</v>
      </c>
      <c r="J6" s="3" t="str" cm="1">
        <f t="array" ref="J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6" s="11">
        <f>Trainingsabschluss[[#This Row],[Quiz_Frage1_Punkte]]/Max_Frage1</f>
        <v>1</v>
      </c>
      <c r="L6" s="11">
        <f>Trainingsabschluss[[#This Row],[Quiz_Frage2_Punkte]]/Max_Frage2</f>
        <v>1</v>
      </c>
      <c r="M6" s="11">
        <f>Trainingsabschluss[[#This Row],[Quiz_Frage3_Punkte]]/Max_Frage3</f>
        <v>0.2</v>
      </c>
      <c r="N6" s="11">
        <f>Trainingsabschluss[[#This Row],[Quiz_Frage4_Punkte]]/Max_Frage4</f>
        <v>0.5</v>
      </c>
      <c r="O6" s="11">
        <f>Trainingsabschluss[[#This Row],[Quiz_Frage5_Punkte]]/Max_Frage5</f>
        <v>0.16666666666666666</v>
      </c>
      <c r="P6" s="2">
        <f>Trainingsabschluss[[#This Row],[Quiz_Frage1_Punkte]]+Trainingsabschluss[[#This Row],[Quiz_Frage2_Punkte]]+Trainingsabschluss[[#This Row],[Quiz_Frage3_Punkte]]+Trainingsabschluss[[#This Row],[Quiz_Frage4_Punkte]]+Trainingsabschluss[[#This Row],[Quiz_Frage5_Punkte]]</f>
        <v>13.5</v>
      </c>
      <c r="Q6" s="8">
        <f>Trainingsabschluss[[#This Row],[Quizergebnis]]/Max_Quizergebnis</f>
        <v>0.61363636363636365</v>
      </c>
      <c r="R6" t="str" cm="1">
        <f t="array" ref="R6">_xlfn.IFS(Trainingsabschluss[[#This Row],[Quizergebnis_Prozent]]&lt;0.5, "Nicht bestanden",
Trainingsabschluss[[#This Row],[Quizergebnis_Prozent]]&lt;0.65, "Bestanden",
Trainingsabschluss[[#This Row],[Quizergebnis_Prozent]]&lt;0.8, "Gut bestanden",
TRUE, "Sehr gut bestanden")</f>
        <v>Bestanden</v>
      </c>
      <c r="S6" s="3">
        <v>7</v>
      </c>
      <c r="T6" s="3" t="str" cm="1">
        <f t="array" ref="T6">_xlfn.IFS(Trainingsabschluss[[#This Row],[Training_Bewertung]]&gt;=9, "Promotor", Trainingsabschluss[[#This Row],[Training_Bewertung]]
&lt;=6, "Detraktor",
TRUE, "Passiv")</f>
        <v>Passiv</v>
      </c>
      <c r="W6"/>
    </row>
    <row r="7" spans="1:26" x14ac:dyDescent="0.3">
      <c r="A7" s="13" t="s">
        <v>174</v>
      </c>
      <c r="B7" s="2">
        <v>5</v>
      </c>
      <c r="C7" s="2">
        <v>4</v>
      </c>
      <c r="D7" s="2">
        <v>5</v>
      </c>
      <c r="E7" s="2">
        <v>3</v>
      </c>
      <c r="F7" s="2">
        <v>1.5</v>
      </c>
      <c r="G7" s="2" t="str">
        <f>_xlfn.XLOOKUP(Trainingsabschluss[[#This Row],[UserID]], Teilnehmende[UserID], Teilnehmende[Branche], "UserID nicht gefunden")</f>
        <v>Beratung</v>
      </c>
      <c r="H7">
        <f>_xlfn.XLOOKUP(Trainingsabschluss[[#This Row],[UserID]], Teilnehmende[UserID], Teilnehmende[Bildungsabschluss], "UserID nicht gefunden")</f>
        <v>0</v>
      </c>
      <c r="I7" s="3">
        <f>_xlfn.XLOOKUP(Trainingsabschluss[[#This Row],[UserID]], Teilnehmende[UserID], Teilnehmende[Berufserfahrung])</f>
        <v>11</v>
      </c>
      <c r="J7" s="3" t="str" cm="1">
        <f t="array" ref="J7">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7" s="11">
        <f>Trainingsabschluss[[#This Row],[Quiz_Frage1_Punkte]]/Max_Frage1</f>
        <v>1</v>
      </c>
      <c r="L7" s="11">
        <f>Trainingsabschluss[[#This Row],[Quiz_Frage2_Punkte]]/Max_Frage2</f>
        <v>0.8</v>
      </c>
      <c r="M7" s="11">
        <f>Trainingsabschluss[[#This Row],[Quiz_Frage3_Punkte]]/Max_Frage3</f>
        <v>1</v>
      </c>
      <c r="N7" s="11">
        <f>Trainingsabschluss[[#This Row],[Quiz_Frage4_Punkte]]/Max_Frage4</f>
        <v>0.75</v>
      </c>
      <c r="O7" s="11">
        <f>Trainingsabschluss[[#This Row],[Quiz_Frage5_Punkte]]/Max_Frage5</f>
        <v>0.5</v>
      </c>
      <c r="P7" s="2">
        <f>Trainingsabschluss[[#This Row],[Quiz_Frage1_Punkte]]+Trainingsabschluss[[#This Row],[Quiz_Frage2_Punkte]]+Trainingsabschluss[[#This Row],[Quiz_Frage3_Punkte]]+Trainingsabschluss[[#This Row],[Quiz_Frage4_Punkte]]+Trainingsabschluss[[#This Row],[Quiz_Frage5_Punkte]]</f>
        <v>18.5</v>
      </c>
      <c r="Q7" s="8">
        <f>Trainingsabschluss[[#This Row],[Quizergebnis]]/Max_Quizergebnis</f>
        <v>0.84090909090909094</v>
      </c>
      <c r="R7" t="str" cm="1">
        <f t="array" ref="R7">_xlfn.IFS(Trainingsabschluss[[#This Row],[Quizergebnis_Prozent]]&lt;0.5, "Nicht bestanden",
Trainingsabschluss[[#This Row],[Quizergebnis_Prozent]]&lt;0.65, "Bestanden",
Trainingsabschluss[[#This Row],[Quizergebnis_Prozent]]&lt;0.8, "Gut bestanden",
TRUE, "Sehr gut bestanden")</f>
        <v>Sehr gut bestanden</v>
      </c>
      <c r="S7" s="3">
        <v>7</v>
      </c>
      <c r="T7" s="3" t="str" cm="1">
        <f t="array" ref="T7">_xlfn.IFS(Trainingsabschluss[[#This Row],[Training_Bewertung]]&gt;=9, "Promotor", Trainingsabschluss[[#This Row],[Training_Bewertung]]
&lt;=6, "Detraktor",
TRUE, "Passiv")</f>
        <v>Passiv</v>
      </c>
      <c r="W7"/>
    </row>
    <row r="8" spans="1:26" x14ac:dyDescent="0.3">
      <c r="A8" s="13" t="s">
        <v>176</v>
      </c>
      <c r="B8" s="2">
        <v>4</v>
      </c>
      <c r="C8" s="2">
        <v>2.5</v>
      </c>
      <c r="D8" s="2">
        <v>1</v>
      </c>
      <c r="E8" s="2">
        <v>2.5</v>
      </c>
      <c r="F8" s="2">
        <v>0</v>
      </c>
      <c r="G8" s="2" t="str">
        <f>_xlfn.XLOOKUP(Trainingsabschluss[[#This Row],[UserID]], Teilnehmende[UserID], Teilnehmende[Branche], "UserID nicht gefunden")</f>
        <v>Beratung</v>
      </c>
      <c r="H8">
        <f>_xlfn.XLOOKUP(Trainingsabschluss[[#This Row],[UserID]], Teilnehmende[UserID], Teilnehmende[Bildungsabschluss], "UserID nicht gefunden")</f>
        <v>0</v>
      </c>
      <c r="I8" s="3">
        <f>_xlfn.XLOOKUP(Trainingsabschluss[[#This Row],[UserID]], Teilnehmende[UserID], Teilnehmende[Berufserfahrung])</f>
        <v>6</v>
      </c>
      <c r="J8" s="3" t="str" cm="1">
        <f t="array" ref="J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8" s="11">
        <f>Trainingsabschluss[[#This Row],[Quiz_Frage1_Punkte]]/Max_Frage1</f>
        <v>0.8</v>
      </c>
      <c r="L8" s="11">
        <f>Trainingsabschluss[[#This Row],[Quiz_Frage2_Punkte]]/Max_Frage2</f>
        <v>0.5</v>
      </c>
      <c r="M8" s="11">
        <f>Trainingsabschluss[[#This Row],[Quiz_Frage3_Punkte]]/Max_Frage3</f>
        <v>0.2</v>
      </c>
      <c r="N8" s="11">
        <f>Trainingsabschluss[[#This Row],[Quiz_Frage4_Punkte]]/Max_Frage4</f>
        <v>0.625</v>
      </c>
      <c r="O8" s="11">
        <f>Trainingsabschluss[[#This Row],[Quiz_Frage5_Punkte]]/Max_Frage5</f>
        <v>0</v>
      </c>
      <c r="P8" s="2">
        <f>Trainingsabschluss[[#This Row],[Quiz_Frage1_Punkte]]+Trainingsabschluss[[#This Row],[Quiz_Frage2_Punkte]]+Trainingsabschluss[[#This Row],[Quiz_Frage3_Punkte]]+Trainingsabschluss[[#This Row],[Quiz_Frage4_Punkte]]+Trainingsabschluss[[#This Row],[Quiz_Frage5_Punkte]]</f>
        <v>10</v>
      </c>
      <c r="Q8" s="8">
        <f>Trainingsabschluss[[#This Row],[Quizergebnis]]/Max_Quizergebnis</f>
        <v>0.45454545454545453</v>
      </c>
      <c r="R8" t="str" cm="1">
        <f t="array" ref="R8">_xlfn.IFS(Trainingsabschluss[[#This Row],[Quizergebnis_Prozent]]&lt;0.5, "Nicht bestanden",
Trainingsabschluss[[#This Row],[Quizergebnis_Prozent]]&lt;0.65, "Bestanden",
Trainingsabschluss[[#This Row],[Quizergebnis_Prozent]]&lt;0.8, "Gut bestanden",
TRUE, "Sehr gut bestanden")</f>
        <v>Nicht bestanden</v>
      </c>
      <c r="S8" s="3">
        <v>7</v>
      </c>
      <c r="T8" s="3" t="str" cm="1">
        <f t="array" ref="T8">_xlfn.IFS(Trainingsabschluss[[#This Row],[Training_Bewertung]]&gt;=9, "Promotor", Trainingsabschluss[[#This Row],[Training_Bewertung]]
&lt;=6, "Detraktor",
TRUE, "Passiv")</f>
        <v>Passiv</v>
      </c>
      <c r="W8"/>
    </row>
    <row r="9" spans="1:26" x14ac:dyDescent="0.3">
      <c r="A9" s="13" t="s">
        <v>181</v>
      </c>
      <c r="B9" s="2">
        <v>5</v>
      </c>
      <c r="C9" s="2">
        <v>1.5</v>
      </c>
      <c r="D9" s="2">
        <v>3</v>
      </c>
      <c r="E9" s="2">
        <v>3</v>
      </c>
      <c r="F9" s="2">
        <v>2</v>
      </c>
      <c r="G9" s="2" t="str">
        <f>_xlfn.XLOOKUP(Trainingsabschluss[[#This Row],[UserID]], Teilnehmende[UserID], Teilnehmende[Branche], "UserID nicht gefunden")</f>
        <v>Beratung</v>
      </c>
      <c r="H9">
        <f>_xlfn.XLOOKUP(Trainingsabschluss[[#This Row],[UserID]], Teilnehmende[UserID], Teilnehmende[Bildungsabschluss], "UserID nicht gefunden")</f>
        <v>0</v>
      </c>
      <c r="I9" s="3">
        <f>_xlfn.XLOOKUP(Trainingsabschluss[[#This Row],[UserID]], Teilnehmende[UserID], Teilnehmende[Berufserfahrung])</f>
        <v>4</v>
      </c>
      <c r="J9" s="3" t="str" cm="1">
        <f t="array" ref="J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9" s="11">
        <f>Trainingsabschluss[[#This Row],[Quiz_Frage1_Punkte]]/Max_Frage1</f>
        <v>1</v>
      </c>
      <c r="L9" s="11">
        <f>Trainingsabschluss[[#This Row],[Quiz_Frage2_Punkte]]/Max_Frage2</f>
        <v>0.3</v>
      </c>
      <c r="M9" s="11">
        <f>Trainingsabschluss[[#This Row],[Quiz_Frage3_Punkte]]/Max_Frage3</f>
        <v>0.6</v>
      </c>
      <c r="N9" s="11">
        <f>Trainingsabschluss[[#This Row],[Quiz_Frage4_Punkte]]/Max_Frage4</f>
        <v>0.75</v>
      </c>
      <c r="O9" s="11">
        <f>Trainingsabschluss[[#This Row],[Quiz_Frage5_Punkte]]/Max_Frage5</f>
        <v>0.66666666666666663</v>
      </c>
      <c r="P9" s="2">
        <f>Trainingsabschluss[[#This Row],[Quiz_Frage1_Punkte]]+Trainingsabschluss[[#This Row],[Quiz_Frage2_Punkte]]+Trainingsabschluss[[#This Row],[Quiz_Frage3_Punkte]]+Trainingsabschluss[[#This Row],[Quiz_Frage4_Punkte]]+Trainingsabschluss[[#This Row],[Quiz_Frage5_Punkte]]</f>
        <v>14.5</v>
      </c>
      <c r="Q9" s="8">
        <f>Trainingsabschluss[[#This Row],[Quizergebnis]]/Max_Quizergebnis</f>
        <v>0.65909090909090906</v>
      </c>
      <c r="R9" t="str" cm="1">
        <f t="array" ref="R9">_xlfn.IFS(Trainingsabschluss[[#This Row],[Quizergebnis_Prozent]]&lt;0.5, "Nicht bestanden",
Trainingsabschluss[[#This Row],[Quizergebnis_Prozent]]&lt;0.65, "Bestanden",
Trainingsabschluss[[#This Row],[Quizergebnis_Prozent]]&lt;0.8, "Gut bestanden",
TRUE, "Sehr gut bestanden")</f>
        <v>Gut bestanden</v>
      </c>
      <c r="S9" s="3">
        <v>7</v>
      </c>
      <c r="T9" s="3" t="str" cm="1">
        <f t="array" ref="T9">_xlfn.IFS(Trainingsabschluss[[#This Row],[Training_Bewertung]]&gt;=9, "Promotor", Trainingsabschluss[[#This Row],[Training_Bewertung]]
&lt;=6, "Detraktor",
TRUE, "Passiv")</f>
        <v>Passiv</v>
      </c>
      <c r="W9"/>
    </row>
    <row r="10" spans="1:26" x14ac:dyDescent="0.3">
      <c r="A10" s="13" t="s">
        <v>198</v>
      </c>
      <c r="B10" s="2">
        <v>5</v>
      </c>
      <c r="C10" s="2">
        <v>3</v>
      </c>
      <c r="D10" s="2">
        <v>3</v>
      </c>
      <c r="E10" s="2">
        <v>2</v>
      </c>
      <c r="F10" s="2">
        <v>2.5</v>
      </c>
      <c r="G10" s="2" t="str">
        <f>_xlfn.XLOOKUP(Trainingsabschluss[[#This Row],[UserID]], Teilnehmende[UserID], Teilnehmende[Branche], "UserID nicht gefunden")</f>
        <v>Beratung</v>
      </c>
      <c r="H10">
        <f>_xlfn.XLOOKUP(Trainingsabschluss[[#This Row],[UserID]], Teilnehmende[UserID], Teilnehmende[Bildungsabschluss], "UserID nicht gefunden")</f>
        <v>0</v>
      </c>
      <c r="I10" s="3">
        <f>_xlfn.XLOOKUP(Trainingsabschluss[[#This Row],[UserID]], Teilnehmende[UserID], Teilnehmende[Berufserfahrung])</f>
        <v>9</v>
      </c>
      <c r="J10" s="3" t="str" cm="1">
        <f t="array" ref="J1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0" s="11">
        <f>Trainingsabschluss[[#This Row],[Quiz_Frage1_Punkte]]/Max_Frage1</f>
        <v>1</v>
      </c>
      <c r="L10" s="11">
        <f>Trainingsabschluss[[#This Row],[Quiz_Frage2_Punkte]]/Max_Frage2</f>
        <v>0.6</v>
      </c>
      <c r="M10" s="11">
        <f>Trainingsabschluss[[#This Row],[Quiz_Frage3_Punkte]]/Max_Frage3</f>
        <v>0.6</v>
      </c>
      <c r="N10" s="11">
        <f>Trainingsabschluss[[#This Row],[Quiz_Frage4_Punkte]]/Max_Frage4</f>
        <v>0.5</v>
      </c>
      <c r="O10" s="11">
        <f>Trainingsabschluss[[#This Row],[Quiz_Frage5_Punkte]]/Max_Frage5</f>
        <v>0.83333333333333337</v>
      </c>
      <c r="P10" s="2">
        <f>Trainingsabschluss[[#This Row],[Quiz_Frage1_Punkte]]+Trainingsabschluss[[#This Row],[Quiz_Frage2_Punkte]]+Trainingsabschluss[[#This Row],[Quiz_Frage3_Punkte]]+Trainingsabschluss[[#This Row],[Quiz_Frage4_Punkte]]+Trainingsabschluss[[#This Row],[Quiz_Frage5_Punkte]]</f>
        <v>15.5</v>
      </c>
      <c r="Q10" s="8">
        <f>Trainingsabschluss[[#This Row],[Quizergebnis]]/Max_Quizergebnis</f>
        <v>0.70454545454545459</v>
      </c>
      <c r="R10" t="str" cm="1">
        <f t="array" ref="R10">_xlfn.IFS(Trainingsabschluss[[#This Row],[Quizergebnis_Prozent]]&lt;0.5, "Nicht bestanden",
Trainingsabschluss[[#This Row],[Quizergebnis_Prozent]]&lt;0.65, "Bestanden",
Trainingsabschluss[[#This Row],[Quizergebnis_Prozent]]&lt;0.8, "Gut bestanden",
TRUE, "Sehr gut bestanden")</f>
        <v>Gut bestanden</v>
      </c>
      <c r="S10" s="3">
        <v>8</v>
      </c>
      <c r="T10" s="3" t="str" cm="1">
        <f t="array" ref="T10">_xlfn.IFS(Trainingsabschluss[[#This Row],[Training_Bewertung]]&gt;=9, "Promotor", Trainingsabschluss[[#This Row],[Training_Bewertung]]
&lt;=6, "Detraktor",
TRUE, "Passiv")</f>
        <v>Passiv</v>
      </c>
      <c r="W10"/>
    </row>
    <row r="11" spans="1:26" x14ac:dyDescent="0.3">
      <c r="A11" s="13" t="s">
        <v>215</v>
      </c>
      <c r="B11" s="2">
        <v>5</v>
      </c>
      <c r="C11" s="2">
        <v>3</v>
      </c>
      <c r="D11" s="2">
        <v>0</v>
      </c>
      <c r="E11" s="2">
        <v>2.5</v>
      </c>
      <c r="F11" s="2">
        <v>1</v>
      </c>
      <c r="G11" s="2" t="str">
        <f>_xlfn.XLOOKUP(Trainingsabschluss[[#This Row],[UserID]], Teilnehmende[UserID], Teilnehmende[Branche], "UserID nicht gefunden")</f>
        <v>Beratung</v>
      </c>
      <c r="H11">
        <f>_xlfn.XLOOKUP(Trainingsabschluss[[#This Row],[UserID]], Teilnehmende[UserID], Teilnehmende[Bildungsabschluss], "UserID nicht gefunden")</f>
        <v>0</v>
      </c>
      <c r="I11" s="3">
        <f>_xlfn.XLOOKUP(Trainingsabschluss[[#This Row],[UserID]], Teilnehmende[UserID], Teilnehmende[Berufserfahrung])</f>
        <v>2</v>
      </c>
      <c r="J11" s="3" t="str" cm="1">
        <f t="array" ref="J1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1" s="11">
        <f>Trainingsabschluss[[#This Row],[Quiz_Frage1_Punkte]]/Max_Frage1</f>
        <v>1</v>
      </c>
      <c r="L11" s="11">
        <f>Trainingsabschluss[[#This Row],[Quiz_Frage2_Punkte]]/Max_Frage2</f>
        <v>0.6</v>
      </c>
      <c r="M11" s="11">
        <f>Trainingsabschluss[[#This Row],[Quiz_Frage3_Punkte]]/Max_Frage3</f>
        <v>0</v>
      </c>
      <c r="N11" s="11">
        <f>Trainingsabschluss[[#This Row],[Quiz_Frage4_Punkte]]/Max_Frage4</f>
        <v>0.625</v>
      </c>
      <c r="O11" s="11">
        <f>Trainingsabschluss[[#This Row],[Quiz_Frage5_Punkte]]/Max_Frage5</f>
        <v>0.33333333333333331</v>
      </c>
      <c r="P11" s="2">
        <f>Trainingsabschluss[[#This Row],[Quiz_Frage1_Punkte]]+Trainingsabschluss[[#This Row],[Quiz_Frage2_Punkte]]+Trainingsabschluss[[#This Row],[Quiz_Frage3_Punkte]]+Trainingsabschluss[[#This Row],[Quiz_Frage4_Punkte]]+Trainingsabschluss[[#This Row],[Quiz_Frage5_Punkte]]</f>
        <v>11.5</v>
      </c>
      <c r="Q11" s="8">
        <f>Trainingsabschluss[[#This Row],[Quizergebnis]]/Max_Quizergebnis</f>
        <v>0.52272727272727271</v>
      </c>
      <c r="R11" t="str" cm="1">
        <f t="array" ref="R11">_xlfn.IFS(Trainingsabschluss[[#This Row],[Quizergebnis_Prozent]]&lt;0.5, "Nicht bestanden",
Trainingsabschluss[[#This Row],[Quizergebnis_Prozent]]&lt;0.65, "Bestanden",
Trainingsabschluss[[#This Row],[Quizergebnis_Prozent]]&lt;0.8, "Gut bestanden",
TRUE, "Sehr gut bestanden")</f>
        <v>Bestanden</v>
      </c>
      <c r="S11" s="3">
        <v>9</v>
      </c>
      <c r="T11" s="3" t="str" cm="1">
        <f t="array" ref="T11">_xlfn.IFS(Trainingsabschluss[[#This Row],[Training_Bewertung]]&gt;=9, "Promotor", Trainingsabschluss[[#This Row],[Training_Bewertung]]
&lt;=6, "Detraktor",
TRUE, "Passiv")</f>
        <v>Promotor</v>
      </c>
      <c r="W11"/>
    </row>
    <row r="12" spans="1:26" x14ac:dyDescent="0.3">
      <c r="A12" s="13" t="s">
        <v>228</v>
      </c>
      <c r="B12" s="2">
        <v>5</v>
      </c>
      <c r="C12" s="2">
        <v>3</v>
      </c>
      <c r="D12" s="2">
        <v>3.5</v>
      </c>
      <c r="E12" s="2">
        <v>3</v>
      </c>
      <c r="F12" s="2">
        <v>1</v>
      </c>
      <c r="G12" s="2" t="str">
        <f>_xlfn.XLOOKUP(Trainingsabschluss[[#This Row],[UserID]], Teilnehmende[UserID], Teilnehmende[Branche], "UserID nicht gefunden")</f>
        <v>Beratung</v>
      </c>
      <c r="H12">
        <f>_xlfn.XLOOKUP(Trainingsabschluss[[#This Row],[UserID]], Teilnehmende[UserID], Teilnehmende[Bildungsabschluss], "UserID nicht gefunden")</f>
        <v>0</v>
      </c>
      <c r="I12" s="3">
        <f>_xlfn.XLOOKUP(Trainingsabschluss[[#This Row],[UserID]], Teilnehmende[UserID], Teilnehmende[Berufserfahrung])</f>
        <v>12</v>
      </c>
      <c r="J12" s="3" t="str" cm="1">
        <f t="array" ref="J1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2" s="11">
        <f>Trainingsabschluss[[#This Row],[Quiz_Frage1_Punkte]]/Max_Frage1</f>
        <v>1</v>
      </c>
      <c r="L12" s="11">
        <f>Trainingsabschluss[[#This Row],[Quiz_Frage2_Punkte]]/Max_Frage2</f>
        <v>0.6</v>
      </c>
      <c r="M12" s="11">
        <f>Trainingsabschluss[[#This Row],[Quiz_Frage3_Punkte]]/Max_Frage3</f>
        <v>0.7</v>
      </c>
      <c r="N12" s="11">
        <f>Trainingsabschluss[[#This Row],[Quiz_Frage4_Punkte]]/Max_Frage4</f>
        <v>0.75</v>
      </c>
      <c r="O12" s="11">
        <f>Trainingsabschluss[[#This Row],[Quiz_Frage5_Punkte]]/Max_Frage5</f>
        <v>0.33333333333333331</v>
      </c>
      <c r="P12" s="2">
        <f>Trainingsabschluss[[#This Row],[Quiz_Frage1_Punkte]]+Trainingsabschluss[[#This Row],[Quiz_Frage2_Punkte]]+Trainingsabschluss[[#This Row],[Quiz_Frage3_Punkte]]+Trainingsabschluss[[#This Row],[Quiz_Frage4_Punkte]]+Trainingsabschluss[[#This Row],[Quiz_Frage5_Punkte]]</f>
        <v>15.5</v>
      </c>
      <c r="Q12" s="8">
        <f>Trainingsabschluss[[#This Row],[Quizergebnis]]/Max_Quizergebnis</f>
        <v>0.70454545454545459</v>
      </c>
      <c r="R12" t="str" cm="1">
        <f t="array" ref="R12">_xlfn.IFS(Trainingsabschluss[[#This Row],[Quizergebnis_Prozent]]&lt;0.5, "Nicht bestanden",
Trainingsabschluss[[#This Row],[Quizergebnis_Prozent]]&lt;0.65, "Bestanden",
Trainingsabschluss[[#This Row],[Quizergebnis_Prozent]]&lt;0.8, "Gut bestanden",
TRUE, "Sehr gut bestanden")</f>
        <v>Gut bestanden</v>
      </c>
      <c r="S12" s="3">
        <v>9</v>
      </c>
      <c r="T12" s="3" t="str" cm="1">
        <f t="array" ref="T12">_xlfn.IFS(Trainingsabschluss[[#This Row],[Training_Bewertung]]&gt;=9, "Promotor", Trainingsabschluss[[#This Row],[Training_Bewertung]]
&lt;=6, "Detraktor",
TRUE, "Passiv")</f>
        <v>Promotor</v>
      </c>
      <c r="W12"/>
    </row>
    <row r="13" spans="1:26" x14ac:dyDescent="0.3">
      <c r="A13" s="13" t="s">
        <v>230</v>
      </c>
      <c r="B13" s="2">
        <v>4</v>
      </c>
      <c r="C13" s="2">
        <v>4</v>
      </c>
      <c r="D13" s="2">
        <v>0.5</v>
      </c>
      <c r="E13" s="2">
        <v>4</v>
      </c>
      <c r="F13" s="2">
        <v>2.5</v>
      </c>
      <c r="G13" s="2" t="str">
        <f>_xlfn.XLOOKUP(Trainingsabschluss[[#This Row],[UserID]], Teilnehmende[UserID], Teilnehmende[Branche], "UserID nicht gefunden")</f>
        <v>Beratung</v>
      </c>
      <c r="H13">
        <f>_xlfn.XLOOKUP(Trainingsabschluss[[#This Row],[UserID]], Teilnehmende[UserID], Teilnehmende[Bildungsabschluss], "UserID nicht gefunden")</f>
        <v>0</v>
      </c>
      <c r="I13" s="3">
        <f>_xlfn.XLOOKUP(Trainingsabschluss[[#This Row],[UserID]], Teilnehmende[UserID], Teilnehmende[Berufserfahrung])</f>
        <v>5</v>
      </c>
      <c r="J13" s="3" t="str" cm="1">
        <f t="array" ref="J1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3" s="11">
        <f>Trainingsabschluss[[#This Row],[Quiz_Frage1_Punkte]]/Max_Frage1</f>
        <v>0.8</v>
      </c>
      <c r="L13" s="11">
        <f>Trainingsabschluss[[#This Row],[Quiz_Frage2_Punkte]]/Max_Frage2</f>
        <v>0.8</v>
      </c>
      <c r="M13" s="11">
        <f>Trainingsabschluss[[#This Row],[Quiz_Frage3_Punkte]]/Max_Frage3</f>
        <v>0.1</v>
      </c>
      <c r="N13" s="11">
        <f>Trainingsabschluss[[#This Row],[Quiz_Frage4_Punkte]]/Max_Frage4</f>
        <v>1</v>
      </c>
      <c r="O13" s="11">
        <f>Trainingsabschluss[[#This Row],[Quiz_Frage5_Punkte]]/Max_Frage5</f>
        <v>0.83333333333333337</v>
      </c>
      <c r="P13" s="2">
        <f>Trainingsabschluss[[#This Row],[Quiz_Frage1_Punkte]]+Trainingsabschluss[[#This Row],[Quiz_Frage2_Punkte]]+Trainingsabschluss[[#This Row],[Quiz_Frage3_Punkte]]+Trainingsabschluss[[#This Row],[Quiz_Frage4_Punkte]]+Trainingsabschluss[[#This Row],[Quiz_Frage5_Punkte]]</f>
        <v>15</v>
      </c>
      <c r="Q13" s="8">
        <f>Trainingsabschluss[[#This Row],[Quizergebnis]]/Max_Quizergebnis</f>
        <v>0.68181818181818177</v>
      </c>
      <c r="R13" t="str" cm="1">
        <f t="array" ref="R13">_xlfn.IFS(Trainingsabschluss[[#This Row],[Quizergebnis_Prozent]]&lt;0.5, "Nicht bestanden",
Trainingsabschluss[[#This Row],[Quizergebnis_Prozent]]&lt;0.65, "Bestanden",
Trainingsabschluss[[#This Row],[Quizergebnis_Prozent]]&lt;0.8, "Gut bestanden",
TRUE, "Sehr gut bestanden")</f>
        <v>Gut bestanden</v>
      </c>
      <c r="S13" s="3">
        <v>9</v>
      </c>
      <c r="T13" s="3" t="str" cm="1">
        <f t="array" ref="T13">_xlfn.IFS(Trainingsabschluss[[#This Row],[Training_Bewertung]]&gt;=9, "Promotor", Trainingsabschluss[[#This Row],[Training_Bewertung]]
&lt;=6, "Detraktor",
TRUE, "Passiv")</f>
        <v>Promotor</v>
      </c>
      <c r="W13"/>
    </row>
    <row r="14" spans="1:26" x14ac:dyDescent="0.3">
      <c r="A14" s="13" t="s">
        <v>243</v>
      </c>
      <c r="B14" s="2">
        <v>5</v>
      </c>
      <c r="C14" s="2">
        <v>3</v>
      </c>
      <c r="D14" s="2">
        <v>5</v>
      </c>
      <c r="E14" s="2">
        <v>4</v>
      </c>
      <c r="F14" s="2">
        <v>2</v>
      </c>
      <c r="G14" s="2" t="str">
        <f>_xlfn.XLOOKUP(Trainingsabschluss[[#This Row],[UserID]], Teilnehmende[UserID], Teilnehmende[Branche], "UserID nicht gefunden")</f>
        <v>Beratung</v>
      </c>
      <c r="H14">
        <f>_xlfn.XLOOKUP(Trainingsabschluss[[#This Row],[UserID]], Teilnehmende[UserID], Teilnehmende[Bildungsabschluss], "UserID nicht gefunden")</f>
        <v>0</v>
      </c>
      <c r="I14" s="3">
        <f>_xlfn.XLOOKUP(Trainingsabschluss[[#This Row],[UserID]], Teilnehmende[UserID], Teilnehmende[Berufserfahrung])</f>
        <v>3</v>
      </c>
      <c r="J14" s="3" t="str" cm="1">
        <f t="array" ref="J1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4" s="11">
        <f>Trainingsabschluss[[#This Row],[Quiz_Frage1_Punkte]]/Max_Frage1</f>
        <v>1</v>
      </c>
      <c r="L14" s="11">
        <f>Trainingsabschluss[[#This Row],[Quiz_Frage2_Punkte]]/Max_Frage2</f>
        <v>0.6</v>
      </c>
      <c r="M14" s="11">
        <f>Trainingsabschluss[[#This Row],[Quiz_Frage3_Punkte]]/Max_Frage3</f>
        <v>1</v>
      </c>
      <c r="N14" s="11">
        <f>Trainingsabschluss[[#This Row],[Quiz_Frage4_Punkte]]/Max_Frage4</f>
        <v>1</v>
      </c>
      <c r="O14" s="11">
        <f>Trainingsabschluss[[#This Row],[Quiz_Frage5_Punkte]]/Max_Frage5</f>
        <v>0.66666666666666663</v>
      </c>
      <c r="P14" s="2">
        <f>Trainingsabschluss[[#This Row],[Quiz_Frage1_Punkte]]+Trainingsabschluss[[#This Row],[Quiz_Frage2_Punkte]]+Trainingsabschluss[[#This Row],[Quiz_Frage3_Punkte]]+Trainingsabschluss[[#This Row],[Quiz_Frage4_Punkte]]+Trainingsabschluss[[#This Row],[Quiz_Frage5_Punkte]]</f>
        <v>19</v>
      </c>
      <c r="Q14" s="8">
        <f>Trainingsabschluss[[#This Row],[Quizergebnis]]/Max_Quizergebnis</f>
        <v>0.86363636363636365</v>
      </c>
      <c r="R14" t="str" cm="1">
        <f t="array" ref="R14">_xlfn.IFS(Trainingsabschluss[[#This Row],[Quizergebnis_Prozent]]&lt;0.5, "Nicht bestanden",
Trainingsabschluss[[#This Row],[Quizergebnis_Prozent]]&lt;0.65, "Bestanden",
Trainingsabschluss[[#This Row],[Quizergebnis_Prozent]]&lt;0.8, "Gut bestanden",
TRUE, "Sehr gut bestanden")</f>
        <v>Sehr gut bestanden</v>
      </c>
      <c r="S14" s="3">
        <v>9</v>
      </c>
      <c r="T14" s="3" t="str" cm="1">
        <f t="array" ref="T14">_xlfn.IFS(Trainingsabschluss[[#This Row],[Training_Bewertung]]&gt;=9, "Promotor", Trainingsabschluss[[#This Row],[Training_Bewertung]]
&lt;=6, "Detraktor",
TRUE, "Passiv")</f>
        <v>Promotor</v>
      </c>
      <c r="W14"/>
    </row>
    <row r="15" spans="1:26" x14ac:dyDescent="0.3">
      <c r="A15" s="13" t="s">
        <v>248</v>
      </c>
      <c r="B15" s="2">
        <v>4</v>
      </c>
      <c r="C15" s="2">
        <v>4.5</v>
      </c>
      <c r="D15" s="2">
        <v>2.5</v>
      </c>
      <c r="E15" s="2">
        <v>3</v>
      </c>
      <c r="F15" s="2">
        <v>3</v>
      </c>
      <c r="G15" s="2" t="str">
        <f>_xlfn.XLOOKUP(Trainingsabschluss[[#This Row],[UserID]], Teilnehmende[UserID], Teilnehmende[Branche], "UserID nicht gefunden")</f>
        <v>Beratung</v>
      </c>
      <c r="H15">
        <f>_xlfn.XLOOKUP(Trainingsabschluss[[#This Row],[UserID]], Teilnehmende[UserID], Teilnehmende[Bildungsabschluss], "UserID nicht gefunden")</f>
        <v>0</v>
      </c>
      <c r="I15" s="3">
        <f>_xlfn.XLOOKUP(Trainingsabschluss[[#This Row],[UserID]], Teilnehmende[UserID], Teilnehmende[Berufserfahrung])</f>
        <v>6</v>
      </c>
      <c r="J15" s="3" t="str" cm="1">
        <f t="array" ref="J1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5" s="11">
        <f>Trainingsabschluss[[#This Row],[Quiz_Frage1_Punkte]]/Max_Frage1</f>
        <v>0.8</v>
      </c>
      <c r="L15" s="11">
        <f>Trainingsabschluss[[#This Row],[Quiz_Frage2_Punkte]]/Max_Frage2</f>
        <v>0.9</v>
      </c>
      <c r="M15" s="11">
        <f>Trainingsabschluss[[#This Row],[Quiz_Frage3_Punkte]]/Max_Frage3</f>
        <v>0.5</v>
      </c>
      <c r="N15" s="11">
        <f>Trainingsabschluss[[#This Row],[Quiz_Frage4_Punkte]]/Max_Frage4</f>
        <v>0.75</v>
      </c>
      <c r="O15" s="11">
        <f>Trainingsabschluss[[#This Row],[Quiz_Frage5_Punkte]]/Max_Frage5</f>
        <v>1</v>
      </c>
      <c r="P15" s="2">
        <f>Trainingsabschluss[[#This Row],[Quiz_Frage1_Punkte]]+Trainingsabschluss[[#This Row],[Quiz_Frage2_Punkte]]+Trainingsabschluss[[#This Row],[Quiz_Frage3_Punkte]]+Trainingsabschluss[[#This Row],[Quiz_Frage4_Punkte]]+Trainingsabschluss[[#This Row],[Quiz_Frage5_Punkte]]</f>
        <v>17</v>
      </c>
      <c r="Q15" s="8">
        <f>Trainingsabschluss[[#This Row],[Quizergebnis]]/Max_Quizergebnis</f>
        <v>0.77272727272727271</v>
      </c>
      <c r="R15" t="str" cm="1">
        <f t="array" ref="R15">_xlfn.IFS(Trainingsabschluss[[#This Row],[Quizergebnis_Prozent]]&lt;0.5, "Nicht bestanden",
Trainingsabschluss[[#This Row],[Quizergebnis_Prozent]]&lt;0.65, "Bestanden",
Trainingsabschluss[[#This Row],[Quizergebnis_Prozent]]&lt;0.8, "Gut bestanden",
TRUE, "Sehr gut bestanden")</f>
        <v>Gut bestanden</v>
      </c>
      <c r="S15" s="3">
        <v>9</v>
      </c>
      <c r="T15" s="3" t="str" cm="1">
        <f t="array" ref="T15">_xlfn.IFS(Trainingsabschluss[[#This Row],[Training_Bewertung]]&gt;=9, "Promotor", Trainingsabschluss[[#This Row],[Training_Bewertung]]
&lt;=6, "Detraktor",
TRUE, "Passiv")</f>
        <v>Promotor</v>
      </c>
      <c r="W15"/>
    </row>
    <row r="16" spans="1:26" x14ac:dyDescent="0.3">
      <c r="A16" s="13" t="s">
        <v>157</v>
      </c>
      <c r="B16" s="2">
        <v>4.5</v>
      </c>
      <c r="C16" s="2">
        <v>1.5</v>
      </c>
      <c r="D16" s="2">
        <v>3.5</v>
      </c>
      <c r="E16" s="2">
        <v>1.5</v>
      </c>
      <c r="F16" s="2">
        <v>3</v>
      </c>
      <c r="G16" s="2" t="str">
        <f>_xlfn.XLOOKUP(Trainingsabschluss[[#This Row],[UserID]], Teilnehmende[UserID], Teilnehmende[Branche], "UserID nicht gefunden")</f>
        <v>Beratung</v>
      </c>
      <c r="H16">
        <f>_xlfn.XLOOKUP(Trainingsabschluss[[#This Row],[UserID]], Teilnehmende[UserID], Teilnehmende[Bildungsabschluss], "UserID nicht gefunden")</f>
        <v>0</v>
      </c>
      <c r="I16" s="3">
        <f>_xlfn.XLOOKUP(Trainingsabschluss[[#This Row],[UserID]], Teilnehmende[UserID], Teilnehmende[Berufserfahrung])</f>
        <v>14</v>
      </c>
      <c r="J16" s="3" t="str" cm="1">
        <f t="array" ref="J1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6" s="11">
        <f>Trainingsabschluss[[#This Row],[Quiz_Frage1_Punkte]]/Max_Frage1</f>
        <v>0.9</v>
      </c>
      <c r="L16" s="11">
        <f>Trainingsabschluss[[#This Row],[Quiz_Frage2_Punkte]]/Max_Frage2</f>
        <v>0.3</v>
      </c>
      <c r="M16" s="11">
        <f>Trainingsabschluss[[#This Row],[Quiz_Frage3_Punkte]]/Max_Frage3</f>
        <v>0.7</v>
      </c>
      <c r="N16" s="11">
        <f>Trainingsabschluss[[#This Row],[Quiz_Frage4_Punkte]]/Max_Frage4</f>
        <v>0.375</v>
      </c>
      <c r="O16" s="11">
        <f>Trainingsabschluss[[#This Row],[Quiz_Frage5_Punkte]]/Max_Frage5</f>
        <v>1</v>
      </c>
      <c r="P16" s="2">
        <f>Trainingsabschluss[[#This Row],[Quiz_Frage1_Punkte]]+Trainingsabschluss[[#This Row],[Quiz_Frage2_Punkte]]+Trainingsabschluss[[#This Row],[Quiz_Frage3_Punkte]]+Trainingsabschluss[[#This Row],[Quiz_Frage4_Punkte]]+Trainingsabschluss[[#This Row],[Quiz_Frage5_Punkte]]</f>
        <v>14</v>
      </c>
      <c r="Q16" s="8">
        <f>Trainingsabschluss[[#This Row],[Quizergebnis]]/Max_Quizergebnis</f>
        <v>0.63636363636363635</v>
      </c>
      <c r="R16" t="str" cm="1">
        <f t="array" ref="R16">_xlfn.IFS(Trainingsabschluss[[#This Row],[Quizergebnis_Prozent]]&lt;0.5, "Nicht bestanden",
Trainingsabschluss[[#This Row],[Quizergebnis_Prozent]]&lt;0.65, "Bestanden",
Trainingsabschluss[[#This Row],[Quizergebnis_Prozent]]&lt;0.8, "Gut bestanden",
TRUE, "Sehr gut bestanden")</f>
        <v>Bestanden</v>
      </c>
      <c r="S16" s="3">
        <v>10</v>
      </c>
      <c r="T16" s="3" t="str" cm="1">
        <f t="array" ref="T16">_xlfn.IFS(Trainingsabschluss[[#This Row],[Training_Bewertung]]&gt;=9, "Promotor", Trainingsabschluss[[#This Row],[Training_Bewertung]]
&lt;=6, "Detraktor",
TRUE, "Passiv")</f>
        <v>Promotor</v>
      </c>
      <c r="W16"/>
    </row>
    <row r="17" spans="1:23" x14ac:dyDescent="0.3">
      <c r="A17" s="13" t="s">
        <v>159</v>
      </c>
      <c r="B17" s="2">
        <v>4.5</v>
      </c>
      <c r="C17" s="2">
        <v>4.5</v>
      </c>
      <c r="D17" s="2">
        <v>3</v>
      </c>
      <c r="E17" s="2">
        <v>3.5</v>
      </c>
      <c r="F17" s="2">
        <v>1.5</v>
      </c>
      <c r="G17" s="2" t="str">
        <f>_xlfn.XLOOKUP(Trainingsabschluss[[#This Row],[UserID]], Teilnehmende[UserID], Teilnehmende[Branche], "UserID nicht gefunden")</f>
        <v>Beratung</v>
      </c>
      <c r="H17">
        <f>_xlfn.XLOOKUP(Trainingsabschluss[[#This Row],[UserID]], Teilnehmende[UserID], Teilnehmende[Bildungsabschluss], "UserID nicht gefunden")</f>
        <v>0</v>
      </c>
      <c r="I17" s="3">
        <f>_xlfn.XLOOKUP(Trainingsabschluss[[#This Row],[UserID]], Teilnehmende[UserID], Teilnehmende[Berufserfahrung])</f>
        <v>4</v>
      </c>
      <c r="J17" s="3" t="str" cm="1">
        <f t="array" ref="J1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7" s="11">
        <f>Trainingsabschluss[[#This Row],[Quiz_Frage1_Punkte]]/Max_Frage1</f>
        <v>0.9</v>
      </c>
      <c r="L17" s="11">
        <f>Trainingsabschluss[[#This Row],[Quiz_Frage2_Punkte]]/Max_Frage2</f>
        <v>0.9</v>
      </c>
      <c r="M17" s="11">
        <f>Trainingsabschluss[[#This Row],[Quiz_Frage3_Punkte]]/Max_Frage3</f>
        <v>0.6</v>
      </c>
      <c r="N17" s="11">
        <f>Trainingsabschluss[[#This Row],[Quiz_Frage4_Punkte]]/Max_Frage4</f>
        <v>0.875</v>
      </c>
      <c r="O17" s="11">
        <f>Trainingsabschluss[[#This Row],[Quiz_Frage5_Punkte]]/Max_Frage5</f>
        <v>0.5</v>
      </c>
      <c r="P17" s="2">
        <f>Trainingsabschluss[[#This Row],[Quiz_Frage1_Punkte]]+Trainingsabschluss[[#This Row],[Quiz_Frage2_Punkte]]+Trainingsabschluss[[#This Row],[Quiz_Frage3_Punkte]]+Trainingsabschluss[[#This Row],[Quiz_Frage4_Punkte]]+Trainingsabschluss[[#This Row],[Quiz_Frage5_Punkte]]</f>
        <v>17</v>
      </c>
      <c r="Q17" s="8">
        <f>Trainingsabschluss[[#This Row],[Quizergebnis]]/Max_Quizergebnis</f>
        <v>0.77272727272727271</v>
      </c>
      <c r="R17" t="str" cm="1">
        <f t="array" ref="R17">_xlfn.IFS(Trainingsabschluss[[#This Row],[Quizergebnis_Prozent]]&lt;0.5, "Nicht bestanden",
Trainingsabschluss[[#This Row],[Quizergebnis_Prozent]]&lt;0.65, "Bestanden",
Trainingsabschluss[[#This Row],[Quizergebnis_Prozent]]&lt;0.8, "Gut bestanden",
TRUE, "Sehr gut bestanden")</f>
        <v>Gut bestanden</v>
      </c>
      <c r="S17" s="3">
        <v>9</v>
      </c>
      <c r="T17" s="3" t="str" cm="1">
        <f t="array" ref="T17">_xlfn.IFS(Trainingsabschluss[[#This Row],[Training_Bewertung]]&gt;=9, "Promotor", Trainingsabschluss[[#This Row],[Training_Bewertung]]
&lt;=6, "Detraktor",
TRUE, "Passiv")</f>
        <v>Promotor</v>
      </c>
      <c r="W17"/>
    </row>
    <row r="18" spans="1:23" x14ac:dyDescent="0.3">
      <c r="A18" s="13" t="s">
        <v>161</v>
      </c>
      <c r="B18" s="2">
        <v>5</v>
      </c>
      <c r="C18" s="2">
        <v>4</v>
      </c>
      <c r="D18" s="2">
        <v>0.5</v>
      </c>
      <c r="E18" s="2">
        <v>2.5</v>
      </c>
      <c r="F18" s="2">
        <v>3</v>
      </c>
      <c r="G18" s="2" t="str">
        <f>_xlfn.XLOOKUP(Trainingsabschluss[[#This Row],[UserID]], Teilnehmende[UserID], Teilnehmende[Branche], "UserID nicht gefunden")</f>
        <v>Beratung</v>
      </c>
      <c r="H18">
        <f>_xlfn.XLOOKUP(Trainingsabschluss[[#This Row],[UserID]], Teilnehmende[UserID], Teilnehmende[Bildungsabschluss], "UserID nicht gefunden")</f>
        <v>0</v>
      </c>
      <c r="I18" s="3">
        <f>_xlfn.XLOOKUP(Trainingsabschluss[[#This Row],[UserID]], Teilnehmende[UserID], Teilnehmende[Berufserfahrung])</f>
        <v>12</v>
      </c>
      <c r="J18" s="3" t="str" cm="1">
        <f t="array" ref="J1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8" s="11">
        <f>Trainingsabschluss[[#This Row],[Quiz_Frage1_Punkte]]/Max_Frage1</f>
        <v>1</v>
      </c>
      <c r="L18" s="11">
        <f>Trainingsabschluss[[#This Row],[Quiz_Frage2_Punkte]]/Max_Frage2</f>
        <v>0.8</v>
      </c>
      <c r="M18" s="11">
        <f>Trainingsabschluss[[#This Row],[Quiz_Frage3_Punkte]]/Max_Frage3</f>
        <v>0.1</v>
      </c>
      <c r="N18" s="11">
        <f>Trainingsabschluss[[#This Row],[Quiz_Frage4_Punkte]]/Max_Frage4</f>
        <v>0.625</v>
      </c>
      <c r="O18" s="11">
        <f>Trainingsabschluss[[#This Row],[Quiz_Frage5_Punkte]]/Max_Frage5</f>
        <v>1</v>
      </c>
      <c r="P18" s="2">
        <f>Trainingsabschluss[[#This Row],[Quiz_Frage1_Punkte]]+Trainingsabschluss[[#This Row],[Quiz_Frage2_Punkte]]+Trainingsabschluss[[#This Row],[Quiz_Frage3_Punkte]]+Trainingsabschluss[[#This Row],[Quiz_Frage4_Punkte]]+Trainingsabschluss[[#This Row],[Quiz_Frage5_Punkte]]</f>
        <v>15</v>
      </c>
      <c r="Q18" s="8">
        <f>Trainingsabschluss[[#This Row],[Quizergebnis]]/Max_Quizergebnis</f>
        <v>0.68181818181818177</v>
      </c>
      <c r="R18" t="str" cm="1">
        <f t="array" ref="R18">_xlfn.IFS(Trainingsabschluss[[#This Row],[Quizergebnis_Prozent]]&lt;0.5, "Nicht bestanden",
Trainingsabschluss[[#This Row],[Quizergebnis_Prozent]]&lt;0.65, "Bestanden",
Trainingsabschluss[[#This Row],[Quizergebnis_Prozent]]&lt;0.8, "Gut bestanden",
TRUE, "Sehr gut bestanden")</f>
        <v>Gut bestanden</v>
      </c>
      <c r="S18" s="3">
        <v>9</v>
      </c>
      <c r="T18" s="3" t="str" cm="1">
        <f t="array" ref="T18">_xlfn.IFS(Trainingsabschluss[[#This Row],[Training_Bewertung]]&gt;=9, "Promotor", Trainingsabschluss[[#This Row],[Training_Bewertung]]
&lt;=6, "Detraktor",
TRUE, "Passiv")</f>
        <v>Promotor</v>
      </c>
      <c r="W18"/>
    </row>
    <row r="19" spans="1:23" x14ac:dyDescent="0.3">
      <c r="A19" s="13" t="s">
        <v>259</v>
      </c>
      <c r="B19" s="2">
        <v>5</v>
      </c>
      <c r="C19" s="2">
        <v>4.5</v>
      </c>
      <c r="D19" s="2">
        <v>3</v>
      </c>
      <c r="E19" s="2">
        <v>0</v>
      </c>
      <c r="F19" s="2">
        <v>0.5</v>
      </c>
      <c r="G19" s="2" t="str">
        <f>_xlfn.XLOOKUP(Trainingsabschluss[[#This Row],[UserID]], Teilnehmende[UserID], Teilnehmende[Branche], "UserID nicht gefunden")</f>
        <v>Beratung</v>
      </c>
      <c r="H19">
        <f>_xlfn.XLOOKUP(Trainingsabschluss[[#This Row],[UserID]], Teilnehmende[UserID], Teilnehmende[Bildungsabschluss], "UserID nicht gefunden")</f>
        <v>0</v>
      </c>
      <c r="I19" s="3">
        <f>_xlfn.XLOOKUP(Trainingsabschluss[[#This Row],[UserID]], Teilnehmende[UserID], Teilnehmende[Berufserfahrung])</f>
        <v>1</v>
      </c>
      <c r="J19" s="3" t="str" cm="1">
        <f t="array" ref="J1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9" s="11">
        <f>Trainingsabschluss[[#This Row],[Quiz_Frage1_Punkte]]/Max_Frage1</f>
        <v>1</v>
      </c>
      <c r="L19" s="11">
        <f>Trainingsabschluss[[#This Row],[Quiz_Frage2_Punkte]]/Max_Frage2</f>
        <v>0.9</v>
      </c>
      <c r="M19" s="11">
        <f>Trainingsabschluss[[#This Row],[Quiz_Frage3_Punkte]]/Max_Frage3</f>
        <v>0.6</v>
      </c>
      <c r="N19" s="11">
        <f>Trainingsabschluss[[#This Row],[Quiz_Frage4_Punkte]]/Max_Frage4</f>
        <v>0</v>
      </c>
      <c r="O19" s="11">
        <f>Trainingsabschluss[[#This Row],[Quiz_Frage5_Punkte]]/Max_Frage5</f>
        <v>0.16666666666666666</v>
      </c>
      <c r="P19" s="2">
        <f>Trainingsabschluss[[#This Row],[Quiz_Frage1_Punkte]]+Trainingsabschluss[[#This Row],[Quiz_Frage2_Punkte]]+Trainingsabschluss[[#This Row],[Quiz_Frage3_Punkte]]+Trainingsabschluss[[#This Row],[Quiz_Frage4_Punkte]]+Trainingsabschluss[[#This Row],[Quiz_Frage5_Punkte]]</f>
        <v>13</v>
      </c>
      <c r="Q19" s="8">
        <f>Trainingsabschluss[[#This Row],[Quizergebnis]]/Max_Quizergebnis</f>
        <v>0.59090909090909094</v>
      </c>
      <c r="R19" t="str" cm="1">
        <f t="array" ref="R19">_xlfn.IFS(Trainingsabschluss[[#This Row],[Quizergebnis_Prozent]]&lt;0.5, "Nicht bestanden",
Trainingsabschluss[[#This Row],[Quizergebnis_Prozent]]&lt;0.65, "Bestanden",
Trainingsabschluss[[#This Row],[Quizergebnis_Prozent]]&lt;0.8, "Gut bestanden",
TRUE, "Sehr gut bestanden")</f>
        <v>Bestanden</v>
      </c>
      <c r="S19" s="3">
        <v>10</v>
      </c>
      <c r="T19" s="3" t="str" cm="1">
        <f t="array" ref="T19">_xlfn.IFS(Trainingsabschluss[[#This Row],[Training_Bewertung]]&gt;=9, "Promotor", Trainingsabschluss[[#This Row],[Training_Bewertung]]
&lt;=6, "Detraktor",
TRUE, "Passiv")</f>
        <v>Promotor</v>
      </c>
      <c r="W19"/>
    </row>
    <row r="20" spans="1:23" x14ac:dyDescent="0.3">
      <c r="A20" s="13" t="s">
        <v>263</v>
      </c>
      <c r="B20" s="2">
        <v>5</v>
      </c>
      <c r="C20" s="2">
        <v>3.5</v>
      </c>
      <c r="D20" s="2">
        <v>2.5</v>
      </c>
      <c r="E20" s="2">
        <v>0.5</v>
      </c>
      <c r="F20" s="2">
        <v>2.5</v>
      </c>
      <c r="G20" s="2" t="str">
        <f>_xlfn.XLOOKUP(Trainingsabschluss[[#This Row],[UserID]], Teilnehmende[UserID], Teilnehmende[Branche], "UserID nicht gefunden")</f>
        <v>Beratung</v>
      </c>
      <c r="H20">
        <f>_xlfn.XLOOKUP(Trainingsabschluss[[#This Row],[UserID]], Teilnehmende[UserID], Teilnehmende[Bildungsabschluss], "UserID nicht gefunden")</f>
        <v>0</v>
      </c>
      <c r="I20" s="3">
        <f>_xlfn.XLOOKUP(Trainingsabschluss[[#This Row],[UserID]], Teilnehmende[UserID], Teilnehmende[Berufserfahrung])</f>
        <v>4</v>
      </c>
      <c r="J20" s="3" t="str" cm="1">
        <f t="array" ref="J2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0" s="11">
        <f>Trainingsabschluss[[#This Row],[Quiz_Frage1_Punkte]]/Max_Frage1</f>
        <v>1</v>
      </c>
      <c r="L20" s="11">
        <f>Trainingsabschluss[[#This Row],[Quiz_Frage2_Punkte]]/Max_Frage2</f>
        <v>0.7</v>
      </c>
      <c r="M20" s="11">
        <f>Trainingsabschluss[[#This Row],[Quiz_Frage3_Punkte]]/Max_Frage3</f>
        <v>0.5</v>
      </c>
      <c r="N20" s="11">
        <f>Trainingsabschluss[[#This Row],[Quiz_Frage4_Punkte]]/Max_Frage4</f>
        <v>0.125</v>
      </c>
      <c r="O20" s="11">
        <f>Trainingsabschluss[[#This Row],[Quiz_Frage5_Punkte]]/Max_Frage5</f>
        <v>0.83333333333333337</v>
      </c>
      <c r="P20" s="2">
        <f>Trainingsabschluss[[#This Row],[Quiz_Frage1_Punkte]]+Trainingsabschluss[[#This Row],[Quiz_Frage2_Punkte]]+Trainingsabschluss[[#This Row],[Quiz_Frage3_Punkte]]+Trainingsabschluss[[#This Row],[Quiz_Frage4_Punkte]]+Trainingsabschluss[[#This Row],[Quiz_Frage5_Punkte]]</f>
        <v>14</v>
      </c>
      <c r="Q20" s="8">
        <f>Trainingsabschluss[[#This Row],[Quizergebnis]]/Max_Quizergebnis</f>
        <v>0.63636363636363635</v>
      </c>
      <c r="R20" t="str" cm="1">
        <f t="array" ref="R20">_xlfn.IFS(Trainingsabschluss[[#This Row],[Quizergebnis_Prozent]]&lt;0.5, "Nicht bestanden",
Trainingsabschluss[[#This Row],[Quizergebnis_Prozent]]&lt;0.65, "Bestanden",
Trainingsabschluss[[#This Row],[Quizergebnis_Prozent]]&lt;0.8, "Gut bestanden",
TRUE, "Sehr gut bestanden")</f>
        <v>Bestanden</v>
      </c>
      <c r="S20" s="3">
        <v>10</v>
      </c>
      <c r="T20" s="3" t="str" cm="1">
        <f t="array" ref="T20">_xlfn.IFS(Trainingsabschluss[[#This Row],[Training_Bewertung]]&gt;=9, "Promotor", Trainingsabschluss[[#This Row],[Training_Bewertung]]
&lt;=6, "Detraktor",
TRUE, "Passiv")</f>
        <v>Promotor</v>
      </c>
      <c r="W20"/>
    </row>
    <row r="21" spans="1:23" x14ac:dyDescent="0.3">
      <c r="A21" s="13" t="s">
        <v>76</v>
      </c>
      <c r="B21" s="2">
        <v>4.5</v>
      </c>
      <c r="C21" s="2">
        <v>1.5</v>
      </c>
      <c r="D21" s="2">
        <v>1</v>
      </c>
      <c r="E21" s="2">
        <v>4</v>
      </c>
      <c r="F21" s="2">
        <v>3</v>
      </c>
      <c r="G21" s="2" t="str">
        <f>_xlfn.XLOOKUP(Trainingsabschluss[[#This Row],[UserID]], Teilnehmende[UserID], Teilnehmende[Branche], "UserID nicht gefunden")</f>
        <v>E-Commerce</v>
      </c>
      <c r="H21">
        <f>_xlfn.XLOOKUP(Trainingsabschluss[[#This Row],[UserID]], Teilnehmende[UserID], Teilnehmende[Bildungsabschluss], "UserID nicht gefunden")</f>
        <v>0</v>
      </c>
      <c r="I21" s="3">
        <f>_xlfn.XLOOKUP(Trainingsabschluss[[#This Row],[UserID]], Teilnehmende[UserID], Teilnehmende[Berufserfahrung])</f>
        <v>5</v>
      </c>
      <c r="J21" s="3" t="str" cm="1">
        <f t="array" ref="J2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1" s="11">
        <f>Trainingsabschluss[[#This Row],[Quiz_Frage1_Punkte]]/Max_Frage1</f>
        <v>0.9</v>
      </c>
      <c r="L21" s="11">
        <f>Trainingsabschluss[[#This Row],[Quiz_Frage2_Punkte]]/Max_Frage2</f>
        <v>0.3</v>
      </c>
      <c r="M21" s="11">
        <f>Trainingsabschluss[[#This Row],[Quiz_Frage3_Punkte]]/Max_Frage3</f>
        <v>0.2</v>
      </c>
      <c r="N21" s="11">
        <f>Trainingsabschluss[[#This Row],[Quiz_Frage4_Punkte]]/Max_Frage4</f>
        <v>1</v>
      </c>
      <c r="O21" s="11">
        <f>Trainingsabschluss[[#This Row],[Quiz_Frage5_Punkte]]/Max_Frage5</f>
        <v>1</v>
      </c>
      <c r="P21" s="2">
        <f>Trainingsabschluss[[#This Row],[Quiz_Frage1_Punkte]]+Trainingsabschluss[[#This Row],[Quiz_Frage2_Punkte]]+Trainingsabschluss[[#This Row],[Quiz_Frage3_Punkte]]+Trainingsabschluss[[#This Row],[Quiz_Frage4_Punkte]]+Trainingsabschluss[[#This Row],[Quiz_Frage5_Punkte]]</f>
        <v>14</v>
      </c>
      <c r="Q21" s="8">
        <f>Trainingsabschluss[[#This Row],[Quizergebnis]]/Max_Quizergebnis</f>
        <v>0.63636363636363635</v>
      </c>
      <c r="R21" t="str" cm="1">
        <f t="array" ref="R21">_xlfn.IFS(Trainingsabschluss[[#This Row],[Quizergebnis_Prozent]]&lt;0.5, "Nicht bestanden",
Trainingsabschluss[[#This Row],[Quizergebnis_Prozent]]&lt;0.65, "Bestanden",
Trainingsabschluss[[#This Row],[Quizergebnis_Prozent]]&lt;0.8, "Gut bestanden",
TRUE, "Sehr gut bestanden")</f>
        <v>Bestanden</v>
      </c>
      <c r="S21" s="3">
        <v>7</v>
      </c>
      <c r="T21" s="3" t="str" cm="1">
        <f t="array" ref="T21">_xlfn.IFS(Trainingsabschluss[[#This Row],[Training_Bewertung]]&gt;=9, "Promotor", Trainingsabschluss[[#This Row],[Training_Bewertung]]
&lt;=6, "Detraktor",
TRUE, "Passiv")</f>
        <v>Passiv</v>
      </c>
      <c r="W21"/>
    </row>
    <row r="22" spans="1:23" x14ac:dyDescent="0.3">
      <c r="A22" s="13" t="s">
        <v>31</v>
      </c>
      <c r="B22" s="2">
        <v>2</v>
      </c>
      <c r="C22" s="2">
        <v>0</v>
      </c>
      <c r="D22" s="2">
        <v>0.5</v>
      </c>
      <c r="E22" s="2">
        <v>0.5</v>
      </c>
      <c r="F22" s="2">
        <v>0</v>
      </c>
      <c r="G22" s="2" t="str">
        <f>_xlfn.XLOOKUP(Trainingsabschluss[[#This Row],[UserID]], Teilnehmende[UserID], Teilnehmende[Branche], "UserID nicht gefunden")</f>
        <v>Einzelhandel</v>
      </c>
      <c r="H22">
        <f>_xlfn.XLOOKUP(Trainingsabschluss[[#This Row],[UserID]], Teilnehmende[UserID], Teilnehmende[Bildungsabschluss], "UserID nicht gefunden")</f>
        <v>0</v>
      </c>
      <c r="I22" s="3">
        <f>_xlfn.XLOOKUP(Trainingsabschluss[[#This Row],[UserID]], Teilnehmende[UserID], Teilnehmende[Berufserfahrung])</f>
        <v>11</v>
      </c>
      <c r="J22" s="3" t="str" cm="1">
        <f t="array" ref="J2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2" s="11">
        <f>Trainingsabschluss[[#This Row],[Quiz_Frage1_Punkte]]/Max_Frage1</f>
        <v>0.4</v>
      </c>
      <c r="L22" s="11">
        <f>Trainingsabschluss[[#This Row],[Quiz_Frage2_Punkte]]/Max_Frage2</f>
        <v>0</v>
      </c>
      <c r="M22" s="11">
        <f>Trainingsabschluss[[#This Row],[Quiz_Frage3_Punkte]]/Max_Frage3</f>
        <v>0.1</v>
      </c>
      <c r="N22" s="11">
        <f>Trainingsabschluss[[#This Row],[Quiz_Frage4_Punkte]]/Max_Frage4</f>
        <v>0.125</v>
      </c>
      <c r="O22" s="11">
        <f>Trainingsabschluss[[#This Row],[Quiz_Frage5_Punkte]]/Max_Frage5</f>
        <v>0</v>
      </c>
      <c r="P22" s="2">
        <f>Trainingsabschluss[[#This Row],[Quiz_Frage1_Punkte]]+Trainingsabschluss[[#This Row],[Quiz_Frage2_Punkte]]+Trainingsabschluss[[#This Row],[Quiz_Frage3_Punkte]]+Trainingsabschluss[[#This Row],[Quiz_Frage4_Punkte]]+Trainingsabschluss[[#This Row],[Quiz_Frage5_Punkte]]</f>
        <v>3</v>
      </c>
      <c r="Q22" s="8">
        <f>Trainingsabschluss[[#This Row],[Quizergebnis]]/Max_Quizergebnis</f>
        <v>0.13636363636363635</v>
      </c>
      <c r="R22" t="str" cm="1">
        <f t="array" ref="R22">_xlfn.IFS(Trainingsabschluss[[#This Row],[Quizergebnis_Prozent]]&lt;0.5, "Nicht bestanden",
Trainingsabschluss[[#This Row],[Quizergebnis_Prozent]]&lt;0.65, "Bestanden",
Trainingsabschluss[[#This Row],[Quizergebnis_Prozent]]&lt;0.8, "Gut bestanden",
TRUE, "Sehr gut bestanden")</f>
        <v>Nicht bestanden</v>
      </c>
      <c r="S22" s="3">
        <v>8</v>
      </c>
      <c r="T22" s="3" t="str" cm="1">
        <f t="array" ref="T22">_xlfn.IFS(Trainingsabschluss[[#This Row],[Training_Bewertung]]&gt;=9, "Promotor", Trainingsabschluss[[#This Row],[Training_Bewertung]]
&lt;=6, "Detraktor",
TRUE, "Passiv")</f>
        <v>Passiv</v>
      </c>
      <c r="W22"/>
    </row>
    <row r="23" spans="1:23" x14ac:dyDescent="0.3">
      <c r="A23" s="13" t="s">
        <v>86</v>
      </c>
      <c r="B23" s="2">
        <v>3.5</v>
      </c>
      <c r="C23" s="2">
        <v>5</v>
      </c>
      <c r="D23" s="2">
        <v>3.5</v>
      </c>
      <c r="E23" s="2">
        <v>2</v>
      </c>
      <c r="F23" s="2">
        <v>1.5</v>
      </c>
      <c r="G23" s="2" t="str">
        <f>_xlfn.XLOOKUP(Trainingsabschluss[[#This Row],[UserID]], Teilnehmende[UserID], Teilnehmende[Branche], "UserID nicht gefunden")</f>
        <v>E-Commerce</v>
      </c>
      <c r="H23">
        <f>_xlfn.XLOOKUP(Trainingsabschluss[[#This Row],[UserID]], Teilnehmende[UserID], Teilnehmende[Bildungsabschluss], "UserID nicht gefunden")</f>
        <v>0</v>
      </c>
      <c r="I23" s="3">
        <f>_xlfn.XLOOKUP(Trainingsabschluss[[#This Row],[UserID]], Teilnehmende[UserID], Teilnehmende[Berufserfahrung])</f>
        <v>5</v>
      </c>
      <c r="J23" s="3" t="str" cm="1">
        <f t="array" ref="J2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3" s="11">
        <f>Trainingsabschluss[[#This Row],[Quiz_Frage1_Punkte]]/Max_Frage1</f>
        <v>0.7</v>
      </c>
      <c r="L23" s="11">
        <f>Trainingsabschluss[[#This Row],[Quiz_Frage2_Punkte]]/Max_Frage2</f>
        <v>1</v>
      </c>
      <c r="M23" s="11">
        <f>Trainingsabschluss[[#This Row],[Quiz_Frage3_Punkte]]/Max_Frage3</f>
        <v>0.7</v>
      </c>
      <c r="N23" s="11">
        <f>Trainingsabschluss[[#This Row],[Quiz_Frage4_Punkte]]/Max_Frage4</f>
        <v>0.5</v>
      </c>
      <c r="O23" s="11">
        <f>Trainingsabschluss[[#This Row],[Quiz_Frage5_Punkte]]/Max_Frage5</f>
        <v>0.5</v>
      </c>
      <c r="P23" s="2">
        <f>Trainingsabschluss[[#This Row],[Quiz_Frage1_Punkte]]+Trainingsabschluss[[#This Row],[Quiz_Frage2_Punkte]]+Trainingsabschluss[[#This Row],[Quiz_Frage3_Punkte]]+Trainingsabschluss[[#This Row],[Quiz_Frage4_Punkte]]+Trainingsabschluss[[#This Row],[Quiz_Frage5_Punkte]]</f>
        <v>15.5</v>
      </c>
      <c r="Q23" s="8">
        <f>Trainingsabschluss[[#This Row],[Quizergebnis]]/Max_Quizergebnis</f>
        <v>0.70454545454545459</v>
      </c>
      <c r="R23" t="str" cm="1">
        <f t="array" ref="R23">_xlfn.IFS(Trainingsabschluss[[#This Row],[Quizergebnis_Prozent]]&lt;0.5, "Nicht bestanden",
Trainingsabschluss[[#This Row],[Quizergebnis_Prozent]]&lt;0.65, "Bestanden",
Trainingsabschluss[[#This Row],[Quizergebnis_Prozent]]&lt;0.8, "Gut bestanden",
TRUE, "Sehr gut bestanden")</f>
        <v>Gut bestanden</v>
      </c>
      <c r="S23" s="3">
        <v>8</v>
      </c>
      <c r="T23" s="3" t="str" cm="1">
        <f t="array" ref="T23">_xlfn.IFS(Trainingsabschluss[[#This Row],[Training_Bewertung]]&gt;=9, "Promotor", Trainingsabschluss[[#This Row],[Training_Bewertung]]
&lt;=6, "Detraktor",
TRUE, "Passiv")</f>
        <v>Passiv</v>
      </c>
      <c r="W23"/>
    </row>
    <row r="24" spans="1:23" x14ac:dyDescent="0.3">
      <c r="A24" s="13" t="s">
        <v>93</v>
      </c>
      <c r="B24" s="2">
        <v>5</v>
      </c>
      <c r="C24" s="2">
        <v>4</v>
      </c>
      <c r="D24" s="2">
        <v>1.5</v>
      </c>
      <c r="E24" s="2">
        <v>1.5</v>
      </c>
      <c r="F24" s="2">
        <v>0</v>
      </c>
      <c r="G24" s="2" t="str">
        <f>_xlfn.XLOOKUP(Trainingsabschluss[[#This Row],[UserID]], Teilnehmende[UserID], Teilnehmende[Branche], "UserID nicht gefunden")</f>
        <v>Einzelhandel</v>
      </c>
      <c r="H24">
        <f>_xlfn.XLOOKUP(Trainingsabschluss[[#This Row],[UserID]], Teilnehmende[UserID], Teilnehmende[Bildungsabschluss], "UserID nicht gefunden")</f>
        <v>0</v>
      </c>
      <c r="I24" s="3">
        <f>_xlfn.XLOOKUP(Trainingsabschluss[[#This Row],[UserID]], Teilnehmende[UserID], Teilnehmende[Berufserfahrung])</f>
        <v>7</v>
      </c>
      <c r="J24" s="3" t="str" cm="1">
        <f t="array" ref="J2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4" s="11">
        <f>Trainingsabschluss[[#This Row],[Quiz_Frage1_Punkte]]/Max_Frage1</f>
        <v>1</v>
      </c>
      <c r="L24" s="11">
        <f>Trainingsabschluss[[#This Row],[Quiz_Frage2_Punkte]]/Max_Frage2</f>
        <v>0.8</v>
      </c>
      <c r="M24" s="11">
        <f>Trainingsabschluss[[#This Row],[Quiz_Frage3_Punkte]]/Max_Frage3</f>
        <v>0.3</v>
      </c>
      <c r="N24" s="11">
        <f>Trainingsabschluss[[#This Row],[Quiz_Frage4_Punkte]]/Max_Frage4</f>
        <v>0.375</v>
      </c>
      <c r="O24" s="11">
        <f>Trainingsabschluss[[#This Row],[Quiz_Frage5_Punkte]]/Max_Frage5</f>
        <v>0</v>
      </c>
      <c r="P24" s="2">
        <f>Trainingsabschluss[[#This Row],[Quiz_Frage1_Punkte]]+Trainingsabschluss[[#This Row],[Quiz_Frage2_Punkte]]+Trainingsabschluss[[#This Row],[Quiz_Frage3_Punkte]]+Trainingsabschluss[[#This Row],[Quiz_Frage4_Punkte]]+Trainingsabschluss[[#This Row],[Quiz_Frage5_Punkte]]</f>
        <v>12</v>
      </c>
      <c r="Q24" s="8">
        <f>Trainingsabschluss[[#This Row],[Quizergebnis]]/Max_Quizergebnis</f>
        <v>0.54545454545454541</v>
      </c>
      <c r="R24" t="str" cm="1">
        <f t="array" ref="R24">_xlfn.IFS(Trainingsabschluss[[#This Row],[Quizergebnis_Prozent]]&lt;0.5, "Nicht bestanden",
Trainingsabschluss[[#This Row],[Quizergebnis_Prozent]]&lt;0.65, "Bestanden",
Trainingsabschluss[[#This Row],[Quizergebnis_Prozent]]&lt;0.8, "Gut bestanden",
TRUE, "Sehr gut bestanden")</f>
        <v>Bestanden</v>
      </c>
      <c r="S24" s="3">
        <v>8</v>
      </c>
      <c r="T24" s="3" t="str" cm="1">
        <f t="array" ref="T24">_xlfn.IFS(Trainingsabschluss[[#This Row],[Training_Bewertung]]&gt;=9, "Promotor", Trainingsabschluss[[#This Row],[Training_Bewertung]]
&lt;=6, "Detraktor",
TRUE, "Passiv")</f>
        <v>Passiv</v>
      </c>
      <c r="W24"/>
    </row>
    <row r="25" spans="1:23" x14ac:dyDescent="0.3">
      <c r="A25" s="13" t="s">
        <v>101</v>
      </c>
      <c r="B25" s="2">
        <v>4</v>
      </c>
      <c r="C25" s="2">
        <v>5</v>
      </c>
      <c r="D25" s="2">
        <v>3.5</v>
      </c>
      <c r="E25" s="2">
        <v>3</v>
      </c>
      <c r="F25" s="2">
        <v>3</v>
      </c>
      <c r="G25" s="2" t="str">
        <f>_xlfn.XLOOKUP(Trainingsabschluss[[#This Row],[UserID]], Teilnehmende[UserID], Teilnehmende[Branche], "UserID nicht gefunden")</f>
        <v>Großhandel</v>
      </c>
      <c r="H25">
        <f>_xlfn.XLOOKUP(Trainingsabschluss[[#This Row],[UserID]], Teilnehmende[UserID], Teilnehmende[Bildungsabschluss], "UserID nicht gefunden")</f>
        <v>0</v>
      </c>
      <c r="I25" s="3">
        <f>_xlfn.XLOOKUP(Trainingsabschluss[[#This Row],[UserID]], Teilnehmende[UserID], Teilnehmende[Berufserfahrung])</f>
        <v>7</v>
      </c>
      <c r="J25" s="3" t="str" cm="1">
        <f t="array" ref="J2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5" s="11">
        <f>Trainingsabschluss[[#This Row],[Quiz_Frage1_Punkte]]/Max_Frage1</f>
        <v>0.8</v>
      </c>
      <c r="L25" s="11">
        <f>Trainingsabschluss[[#This Row],[Quiz_Frage2_Punkte]]/Max_Frage2</f>
        <v>1</v>
      </c>
      <c r="M25" s="11">
        <f>Trainingsabschluss[[#This Row],[Quiz_Frage3_Punkte]]/Max_Frage3</f>
        <v>0.7</v>
      </c>
      <c r="N25" s="11">
        <f>Trainingsabschluss[[#This Row],[Quiz_Frage4_Punkte]]/Max_Frage4</f>
        <v>0.75</v>
      </c>
      <c r="O25" s="11">
        <f>Trainingsabschluss[[#This Row],[Quiz_Frage5_Punkte]]/Max_Frage5</f>
        <v>1</v>
      </c>
      <c r="P25" s="2">
        <f>Trainingsabschluss[[#This Row],[Quiz_Frage1_Punkte]]+Trainingsabschluss[[#This Row],[Quiz_Frage2_Punkte]]+Trainingsabschluss[[#This Row],[Quiz_Frage3_Punkte]]+Trainingsabschluss[[#This Row],[Quiz_Frage4_Punkte]]+Trainingsabschluss[[#This Row],[Quiz_Frage5_Punkte]]</f>
        <v>18.5</v>
      </c>
      <c r="Q25" s="8">
        <f>Trainingsabschluss[[#This Row],[Quizergebnis]]/Max_Quizergebnis</f>
        <v>0.84090909090909094</v>
      </c>
      <c r="R25" t="str" cm="1">
        <f t="array" ref="R25">_xlfn.IFS(Trainingsabschluss[[#This Row],[Quizergebnis_Prozent]]&lt;0.5, "Nicht bestanden",
Trainingsabschluss[[#This Row],[Quizergebnis_Prozent]]&lt;0.65, "Bestanden",
Trainingsabschluss[[#This Row],[Quizergebnis_Prozent]]&lt;0.8, "Gut bestanden",
TRUE, "Sehr gut bestanden")</f>
        <v>Sehr gut bestanden</v>
      </c>
      <c r="S25" s="3">
        <v>8</v>
      </c>
      <c r="T25" s="3" t="str" cm="1">
        <f t="array" ref="T25">_xlfn.IFS(Trainingsabschluss[[#This Row],[Training_Bewertung]]&gt;=9, "Promotor", Trainingsabschluss[[#This Row],[Training_Bewertung]]
&lt;=6, "Detraktor",
TRUE, "Passiv")</f>
        <v>Passiv</v>
      </c>
      <c r="W25"/>
    </row>
    <row r="26" spans="1:23" x14ac:dyDescent="0.3">
      <c r="A26" s="13" t="s">
        <v>39</v>
      </c>
      <c r="B26" s="2">
        <v>5</v>
      </c>
      <c r="C26" s="2">
        <v>2.5</v>
      </c>
      <c r="D26" s="2">
        <v>3.5</v>
      </c>
      <c r="E26" s="2">
        <v>3</v>
      </c>
      <c r="F26" s="2">
        <v>1.5</v>
      </c>
      <c r="G26" s="2" t="str">
        <f>_xlfn.XLOOKUP(Trainingsabschluss[[#This Row],[UserID]], Teilnehmende[UserID], Teilnehmende[Branche], "UserID nicht gefunden")</f>
        <v>E-Commerce</v>
      </c>
      <c r="H26">
        <f>_xlfn.XLOOKUP(Trainingsabschluss[[#This Row],[UserID]], Teilnehmende[UserID], Teilnehmende[Bildungsabschluss], "UserID nicht gefunden")</f>
        <v>0</v>
      </c>
      <c r="I26" s="3">
        <f>_xlfn.XLOOKUP(Trainingsabschluss[[#This Row],[UserID]], Teilnehmende[UserID], Teilnehmende[Berufserfahrung])</f>
        <v>20</v>
      </c>
      <c r="J26" s="3" t="str" cm="1">
        <f t="array" ref="J26">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26" s="11">
        <f>Trainingsabschluss[[#This Row],[Quiz_Frage1_Punkte]]/Max_Frage1</f>
        <v>1</v>
      </c>
      <c r="L26" s="11">
        <f>Trainingsabschluss[[#This Row],[Quiz_Frage2_Punkte]]/Max_Frage2</f>
        <v>0.5</v>
      </c>
      <c r="M26" s="11">
        <f>Trainingsabschluss[[#This Row],[Quiz_Frage3_Punkte]]/Max_Frage3</f>
        <v>0.7</v>
      </c>
      <c r="N26" s="11">
        <f>Trainingsabschluss[[#This Row],[Quiz_Frage4_Punkte]]/Max_Frage4</f>
        <v>0.75</v>
      </c>
      <c r="O26" s="11">
        <f>Trainingsabschluss[[#This Row],[Quiz_Frage5_Punkte]]/Max_Frage5</f>
        <v>0.5</v>
      </c>
      <c r="P26" s="2">
        <f>Trainingsabschluss[[#This Row],[Quiz_Frage1_Punkte]]+Trainingsabschluss[[#This Row],[Quiz_Frage2_Punkte]]+Trainingsabschluss[[#This Row],[Quiz_Frage3_Punkte]]+Trainingsabschluss[[#This Row],[Quiz_Frage4_Punkte]]+Trainingsabschluss[[#This Row],[Quiz_Frage5_Punkte]]</f>
        <v>15.5</v>
      </c>
      <c r="Q26" s="8">
        <f>Trainingsabschluss[[#This Row],[Quizergebnis]]/Max_Quizergebnis</f>
        <v>0.70454545454545459</v>
      </c>
      <c r="R26" t="str" cm="1">
        <f t="array" ref="R26">_xlfn.IFS(Trainingsabschluss[[#This Row],[Quizergebnis_Prozent]]&lt;0.5, "Nicht bestanden",
Trainingsabschluss[[#This Row],[Quizergebnis_Prozent]]&lt;0.65, "Bestanden",
Trainingsabschluss[[#This Row],[Quizergebnis_Prozent]]&lt;0.8, "Gut bestanden",
TRUE, "Sehr gut bestanden")</f>
        <v>Gut bestanden</v>
      </c>
      <c r="S26" s="3">
        <v>5</v>
      </c>
      <c r="T26" s="3" t="str" cm="1">
        <f t="array" ref="T26">_xlfn.IFS(Trainingsabschluss[[#This Row],[Training_Bewertung]]&gt;=9, "Promotor", Trainingsabschluss[[#This Row],[Training_Bewertung]]
&lt;=6, "Detraktor",
TRUE, "Passiv")</f>
        <v>Detraktor</v>
      </c>
      <c r="W26"/>
    </row>
    <row r="27" spans="1:23" x14ac:dyDescent="0.3">
      <c r="A27" s="13" t="s">
        <v>40</v>
      </c>
      <c r="B27" s="2">
        <v>5</v>
      </c>
      <c r="C27" s="2">
        <v>3</v>
      </c>
      <c r="D27" s="2">
        <v>1</v>
      </c>
      <c r="E27" s="2">
        <v>4</v>
      </c>
      <c r="F27" s="2">
        <v>3</v>
      </c>
      <c r="G27" s="2" t="str">
        <f>_xlfn.XLOOKUP(Trainingsabschluss[[#This Row],[UserID]], Teilnehmende[UserID], Teilnehmende[Branche], "UserID nicht gefunden")</f>
        <v>Einzelhandel</v>
      </c>
      <c r="H27">
        <f>_xlfn.XLOOKUP(Trainingsabschluss[[#This Row],[UserID]], Teilnehmende[UserID], Teilnehmende[Bildungsabschluss], "UserID nicht gefunden")</f>
        <v>0</v>
      </c>
      <c r="I27" s="3">
        <f>_xlfn.XLOOKUP(Trainingsabschluss[[#This Row],[UserID]], Teilnehmende[UserID], Teilnehmende[Berufserfahrung])</f>
        <v>1</v>
      </c>
      <c r="J27" s="3" t="str" cm="1">
        <f t="array" ref="J2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7" s="11">
        <f>Trainingsabschluss[[#This Row],[Quiz_Frage1_Punkte]]/Max_Frage1</f>
        <v>1</v>
      </c>
      <c r="L27" s="11">
        <f>Trainingsabschluss[[#This Row],[Quiz_Frage2_Punkte]]/Max_Frage2</f>
        <v>0.6</v>
      </c>
      <c r="M27" s="11">
        <f>Trainingsabschluss[[#This Row],[Quiz_Frage3_Punkte]]/Max_Frage3</f>
        <v>0.2</v>
      </c>
      <c r="N27" s="11">
        <f>Trainingsabschluss[[#This Row],[Quiz_Frage4_Punkte]]/Max_Frage4</f>
        <v>1</v>
      </c>
      <c r="O27" s="11">
        <f>Trainingsabschluss[[#This Row],[Quiz_Frage5_Punkte]]/Max_Frage5</f>
        <v>1</v>
      </c>
      <c r="P27" s="2">
        <f>Trainingsabschluss[[#This Row],[Quiz_Frage1_Punkte]]+Trainingsabschluss[[#This Row],[Quiz_Frage2_Punkte]]+Trainingsabschluss[[#This Row],[Quiz_Frage3_Punkte]]+Trainingsabschluss[[#This Row],[Quiz_Frage4_Punkte]]+Trainingsabschluss[[#This Row],[Quiz_Frage5_Punkte]]</f>
        <v>16</v>
      </c>
      <c r="Q27" s="8">
        <f>Trainingsabschluss[[#This Row],[Quizergebnis]]/Max_Quizergebnis</f>
        <v>0.72727272727272729</v>
      </c>
      <c r="R27" t="str" cm="1">
        <f t="array" ref="R27">_xlfn.IFS(Trainingsabschluss[[#This Row],[Quizergebnis_Prozent]]&lt;0.5, "Nicht bestanden",
Trainingsabschluss[[#This Row],[Quizergebnis_Prozent]]&lt;0.65, "Bestanden",
Trainingsabschluss[[#This Row],[Quizergebnis_Prozent]]&lt;0.8, "Gut bestanden",
TRUE, "Sehr gut bestanden")</f>
        <v>Gut bestanden</v>
      </c>
      <c r="S27" s="3">
        <v>4</v>
      </c>
      <c r="T27" s="3" t="str" cm="1">
        <f t="array" ref="T27">_xlfn.IFS(Trainingsabschluss[[#This Row],[Training_Bewertung]]&gt;=9, "Promotor", Trainingsabschluss[[#This Row],[Training_Bewertung]]
&lt;=6, "Detraktor",
TRUE, "Passiv")</f>
        <v>Detraktor</v>
      </c>
      <c r="W27"/>
    </row>
    <row r="28" spans="1:23" x14ac:dyDescent="0.3">
      <c r="A28" s="13" t="s">
        <v>48</v>
      </c>
      <c r="B28" s="2">
        <v>5</v>
      </c>
      <c r="C28" s="2">
        <v>3.5</v>
      </c>
      <c r="D28" s="2">
        <v>0</v>
      </c>
      <c r="E28" s="2">
        <v>3</v>
      </c>
      <c r="F28" s="2">
        <v>1.5</v>
      </c>
      <c r="G28" s="2" t="str">
        <f>_xlfn.XLOOKUP(Trainingsabschluss[[#This Row],[UserID]], Teilnehmende[UserID], Teilnehmende[Branche], "UserID nicht gefunden")</f>
        <v>Großhandel</v>
      </c>
      <c r="H28">
        <f>_xlfn.XLOOKUP(Trainingsabschluss[[#This Row],[UserID]], Teilnehmende[UserID], Teilnehmende[Bildungsabschluss], "UserID nicht gefunden")</f>
        <v>0</v>
      </c>
      <c r="I28" s="3">
        <f>_xlfn.XLOOKUP(Trainingsabschluss[[#This Row],[UserID]], Teilnehmende[UserID], Teilnehmende[Berufserfahrung])</f>
        <v>12</v>
      </c>
      <c r="J28" s="3" t="str" cm="1">
        <f t="array" ref="J2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8" s="11">
        <f>Trainingsabschluss[[#This Row],[Quiz_Frage1_Punkte]]/Max_Frage1</f>
        <v>1</v>
      </c>
      <c r="L28" s="11">
        <f>Trainingsabschluss[[#This Row],[Quiz_Frage2_Punkte]]/Max_Frage2</f>
        <v>0.7</v>
      </c>
      <c r="M28" s="11">
        <f>Trainingsabschluss[[#This Row],[Quiz_Frage3_Punkte]]/Max_Frage3</f>
        <v>0</v>
      </c>
      <c r="N28" s="11">
        <f>Trainingsabschluss[[#This Row],[Quiz_Frage4_Punkte]]/Max_Frage4</f>
        <v>0.75</v>
      </c>
      <c r="O28" s="11">
        <f>Trainingsabschluss[[#This Row],[Quiz_Frage5_Punkte]]/Max_Frage5</f>
        <v>0.5</v>
      </c>
      <c r="P28" s="2">
        <f>Trainingsabschluss[[#This Row],[Quiz_Frage1_Punkte]]+Trainingsabschluss[[#This Row],[Quiz_Frage2_Punkte]]+Trainingsabschluss[[#This Row],[Quiz_Frage3_Punkte]]+Trainingsabschluss[[#This Row],[Quiz_Frage4_Punkte]]+Trainingsabschluss[[#This Row],[Quiz_Frage5_Punkte]]</f>
        <v>13</v>
      </c>
      <c r="Q28" s="8">
        <f>Trainingsabschluss[[#This Row],[Quizergebnis]]/Max_Quizergebnis</f>
        <v>0.59090909090909094</v>
      </c>
      <c r="R28" t="str" cm="1">
        <f t="array" ref="R28">_xlfn.IFS(Trainingsabschluss[[#This Row],[Quizergebnis_Prozent]]&lt;0.5, "Nicht bestanden",
Trainingsabschluss[[#This Row],[Quizergebnis_Prozent]]&lt;0.65, "Bestanden",
Trainingsabschluss[[#This Row],[Quizergebnis_Prozent]]&lt;0.8, "Gut bestanden",
TRUE, "Sehr gut bestanden")</f>
        <v>Bestanden</v>
      </c>
      <c r="S28" s="3">
        <v>6</v>
      </c>
      <c r="T28" s="3" t="str" cm="1">
        <f t="array" ref="T28">_xlfn.IFS(Trainingsabschluss[[#This Row],[Training_Bewertung]]&gt;=9, "Promotor", Trainingsabschluss[[#This Row],[Training_Bewertung]]
&lt;=6, "Detraktor",
TRUE, "Passiv")</f>
        <v>Detraktor</v>
      </c>
      <c r="W28"/>
    </row>
    <row r="29" spans="1:23" x14ac:dyDescent="0.3">
      <c r="A29" s="13" t="s">
        <v>110</v>
      </c>
      <c r="B29" s="2">
        <v>5</v>
      </c>
      <c r="C29" s="2">
        <v>3.5</v>
      </c>
      <c r="D29" s="2">
        <v>2.5</v>
      </c>
      <c r="E29" s="2">
        <v>2.5</v>
      </c>
      <c r="F29" s="2">
        <v>1.5</v>
      </c>
      <c r="G29" s="2" t="str">
        <f>_xlfn.XLOOKUP(Trainingsabschluss[[#This Row],[UserID]], Teilnehmende[UserID], Teilnehmende[Branche], "UserID nicht gefunden")</f>
        <v>E-Commerce</v>
      </c>
      <c r="H29">
        <f>_xlfn.XLOOKUP(Trainingsabschluss[[#This Row],[UserID]], Teilnehmende[UserID], Teilnehmende[Bildungsabschluss], "UserID nicht gefunden")</f>
        <v>0</v>
      </c>
      <c r="I29" s="3">
        <f>_xlfn.XLOOKUP(Trainingsabschluss[[#This Row],[UserID]], Teilnehmende[UserID], Teilnehmende[Berufserfahrung])</f>
        <v>12</v>
      </c>
      <c r="J29" s="3" t="str" cm="1">
        <f t="array" ref="J2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9" s="11">
        <f>Trainingsabschluss[[#This Row],[Quiz_Frage1_Punkte]]/Max_Frage1</f>
        <v>1</v>
      </c>
      <c r="L29" s="11">
        <f>Trainingsabschluss[[#This Row],[Quiz_Frage2_Punkte]]/Max_Frage2</f>
        <v>0.7</v>
      </c>
      <c r="M29" s="11">
        <f>Trainingsabschluss[[#This Row],[Quiz_Frage3_Punkte]]/Max_Frage3</f>
        <v>0.5</v>
      </c>
      <c r="N29" s="11">
        <f>Trainingsabschluss[[#This Row],[Quiz_Frage4_Punkte]]/Max_Frage4</f>
        <v>0.625</v>
      </c>
      <c r="O29" s="11">
        <f>Trainingsabschluss[[#This Row],[Quiz_Frage5_Punkte]]/Max_Frage5</f>
        <v>0.5</v>
      </c>
      <c r="P29" s="2">
        <f>Trainingsabschluss[[#This Row],[Quiz_Frage1_Punkte]]+Trainingsabschluss[[#This Row],[Quiz_Frage2_Punkte]]+Trainingsabschluss[[#This Row],[Quiz_Frage3_Punkte]]+Trainingsabschluss[[#This Row],[Quiz_Frage4_Punkte]]+Trainingsabschluss[[#This Row],[Quiz_Frage5_Punkte]]</f>
        <v>15</v>
      </c>
      <c r="Q29" s="8">
        <f>Trainingsabschluss[[#This Row],[Quizergebnis]]/Max_Quizergebnis</f>
        <v>0.68181818181818177</v>
      </c>
      <c r="R29" t="str" cm="1">
        <f t="array" ref="R29">_xlfn.IFS(Trainingsabschluss[[#This Row],[Quizergebnis_Prozent]]&lt;0.5, "Nicht bestanden",
Trainingsabschluss[[#This Row],[Quizergebnis_Prozent]]&lt;0.65, "Bestanden",
Trainingsabschluss[[#This Row],[Quizergebnis_Prozent]]&lt;0.8, "Gut bestanden",
TRUE, "Sehr gut bestanden")</f>
        <v>Gut bestanden</v>
      </c>
      <c r="S29" s="3">
        <v>9</v>
      </c>
      <c r="T29" s="3" t="str" cm="1">
        <f t="array" ref="T29">_xlfn.IFS(Trainingsabschluss[[#This Row],[Training_Bewertung]]&gt;=9, "Promotor", Trainingsabschluss[[#This Row],[Training_Bewertung]]
&lt;=6, "Detraktor",
TRUE, "Passiv")</f>
        <v>Promotor</v>
      </c>
      <c r="W29"/>
    </row>
    <row r="30" spans="1:23" x14ac:dyDescent="0.3">
      <c r="A30" s="13" t="s">
        <v>116</v>
      </c>
      <c r="B30" s="2">
        <v>5</v>
      </c>
      <c r="C30" s="2">
        <v>5</v>
      </c>
      <c r="D30" s="2">
        <v>2.5</v>
      </c>
      <c r="E30" s="2">
        <v>2</v>
      </c>
      <c r="F30" s="2">
        <v>2.5</v>
      </c>
      <c r="G30" s="2" t="str">
        <f>_xlfn.XLOOKUP(Trainingsabschluss[[#This Row],[UserID]], Teilnehmende[UserID], Teilnehmende[Branche], "UserID nicht gefunden")</f>
        <v>Einzelhandel</v>
      </c>
      <c r="H30">
        <f>_xlfn.XLOOKUP(Trainingsabschluss[[#This Row],[UserID]], Teilnehmende[UserID], Teilnehmende[Bildungsabschluss], "UserID nicht gefunden")</f>
        <v>0</v>
      </c>
      <c r="I30" s="3">
        <f>_xlfn.XLOOKUP(Trainingsabschluss[[#This Row],[UserID]], Teilnehmende[UserID], Teilnehmende[Berufserfahrung])</f>
        <v>9</v>
      </c>
      <c r="J30" s="3" t="str" cm="1">
        <f t="array" ref="J3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0" s="11">
        <f>Trainingsabschluss[[#This Row],[Quiz_Frage1_Punkte]]/Max_Frage1</f>
        <v>1</v>
      </c>
      <c r="L30" s="11">
        <f>Trainingsabschluss[[#This Row],[Quiz_Frage2_Punkte]]/Max_Frage2</f>
        <v>1</v>
      </c>
      <c r="M30" s="11">
        <f>Trainingsabschluss[[#This Row],[Quiz_Frage3_Punkte]]/Max_Frage3</f>
        <v>0.5</v>
      </c>
      <c r="N30" s="11">
        <f>Trainingsabschluss[[#This Row],[Quiz_Frage4_Punkte]]/Max_Frage4</f>
        <v>0.5</v>
      </c>
      <c r="O30" s="11">
        <f>Trainingsabschluss[[#This Row],[Quiz_Frage5_Punkte]]/Max_Frage5</f>
        <v>0.83333333333333337</v>
      </c>
      <c r="P30" s="2">
        <f>Trainingsabschluss[[#This Row],[Quiz_Frage1_Punkte]]+Trainingsabschluss[[#This Row],[Quiz_Frage2_Punkte]]+Trainingsabschluss[[#This Row],[Quiz_Frage3_Punkte]]+Trainingsabschluss[[#This Row],[Quiz_Frage4_Punkte]]+Trainingsabschluss[[#This Row],[Quiz_Frage5_Punkte]]</f>
        <v>17</v>
      </c>
      <c r="Q30" s="8">
        <f>Trainingsabschluss[[#This Row],[Quizergebnis]]/Max_Quizergebnis</f>
        <v>0.77272727272727271</v>
      </c>
      <c r="R30" t="str" cm="1">
        <f t="array" ref="R30">_xlfn.IFS(Trainingsabschluss[[#This Row],[Quizergebnis_Prozent]]&lt;0.5, "Nicht bestanden",
Trainingsabschluss[[#This Row],[Quizergebnis_Prozent]]&lt;0.65, "Bestanden",
Trainingsabschluss[[#This Row],[Quizergebnis_Prozent]]&lt;0.8, "Gut bestanden",
TRUE, "Sehr gut bestanden")</f>
        <v>Gut bestanden</v>
      </c>
      <c r="S30" s="3">
        <v>9</v>
      </c>
      <c r="T30" s="3" t="str" cm="1">
        <f t="array" ref="T30">_xlfn.IFS(Trainingsabschluss[[#This Row],[Training_Bewertung]]&gt;=9, "Promotor", Trainingsabschluss[[#This Row],[Training_Bewertung]]
&lt;=6, "Detraktor",
TRUE, "Passiv")</f>
        <v>Promotor</v>
      </c>
      <c r="W30"/>
    </row>
    <row r="31" spans="1:23" x14ac:dyDescent="0.3">
      <c r="A31" s="13" t="s">
        <v>118</v>
      </c>
      <c r="B31" s="2">
        <v>5</v>
      </c>
      <c r="C31" s="2">
        <v>2.5</v>
      </c>
      <c r="D31" s="2">
        <v>3</v>
      </c>
      <c r="E31" s="2">
        <v>3.5</v>
      </c>
      <c r="F31" s="2">
        <v>1.5</v>
      </c>
      <c r="G31" s="2" t="str">
        <f>_xlfn.XLOOKUP(Trainingsabschluss[[#This Row],[UserID]], Teilnehmende[UserID], Teilnehmende[Branche], "UserID nicht gefunden")</f>
        <v>E-Commerce</v>
      </c>
      <c r="H31">
        <f>_xlfn.XLOOKUP(Trainingsabschluss[[#This Row],[UserID]], Teilnehmende[UserID], Teilnehmende[Bildungsabschluss], "UserID nicht gefunden")</f>
        <v>0</v>
      </c>
      <c r="I31" s="3">
        <f>_xlfn.XLOOKUP(Trainingsabschluss[[#This Row],[UserID]], Teilnehmende[UserID], Teilnehmende[Berufserfahrung])</f>
        <v>5</v>
      </c>
      <c r="J31" s="3" t="str" cm="1">
        <f t="array" ref="J3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1" s="11">
        <f>Trainingsabschluss[[#This Row],[Quiz_Frage1_Punkte]]/Max_Frage1</f>
        <v>1</v>
      </c>
      <c r="L31" s="11">
        <f>Trainingsabschluss[[#This Row],[Quiz_Frage2_Punkte]]/Max_Frage2</f>
        <v>0.5</v>
      </c>
      <c r="M31" s="11">
        <f>Trainingsabschluss[[#This Row],[Quiz_Frage3_Punkte]]/Max_Frage3</f>
        <v>0.6</v>
      </c>
      <c r="N31" s="11">
        <f>Trainingsabschluss[[#This Row],[Quiz_Frage4_Punkte]]/Max_Frage4</f>
        <v>0.875</v>
      </c>
      <c r="O31" s="11">
        <f>Trainingsabschluss[[#This Row],[Quiz_Frage5_Punkte]]/Max_Frage5</f>
        <v>0.5</v>
      </c>
      <c r="P31" s="2">
        <f>Trainingsabschluss[[#This Row],[Quiz_Frage1_Punkte]]+Trainingsabschluss[[#This Row],[Quiz_Frage2_Punkte]]+Trainingsabschluss[[#This Row],[Quiz_Frage3_Punkte]]+Trainingsabschluss[[#This Row],[Quiz_Frage4_Punkte]]+Trainingsabschluss[[#This Row],[Quiz_Frage5_Punkte]]</f>
        <v>15.5</v>
      </c>
      <c r="Q31" s="8">
        <f>Trainingsabschluss[[#This Row],[Quizergebnis]]/Max_Quizergebnis</f>
        <v>0.70454545454545459</v>
      </c>
      <c r="R31" t="str" cm="1">
        <f t="array" ref="R31">_xlfn.IFS(Trainingsabschluss[[#This Row],[Quizergebnis_Prozent]]&lt;0.5, "Nicht bestanden",
Trainingsabschluss[[#This Row],[Quizergebnis_Prozent]]&lt;0.65, "Bestanden",
Trainingsabschluss[[#This Row],[Quizergebnis_Prozent]]&lt;0.8, "Gut bestanden",
TRUE, "Sehr gut bestanden")</f>
        <v>Gut bestanden</v>
      </c>
      <c r="S31" s="3">
        <v>9</v>
      </c>
      <c r="T31" s="3" t="str" cm="1">
        <f t="array" ref="T31">_xlfn.IFS(Trainingsabschluss[[#This Row],[Training_Bewertung]]&gt;=9, "Promotor", Trainingsabschluss[[#This Row],[Training_Bewertung]]
&lt;=6, "Detraktor",
TRUE, "Passiv")</f>
        <v>Promotor</v>
      </c>
      <c r="W31"/>
    </row>
    <row r="32" spans="1:23" x14ac:dyDescent="0.3">
      <c r="A32" s="13" t="s">
        <v>121</v>
      </c>
      <c r="B32" s="2">
        <v>5</v>
      </c>
      <c r="C32" s="2">
        <v>4</v>
      </c>
      <c r="D32" s="2">
        <v>2.5</v>
      </c>
      <c r="E32" s="2">
        <v>3</v>
      </c>
      <c r="F32" s="2">
        <v>1.5</v>
      </c>
      <c r="G32" s="2" t="str">
        <f>_xlfn.XLOOKUP(Trainingsabschluss[[#This Row],[UserID]], Teilnehmende[UserID], Teilnehmende[Branche], "UserID nicht gefunden")</f>
        <v>Großhandel</v>
      </c>
      <c r="H32">
        <f>_xlfn.XLOOKUP(Trainingsabschluss[[#This Row],[UserID]], Teilnehmende[UserID], Teilnehmende[Bildungsabschluss], "UserID nicht gefunden")</f>
        <v>0</v>
      </c>
      <c r="I32" s="3">
        <f>_xlfn.XLOOKUP(Trainingsabschluss[[#This Row],[UserID]], Teilnehmende[UserID], Teilnehmende[Berufserfahrung])</f>
        <v>9</v>
      </c>
      <c r="J32" s="3" t="str" cm="1">
        <f t="array" ref="J3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2" s="11">
        <f>Trainingsabschluss[[#This Row],[Quiz_Frage1_Punkte]]/Max_Frage1</f>
        <v>1</v>
      </c>
      <c r="L32" s="11">
        <f>Trainingsabschluss[[#This Row],[Quiz_Frage2_Punkte]]/Max_Frage2</f>
        <v>0.8</v>
      </c>
      <c r="M32" s="11">
        <f>Trainingsabschluss[[#This Row],[Quiz_Frage3_Punkte]]/Max_Frage3</f>
        <v>0.5</v>
      </c>
      <c r="N32" s="11">
        <f>Trainingsabschluss[[#This Row],[Quiz_Frage4_Punkte]]/Max_Frage4</f>
        <v>0.75</v>
      </c>
      <c r="O32" s="11">
        <f>Trainingsabschluss[[#This Row],[Quiz_Frage5_Punkte]]/Max_Frage5</f>
        <v>0.5</v>
      </c>
      <c r="P32" s="2">
        <f>Trainingsabschluss[[#This Row],[Quiz_Frage1_Punkte]]+Trainingsabschluss[[#This Row],[Quiz_Frage2_Punkte]]+Trainingsabschluss[[#This Row],[Quiz_Frage3_Punkte]]+Trainingsabschluss[[#This Row],[Quiz_Frage4_Punkte]]+Trainingsabschluss[[#This Row],[Quiz_Frage5_Punkte]]</f>
        <v>16</v>
      </c>
      <c r="Q32" s="8">
        <f>Trainingsabschluss[[#This Row],[Quizergebnis]]/Max_Quizergebnis</f>
        <v>0.72727272727272729</v>
      </c>
      <c r="R32" t="str" cm="1">
        <f t="array" ref="R32">_xlfn.IFS(Trainingsabschluss[[#This Row],[Quizergebnis_Prozent]]&lt;0.5, "Nicht bestanden",
Trainingsabschluss[[#This Row],[Quizergebnis_Prozent]]&lt;0.65, "Bestanden",
Trainingsabschluss[[#This Row],[Quizergebnis_Prozent]]&lt;0.8, "Gut bestanden",
TRUE, "Sehr gut bestanden")</f>
        <v>Gut bestanden</v>
      </c>
      <c r="S32" s="3">
        <v>9</v>
      </c>
      <c r="T32" s="3" t="str" cm="1">
        <f t="array" ref="T32">_xlfn.IFS(Trainingsabschluss[[#This Row],[Training_Bewertung]]&gt;=9, "Promotor", Trainingsabschluss[[#This Row],[Training_Bewertung]]
&lt;=6, "Detraktor",
TRUE, "Passiv")</f>
        <v>Promotor</v>
      </c>
      <c r="W32"/>
    </row>
    <row r="33" spans="1:23" x14ac:dyDescent="0.3">
      <c r="A33" s="13" t="s">
        <v>128</v>
      </c>
      <c r="B33" s="2">
        <v>4.5</v>
      </c>
      <c r="C33" s="2">
        <v>4</v>
      </c>
      <c r="D33" s="2">
        <v>3.5</v>
      </c>
      <c r="E33" s="2">
        <v>2.5</v>
      </c>
      <c r="F33" s="2">
        <v>1.5</v>
      </c>
      <c r="G33" s="2" t="str">
        <f>_xlfn.XLOOKUP(Trainingsabschluss[[#This Row],[UserID]], Teilnehmende[UserID], Teilnehmende[Branche], "UserID nicht gefunden")</f>
        <v>Großhandel</v>
      </c>
      <c r="H33">
        <f>_xlfn.XLOOKUP(Trainingsabschluss[[#This Row],[UserID]], Teilnehmende[UserID], Teilnehmende[Bildungsabschluss], "UserID nicht gefunden")</f>
        <v>0</v>
      </c>
      <c r="I33" s="3">
        <f>_xlfn.XLOOKUP(Trainingsabschluss[[#This Row],[UserID]], Teilnehmende[UserID], Teilnehmende[Berufserfahrung])</f>
        <v>15</v>
      </c>
      <c r="J33" s="3" t="str" cm="1">
        <f t="array" ref="J33">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3" s="11">
        <f>Trainingsabschluss[[#This Row],[Quiz_Frage1_Punkte]]/Max_Frage1</f>
        <v>0.9</v>
      </c>
      <c r="L33" s="11">
        <f>Trainingsabschluss[[#This Row],[Quiz_Frage2_Punkte]]/Max_Frage2</f>
        <v>0.8</v>
      </c>
      <c r="M33" s="11">
        <f>Trainingsabschluss[[#This Row],[Quiz_Frage3_Punkte]]/Max_Frage3</f>
        <v>0.7</v>
      </c>
      <c r="N33" s="11">
        <f>Trainingsabschluss[[#This Row],[Quiz_Frage4_Punkte]]/Max_Frage4</f>
        <v>0.625</v>
      </c>
      <c r="O33" s="11">
        <f>Trainingsabschluss[[#This Row],[Quiz_Frage5_Punkte]]/Max_Frage5</f>
        <v>0.5</v>
      </c>
      <c r="P33" s="2">
        <f>Trainingsabschluss[[#This Row],[Quiz_Frage1_Punkte]]+Trainingsabschluss[[#This Row],[Quiz_Frage2_Punkte]]+Trainingsabschluss[[#This Row],[Quiz_Frage3_Punkte]]+Trainingsabschluss[[#This Row],[Quiz_Frage4_Punkte]]+Trainingsabschluss[[#This Row],[Quiz_Frage5_Punkte]]</f>
        <v>16</v>
      </c>
      <c r="Q33" s="8">
        <f>Trainingsabschluss[[#This Row],[Quizergebnis]]/Max_Quizergebnis</f>
        <v>0.72727272727272729</v>
      </c>
      <c r="R33" t="str" cm="1">
        <f t="array" ref="R33">_xlfn.IFS(Trainingsabschluss[[#This Row],[Quizergebnis_Prozent]]&lt;0.5, "Nicht bestanden",
Trainingsabschluss[[#This Row],[Quizergebnis_Prozent]]&lt;0.65, "Bestanden",
Trainingsabschluss[[#This Row],[Quizergebnis_Prozent]]&lt;0.8, "Gut bestanden",
TRUE, "Sehr gut bestanden")</f>
        <v>Gut bestanden</v>
      </c>
      <c r="S33" s="3">
        <v>9</v>
      </c>
      <c r="T33" s="3" t="str" cm="1">
        <f t="array" ref="T33">_xlfn.IFS(Trainingsabschluss[[#This Row],[Training_Bewertung]]&gt;=9, "Promotor", Trainingsabschluss[[#This Row],[Training_Bewertung]]
&lt;=6, "Detraktor",
TRUE, "Passiv")</f>
        <v>Promotor</v>
      </c>
      <c r="W33"/>
    </row>
    <row r="34" spans="1:23" x14ac:dyDescent="0.3">
      <c r="A34" s="13" t="s">
        <v>129</v>
      </c>
      <c r="B34" s="2">
        <v>5</v>
      </c>
      <c r="C34" s="2">
        <v>5</v>
      </c>
      <c r="D34" s="2">
        <v>3.5</v>
      </c>
      <c r="E34" s="2">
        <v>1.5</v>
      </c>
      <c r="F34" s="2">
        <v>1</v>
      </c>
      <c r="G34" s="2" t="str">
        <f>_xlfn.XLOOKUP(Trainingsabschluss[[#This Row],[UserID]], Teilnehmende[UserID], Teilnehmende[Branche], "UserID nicht gefunden")</f>
        <v>Einzelhandel</v>
      </c>
      <c r="H34">
        <f>_xlfn.XLOOKUP(Trainingsabschluss[[#This Row],[UserID]], Teilnehmende[UserID], Teilnehmende[Bildungsabschluss], "UserID nicht gefunden")</f>
        <v>0</v>
      </c>
      <c r="I34" s="3">
        <f>_xlfn.XLOOKUP(Trainingsabschluss[[#This Row],[UserID]], Teilnehmende[UserID], Teilnehmende[Berufserfahrung])</f>
        <v>12</v>
      </c>
      <c r="J34" s="3" t="str" cm="1">
        <f t="array" ref="J34">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4" s="11">
        <f>Trainingsabschluss[[#This Row],[Quiz_Frage1_Punkte]]/Max_Frage1</f>
        <v>1</v>
      </c>
      <c r="L34" s="11">
        <f>Trainingsabschluss[[#This Row],[Quiz_Frage2_Punkte]]/Max_Frage2</f>
        <v>1</v>
      </c>
      <c r="M34" s="11">
        <f>Trainingsabschluss[[#This Row],[Quiz_Frage3_Punkte]]/Max_Frage3</f>
        <v>0.7</v>
      </c>
      <c r="N34" s="11">
        <f>Trainingsabschluss[[#This Row],[Quiz_Frage4_Punkte]]/Max_Frage4</f>
        <v>0.375</v>
      </c>
      <c r="O34" s="11">
        <f>Trainingsabschluss[[#This Row],[Quiz_Frage5_Punkte]]/Max_Frage5</f>
        <v>0.33333333333333331</v>
      </c>
      <c r="P34" s="2">
        <f>Trainingsabschluss[[#This Row],[Quiz_Frage1_Punkte]]+Trainingsabschluss[[#This Row],[Quiz_Frage2_Punkte]]+Trainingsabschluss[[#This Row],[Quiz_Frage3_Punkte]]+Trainingsabschluss[[#This Row],[Quiz_Frage4_Punkte]]+Trainingsabschluss[[#This Row],[Quiz_Frage5_Punkte]]</f>
        <v>16</v>
      </c>
      <c r="Q34" s="8">
        <f>Trainingsabschluss[[#This Row],[Quizergebnis]]/Max_Quizergebnis</f>
        <v>0.72727272727272729</v>
      </c>
      <c r="R34" t="str" cm="1">
        <f t="array" ref="R34">_xlfn.IFS(Trainingsabschluss[[#This Row],[Quizergebnis_Prozent]]&lt;0.5, "Nicht bestanden",
Trainingsabschluss[[#This Row],[Quizergebnis_Prozent]]&lt;0.65, "Bestanden",
Trainingsabschluss[[#This Row],[Quizergebnis_Prozent]]&lt;0.8, "Gut bestanden",
TRUE, "Sehr gut bestanden")</f>
        <v>Gut bestanden</v>
      </c>
      <c r="S34" s="3">
        <v>9</v>
      </c>
      <c r="T34" s="3" t="str" cm="1">
        <f t="array" ref="T34">_xlfn.IFS(Trainingsabschluss[[#This Row],[Training_Bewertung]]&gt;=9, "Promotor", Trainingsabschluss[[#This Row],[Training_Bewertung]]
&lt;=6, "Detraktor",
TRUE, "Passiv")</f>
        <v>Promotor</v>
      </c>
      <c r="W34"/>
    </row>
    <row r="35" spans="1:23" x14ac:dyDescent="0.3">
      <c r="A35" s="13" t="s">
        <v>58</v>
      </c>
      <c r="B35" s="2">
        <v>4</v>
      </c>
      <c r="C35" s="2">
        <v>4</v>
      </c>
      <c r="D35" s="2">
        <v>4</v>
      </c>
      <c r="E35" s="2">
        <v>4</v>
      </c>
      <c r="F35" s="2">
        <v>0.5</v>
      </c>
      <c r="G35" s="2" t="str">
        <f>_xlfn.XLOOKUP(Trainingsabschluss[[#This Row],[UserID]], Teilnehmende[UserID], Teilnehmende[Branche], "UserID nicht gefunden")</f>
        <v>Großhandel</v>
      </c>
      <c r="H35">
        <f>_xlfn.XLOOKUP(Trainingsabschluss[[#This Row],[UserID]], Teilnehmende[UserID], Teilnehmende[Bildungsabschluss], "UserID nicht gefunden")</f>
        <v>0</v>
      </c>
      <c r="I35" s="3">
        <f>_xlfn.XLOOKUP(Trainingsabschluss[[#This Row],[UserID]], Teilnehmende[UserID], Teilnehmende[Berufserfahrung])</f>
        <v>1</v>
      </c>
      <c r="J35" s="3" t="str" cm="1">
        <f t="array" ref="J3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5" s="11">
        <f>Trainingsabschluss[[#This Row],[Quiz_Frage1_Punkte]]/Max_Frage1</f>
        <v>0.8</v>
      </c>
      <c r="L35" s="11">
        <f>Trainingsabschluss[[#This Row],[Quiz_Frage2_Punkte]]/Max_Frage2</f>
        <v>0.8</v>
      </c>
      <c r="M35" s="11">
        <f>Trainingsabschluss[[#This Row],[Quiz_Frage3_Punkte]]/Max_Frage3</f>
        <v>0.8</v>
      </c>
      <c r="N35" s="11">
        <f>Trainingsabschluss[[#This Row],[Quiz_Frage4_Punkte]]/Max_Frage4</f>
        <v>1</v>
      </c>
      <c r="O35" s="11">
        <f>Trainingsabschluss[[#This Row],[Quiz_Frage5_Punkte]]/Max_Frage5</f>
        <v>0.16666666666666666</v>
      </c>
      <c r="P35" s="2">
        <f>Trainingsabschluss[[#This Row],[Quiz_Frage1_Punkte]]+Trainingsabschluss[[#This Row],[Quiz_Frage2_Punkte]]+Trainingsabschluss[[#This Row],[Quiz_Frage3_Punkte]]+Trainingsabschluss[[#This Row],[Quiz_Frage4_Punkte]]+Trainingsabschluss[[#This Row],[Quiz_Frage5_Punkte]]</f>
        <v>16.5</v>
      </c>
      <c r="Q35" s="8">
        <f>Trainingsabschluss[[#This Row],[Quizergebnis]]/Max_Quizergebnis</f>
        <v>0.75</v>
      </c>
      <c r="R35" t="str" cm="1">
        <f t="array" ref="R35">_xlfn.IFS(Trainingsabschluss[[#This Row],[Quizergebnis_Prozent]]&lt;0.5, "Nicht bestanden",
Trainingsabschluss[[#This Row],[Quizergebnis_Prozent]]&lt;0.65, "Bestanden",
Trainingsabschluss[[#This Row],[Quizergebnis_Prozent]]&lt;0.8, "Gut bestanden",
TRUE, "Sehr gut bestanden")</f>
        <v>Gut bestanden</v>
      </c>
      <c r="S35" s="3">
        <v>5</v>
      </c>
      <c r="T35" s="3" t="str" cm="1">
        <f t="array" ref="T35">_xlfn.IFS(Trainingsabschluss[[#This Row],[Training_Bewertung]]&gt;=9, "Promotor", Trainingsabschluss[[#This Row],[Training_Bewertung]]
&lt;=6, "Detraktor",
TRUE, "Passiv")</f>
        <v>Detraktor</v>
      </c>
      <c r="W35"/>
    </row>
    <row r="36" spans="1:23" x14ac:dyDescent="0.3">
      <c r="A36" s="13" t="s">
        <v>60</v>
      </c>
      <c r="B36" s="2">
        <v>5</v>
      </c>
      <c r="C36" s="2">
        <v>4.5</v>
      </c>
      <c r="D36" s="2">
        <v>1</v>
      </c>
      <c r="E36" s="2">
        <v>0.5</v>
      </c>
      <c r="F36" s="2">
        <v>2</v>
      </c>
      <c r="G36" s="2" t="str">
        <f>_xlfn.XLOOKUP(Trainingsabschluss[[#This Row],[UserID]], Teilnehmende[UserID], Teilnehmende[Branche], "UserID nicht gefunden")</f>
        <v>Großhandel</v>
      </c>
      <c r="H36">
        <f>_xlfn.XLOOKUP(Trainingsabschluss[[#This Row],[UserID]], Teilnehmende[UserID], Teilnehmende[Bildungsabschluss], "UserID nicht gefunden")</f>
        <v>0</v>
      </c>
      <c r="I36" s="3">
        <f>_xlfn.XLOOKUP(Trainingsabschluss[[#This Row],[UserID]], Teilnehmende[UserID], Teilnehmende[Berufserfahrung])</f>
        <v>4</v>
      </c>
      <c r="J36" s="3" t="str" cm="1">
        <f t="array" ref="J3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6" s="11">
        <f>Trainingsabschluss[[#This Row],[Quiz_Frage1_Punkte]]/Max_Frage1</f>
        <v>1</v>
      </c>
      <c r="L36" s="11">
        <f>Trainingsabschluss[[#This Row],[Quiz_Frage2_Punkte]]/Max_Frage2</f>
        <v>0.9</v>
      </c>
      <c r="M36" s="11">
        <f>Trainingsabschluss[[#This Row],[Quiz_Frage3_Punkte]]/Max_Frage3</f>
        <v>0.2</v>
      </c>
      <c r="N36" s="11">
        <f>Trainingsabschluss[[#This Row],[Quiz_Frage4_Punkte]]/Max_Frage4</f>
        <v>0.125</v>
      </c>
      <c r="O36" s="11">
        <f>Trainingsabschluss[[#This Row],[Quiz_Frage5_Punkte]]/Max_Frage5</f>
        <v>0.66666666666666663</v>
      </c>
      <c r="P36" s="2">
        <f>Trainingsabschluss[[#This Row],[Quiz_Frage1_Punkte]]+Trainingsabschluss[[#This Row],[Quiz_Frage2_Punkte]]+Trainingsabschluss[[#This Row],[Quiz_Frage3_Punkte]]+Trainingsabschluss[[#This Row],[Quiz_Frage4_Punkte]]+Trainingsabschluss[[#This Row],[Quiz_Frage5_Punkte]]</f>
        <v>13</v>
      </c>
      <c r="Q36" s="8">
        <f>Trainingsabschluss[[#This Row],[Quizergebnis]]/Max_Quizergebnis</f>
        <v>0.59090909090909094</v>
      </c>
      <c r="R36" t="str" cm="1">
        <f t="array" ref="R36">_xlfn.IFS(Trainingsabschluss[[#This Row],[Quizergebnis_Prozent]]&lt;0.5, "Nicht bestanden",
Trainingsabschluss[[#This Row],[Quizergebnis_Prozent]]&lt;0.65, "Bestanden",
Trainingsabschluss[[#This Row],[Quizergebnis_Prozent]]&lt;0.8, "Gut bestanden",
TRUE, "Sehr gut bestanden")</f>
        <v>Bestanden</v>
      </c>
      <c r="S36" s="3">
        <v>4</v>
      </c>
      <c r="T36" s="3" t="str" cm="1">
        <f t="array" ref="T36">_xlfn.IFS(Trainingsabschluss[[#This Row],[Training_Bewertung]]&gt;=9, "Promotor", Trainingsabschluss[[#This Row],[Training_Bewertung]]
&lt;=6, "Detraktor",
TRUE, "Passiv")</f>
        <v>Detraktor</v>
      </c>
      <c r="W36"/>
    </row>
    <row r="37" spans="1:23" x14ac:dyDescent="0.3">
      <c r="A37" s="13" t="s">
        <v>61</v>
      </c>
      <c r="B37" s="2">
        <v>5</v>
      </c>
      <c r="C37" s="2">
        <v>5</v>
      </c>
      <c r="D37" s="2">
        <v>0</v>
      </c>
      <c r="E37" s="2">
        <v>3.5</v>
      </c>
      <c r="F37" s="2">
        <v>1</v>
      </c>
      <c r="G37" s="2" t="str">
        <f>_xlfn.XLOOKUP(Trainingsabschluss[[#This Row],[UserID]], Teilnehmende[UserID], Teilnehmende[Branche], "UserID nicht gefunden")</f>
        <v>E-Commerce</v>
      </c>
      <c r="H37">
        <f>_xlfn.XLOOKUP(Trainingsabschluss[[#This Row],[UserID]], Teilnehmende[UserID], Teilnehmende[Bildungsabschluss], "UserID nicht gefunden")</f>
        <v>0</v>
      </c>
      <c r="I37" s="3">
        <f>_xlfn.XLOOKUP(Trainingsabschluss[[#This Row],[UserID]], Teilnehmende[UserID], Teilnehmende[Berufserfahrung])</f>
        <v>10</v>
      </c>
      <c r="J37" s="3" t="str" cm="1">
        <f t="array" ref="J37">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7" s="11">
        <f>Trainingsabschluss[[#This Row],[Quiz_Frage1_Punkte]]/Max_Frage1</f>
        <v>1</v>
      </c>
      <c r="L37" s="11">
        <f>Trainingsabschluss[[#This Row],[Quiz_Frage2_Punkte]]/Max_Frage2</f>
        <v>1</v>
      </c>
      <c r="M37" s="11">
        <f>Trainingsabschluss[[#This Row],[Quiz_Frage3_Punkte]]/Max_Frage3</f>
        <v>0</v>
      </c>
      <c r="N37" s="11">
        <f>Trainingsabschluss[[#This Row],[Quiz_Frage4_Punkte]]/Max_Frage4</f>
        <v>0.875</v>
      </c>
      <c r="O37" s="11">
        <f>Trainingsabschluss[[#This Row],[Quiz_Frage5_Punkte]]/Max_Frage5</f>
        <v>0.33333333333333331</v>
      </c>
      <c r="P37" s="2">
        <f>Trainingsabschluss[[#This Row],[Quiz_Frage1_Punkte]]+Trainingsabschluss[[#This Row],[Quiz_Frage2_Punkte]]+Trainingsabschluss[[#This Row],[Quiz_Frage3_Punkte]]+Trainingsabschluss[[#This Row],[Quiz_Frage4_Punkte]]+Trainingsabschluss[[#This Row],[Quiz_Frage5_Punkte]]</f>
        <v>14.5</v>
      </c>
      <c r="Q37" s="8">
        <f>Trainingsabschluss[[#This Row],[Quizergebnis]]/Max_Quizergebnis</f>
        <v>0.65909090909090906</v>
      </c>
      <c r="R37" t="str" cm="1">
        <f t="array" ref="R37">_xlfn.IFS(Trainingsabschluss[[#This Row],[Quizergebnis_Prozent]]&lt;0.5, "Nicht bestanden",
Trainingsabschluss[[#This Row],[Quizergebnis_Prozent]]&lt;0.65, "Bestanden",
Trainingsabschluss[[#This Row],[Quizergebnis_Prozent]]&lt;0.8, "Gut bestanden",
TRUE, "Sehr gut bestanden")</f>
        <v>Gut bestanden</v>
      </c>
      <c r="S37" s="3">
        <v>6</v>
      </c>
      <c r="T37" s="3" t="str" cm="1">
        <f t="array" ref="T37">_xlfn.IFS(Trainingsabschluss[[#This Row],[Training_Bewertung]]&gt;=9, "Promotor", Trainingsabschluss[[#This Row],[Training_Bewertung]]
&lt;=6, "Detraktor",
TRUE, "Passiv")</f>
        <v>Detraktor</v>
      </c>
      <c r="W37"/>
    </row>
    <row r="38" spans="1:23" x14ac:dyDescent="0.3">
      <c r="A38" s="13" t="s">
        <v>62</v>
      </c>
      <c r="B38" s="2">
        <v>5</v>
      </c>
      <c r="C38" s="2">
        <v>5</v>
      </c>
      <c r="D38" s="2">
        <v>0</v>
      </c>
      <c r="E38" s="2">
        <v>0.5</v>
      </c>
      <c r="F38" s="2">
        <v>2</v>
      </c>
      <c r="G38" s="2" t="str">
        <f>_xlfn.XLOOKUP(Trainingsabschluss[[#This Row],[UserID]], Teilnehmende[UserID], Teilnehmende[Branche], "UserID nicht gefunden")</f>
        <v>Einzelhandel</v>
      </c>
      <c r="H38">
        <f>_xlfn.XLOOKUP(Trainingsabschluss[[#This Row],[UserID]], Teilnehmende[UserID], Teilnehmende[Bildungsabschluss], "UserID nicht gefunden")</f>
        <v>0</v>
      </c>
      <c r="I38" s="3">
        <f>_xlfn.XLOOKUP(Trainingsabschluss[[#This Row],[UserID]], Teilnehmende[UserID], Teilnehmende[Berufserfahrung])</f>
        <v>14</v>
      </c>
      <c r="J38" s="3" t="str" cm="1">
        <f t="array" ref="J3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8" s="11">
        <f>Trainingsabschluss[[#This Row],[Quiz_Frage1_Punkte]]/Max_Frage1</f>
        <v>1</v>
      </c>
      <c r="L38" s="11">
        <f>Trainingsabschluss[[#This Row],[Quiz_Frage2_Punkte]]/Max_Frage2</f>
        <v>1</v>
      </c>
      <c r="M38" s="11">
        <f>Trainingsabschluss[[#This Row],[Quiz_Frage3_Punkte]]/Max_Frage3</f>
        <v>0</v>
      </c>
      <c r="N38" s="11">
        <f>Trainingsabschluss[[#This Row],[Quiz_Frage4_Punkte]]/Max_Frage4</f>
        <v>0.125</v>
      </c>
      <c r="O38" s="11">
        <f>Trainingsabschluss[[#This Row],[Quiz_Frage5_Punkte]]/Max_Frage5</f>
        <v>0.66666666666666663</v>
      </c>
      <c r="P38" s="2">
        <f>Trainingsabschluss[[#This Row],[Quiz_Frage1_Punkte]]+Trainingsabschluss[[#This Row],[Quiz_Frage2_Punkte]]+Trainingsabschluss[[#This Row],[Quiz_Frage3_Punkte]]+Trainingsabschluss[[#This Row],[Quiz_Frage4_Punkte]]+Trainingsabschluss[[#This Row],[Quiz_Frage5_Punkte]]</f>
        <v>12.5</v>
      </c>
      <c r="Q38" s="8">
        <f>Trainingsabschluss[[#This Row],[Quizergebnis]]/Max_Quizergebnis</f>
        <v>0.56818181818181823</v>
      </c>
      <c r="R38" t="str" cm="1">
        <f t="array" ref="R38">_xlfn.IFS(Trainingsabschluss[[#This Row],[Quizergebnis_Prozent]]&lt;0.5, "Nicht bestanden",
Trainingsabschluss[[#This Row],[Quizergebnis_Prozent]]&lt;0.65, "Bestanden",
Trainingsabschluss[[#This Row],[Quizergebnis_Prozent]]&lt;0.8, "Gut bestanden",
TRUE, "Sehr gut bestanden")</f>
        <v>Bestanden</v>
      </c>
      <c r="S38" s="3">
        <v>6</v>
      </c>
      <c r="T38" s="3" t="str" cm="1">
        <f t="array" ref="T38">_xlfn.IFS(Trainingsabschluss[[#This Row],[Training_Bewertung]]&gt;=9, "Promotor", Trainingsabschluss[[#This Row],[Training_Bewertung]]
&lt;=6, "Detraktor",
TRUE, "Passiv")</f>
        <v>Detraktor</v>
      </c>
      <c r="W38"/>
    </row>
    <row r="39" spans="1:23" x14ac:dyDescent="0.3">
      <c r="A39" s="13" t="s">
        <v>65</v>
      </c>
      <c r="B39" s="2">
        <v>5</v>
      </c>
      <c r="C39" s="2">
        <v>5</v>
      </c>
      <c r="D39" s="2">
        <v>0.5</v>
      </c>
      <c r="E39" s="2">
        <v>4</v>
      </c>
      <c r="F39" s="2">
        <v>1</v>
      </c>
      <c r="G39" s="2" t="str">
        <f>_xlfn.XLOOKUP(Trainingsabschluss[[#This Row],[UserID]], Teilnehmende[UserID], Teilnehmende[Branche], "UserID nicht gefunden")</f>
        <v>Großhandel</v>
      </c>
      <c r="H39">
        <f>_xlfn.XLOOKUP(Trainingsabschluss[[#This Row],[UserID]], Teilnehmende[UserID], Teilnehmende[Bildungsabschluss], "UserID nicht gefunden")</f>
        <v>0</v>
      </c>
      <c r="I39" s="3">
        <f>_xlfn.XLOOKUP(Trainingsabschluss[[#This Row],[UserID]], Teilnehmende[UserID], Teilnehmende[Berufserfahrung])</f>
        <v>12</v>
      </c>
      <c r="J39" s="3" t="str" cm="1">
        <f t="array" ref="J3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9" s="11">
        <f>Trainingsabschluss[[#This Row],[Quiz_Frage1_Punkte]]/Max_Frage1</f>
        <v>1</v>
      </c>
      <c r="L39" s="11">
        <f>Trainingsabschluss[[#This Row],[Quiz_Frage2_Punkte]]/Max_Frage2</f>
        <v>1</v>
      </c>
      <c r="M39" s="11">
        <f>Trainingsabschluss[[#This Row],[Quiz_Frage3_Punkte]]/Max_Frage3</f>
        <v>0.1</v>
      </c>
      <c r="N39" s="11">
        <f>Trainingsabschluss[[#This Row],[Quiz_Frage4_Punkte]]/Max_Frage4</f>
        <v>1</v>
      </c>
      <c r="O39" s="11">
        <f>Trainingsabschluss[[#This Row],[Quiz_Frage5_Punkte]]/Max_Frage5</f>
        <v>0.33333333333333331</v>
      </c>
      <c r="P39" s="2">
        <f>Trainingsabschluss[[#This Row],[Quiz_Frage1_Punkte]]+Trainingsabschluss[[#This Row],[Quiz_Frage2_Punkte]]+Trainingsabschluss[[#This Row],[Quiz_Frage3_Punkte]]+Trainingsabschluss[[#This Row],[Quiz_Frage4_Punkte]]+Trainingsabschluss[[#This Row],[Quiz_Frage5_Punkte]]</f>
        <v>15.5</v>
      </c>
      <c r="Q39" s="8">
        <f>Trainingsabschluss[[#This Row],[Quizergebnis]]/Max_Quizergebnis</f>
        <v>0.70454545454545459</v>
      </c>
      <c r="R39" t="str" cm="1">
        <f t="array" ref="R39">_xlfn.IFS(Trainingsabschluss[[#This Row],[Quizergebnis_Prozent]]&lt;0.5, "Nicht bestanden",
Trainingsabschluss[[#This Row],[Quizergebnis_Prozent]]&lt;0.65, "Bestanden",
Trainingsabschluss[[#This Row],[Quizergebnis_Prozent]]&lt;0.8, "Gut bestanden",
TRUE, "Sehr gut bestanden")</f>
        <v>Gut bestanden</v>
      </c>
      <c r="S39" s="3">
        <v>10</v>
      </c>
      <c r="T39" s="3" t="str" cm="1">
        <f t="array" ref="T39">_xlfn.IFS(Trainingsabschluss[[#This Row],[Training_Bewertung]]&gt;=9, "Promotor", Trainingsabschluss[[#This Row],[Training_Bewertung]]
&lt;=6, "Detraktor",
TRUE, "Passiv")</f>
        <v>Promotor</v>
      </c>
      <c r="W39"/>
    </row>
    <row r="40" spans="1:23" x14ac:dyDescent="0.3">
      <c r="A40" s="13" t="s">
        <v>69</v>
      </c>
      <c r="B40" s="2">
        <v>5</v>
      </c>
      <c r="C40" s="2">
        <v>2</v>
      </c>
      <c r="D40" s="2">
        <v>1.5</v>
      </c>
      <c r="E40" s="2">
        <v>3.5</v>
      </c>
      <c r="F40" s="2">
        <v>2.5</v>
      </c>
      <c r="G40" s="2" t="str">
        <f>_xlfn.XLOOKUP(Trainingsabschluss[[#This Row],[UserID]], Teilnehmende[UserID], Teilnehmende[Branche], "UserID nicht gefunden")</f>
        <v>E-Commerce</v>
      </c>
      <c r="H40">
        <f>_xlfn.XLOOKUP(Trainingsabschluss[[#This Row],[UserID]], Teilnehmende[UserID], Teilnehmende[Bildungsabschluss], "UserID nicht gefunden")</f>
        <v>0</v>
      </c>
      <c r="I40" s="3">
        <f>_xlfn.XLOOKUP(Trainingsabschluss[[#This Row],[UserID]], Teilnehmende[UserID], Teilnehmende[Berufserfahrung])</f>
        <v>11</v>
      </c>
      <c r="J40" s="3" t="str" cm="1">
        <f t="array" ref="J40">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0" s="11">
        <f>Trainingsabschluss[[#This Row],[Quiz_Frage1_Punkte]]/Max_Frage1</f>
        <v>1</v>
      </c>
      <c r="L40" s="11">
        <f>Trainingsabschluss[[#This Row],[Quiz_Frage2_Punkte]]/Max_Frage2</f>
        <v>0.4</v>
      </c>
      <c r="M40" s="11">
        <f>Trainingsabschluss[[#This Row],[Quiz_Frage3_Punkte]]/Max_Frage3</f>
        <v>0.3</v>
      </c>
      <c r="N40" s="11">
        <f>Trainingsabschluss[[#This Row],[Quiz_Frage4_Punkte]]/Max_Frage4</f>
        <v>0.875</v>
      </c>
      <c r="O40" s="11">
        <f>Trainingsabschluss[[#This Row],[Quiz_Frage5_Punkte]]/Max_Frage5</f>
        <v>0.83333333333333337</v>
      </c>
      <c r="P40" s="2">
        <f>Trainingsabschluss[[#This Row],[Quiz_Frage1_Punkte]]+Trainingsabschluss[[#This Row],[Quiz_Frage2_Punkte]]+Trainingsabschluss[[#This Row],[Quiz_Frage3_Punkte]]+Trainingsabschluss[[#This Row],[Quiz_Frage4_Punkte]]+Trainingsabschluss[[#This Row],[Quiz_Frage5_Punkte]]</f>
        <v>14.5</v>
      </c>
      <c r="Q40" s="8">
        <f>Trainingsabschluss[[#This Row],[Quizergebnis]]/Max_Quizergebnis</f>
        <v>0.65909090909090906</v>
      </c>
      <c r="R40" t="str" cm="1">
        <f t="array" ref="R40">_xlfn.IFS(Trainingsabschluss[[#This Row],[Quizergebnis_Prozent]]&lt;0.5, "Nicht bestanden",
Trainingsabschluss[[#This Row],[Quizergebnis_Prozent]]&lt;0.65, "Bestanden",
Trainingsabschluss[[#This Row],[Quizergebnis_Prozent]]&lt;0.8, "Gut bestanden",
TRUE, "Sehr gut bestanden")</f>
        <v>Gut bestanden</v>
      </c>
      <c r="S40" s="3">
        <v>9</v>
      </c>
      <c r="T40" s="3" t="str" cm="1">
        <f t="array" ref="T40">_xlfn.IFS(Trainingsabschluss[[#This Row],[Training_Bewertung]]&gt;=9, "Promotor", Trainingsabschluss[[#This Row],[Training_Bewertung]]
&lt;=6, "Detraktor",
TRUE, "Passiv")</f>
        <v>Promotor</v>
      </c>
      <c r="W40"/>
    </row>
    <row r="41" spans="1:23" x14ac:dyDescent="0.3">
      <c r="A41" s="13" t="s">
        <v>368</v>
      </c>
      <c r="B41" s="2">
        <v>1.5</v>
      </c>
      <c r="C41" s="2">
        <v>5</v>
      </c>
      <c r="D41" s="2">
        <v>4</v>
      </c>
      <c r="E41" s="2">
        <v>0.5</v>
      </c>
      <c r="F41" s="2">
        <v>1</v>
      </c>
      <c r="G41" s="2" t="str">
        <f>_xlfn.XLOOKUP(Trainingsabschluss[[#This Row],[UserID]], Teilnehmende[UserID], Teilnehmende[Branche], "UserID nicht gefunden")</f>
        <v>IT und Technologie</v>
      </c>
      <c r="H41">
        <f>_xlfn.XLOOKUP(Trainingsabschluss[[#This Row],[UserID]], Teilnehmende[UserID], Teilnehmende[Bildungsabschluss], "UserID nicht gefunden")</f>
        <v>0</v>
      </c>
      <c r="I41" s="3">
        <f>_xlfn.XLOOKUP(Trainingsabschluss[[#This Row],[UserID]], Teilnehmende[UserID], Teilnehmende[Berufserfahrung])</f>
        <v>15</v>
      </c>
      <c r="J41" s="3" t="str" cm="1">
        <f t="array" ref="J41">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1" s="11">
        <f>Trainingsabschluss[[#This Row],[Quiz_Frage1_Punkte]]/Max_Frage1</f>
        <v>0.3</v>
      </c>
      <c r="L41" s="11">
        <f>Trainingsabschluss[[#This Row],[Quiz_Frage2_Punkte]]/Max_Frage2</f>
        <v>1</v>
      </c>
      <c r="M41" s="11">
        <f>Trainingsabschluss[[#This Row],[Quiz_Frage3_Punkte]]/Max_Frage3</f>
        <v>0.8</v>
      </c>
      <c r="N41" s="11">
        <f>Trainingsabschluss[[#This Row],[Quiz_Frage4_Punkte]]/Max_Frage4</f>
        <v>0.125</v>
      </c>
      <c r="O41" s="11">
        <f>Trainingsabschluss[[#This Row],[Quiz_Frage5_Punkte]]/Max_Frage5</f>
        <v>0.33333333333333331</v>
      </c>
      <c r="P41" s="2">
        <f>Trainingsabschluss[[#This Row],[Quiz_Frage1_Punkte]]+Trainingsabschluss[[#This Row],[Quiz_Frage2_Punkte]]+Trainingsabschluss[[#This Row],[Quiz_Frage3_Punkte]]+Trainingsabschluss[[#This Row],[Quiz_Frage4_Punkte]]+Trainingsabschluss[[#This Row],[Quiz_Frage5_Punkte]]</f>
        <v>12</v>
      </c>
      <c r="Q41" s="8">
        <f>Trainingsabschluss[[#This Row],[Quizergebnis]]/Max_Quizergebnis</f>
        <v>0.54545454545454541</v>
      </c>
      <c r="R41" t="str" cm="1">
        <f t="array" ref="R41">_xlfn.IFS(Trainingsabschluss[[#This Row],[Quizergebnis_Prozent]]&lt;0.5, "Nicht bestanden",
Trainingsabschluss[[#This Row],[Quizergebnis_Prozent]]&lt;0.65, "Bestanden",
Trainingsabschluss[[#This Row],[Quizergebnis_Prozent]]&lt;0.8, "Gut bestanden",
TRUE, "Sehr gut bestanden")</f>
        <v>Bestanden</v>
      </c>
      <c r="S41" s="3">
        <v>4</v>
      </c>
      <c r="T41" s="3" t="str" cm="1">
        <f t="array" ref="T41">_xlfn.IFS(Trainingsabschluss[[#This Row],[Training_Bewertung]]&gt;=9, "Promotor", Trainingsabschluss[[#This Row],[Training_Bewertung]]
&lt;=6, "Detraktor",
TRUE, "Passiv")</f>
        <v>Detraktor</v>
      </c>
      <c r="W41"/>
    </row>
    <row r="42" spans="1:23" x14ac:dyDescent="0.3">
      <c r="A42" s="13" t="s">
        <v>369</v>
      </c>
      <c r="B42" s="2">
        <v>5</v>
      </c>
      <c r="C42" s="2">
        <v>3.5</v>
      </c>
      <c r="D42" s="2">
        <v>0</v>
      </c>
      <c r="E42" s="2">
        <v>3.5</v>
      </c>
      <c r="F42" s="2">
        <v>3</v>
      </c>
      <c r="G42" s="2" t="str">
        <f>_xlfn.XLOOKUP(Trainingsabschluss[[#This Row],[UserID]], Teilnehmende[UserID], Teilnehmende[Branche], "UserID nicht gefunden")</f>
        <v>IT und Technologie</v>
      </c>
      <c r="H42">
        <f>_xlfn.XLOOKUP(Trainingsabschluss[[#This Row],[UserID]], Teilnehmende[UserID], Teilnehmende[Bildungsabschluss], "UserID nicht gefunden")</f>
        <v>0</v>
      </c>
      <c r="I42" s="3">
        <f>_xlfn.XLOOKUP(Trainingsabschluss[[#This Row],[UserID]], Teilnehmende[UserID], Teilnehmende[Berufserfahrung])</f>
        <v>5</v>
      </c>
      <c r="J42" s="3" t="str" cm="1">
        <f t="array" ref="J4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2" s="11">
        <f>Trainingsabschluss[[#This Row],[Quiz_Frage1_Punkte]]/Max_Frage1</f>
        <v>1</v>
      </c>
      <c r="L42" s="11">
        <f>Trainingsabschluss[[#This Row],[Quiz_Frage2_Punkte]]/Max_Frage2</f>
        <v>0.7</v>
      </c>
      <c r="M42" s="11">
        <f>Trainingsabschluss[[#This Row],[Quiz_Frage3_Punkte]]/Max_Frage3</f>
        <v>0</v>
      </c>
      <c r="N42" s="11">
        <f>Trainingsabschluss[[#This Row],[Quiz_Frage4_Punkte]]/Max_Frage4</f>
        <v>0.875</v>
      </c>
      <c r="O42" s="11">
        <f>Trainingsabschluss[[#This Row],[Quiz_Frage5_Punkte]]/Max_Frage5</f>
        <v>1</v>
      </c>
      <c r="P42" s="2">
        <f>Trainingsabschluss[[#This Row],[Quiz_Frage1_Punkte]]+Trainingsabschluss[[#This Row],[Quiz_Frage2_Punkte]]+Trainingsabschluss[[#This Row],[Quiz_Frage3_Punkte]]+Trainingsabschluss[[#This Row],[Quiz_Frage4_Punkte]]+Trainingsabschluss[[#This Row],[Quiz_Frage5_Punkte]]</f>
        <v>15</v>
      </c>
      <c r="Q42" s="8">
        <f>Trainingsabschluss[[#This Row],[Quizergebnis]]/Max_Quizergebnis</f>
        <v>0.68181818181818177</v>
      </c>
      <c r="R42" t="str" cm="1">
        <f t="array" ref="R42">_xlfn.IFS(Trainingsabschluss[[#This Row],[Quizergebnis_Prozent]]&lt;0.5, "Nicht bestanden",
Trainingsabschluss[[#This Row],[Quizergebnis_Prozent]]&lt;0.65, "Bestanden",
Trainingsabschluss[[#This Row],[Quizergebnis_Prozent]]&lt;0.8, "Gut bestanden",
TRUE, "Sehr gut bestanden")</f>
        <v>Gut bestanden</v>
      </c>
      <c r="S42" s="3">
        <v>4</v>
      </c>
      <c r="T42" s="3" t="str" cm="1">
        <f t="array" ref="T42">_xlfn.IFS(Trainingsabschluss[[#This Row],[Training_Bewertung]]&gt;=9, "Promotor", Trainingsabschluss[[#This Row],[Training_Bewertung]]
&lt;=6, "Detraktor",
TRUE, "Passiv")</f>
        <v>Detraktor</v>
      </c>
      <c r="W42"/>
    </row>
    <row r="43" spans="1:23" x14ac:dyDescent="0.3">
      <c r="A43" s="13" t="s">
        <v>378</v>
      </c>
      <c r="B43" s="2">
        <v>3.5</v>
      </c>
      <c r="C43" s="2">
        <v>2</v>
      </c>
      <c r="D43" s="2">
        <v>1.5</v>
      </c>
      <c r="E43" s="2">
        <v>2</v>
      </c>
      <c r="F43" s="2">
        <v>0</v>
      </c>
      <c r="G43" s="2" t="str">
        <f>_xlfn.XLOOKUP(Trainingsabschluss[[#This Row],[UserID]], Teilnehmende[UserID], Teilnehmende[Branche], "UserID nicht gefunden")</f>
        <v>IT und Technologie</v>
      </c>
      <c r="H43">
        <f>_xlfn.XLOOKUP(Trainingsabschluss[[#This Row],[UserID]], Teilnehmende[UserID], Teilnehmende[Bildungsabschluss], "UserID nicht gefunden")</f>
        <v>0</v>
      </c>
      <c r="I43" s="3">
        <f>_xlfn.XLOOKUP(Trainingsabschluss[[#This Row],[UserID]], Teilnehmende[UserID], Teilnehmende[Berufserfahrung])</f>
        <v>1</v>
      </c>
      <c r="J43" s="3" t="str" cm="1">
        <f t="array" ref="J43">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3" s="11">
        <f>Trainingsabschluss[[#This Row],[Quiz_Frage1_Punkte]]/Max_Frage1</f>
        <v>0.7</v>
      </c>
      <c r="L43" s="11">
        <f>Trainingsabschluss[[#This Row],[Quiz_Frage2_Punkte]]/Max_Frage2</f>
        <v>0.4</v>
      </c>
      <c r="M43" s="11">
        <f>Trainingsabschluss[[#This Row],[Quiz_Frage3_Punkte]]/Max_Frage3</f>
        <v>0.3</v>
      </c>
      <c r="N43" s="11">
        <f>Trainingsabschluss[[#This Row],[Quiz_Frage4_Punkte]]/Max_Frage4</f>
        <v>0.5</v>
      </c>
      <c r="O43" s="11">
        <f>Trainingsabschluss[[#This Row],[Quiz_Frage5_Punkte]]/Max_Frage5</f>
        <v>0</v>
      </c>
      <c r="P43" s="2">
        <f>Trainingsabschluss[[#This Row],[Quiz_Frage1_Punkte]]+Trainingsabschluss[[#This Row],[Quiz_Frage2_Punkte]]+Trainingsabschluss[[#This Row],[Quiz_Frage3_Punkte]]+Trainingsabschluss[[#This Row],[Quiz_Frage4_Punkte]]+Trainingsabschluss[[#This Row],[Quiz_Frage5_Punkte]]</f>
        <v>9</v>
      </c>
      <c r="Q43" s="8">
        <f>Trainingsabschluss[[#This Row],[Quizergebnis]]/Max_Quizergebnis</f>
        <v>0.40909090909090912</v>
      </c>
      <c r="R43" t="str" cm="1">
        <f t="array" ref="R43">_xlfn.IFS(Trainingsabschluss[[#This Row],[Quizergebnis_Prozent]]&lt;0.5, "Nicht bestanden",
Trainingsabschluss[[#This Row],[Quizergebnis_Prozent]]&lt;0.65, "Bestanden",
Trainingsabschluss[[#This Row],[Quizergebnis_Prozent]]&lt;0.8, "Gut bestanden",
TRUE, "Sehr gut bestanden")</f>
        <v>Nicht bestanden</v>
      </c>
      <c r="S43" s="3">
        <v>8</v>
      </c>
      <c r="T43" s="3" t="str" cm="1">
        <f t="array" ref="T43">_xlfn.IFS(Trainingsabschluss[[#This Row],[Training_Bewertung]]&gt;=9, "Promotor", Trainingsabschluss[[#This Row],[Training_Bewertung]]
&lt;=6, "Detraktor",
TRUE, "Passiv")</f>
        <v>Passiv</v>
      </c>
      <c r="W43"/>
    </row>
    <row r="44" spans="1:23" x14ac:dyDescent="0.3">
      <c r="A44" s="13" t="s">
        <v>380</v>
      </c>
      <c r="B44" s="2">
        <v>5</v>
      </c>
      <c r="C44" s="2">
        <v>4.5</v>
      </c>
      <c r="D44" s="2">
        <v>2.5</v>
      </c>
      <c r="E44" s="2">
        <v>3</v>
      </c>
      <c r="F44" s="2">
        <v>3</v>
      </c>
      <c r="G44" s="2" t="str">
        <f>_xlfn.XLOOKUP(Trainingsabschluss[[#This Row],[UserID]], Teilnehmende[UserID], Teilnehmende[Branche], "UserID nicht gefunden")</f>
        <v>IT und Technologie</v>
      </c>
      <c r="H44">
        <f>_xlfn.XLOOKUP(Trainingsabschluss[[#This Row],[UserID]], Teilnehmende[UserID], Teilnehmende[Bildungsabschluss], "UserID nicht gefunden")</f>
        <v>0</v>
      </c>
      <c r="I44" s="3">
        <f>_xlfn.XLOOKUP(Trainingsabschluss[[#This Row],[UserID]], Teilnehmende[UserID], Teilnehmende[Berufserfahrung])</f>
        <v>4</v>
      </c>
      <c r="J44" s="3" t="str" cm="1">
        <f t="array" ref="J4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4" s="11">
        <f>Trainingsabschluss[[#This Row],[Quiz_Frage1_Punkte]]/Max_Frage1</f>
        <v>1</v>
      </c>
      <c r="L44" s="11">
        <f>Trainingsabschluss[[#This Row],[Quiz_Frage2_Punkte]]/Max_Frage2</f>
        <v>0.9</v>
      </c>
      <c r="M44" s="11">
        <f>Trainingsabschluss[[#This Row],[Quiz_Frage3_Punkte]]/Max_Frage3</f>
        <v>0.5</v>
      </c>
      <c r="N44" s="11">
        <f>Trainingsabschluss[[#This Row],[Quiz_Frage4_Punkte]]/Max_Frage4</f>
        <v>0.75</v>
      </c>
      <c r="O44" s="11">
        <f>Trainingsabschluss[[#This Row],[Quiz_Frage5_Punkte]]/Max_Frage5</f>
        <v>1</v>
      </c>
      <c r="P44" s="2">
        <f>Trainingsabschluss[[#This Row],[Quiz_Frage1_Punkte]]+Trainingsabschluss[[#This Row],[Quiz_Frage2_Punkte]]+Trainingsabschluss[[#This Row],[Quiz_Frage3_Punkte]]+Trainingsabschluss[[#This Row],[Quiz_Frage4_Punkte]]+Trainingsabschluss[[#This Row],[Quiz_Frage5_Punkte]]</f>
        <v>18</v>
      </c>
      <c r="Q44" s="8">
        <f>Trainingsabschluss[[#This Row],[Quizergebnis]]/Max_Quizergebnis</f>
        <v>0.81818181818181823</v>
      </c>
      <c r="R44" t="str" cm="1">
        <f t="array" ref="R44">_xlfn.IFS(Trainingsabschluss[[#This Row],[Quizergebnis_Prozent]]&lt;0.5, "Nicht bestanden",
Trainingsabschluss[[#This Row],[Quizergebnis_Prozent]]&lt;0.65, "Bestanden",
Trainingsabschluss[[#This Row],[Quizergebnis_Prozent]]&lt;0.8, "Gut bestanden",
TRUE, "Sehr gut bestanden")</f>
        <v>Sehr gut bestanden</v>
      </c>
      <c r="S44" s="3">
        <v>8</v>
      </c>
      <c r="T44" s="3" t="str" cm="1">
        <f t="array" ref="T44">_xlfn.IFS(Trainingsabschluss[[#This Row],[Training_Bewertung]]&gt;=9, "Promotor", Trainingsabschluss[[#This Row],[Training_Bewertung]]
&lt;=6, "Detraktor",
TRUE, "Passiv")</f>
        <v>Passiv</v>
      </c>
      <c r="W44"/>
    </row>
    <row r="45" spans="1:23" x14ac:dyDescent="0.3">
      <c r="A45" s="13" t="s">
        <v>382</v>
      </c>
      <c r="B45" s="2">
        <v>2</v>
      </c>
      <c r="C45" s="2">
        <v>1.5</v>
      </c>
      <c r="D45" s="2">
        <v>0.5</v>
      </c>
      <c r="E45" s="2">
        <v>0.5</v>
      </c>
      <c r="F45" s="2">
        <v>1</v>
      </c>
      <c r="G45" s="2" t="str">
        <f>_xlfn.XLOOKUP(Trainingsabschluss[[#This Row],[UserID]], Teilnehmende[UserID], Teilnehmende[Branche], "UserID nicht gefunden")</f>
        <v>IT und Technologie</v>
      </c>
      <c r="H45">
        <f>_xlfn.XLOOKUP(Trainingsabschluss[[#This Row],[UserID]], Teilnehmende[UserID], Teilnehmende[Bildungsabschluss], "UserID nicht gefunden")</f>
        <v>0</v>
      </c>
      <c r="I45" s="3">
        <f>_xlfn.XLOOKUP(Trainingsabschluss[[#This Row],[UserID]], Teilnehmende[UserID], Teilnehmende[Berufserfahrung])</f>
        <v>7</v>
      </c>
      <c r="J45" s="3" t="str" cm="1">
        <f t="array" ref="J4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5" s="11">
        <f>Trainingsabschluss[[#This Row],[Quiz_Frage1_Punkte]]/Max_Frage1</f>
        <v>0.4</v>
      </c>
      <c r="L45" s="11">
        <f>Trainingsabschluss[[#This Row],[Quiz_Frage2_Punkte]]/Max_Frage2</f>
        <v>0.3</v>
      </c>
      <c r="M45" s="11">
        <f>Trainingsabschluss[[#This Row],[Quiz_Frage3_Punkte]]/Max_Frage3</f>
        <v>0.1</v>
      </c>
      <c r="N45" s="11">
        <f>Trainingsabschluss[[#This Row],[Quiz_Frage4_Punkte]]/Max_Frage4</f>
        <v>0.125</v>
      </c>
      <c r="O45" s="11">
        <f>Trainingsabschluss[[#This Row],[Quiz_Frage5_Punkte]]/Max_Frage5</f>
        <v>0.33333333333333331</v>
      </c>
      <c r="P45" s="2">
        <f>Trainingsabschluss[[#This Row],[Quiz_Frage1_Punkte]]+Trainingsabschluss[[#This Row],[Quiz_Frage2_Punkte]]+Trainingsabschluss[[#This Row],[Quiz_Frage3_Punkte]]+Trainingsabschluss[[#This Row],[Quiz_Frage4_Punkte]]+Trainingsabschluss[[#This Row],[Quiz_Frage5_Punkte]]</f>
        <v>5.5</v>
      </c>
      <c r="Q45" s="8">
        <f>Trainingsabschluss[[#This Row],[Quizergebnis]]/Max_Quizergebnis</f>
        <v>0.25</v>
      </c>
      <c r="R45" t="str" cm="1">
        <f t="array" ref="R45">_xlfn.IFS(Trainingsabschluss[[#This Row],[Quizergebnis_Prozent]]&lt;0.5, "Nicht bestanden",
Trainingsabschluss[[#This Row],[Quizergebnis_Prozent]]&lt;0.65, "Bestanden",
Trainingsabschluss[[#This Row],[Quizergebnis_Prozent]]&lt;0.8, "Gut bestanden",
TRUE, "Sehr gut bestanden")</f>
        <v>Nicht bestanden</v>
      </c>
      <c r="S45" s="3">
        <v>8</v>
      </c>
      <c r="T45" s="3" t="str" cm="1">
        <f t="array" ref="T45">_xlfn.IFS(Trainingsabschluss[[#This Row],[Training_Bewertung]]&gt;=9, "Promotor", Trainingsabschluss[[#This Row],[Training_Bewertung]]
&lt;=6, "Detraktor",
TRUE, "Passiv")</f>
        <v>Passiv</v>
      </c>
      <c r="W45"/>
    </row>
    <row r="46" spans="1:23" x14ac:dyDescent="0.3">
      <c r="A46" s="13" t="s">
        <v>395</v>
      </c>
      <c r="B46" s="2">
        <v>5</v>
      </c>
      <c r="C46" s="2">
        <v>4</v>
      </c>
      <c r="D46" s="2">
        <v>0.5</v>
      </c>
      <c r="E46" s="2">
        <v>1</v>
      </c>
      <c r="F46" s="2">
        <v>2</v>
      </c>
      <c r="G46" s="2" t="str">
        <f>_xlfn.XLOOKUP(Trainingsabschluss[[#This Row],[UserID]], Teilnehmende[UserID], Teilnehmende[Branche], "UserID nicht gefunden")</f>
        <v>IT und Technologie</v>
      </c>
      <c r="H46">
        <f>_xlfn.XLOOKUP(Trainingsabschluss[[#This Row],[UserID]], Teilnehmende[UserID], Teilnehmende[Bildungsabschluss], "UserID nicht gefunden")</f>
        <v>0</v>
      </c>
      <c r="I46" s="3">
        <f>_xlfn.XLOOKUP(Trainingsabschluss[[#This Row],[UserID]], Teilnehmende[UserID], Teilnehmende[Berufserfahrung])</f>
        <v>19</v>
      </c>
      <c r="J46" s="3" t="str" cm="1">
        <f t="array" ref="J46">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6" s="11">
        <f>Trainingsabschluss[[#This Row],[Quiz_Frage1_Punkte]]/Max_Frage1</f>
        <v>1</v>
      </c>
      <c r="L46" s="11">
        <f>Trainingsabschluss[[#This Row],[Quiz_Frage2_Punkte]]/Max_Frage2</f>
        <v>0.8</v>
      </c>
      <c r="M46" s="11">
        <f>Trainingsabschluss[[#This Row],[Quiz_Frage3_Punkte]]/Max_Frage3</f>
        <v>0.1</v>
      </c>
      <c r="N46" s="11">
        <f>Trainingsabschluss[[#This Row],[Quiz_Frage4_Punkte]]/Max_Frage4</f>
        <v>0.25</v>
      </c>
      <c r="O46" s="11">
        <f>Trainingsabschluss[[#This Row],[Quiz_Frage5_Punkte]]/Max_Frage5</f>
        <v>0.66666666666666663</v>
      </c>
      <c r="P46" s="2">
        <f>Trainingsabschluss[[#This Row],[Quiz_Frage1_Punkte]]+Trainingsabschluss[[#This Row],[Quiz_Frage2_Punkte]]+Trainingsabschluss[[#This Row],[Quiz_Frage3_Punkte]]+Trainingsabschluss[[#This Row],[Quiz_Frage4_Punkte]]+Trainingsabschluss[[#This Row],[Quiz_Frage5_Punkte]]</f>
        <v>12.5</v>
      </c>
      <c r="Q46" s="8">
        <f>Trainingsabschluss[[#This Row],[Quizergebnis]]/Max_Quizergebnis</f>
        <v>0.56818181818181823</v>
      </c>
      <c r="R46" t="str" cm="1">
        <f t="array" ref="R46">_xlfn.IFS(Trainingsabschluss[[#This Row],[Quizergebnis_Prozent]]&lt;0.5, "Nicht bestanden",
Trainingsabschluss[[#This Row],[Quizergebnis_Prozent]]&lt;0.65, "Bestanden",
Trainingsabschluss[[#This Row],[Quizergebnis_Prozent]]&lt;0.8, "Gut bestanden",
TRUE, "Sehr gut bestanden")</f>
        <v>Bestanden</v>
      </c>
      <c r="S46" s="3">
        <v>6</v>
      </c>
      <c r="T46" s="3" t="str" cm="1">
        <f t="array" ref="T46">_xlfn.IFS(Trainingsabschluss[[#This Row],[Training_Bewertung]]&gt;=9, "Promotor", Trainingsabschluss[[#This Row],[Training_Bewertung]]
&lt;=6, "Detraktor",
TRUE, "Passiv")</f>
        <v>Detraktor</v>
      </c>
      <c r="W46"/>
    </row>
    <row r="47" spans="1:23" x14ac:dyDescent="0.3">
      <c r="A47" s="13" t="s">
        <v>396</v>
      </c>
      <c r="B47" s="2">
        <v>4.5</v>
      </c>
      <c r="C47" s="2">
        <v>5</v>
      </c>
      <c r="D47" s="2">
        <v>2</v>
      </c>
      <c r="E47" s="2">
        <v>2</v>
      </c>
      <c r="F47" s="2">
        <v>0.5</v>
      </c>
      <c r="G47" s="2" t="str">
        <f>_xlfn.XLOOKUP(Trainingsabschluss[[#This Row],[UserID]], Teilnehmende[UserID], Teilnehmende[Branche], "UserID nicht gefunden")</f>
        <v>IT und Technologie</v>
      </c>
      <c r="H47">
        <f>_xlfn.XLOOKUP(Trainingsabschluss[[#This Row],[UserID]], Teilnehmende[UserID], Teilnehmende[Bildungsabschluss], "UserID nicht gefunden")</f>
        <v>0</v>
      </c>
      <c r="I47" s="3">
        <f>_xlfn.XLOOKUP(Trainingsabschluss[[#This Row],[UserID]], Teilnehmende[UserID], Teilnehmende[Berufserfahrung])</f>
        <v>2</v>
      </c>
      <c r="J47" s="3" t="str" cm="1">
        <f t="array" ref="J4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7" s="11">
        <f>Trainingsabschluss[[#This Row],[Quiz_Frage1_Punkte]]/Max_Frage1</f>
        <v>0.9</v>
      </c>
      <c r="L47" s="11">
        <f>Trainingsabschluss[[#This Row],[Quiz_Frage2_Punkte]]/Max_Frage2</f>
        <v>1</v>
      </c>
      <c r="M47" s="11">
        <f>Trainingsabschluss[[#This Row],[Quiz_Frage3_Punkte]]/Max_Frage3</f>
        <v>0.4</v>
      </c>
      <c r="N47" s="11">
        <f>Trainingsabschluss[[#This Row],[Quiz_Frage4_Punkte]]/Max_Frage4</f>
        <v>0.5</v>
      </c>
      <c r="O47" s="11">
        <f>Trainingsabschluss[[#This Row],[Quiz_Frage5_Punkte]]/Max_Frage5</f>
        <v>0.16666666666666666</v>
      </c>
      <c r="P47" s="2">
        <f>Trainingsabschluss[[#This Row],[Quiz_Frage1_Punkte]]+Trainingsabschluss[[#This Row],[Quiz_Frage2_Punkte]]+Trainingsabschluss[[#This Row],[Quiz_Frage3_Punkte]]+Trainingsabschluss[[#This Row],[Quiz_Frage4_Punkte]]+Trainingsabschluss[[#This Row],[Quiz_Frage5_Punkte]]</f>
        <v>14</v>
      </c>
      <c r="Q47" s="8">
        <f>Trainingsabschluss[[#This Row],[Quizergebnis]]/Max_Quizergebnis</f>
        <v>0.63636363636363635</v>
      </c>
      <c r="R47" t="str" cm="1">
        <f t="array" ref="R47">_xlfn.IFS(Trainingsabschluss[[#This Row],[Quizergebnis_Prozent]]&lt;0.5, "Nicht bestanden",
Trainingsabschluss[[#This Row],[Quizergebnis_Prozent]]&lt;0.65, "Bestanden",
Trainingsabschluss[[#This Row],[Quizergebnis_Prozent]]&lt;0.8, "Gut bestanden",
TRUE, "Sehr gut bestanden")</f>
        <v>Bestanden</v>
      </c>
      <c r="S47" s="3">
        <v>6</v>
      </c>
      <c r="T47" s="3" t="str" cm="1">
        <f t="array" ref="T47">_xlfn.IFS(Trainingsabschluss[[#This Row],[Training_Bewertung]]&gt;=9, "Promotor", Trainingsabschluss[[#This Row],[Training_Bewertung]]
&lt;=6, "Detraktor",
TRUE, "Passiv")</f>
        <v>Detraktor</v>
      </c>
      <c r="W47"/>
    </row>
    <row r="48" spans="1:23" x14ac:dyDescent="0.3">
      <c r="A48" s="13" t="s">
        <v>404</v>
      </c>
      <c r="B48" s="2">
        <v>5</v>
      </c>
      <c r="C48" s="2">
        <v>3.5</v>
      </c>
      <c r="D48" s="2">
        <v>1.5</v>
      </c>
      <c r="E48" s="2">
        <v>3</v>
      </c>
      <c r="F48" s="2">
        <v>2.5</v>
      </c>
      <c r="G48" s="2" t="str">
        <f>_xlfn.XLOOKUP(Trainingsabschluss[[#This Row],[UserID]], Teilnehmende[UserID], Teilnehmende[Branche], "UserID nicht gefunden")</f>
        <v>IT und Technologie</v>
      </c>
      <c r="H48">
        <f>_xlfn.XLOOKUP(Trainingsabschluss[[#This Row],[UserID]], Teilnehmende[UserID], Teilnehmende[Bildungsabschluss], "UserID nicht gefunden")</f>
        <v>0</v>
      </c>
      <c r="I48" s="3">
        <f>_xlfn.XLOOKUP(Trainingsabschluss[[#This Row],[UserID]], Teilnehmende[UserID], Teilnehmende[Berufserfahrung])</f>
        <v>8</v>
      </c>
      <c r="J48" s="3" t="str" cm="1">
        <f t="array" ref="J4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8" s="11">
        <f>Trainingsabschluss[[#This Row],[Quiz_Frage1_Punkte]]/Max_Frage1</f>
        <v>1</v>
      </c>
      <c r="L48" s="11">
        <f>Trainingsabschluss[[#This Row],[Quiz_Frage2_Punkte]]/Max_Frage2</f>
        <v>0.7</v>
      </c>
      <c r="M48" s="11">
        <f>Trainingsabschluss[[#This Row],[Quiz_Frage3_Punkte]]/Max_Frage3</f>
        <v>0.3</v>
      </c>
      <c r="N48" s="11">
        <f>Trainingsabschluss[[#This Row],[Quiz_Frage4_Punkte]]/Max_Frage4</f>
        <v>0.75</v>
      </c>
      <c r="O48" s="11">
        <f>Trainingsabschluss[[#This Row],[Quiz_Frage5_Punkte]]/Max_Frage5</f>
        <v>0.83333333333333337</v>
      </c>
      <c r="P48" s="2">
        <f>Trainingsabschluss[[#This Row],[Quiz_Frage1_Punkte]]+Trainingsabschluss[[#This Row],[Quiz_Frage2_Punkte]]+Trainingsabschluss[[#This Row],[Quiz_Frage3_Punkte]]+Trainingsabschluss[[#This Row],[Quiz_Frage4_Punkte]]+Trainingsabschluss[[#This Row],[Quiz_Frage5_Punkte]]</f>
        <v>15.5</v>
      </c>
      <c r="Q48" s="8">
        <f>Trainingsabschluss[[#This Row],[Quizergebnis]]/Max_Quizergebnis</f>
        <v>0.70454545454545459</v>
      </c>
      <c r="R48" t="str" cm="1">
        <f t="array" ref="R48">_xlfn.IFS(Trainingsabschluss[[#This Row],[Quizergebnis_Prozent]]&lt;0.5, "Nicht bestanden",
Trainingsabschluss[[#This Row],[Quizergebnis_Prozent]]&lt;0.65, "Bestanden",
Trainingsabschluss[[#This Row],[Quizergebnis_Prozent]]&lt;0.8, "Gut bestanden",
TRUE, "Sehr gut bestanden")</f>
        <v>Gut bestanden</v>
      </c>
      <c r="S48" s="3">
        <v>8</v>
      </c>
      <c r="T48" s="3" t="str" cm="1">
        <f t="array" ref="T48">_xlfn.IFS(Trainingsabschluss[[#This Row],[Training_Bewertung]]&gt;=9, "Promotor", Trainingsabschluss[[#This Row],[Training_Bewertung]]
&lt;=6, "Detraktor",
TRUE, "Passiv")</f>
        <v>Passiv</v>
      </c>
      <c r="W48"/>
    </row>
    <row r="49" spans="1:23" x14ac:dyDescent="0.3">
      <c r="A49" s="13" t="s">
        <v>407</v>
      </c>
      <c r="B49" s="2">
        <v>4.5</v>
      </c>
      <c r="C49" s="2">
        <v>3.5</v>
      </c>
      <c r="D49" s="2">
        <v>2.5</v>
      </c>
      <c r="E49" s="2">
        <v>4</v>
      </c>
      <c r="F49" s="2">
        <v>0.5</v>
      </c>
      <c r="G49" s="2" t="str">
        <f>_xlfn.XLOOKUP(Trainingsabschluss[[#This Row],[UserID]], Teilnehmende[UserID], Teilnehmende[Branche], "UserID nicht gefunden")</f>
        <v>IT und Technologie</v>
      </c>
      <c r="H49">
        <f>_xlfn.XLOOKUP(Trainingsabschluss[[#This Row],[UserID]], Teilnehmende[UserID], Teilnehmende[Bildungsabschluss], "UserID nicht gefunden")</f>
        <v>0</v>
      </c>
      <c r="I49" s="3">
        <f>_xlfn.XLOOKUP(Trainingsabschluss[[#This Row],[UserID]], Teilnehmende[UserID], Teilnehmende[Berufserfahrung])</f>
        <v>16</v>
      </c>
      <c r="J49" s="3" t="str" cm="1">
        <f t="array" ref="J49">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9" s="11">
        <f>Trainingsabschluss[[#This Row],[Quiz_Frage1_Punkte]]/Max_Frage1</f>
        <v>0.9</v>
      </c>
      <c r="L49" s="11">
        <f>Trainingsabschluss[[#This Row],[Quiz_Frage2_Punkte]]/Max_Frage2</f>
        <v>0.7</v>
      </c>
      <c r="M49" s="11">
        <f>Trainingsabschluss[[#This Row],[Quiz_Frage3_Punkte]]/Max_Frage3</f>
        <v>0.5</v>
      </c>
      <c r="N49" s="11">
        <f>Trainingsabschluss[[#This Row],[Quiz_Frage4_Punkte]]/Max_Frage4</f>
        <v>1</v>
      </c>
      <c r="O49" s="11">
        <f>Trainingsabschluss[[#This Row],[Quiz_Frage5_Punkte]]/Max_Frage5</f>
        <v>0.16666666666666666</v>
      </c>
      <c r="P49" s="2">
        <f>Trainingsabschluss[[#This Row],[Quiz_Frage1_Punkte]]+Trainingsabschluss[[#This Row],[Quiz_Frage2_Punkte]]+Trainingsabschluss[[#This Row],[Quiz_Frage3_Punkte]]+Trainingsabschluss[[#This Row],[Quiz_Frage4_Punkte]]+Trainingsabschluss[[#This Row],[Quiz_Frage5_Punkte]]</f>
        <v>15</v>
      </c>
      <c r="Q49" s="8">
        <f>Trainingsabschluss[[#This Row],[Quizergebnis]]/Max_Quizergebnis</f>
        <v>0.68181818181818177</v>
      </c>
      <c r="R49" t="str" cm="1">
        <f t="array" ref="R49">_xlfn.IFS(Trainingsabschluss[[#This Row],[Quizergebnis_Prozent]]&lt;0.5, "Nicht bestanden",
Trainingsabschluss[[#This Row],[Quizergebnis_Prozent]]&lt;0.65, "Bestanden",
Trainingsabschluss[[#This Row],[Quizergebnis_Prozent]]&lt;0.8, "Gut bestanden",
TRUE, "Sehr gut bestanden")</f>
        <v>Gut bestanden</v>
      </c>
      <c r="S49" s="3">
        <v>7</v>
      </c>
      <c r="T49" s="3" t="str" cm="1">
        <f t="array" ref="T49">_xlfn.IFS(Trainingsabschluss[[#This Row],[Training_Bewertung]]&gt;=9, "Promotor", Trainingsabschluss[[#This Row],[Training_Bewertung]]
&lt;=6, "Detraktor",
TRUE, "Passiv")</f>
        <v>Passiv</v>
      </c>
      <c r="W49"/>
    </row>
    <row r="50" spans="1:23" x14ac:dyDescent="0.3">
      <c r="A50" s="13" t="s">
        <v>412</v>
      </c>
      <c r="B50" s="2">
        <v>5</v>
      </c>
      <c r="C50" s="2">
        <v>5</v>
      </c>
      <c r="D50" s="2">
        <v>1</v>
      </c>
      <c r="E50" s="2">
        <v>1.5</v>
      </c>
      <c r="F50" s="2">
        <v>2.5</v>
      </c>
      <c r="G50" s="2" t="str">
        <f>_xlfn.XLOOKUP(Trainingsabschluss[[#This Row],[UserID]], Teilnehmende[UserID], Teilnehmende[Branche], "UserID nicht gefunden")</f>
        <v>IT und Technologie</v>
      </c>
      <c r="H50">
        <f>_xlfn.XLOOKUP(Trainingsabschluss[[#This Row],[UserID]], Teilnehmende[UserID], Teilnehmende[Bildungsabschluss], "UserID nicht gefunden")</f>
        <v>0</v>
      </c>
      <c r="I50" s="3">
        <f>_xlfn.XLOOKUP(Trainingsabschluss[[#This Row],[UserID]], Teilnehmende[UserID], Teilnehmende[Berufserfahrung])</f>
        <v>6</v>
      </c>
      <c r="J50" s="3" t="str" cm="1">
        <f t="array" ref="J5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50" s="11">
        <f>Trainingsabschluss[[#This Row],[Quiz_Frage1_Punkte]]/Max_Frage1</f>
        <v>1</v>
      </c>
      <c r="L50" s="11">
        <f>Trainingsabschluss[[#This Row],[Quiz_Frage2_Punkte]]/Max_Frage2</f>
        <v>1</v>
      </c>
      <c r="M50" s="11">
        <f>Trainingsabschluss[[#This Row],[Quiz_Frage3_Punkte]]/Max_Frage3</f>
        <v>0.2</v>
      </c>
      <c r="N50" s="11">
        <f>Trainingsabschluss[[#This Row],[Quiz_Frage4_Punkte]]/Max_Frage4</f>
        <v>0.375</v>
      </c>
      <c r="O50" s="11">
        <f>Trainingsabschluss[[#This Row],[Quiz_Frage5_Punkte]]/Max_Frage5</f>
        <v>0.83333333333333337</v>
      </c>
      <c r="P50" s="2">
        <f>Trainingsabschluss[[#This Row],[Quiz_Frage1_Punkte]]+Trainingsabschluss[[#This Row],[Quiz_Frage2_Punkte]]+Trainingsabschluss[[#This Row],[Quiz_Frage3_Punkte]]+Trainingsabschluss[[#This Row],[Quiz_Frage4_Punkte]]+Trainingsabschluss[[#This Row],[Quiz_Frage5_Punkte]]</f>
        <v>15</v>
      </c>
      <c r="Q50" s="8">
        <f>Trainingsabschluss[[#This Row],[Quizergebnis]]/Max_Quizergebnis</f>
        <v>0.68181818181818177</v>
      </c>
      <c r="R50" t="str" cm="1">
        <f t="array" ref="R50">_xlfn.IFS(Trainingsabschluss[[#This Row],[Quizergebnis_Prozent]]&lt;0.5, "Nicht bestanden",
Trainingsabschluss[[#This Row],[Quizergebnis_Prozent]]&lt;0.65, "Bestanden",
Trainingsabschluss[[#This Row],[Quizergebnis_Prozent]]&lt;0.8, "Gut bestanden",
TRUE, "Sehr gut bestanden")</f>
        <v>Gut bestanden</v>
      </c>
      <c r="S50" s="3">
        <v>8</v>
      </c>
      <c r="T50" s="3" t="str" cm="1">
        <f t="array" ref="T50">_xlfn.IFS(Trainingsabschluss[[#This Row],[Training_Bewertung]]&gt;=9, "Promotor", Trainingsabschluss[[#This Row],[Training_Bewertung]]
&lt;=6, "Detraktor",
TRUE, "Passiv")</f>
        <v>Passiv</v>
      </c>
      <c r="W50"/>
    </row>
    <row r="51" spans="1:23" x14ac:dyDescent="0.3">
      <c r="A51" s="13" t="s">
        <v>414</v>
      </c>
      <c r="B51" s="2">
        <v>5</v>
      </c>
      <c r="C51" s="2">
        <v>3.5</v>
      </c>
      <c r="D51" s="2">
        <v>3</v>
      </c>
      <c r="E51" s="2">
        <v>2.5</v>
      </c>
      <c r="F51" s="2">
        <v>1.5</v>
      </c>
      <c r="G51" s="2" t="str">
        <f>_xlfn.XLOOKUP(Trainingsabschluss[[#This Row],[UserID]], Teilnehmende[UserID], Teilnehmende[Branche], "UserID nicht gefunden")</f>
        <v>IT und Technologie</v>
      </c>
      <c r="H51">
        <f>_xlfn.XLOOKUP(Trainingsabschluss[[#This Row],[UserID]], Teilnehmende[UserID], Teilnehmende[Bildungsabschluss], "UserID nicht gefunden")</f>
        <v>0</v>
      </c>
      <c r="I51" s="3">
        <f>_xlfn.XLOOKUP(Trainingsabschluss[[#This Row],[UserID]], Teilnehmende[UserID], Teilnehmende[Berufserfahrung])</f>
        <v>5</v>
      </c>
      <c r="J51" s="3" t="str" cm="1">
        <f t="array" ref="J5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51" s="11">
        <f>Trainingsabschluss[[#This Row],[Quiz_Frage1_Punkte]]/Max_Frage1</f>
        <v>1</v>
      </c>
      <c r="L51" s="11">
        <f>Trainingsabschluss[[#This Row],[Quiz_Frage2_Punkte]]/Max_Frage2</f>
        <v>0.7</v>
      </c>
      <c r="M51" s="11">
        <f>Trainingsabschluss[[#This Row],[Quiz_Frage3_Punkte]]/Max_Frage3</f>
        <v>0.6</v>
      </c>
      <c r="N51" s="11">
        <f>Trainingsabschluss[[#This Row],[Quiz_Frage4_Punkte]]/Max_Frage4</f>
        <v>0.625</v>
      </c>
      <c r="O51" s="11">
        <f>Trainingsabschluss[[#This Row],[Quiz_Frage5_Punkte]]/Max_Frage5</f>
        <v>0.5</v>
      </c>
      <c r="P51" s="2">
        <f>Trainingsabschluss[[#This Row],[Quiz_Frage1_Punkte]]+Trainingsabschluss[[#This Row],[Quiz_Frage2_Punkte]]+Trainingsabschluss[[#This Row],[Quiz_Frage3_Punkte]]+Trainingsabschluss[[#This Row],[Quiz_Frage4_Punkte]]+Trainingsabschluss[[#This Row],[Quiz_Frage5_Punkte]]</f>
        <v>15.5</v>
      </c>
      <c r="Q51" s="8">
        <f>Trainingsabschluss[[#This Row],[Quizergebnis]]/Max_Quizergebnis</f>
        <v>0.70454545454545459</v>
      </c>
      <c r="R51" t="str" cm="1">
        <f t="array" ref="R51">_xlfn.IFS(Trainingsabschluss[[#This Row],[Quizergebnis_Prozent]]&lt;0.5, "Nicht bestanden",
Trainingsabschluss[[#This Row],[Quizergebnis_Prozent]]&lt;0.65, "Bestanden",
Trainingsabschluss[[#This Row],[Quizergebnis_Prozent]]&lt;0.8, "Gut bestanden",
TRUE, "Sehr gut bestanden")</f>
        <v>Gut bestanden</v>
      </c>
      <c r="S51" s="3">
        <v>7</v>
      </c>
      <c r="T51" s="3" t="str" cm="1">
        <f t="array" ref="T51">_xlfn.IFS(Trainingsabschluss[[#This Row],[Training_Bewertung]]&gt;=9, "Promotor", Trainingsabschluss[[#This Row],[Training_Bewertung]]
&lt;=6, "Detraktor",
TRUE, "Passiv")</f>
        <v>Passiv</v>
      </c>
      <c r="W51"/>
    </row>
    <row r="52" spans="1:23" x14ac:dyDescent="0.3">
      <c r="A52" s="13" t="s">
        <v>424</v>
      </c>
      <c r="B52" s="2">
        <v>5</v>
      </c>
      <c r="C52" s="2">
        <v>4.5</v>
      </c>
      <c r="D52" s="2">
        <v>2.5</v>
      </c>
      <c r="E52" s="2">
        <v>3.5</v>
      </c>
      <c r="F52" s="2">
        <v>0</v>
      </c>
      <c r="G52" s="2" t="str">
        <f>_xlfn.XLOOKUP(Trainingsabschluss[[#This Row],[UserID]], Teilnehmende[UserID], Teilnehmende[Branche], "UserID nicht gefunden")</f>
        <v>IT und Technologie</v>
      </c>
      <c r="H52">
        <f>_xlfn.XLOOKUP(Trainingsabschluss[[#This Row],[UserID]], Teilnehmende[UserID], Teilnehmende[Bildungsabschluss], "UserID nicht gefunden")</f>
        <v>0</v>
      </c>
      <c r="I52" s="3">
        <f>_xlfn.XLOOKUP(Trainingsabschluss[[#This Row],[UserID]], Teilnehmende[UserID], Teilnehmende[Berufserfahrung])</f>
        <v>17</v>
      </c>
      <c r="J52" s="3" t="str" cm="1">
        <f t="array" ref="J52">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52" s="11">
        <f>Trainingsabschluss[[#This Row],[Quiz_Frage1_Punkte]]/Max_Frage1</f>
        <v>1</v>
      </c>
      <c r="L52" s="11">
        <f>Trainingsabschluss[[#This Row],[Quiz_Frage2_Punkte]]/Max_Frage2</f>
        <v>0.9</v>
      </c>
      <c r="M52" s="11">
        <f>Trainingsabschluss[[#This Row],[Quiz_Frage3_Punkte]]/Max_Frage3</f>
        <v>0.5</v>
      </c>
      <c r="N52" s="11">
        <f>Trainingsabschluss[[#This Row],[Quiz_Frage4_Punkte]]/Max_Frage4</f>
        <v>0.875</v>
      </c>
      <c r="O52" s="11">
        <f>Trainingsabschluss[[#This Row],[Quiz_Frage5_Punkte]]/Max_Frage5</f>
        <v>0</v>
      </c>
      <c r="P52" s="2">
        <f>Trainingsabschluss[[#This Row],[Quiz_Frage1_Punkte]]+Trainingsabschluss[[#This Row],[Quiz_Frage2_Punkte]]+Trainingsabschluss[[#This Row],[Quiz_Frage3_Punkte]]+Trainingsabschluss[[#This Row],[Quiz_Frage4_Punkte]]+Trainingsabschluss[[#This Row],[Quiz_Frage5_Punkte]]</f>
        <v>15.5</v>
      </c>
      <c r="Q52" s="8">
        <f>Trainingsabschluss[[#This Row],[Quizergebnis]]/Max_Quizergebnis</f>
        <v>0.70454545454545459</v>
      </c>
      <c r="R52" t="str" cm="1">
        <f t="array" ref="R52">_xlfn.IFS(Trainingsabschluss[[#This Row],[Quizergebnis_Prozent]]&lt;0.5, "Nicht bestanden",
Trainingsabschluss[[#This Row],[Quizergebnis_Prozent]]&lt;0.65, "Bestanden",
Trainingsabschluss[[#This Row],[Quizergebnis_Prozent]]&lt;0.8, "Gut bestanden",
TRUE, "Sehr gut bestanden")</f>
        <v>Gut bestanden</v>
      </c>
      <c r="S52" s="3">
        <v>9</v>
      </c>
      <c r="T52" s="3" t="str" cm="1">
        <f t="array" ref="T52">_xlfn.IFS(Trainingsabschluss[[#This Row],[Training_Bewertung]]&gt;=9, "Promotor", Trainingsabschluss[[#This Row],[Training_Bewertung]]
&lt;=6, "Detraktor",
TRUE, "Passiv")</f>
        <v>Promotor</v>
      </c>
      <c r="W52"/>
    </row>
    <row r="53" spans="1:23" x14ac:dyDescent="0.3">
      <c r="A53" s="13" t="s">
        <v>429</v>
      </c>
      <c r="B53" s="2">
        <v>2</v>
      </c>
      <c r="C53" s="2">
        <v>4</v>
      </c>
      <c r="D53" s="2">
        <v>1.5</v>
      </c>
      <c r="E53" s="2">
        <v>3.5</v>
      </c>
      <c r="F53" s="2">
        <v>2</v>
      </c>
      <c r="G53" s="2" t="str">
        <f>_xlfn.XLOOKUP(Trainingsabschluss[[#This Row],[UserID]], Teilnehmende[UserID], Teilnehmende[Branche], "UserID nicht gefunden")</f>
        <v>IT und Technologie</v>
      </c>
      <c r="H53">
        <f>_xlfn.XLOOKUP(Trainingsabschluss[[#This Row],[UserID]], Teilnehmende[UserID], Teilnehmende[Bildungsabschluss], "UserID nicht gefunden")</f>
        <v>0</v>
      </c>
      <c r="I53" s="3">
        <f>_xlfn.XLOOKUP(Trainingsabschluss[[#This Row],[UserID]], Teilnehmende[UserID], Teilnehmende[Berufserfahrung])</f>
        <v>15</v>
      </c>
      <c r="J53" s="3" t="str" cm="1">
        <f t="array" ref="J53">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53" s="11">
        <f>Trainingsabschluss[[#This Row],[Quiz_Frage1_Punkte]]/Max_Frage1</f>
        <v>0.4</v>
      </c>
      <c r="L53" s="11">
        <f>Trainingsabschluss[[#This Row],[Quiz_Frage2_Punkte]]/Max_Frage2</f>
        <v>0.8</v>
      </c>
      <c r="M53" s="11">
        <f>Trainingsabschluss[[#This Row],[Quiz_Frage3_Punkte]]/Max_Frage3</f>
        <v>0.3</v>
      </c>
      <c r="N53" s="11">
        <f>Trainingsabschluss[[#This Row],[Quiz_Frage4_Punkte]]/Max_Frage4</f>
        <v>0.875</v>
      </c>
      <c r="O53" s="11">
        <f>Trainingsabschluss[[#This Row],[Quiz_Frage5_Punkte]]/Max_Frage5</f>
        <v>0.66666666666666663</v>
      </c>
      <c r="P53" s="2">
        <f>Trainingsabschluss[[#This Row],[Quiz_Frage1_Punkte]]+Trainingsabschluss[[#This Row],[Quiz_Frage2_Punkte]]+Trainingsabschluss[[#This Row],[Quiz_Frage3_Punkte]]+Trainingsabschluss[[#This Row],[Quiz_Frage4_Punkte]]+Trainingsabschluss[[#This Row],[Quiz_Frage5_Punkte]]</f>
        <v>13</v>
      </c>
      <c r="Q53" s="8">
        <f>Trainingsabschluss[[#This Row],[Quizergebnis]]/Max_Quizergebnis</f>
        <v>0.59090909090909094</v>
      </c>
      <c r="R53" t="str" cm="1">
        <f t="array" ref="R53">_xlfn.IFS(Trainingsabschluss[[#This Row],[Quizergebnis_Prozent]]&lt;0.5, "Nicht bestanden",
Trainingsabschluss[[#This Row],[Quizergebnis_Prozent]]&lt;0.65, "Bestanden",
Trainingsabschluss[[#This Row],[Quizergebnis_Prozent]]&lt;0.8, "Gut bestanden",
TRUE, "Sehr gut bestanden")</f>
        <v>Bestanden</v>
      </c>
      <c r="S53" s="3">
        <v>9</v>
      </c>
      <c r="T53" s="3" t="str" cm="1">
        <f t="array" ref="T53">_xlfn.IFS(Trainingsabschluss[[#This Row],[Training_Bewertung]]&gt;=9, "Promotor", Trainingsabschluss[[#This Row],[Training_Bewertung]]
&lt;=6, "Detraktor",
TRUE, "Passiv")</f>
        <v>Promotor</v>
      </c>
      <c r="W53"/>
    </row>
    <row r="54" spans="1:23" x14ac:dyDescent="0.3">
      <c r="A54" s="13" t="s">
        <v>434</v>
      </c>
      <c r="B54" s="2">
        <v>5</v>
      </c>
      <c r="C54" s="2">
        <v>4</v>
      </c>
      <c r="D54" s="2">
        <v>3.5</v>
      </c>
      <c r="E54" s="2">
        <v>3</v>
      </c>
      <c r="F54" s="2">
        <v>2</v>
      </c>
      <c r="G54" s="2" t="str">
        <f>_xlfn.XLOOKUP(Trainingsabschluss[[#This Row],[UserID]], Teilnehmende[UserID], Teilnehmende[Branche], "UserID nicht gefunden")</f>
        <v>IT und Technologie</v>
      </c>
      <c r="H54">
        <f>_xlfn.XLOOKUP(Trainingsabschluss[[#This Row],[UserID]], Teilnehmende[UserID], Teilnehmende[Bildungsabschluss], "UserID nicht gefunden")</f>
        <v>0</v>
      </c>
      <c r="I54" s="3">
        <f>_xlfn.XLOOKUP(Trainingsabschluss[[#This Row],[UserID]], Teilnehmende[UserID], Teilnehmende[Berufserfahrung])</f>
        <v>13</v>
      </c>
      <c r="J54" s="3" t="str" cm="1">
        <f t="array" ref="J54">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54" s="11">
        <f>Trainingsabschluss[[#This Row],[Quiz_Frage1_Punkte]]/Max_Frage1</f>
        <v>1</v>
      </c>
      <c r="L54" s="11">
        <f>Trainingsabschluss[[#This Row],[Quiz_Frage2_Punkte]]/Max_Frage2</f>
        <v>0.8</v>
      </c>
      <c r="M54" s="11">
        <f>Trainingsabschluss[[#This Row],[Quiz_Frage3_Punkte]]/Max_Frage3</f>
        <v>0.7</v>
      </c>
      <c r="N54" s="11">
        <f>Trainingsabschluss[[#This Row],[Quiz_Frage4_Punkte]]/Max_Frage4</f>
        <v>0.75</v>
      </c>
      <c r="O54" s="11">
        <f>Trainingsabschluss[[#This Row],[Quiz_Frage5_Punkte]]/Max_Frage5</f>
        <v>0.66666666666666663</v>
      </c>
      <c r="P54" s="2">
        <f>Trainingsabschluss[[#This Row],[Quiz_Frage1_Punkte]]+Trainingsabschluss[[#This Row],[Quiz_Frage2_Punkte]]+Trainingsabschluss[[#This Row],[Quiz_Frage3_Punkte]]+Trainingsabschluss[[#This Row],[Quiz_Frage4_Punkte]]+Trainingsabschluss[[#This Row],[Quiz_Frage5_Punkte]]</f>
        <v>17.5</v>
      </c>
      <c r="Q54" s="8">
        <f>Trainingsabschluss[[#This Row],[Quizergebnis]]/Max_Quizergebnis</f>
        <v>0.79545454545454541</v>
      </c>
      <c r="R54" t="str" cm="1">
        <f t="array" ref="R54">_xlfn.IFS(Trainingsabschluss[[#This Row],[Quizergebnis_Prozent]]&lt;0.5, "Nicht bestanden",
Trainingsabschluss[[#This Row],[Quizergebnis_Prozent]]&lt;0.65, "Bestanden",
Trainingsabschluss[[#This Row],[Quizergebnis_Prozent]]&lt;0.8, "Gut bestanden",
TRUE, "Sehr gut bestanden")</f>
        <v>Gut bestanden</v>
      </c>
      <c r="S54" s="3">
        <v>9</v>
      </c>
      <c r="T54" s="3" t="str" cm="1">
        <f t="array" ref="T54">_xlfn.IFS(Trainingsabschluss[[#This Row],[Training_Bewertung]]&gt;=9, "Promotor", Trainingsabschluss[[#This Row],[Training_Bewertung]]
&lt;=6, "Detraktor",
TRUE, "Passiv")</f>
        <v>Promotor</v>
      </c>
      <c r="W54"/>
    </row>
    <row r="55" spans="1:23" x14ac:dyDescent="0.3">
      <c r="A55" s="13" t="s">
        <v>443</v>
      </c>
      <c r="B55" s="2">
        <v>5</v>
      </c>
      <c r="C55" s="2">
        <v>5</v>
      </c>
      <c r="D55" s="2">
        <v>2.5</v>
      </c>
      <c r="E55" s="2">
        <v>4</v>
      </c>
      <c r="F55" s="2">
        <v>1.5</v>
      </c>
      <c r="G55" s="2" t="str">
        <f>_xlfn.XLOOKUP(Trainingsabschluss[[#This Row],[UserID]], Teilnehmende[UserID], Teilnehmende[Branche], "UserID nicht gefunden")</f>
        <v>IT und Technologie</v>
      </c>
      <c r="H55">
        <f>_xlfn.XLOOKUP(Trainingsabschluss[[#This Row],[UserID]], Teilnehmende[UserID], Teilnehmende[Bildungsabschluss], "UserID nicht gefunden")</f>
        <v>0</v>
      </c>
      <c r="I55" s="3">
        <f>_xlfn.XLOOKUP(Trainingsabschluss[[#This Row],[UserID]], Teilnehmende[UserID], Teilnehmende[Berufserfahrung])</f>
        <v>4</v>
      </c>
      <c r="J55" s="3" t="str" cm="1">
        <f t="array" ref="J5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55" s="11">
        <f>Trainingsabschluss[[#This Row],[Quiz_Frage1_Punkte]]/Max_Frage1</f>
        <v>1</v>
      </c>
      <c r="L55" s="11">
        <f>Trainingsabschluss[[#This Row],[Quiz_Frage2_Punkte]]/Max_Frage2</f>
        <v>1</v>
      </c>
      <c r="M55" s="11">
        <f>Trainingsabschluss[[#This Row],[Quiz_Frage3_Punkte]]/Max_Frage3</f>
        <v>0.5</v>
      </c>
      <c r="N55" s="11">
        <f>Trainingsabschluss[[#This Row],[Quiz_Frage4_Punkte]]/Max_Frage4</f>
        <v>1</v>
      </c>
      <c r="O55" s="11">
        <f>Trainingsabschluss[[#This Row],[Quiz_Frage5_Punkte]]/Max_Frage5</f>
        <v>0.5</v>
      </c>
      <c r="P55" s="2">
        <f>Trainingsabschluss[[#This Row],[Quiz_Frage1_Punkte]]+Trainingsabschluss[[#This Row],[Quiz_Frage2_Punkte]]+Trainingsabschluss[[#This Row],[Quiz_Frage3_Punkte]]+Trainingsabschluss[[#This Row],[Quiz_Frage4_Punkte]]+Trainingsabschluss[[#This Row],[Quiz_Frage5_Punkte]]</f>
        <v>18</v>
      </c>
      <c r="Q55" s="8">
        <f>Trainingsabschluss[[#This Row],[Quizergebnis]]/Max_Quizergebnis</f>
        <v>0.81818181818181823</v>
      </c>
      <c r="R55" t="str" cm="1">
        <f t="array" ref="R55">_xlfn.IFS(Trainingsabschluss[[#This Row],[Quizergebnis_Prozent]]&lt;0.5, "Nicht bestanden",
Trainingsabschluss[[#This Row],[Quizergebnis_Prozent]]&lt;0.65, "Bestanden",
Trainingsabschluss[[#This Row],[Quizergebnis_Prozent]]&lt;0.8, "Gut bestanden",
TRUE, "Sehr gut bestanden")</f>
        <v>Sehr gut bestanden</v>
      </c>
      <c r="S55" s="3">
        <v>9</v>
      </c>
      <c r="T55" s="3" t="str" cm="1">
        <f t="array" ref="T55">_xlfn.IFS(Trainingsabschluss[[#This Row],[Training_Bewertung]]&gt;=9, "Promotor", Trainingsabschluss[[#This Row],[Training_Bewertung]]
&lt;=6, "Detraktor",
TRUE, "Passiv")</f>
        <v>Promotor</v>
      </c>
      <c r="W55"/>
    </row>
    <row r="56" spans="1:23" x14ac:dyDescent="0.3">
      <c r="A56" s="13" t="s">
        <v>447</v>
      </c>
      <c r="B56" s="2">
        <v>5</v>
      </c>
      <c r="C56" s="2">
        <v>4</v>
      </c>
      <c r="D56" s="2">
        <v>3.5</v>
      </c>
      <c r="E56" s="2">
        <v>2</v>
      </c>
      <c r="F56" s="2">
        <v>2</v>
      </c>
      <c r="G56" s="2" t="str">
        <f>_xlfn.XLOOKUP(Trainingsabschluss[[#This Row],[UserID]], Teilnehmende[UserID], Teilnehmende[Branche], "UserID nicht gefunden")</f>
        <v>IT und Technologie</v>
      </c>
      <c r="H56">
        <f>_xlfn.XLOOKUP(Trainingsabschluss[[#This Row],[UserID]], Teilnehmende[UserID], Teilnehmende[Bildungsabschluss], "UserID nicht gefunden")</f>
        <v>0</v>
      </c>
      <c r="I56" s="3">
        <f>_xlfn.XLOOKUP(Trainingsabschluss[[#This Row],[UserID]], Teilnehmende[UserID], Teilnehmende[Berufserfahrung])</f>
        <v>10</v>
      </c>
      <c r="J56" s="3" t="str" cm="1">
        <f t="array" ref="J5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56" s="11">
        <f>Trainingsabschluss[[#This Row],[Quiz_Frage1_Punkte]]/Max_Frage1</f>
        <v>1</v>
      </c>
      <c r="L56" s="11">
        <f>Trainingsabschluss[[#This Row],[Quiz_Frage2_Punkte]]/Max_Frage2</f>
        <v>0.8</v>
      </c>
      <c r="M56" s="11">
        <f>Trainingsabschluss[[#This Row],[Quiz_Frage3_Punkte]]/Max_Frage3</f>
        <v>0.7</v>
      </c>
      <c r="N56" s="11">
        <f>Trainingsabschluss[[#This Row],[Quiz_Frage4_Punkte]]/Max_Frage4</f>
        <v>0.5</v>
      </c>
      <c r="O56" s="11">
        <f>Trainingsabschluss[[#This Row],[Quiz_Frage5_Punkte]]/Max_Frage5</f>
        <v>0.66666666666666663</v>
      </c>
      <c r="P56" s="2">
        <f>Trainingsabschluss[[#This Row],[Quiz_Frage1_Punkte]]+Trainingsabschluss[[#This Row],[Quiz_Frage2_Punkte]]+Trainingsabschluss[[#This Row],[Quiz_Frage3_Punkte]]+Trainingsabschluss[[#This Row],[Quiz_Frage4_Punkte]]+Trainingsabschluss[[#This Row],[Quiz_Frage5_Punkte]]</f>
        <v>16.5</v>
      </c>
      <c r="Q56" s="8">
        <f>Trainingsabschluss[[#This Row],[Quizergebnis]]/Max_Quizergebnis</f>
        <v>0.75</v>
      </c>
      <c r="R56" t="str" cm="1">
        <f t="array" ref="R56">_xlfn.IFS(Trainingsabschluss[[#This Row],[Quizergebnis_Prozent]]&lt;0.5, "Nicht bestanden",
Trainingsabschluss[[#This Row],[Quizergebnis_Prozent]]&lt;0.65, "Bestanden",
Trainingsabschluss[[#This Row],[Quizergebnis_Prozent]]&lt;0.8, "Gut bestanden",
TRUE, "Sehr gut bestanden")</f>
        <v>Gut bestanden</v>
      </c>
      <c r="S56" s="3">
        <v>9</v>
      </c>
      <c r="T56" s="3" t="str" cm="1">
        <f t="array" ref="T56">_xlfn.IFS(Trainingsabschluss[[#This Row],[Training_Bewertung]]&gt;=9, "Promotor", Trainingsabschluss[[#This Row],[Training_Bewertung]]
&lt;=6, "Detraktor",
TRUE, "Passiv")</f>
        <v>Promotor</v>
      </c>
      <c r="W56"/>
    </row>
    <row r="57" spans="1:23" x14ac:dyDescent="0.3">
      <c r="A57" s="13" t="s">
        <v>450</v>
      </c>
      <c r="B57" s="2">
        <v>5</v>
      </c>
      <c r="C57" s="2">
        <v>5</v>
      </c>
      <c r="D57" s="2">
        <v>4</v>
      </c>
      <c r="E57" s="2">
        <v>4</v>
      </c>
      <c r="F57" s="2">
        <v>2</v>
      </c>
      <c r="G57" s="2" t="str">
        <f>_xlfn.XLOOKUP(Trainingsabschluss[[#This Row],[UserID]], Teilnehmende[UserID], Teilnehmende[Branche], "UserID nicht gefunden")</f>
        <v>IT und Technologie</v>
      </c>
      <c r="H57">
        <f>_xlfn.XLOOKUP(Trainingsabschluss[[#This Row],[UserID]], Teilnehmende[UserID], Teilnehmende[Bildungsabschluss], "UserID nicht gefunden")</f>
        <v>0</v>
      </c>
      <c r="I57" s="3">
        <f>_xlfn.XLOOKUP(Trainingsabschluss[[#This Row],[UserID]], Teilnehmende[UserID], Teilnehmende[Berufserfahrung])</f>
        <v>23</v>
      </c>
      <c r="J57" s="3" t="str" cm="1">
        <f t="array" ref="J57">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57" s="11">
        <f>Trainingsabschluss[[#This Row],[Quiz_Frage1_Punkte]]/Max_Frage1</f>
        <v>1</v>
      </c>
      <c r="L57" s="11">
        <f>Trainingsabschluss[[#This Row],[Quiz_Frage2_Punkte]]/Max_Frage2</f>
        <v>1</v>
      </c>
      <c r="M57" s="11">
        <f>Trainingsabschluss[[#This Row],[Quiz_Frage3_Punkte]]/Max_Frage3</f>
        <v>0.8</v>
      </c>
      <c r="N57" s="11">
        <f>Trainingsabschluss[[#This Row],[Quiz_Frage4_Punkte]]/Max_Frage4</f>
        <v>1</v>
      </c>
      <c r="O57" s="11">
        <f>Trainingsabschluss[[#This Row],[Quiz_Frage5_Punkte]]/Max_Frage5</f>
        <v>0.66666666666666663</v>
      </c>
      <c r="P57" s="2">
        <f>Trainingsabschluss[[#This Row],[Quiz_Frage1_Punkte]]+Trainingsabschluss[[#This Row],[Quiz_Frage2_Punkte]]+Trainingsabschluss[[#This Row],[Quiz_Frage3_Punkte]]+Trainingsabschluss[[#This Row],[Quiz_Frage4_Punkte]]+Trainingsabschluss[[#This Row],[Quiz_Frage5_Punkte]]</f>
        <v>20</v>
      </c>
      <c r="Q57" s="8">
        <f>Trainingsabschluss[[#This Row],[Quizergebnis]]/Max_Quizergebnis</f>
        <v>0.90909090909090906</v>
      </c>
      <c r="R57" t="str" cm="1">
        <f t="array" ref="R57">_xlfn.IFS(Trainingsabschluss[[#This Row],[Quizergebnis_Prozent]]&lt;0.5, "Nicht bestanden",
Trainingsabschluss[[#This Row],[Quizergebnis_Prozent]]&lt;0.65, "Bestanden",
Trainingsabschluss[[#This Row],[Quizergebnis_Prozent]]&lt;0.8, "Gut bestanden",
TRUE, "Sehr gut bestanden")</f>
        <v>Sehr gut bestanden</v>
      </c>
      <c r="S57" s="3">
        <v>9</v>
      </c>
      <c r="T57" s="3" t="str" cm="1">
        <f t="array" ref="T57">_xlfn.IFS(Trainingsabschluss[[#This Row],[Training_Bewertung]]&gt;=9, "Promotor", Trainingsabschluss[[#This Row],[Training_Bewertung]]
&lt;=6, "Detraktor",
TRUE, "Passiv")</f>
        <v>Promotor</v>
      </c>
      <c r="W57"/>
    </row>
    <row r="58" spans="1:23" x14ac:dyDescent="0.3">
      <c r="A58" s="13" t="s">
        <v>457</v>
      </c>
      <c r="B58" s="2">
        <v>3</v>
      </c>
      <c r="C58" s="2">
        <v>3.5</v>
      </c>
      <c r="D58" s="2">
        <v>3.5</v>
      </c>
      <c r="E58" s="2">
        <v>2.5</v>
      </c>
      <c r="F58" s="2">
        <v>2</v>
      </c>
      <c r="G58" s="2" t="str">
        <f>_xlfn.XLOOKUP(Trainingsabschluss[[#This Row],[UserID]], Teilnehmende[UserID], Teilnehmende[Branche], "UserID nicht gefunden")</f>
        <v>IT und Technologie</v>
      </c>
      <c r="H58">
        <f>_xlfn.XLOOKUP(Trainingsabschluss[[#This Row],[UserID]], Teilnehmende[UserID], Teilnehmende[Bildungsabschluss], "UserID nicht gefunden")</f>
        <v>0</v>
      </c>
      <c r="I58" s="3">
        <f>_xlfn.XLOOKUP(Trainingsabschluss[[#This Row],[UserID]], Teilnehmende[UserID], Teilnehmende[Berufserfahrung])</f>
        <v>5</v>
      </c>
      <c r="J58" s="3" t="str" cm="1">
        <f t="array" ref="J5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58" s="11">
        <f>Trainingsabschluss[[#This Row],[Quiz_Frage1_Punkte]]/Max_Frage1</f>
        <v>0.6</v>
      </c>
      <c r="L58" s="11">
        <f>Trainingsabschluss[[#This Row],[Quiz_Frage2_Punkte]]/Max_Frage2</f>
        <v>0.7</v>
      </c>
      <c r="M58" s="11">
        <f>Trainingsabschluss[[#This Row],[Quiz_Frage3_Punkte]]/Max_Frage3</f>
        <v>0.7</v>
      </c>
      <c r="N58" s="11">
        <f>Trainingsabschluss[[#This Row],[Quiz_Frage4_Punkte]]/Max_Frage4</f>
        <v>0.625</v>
      </c>
      <c r="O58" s="11">
        <f>Trainingsabschluss[[#This Row],[Quiz_Frage5_Punkte]]/Max_Frage5</f>
        <v>0.66666666666666663</v>
      </c>
      <c r="P58" s="2">
        <f>Trainingsabschluss[[#This Row],[Quiz_Frage1_Punkte]]+Trainingsabschluss[[#This Row],[Quiz_Frage2_Punkte]]+Trainingsabschluss[[#This Row],[Quiz_Frage3_Punkte]]+Trainingsabschluss[[#This Row],[Quiz_Frage4_Punkte]]+Trainingsabschluss[[#This Row],[Quiz_Frage5_Punkte]]</f>
        <v>14.5</v>
      </c>
      <c r="Q58" s="8">
        <f>Trainingsabschluss[[#This Row],[Quizergebnis]]/Max_Quizergebnis</f>
        <v>0.65909090909090906</v>
      </c>
      <c r="R58" t="str" cm="1">
        <f t="array" ref="R58">_xlfn.IFS(Trainingsabschluss[[#This Row],[Quizergebnis_Prozent]]&lt;0.5, "Nicht bestanden",
Trainingsabschluss[[#This Row],[Quizergebnis_Prozent]]&lt;0.65, "Bestanden",
Trainingsabschluss[[#This Row],[Quizergebnis_Prozent]]&lt;0.8, "Gut bestanden",
TRUE, "Sehr gut bestanden")</f>
        <v>Gut bestanden</v>
      </c>
      <c r="S58" s="3">
        <v>9</v>
      </c>
      <c r="T58" s="3" t="str" cm="1">
        <f t="array" ref="T58">_xlfn.IFS(Trainingsabschluss[[#This Row],[Training_Bewertung]]&gt;=9, "Promotor", Trainingsabschluss[[#This Row],[Training_Bewertung]]
&lt;=6, "Detraktor",
TRUE, "Passiv")</f>
        <v>Promotor</v>
      </c>
      <c r="W58"/>
    </row>
    <row r="59" spans="1:23" x14ac:dyDescent="0.3">
      <c r="A59" s="13" t="s">
        <v>462</v>
      </c>
      <c r="B59" s="2">
        <v>4.5</v>
      </c>
      <c r="C59" s="2">
        <v>2.5</v>
      </c>
      <c r="D59" s="2">
        <v>3</v>
      </c>
      <c r="E59" s="2">
        <v>3</v>
      </c>
      <c r="F59" s="2">
        <v>1</v>
      </c>
      <c r="G59" s="2" t="str">
        <f>_xlfn.XLOOKUP(Trainingsabschluss[[#This Row],[UserID]], Teilnehmende[UserID], Teilnehmende[Branche], "UserID nicht gefunden")</f>
        <v>IT und Technologie</v>
      </c>
      <c r="H59">
        <f>_xlfn.XLOOKUP(Trainingsabschluss[[#This Row],[UserID]], Teilnehmende[UserID], Teilnehmende[Bildungsabschluss], "UserID nicht gefunden")</f>
        <v>0</v>
      </c>
      <c r="I59" s="3">
        <f>_xlfn.XLOOKUP(Trainingsabschluss[[#This Row],[UserID]], Teilnehmende[UserID], Teilnehmende[Berufserfahrung])</f>
        <v>9</v>
      </c>
      <c r="J59" s="3" t="str" cm="1">
        <f t="array" ref="J5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59" s="11">
        <f>Trainingsabschluss[[#This Row],[Quiz_Frage1_Punkte]]/Max_Frage1</f>
        <v>0.9</v>
      </c>
      <c r="L59" s="11">
        <f>Trainingsabschluss[[#This Row],[Quiz_Frage2_Punkte]]/Max_Frage2</f>
        <v>0.5</v>
      </c>
      <c r="M59" s="11">
        <f>Trainingsabschluss[[#This Row],[Quiz_Frage3_Punkte]]/Max_Frage3</f>
        <v>0.6</v>
      </c>
      <c r="N59" s="11">
        <f>Trainingsabschluss[[#This Row],[Quiz_Frage4_Punkte]]/Max_Frage4</f>
        <v>0.75</v>
      </c>
      <c r="O59" s="11">
        <f>Trainingsabschluss[[#This Row],[Quiz_Frage5_Punkte]]/Max_Frage5</f>
        <v>0.33333333333333331</v>
      </c>
      <c r="P59" s="2">
        <f>Trainingsabschluss[[#This Row],[Quiz_Frage1_Punkte]]+Trainingsabschluss[[#This Row],[Quiz_Frage2_Punkte]]+Trainingsabschluss[[#This Row],[Quiz_Frage3_Punkte]]+Trainingsabschluss[[#This Row],[Quiz_Frage4_Punkte]]+Trainingsabschluss[[#This Row],[Quiz_Frage5_Punkte]]</f>
        <v>14</v>
      </c>
      <c r="Q59" s="8">
        <f>Trainingsabschluss[[#This Row],[Quizergebnis]]/Max_Quizergebnis</f>
        <v>0.63636363636363635</v>
      </c>
      <c r="R59" t="str" cm="1">
        <f t="array" ref="R59">_xlfn.IFS(Trainingsabschluss[[#This Row],[Quizergebnis_Prozent]]&lt;0.5, "Nicht bestanden",
Trainingsabschluss[[#This Row],[Quizergebnis_Prozent]]&lt;0.65, "Bestanden",
Trainingsabschluss[[#This Row],[Quizergebnis_Prozent]]&lt;0.8, "Gut bestanden",
TRUE, "Sehr gut bestanden")</f>
        <v>Bestanden</v>
      </c>
      <c r="S59" s="3">
        <v>10</v>
      </c>
      <c r="T59" s="3" t="str" cm="1">
        <f t="array" ref="T59">_xlfn.IFS(Trainingsabschluss[[#This Row],[Training_Bewertung]]&gt;=9, "Promotor", Trainingsabschluss[[#This Row],[Training_Bewertung]]
&lt;=6, "Detraktor",
TRUE, "Passiv")</f>
        <v>Promotor</v>
      </c>
      <c r="W59"/>
    </row>
    <row r="60" spans="1:23" x14ac:dyDescent="0.3">
      <c r="A60" s="13" t="s">
        <v>463</v>
      </c>
      <c r="B60" s="2">
        <v>5</v>
      </c>
      <c r="C60" s="2">
        <v>4.5</v>
      </c>
      <c r="D60" s="2">
        <v>1</v>
      </c>
      <c r="E60" s="2">
        <v>2</v>
      </c>
      <c r="F60" s="2">
        <v>1.5</v>
      </c>
      <c r="G60" s="2" t="str">
        <f>_xlfn.XLOOKUP(Trainingsabschluss[[#This Row],[UserID]], Teilnehmende[UserID], Teilnehmende[Branche], "UserID nicht gefunden")</f>
        <v>IT und Technologie</v>
      </c>
      <c r="H60">
        <f>_xlfn.XLOOKUP(Trainingsabschluss[[#This Row],[UserID]], Teilnehmende[UserID], Teilnehmende[Bildungsabschluss], "UserID nicht gefunden")</f>
        <v>0</v>
      </c>
      <c r="I60" s="3">
        <f>_xlfn.XLOOKUP(Trainingsabschluss[[#This Row],[UserID]], Teilnehmende[UserID], Teilnehmende[Berufserfahrung])</f>
        <v>4</v>
      </c>
      <c r="J60" s="3" t="str" cm="1">
        <f t="array" ref="J6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60" s="11">
        <f>Trainingsabschluss[[#This Row],[Quiz_Frage1_Punkte]]/Max_Frage1</f>
        <v>1</v>
      </c>
      <c r="L60" s="11">
        <f>Trainingsabschluss[[#This Row],[Quiz_Frage2_Punkte]]/Max_Frage2</f>
        <v>0.9</v>
      </c>
      <c r="M60" s="11">
        <f>Trainingsabschluss[[#This Row],[Quiz_Frage3_Punkte]]/Max_Frage3</f>
        <v>0.2</v>
      </c>
      <c r="N60" s="11">
        <f>Trainingsabschluss[[#This Row],[Quiz_Frage4_Punkte]]/Max_Frage4</f>
        <v>0.5</v>
      </c>
      <c r="O60" s="11">
        <f>Trainingsabschluss[[#This Row],[Quiz_Frage5_Punkte]]/Max_Frage5</f>
        <v>0.5</v>
      </c>
      <c r="P60" s="2">
        <f>Trainingsabschluss[[#This Row],[Quiz_Frage1_Punkte]]+Trainingsabschluss[[#This Row],[Quiz_Frage2_Punkte]]+Trainingsabschluss[[#This Row],[Quiz_Frage3_Punkte]]+Trainingsabschluss[[#This Row],[Quiz_Frage4_Punkte]]+Trainingsabschluss[[#This Row],[Quiz_Frage5_Punkte]]</f>
        <v>14</v>
      </c>
      <c r="Q60" s="8">
        <f>Trainingsabschluss[[#This Row],[Quizergebnis]]/Max_Quizergebnis</f>
        <v>0.63636363636363635</v>
      </c>
      <c r="R60" t="str" cm="1">
        <f t="array" ref="R60">_xlfn.IFS(Trainingsabschluss[[#This Row],[Quizergebnis_Prozent]]&lt;0.5, "Nicht bestanden",
Trainingsabschluss[[#This Row],[Quizergebnis_Prozent]]&lt;0.65, "Bestanden",
Trainingsabschluss[[#This Row],[Quizergebnis_Prozent]]&lt;0.8, "Gut bestanden",
TRUE, "Sehr gut bestanden")</f>
        <v>Bestanden</v>
      </c>
      <c r="S60" s="3">
        <v>10</v>
      </c>
      <c r="T60" s="3" t="str" cm="1">
        <f t="array" ref="T60">_xlfn.IFS(Trainingsabschluss[[#This Row],[Training_Bewertung]]&gt;=9, "Promotor", Trainingsabschluss[[#This Row],[Training_Bewertung]]
&lt;=6, "Detraktor",
TRUE, "Passiv")</f>
        <v>Promotor</v>
      </c>
      <c r="W60"/>
    </row>
    <row r="61" spans="1:23" x14ac:dyDescent="0.3">
      <c r="A61" s="13" t="s">
        <v>472</v>
      </c>
      <c r="B61" s="2">
        <v>5</v>
      </c>
      <c r="C61" s="2">
        <v>4.5</v>
      </c>
      <c r="D61" s="2">
        <v>2.5</v>
      </c>
      <c r="E61" s="2">
        <v>3</v>
      </c>
      <c r="F61" s="2">
        <v>1</v>
      </c>
      <c r="G61" s="2" t="str">
        <f>_xlfn.XLOOKUP(Trainingsabschluss[[#This Row],[UserID]], Teilnehmende[UserID], Teilnehmende[Branche], "UserID nicht gefunden")</f>
        <v>IT und Technologie</v>
      </c>
      <c r="H61">
        <f>_xlfn.XLOOKUP(Trainingsabschluss[[#This Row],[UserID]], Teilnehmende[UserID], Teilnehmende[Bildungsabschluss], "UserID nicht gefunden")</f>
        <v>0</v>
      </c>
      <c r="I61" s="3">
        <f>_xlfn.XLOOKUP(Trainingsabschluss[[#This Row],[UserID]], Teilnehmende[UserID], Teilnehmende[Berufserfahrung])</f>
        <v>14</v>
      </c>
      <c r="J61" s="3" t="str" cm="1">
        <f t="array" ref="J6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61" s="11">
        <f>Trainingsabschluss[[#This Row],[Quiz_Frage1_Punkte]]/Max_Frage1</f>
        <v>1</v>
      </c>
      <c r="L61" s="11">
        <f>Trainingsabschluss[[#This Row],[Quiz_Frage2_Punkte]]/Max_Frage2</f>
        <v>0.9</v>
      </c>
      <c r="M61" s="11">
        <f>Trainingsabschluss[[#This Row],[Quiz_Frage3_Punkte]]/Max_Frage3</f>
        <v>0.5</v>
      </c>
      <c r="N61" s="11">
        <f>Trainingsabschluss[[#This Row],[Quiz_Frage4_Punkte]]/Max_Frage4</f>
        <v>0.75</v>
      </c>
      <c r="O61" s="11">
        <f>Trainingsabschluss[[#This Row],[Quiz_Frage5_Punkte]]/Max_Frage5</f>
        <v>0.33333333333333331</v>
      </c>
      <c r="P61" s="2">
        <f>Trainingsabschluss[[#This Row],[Quiz_Frage1_Punkte]]+Trainingsabschluss[[#This Row],[Quiz_Frage2_Punkte]]+Trainingsabschluss[[#This Row],[Quiz_Frage3_Punkte]]+Trainingsabschluss[[#This Row],[Quiz_Frage4_Punkte]]+Trainingsabschluss[[#This Row],[Quiz_Frage5_Punkte]]</f>
        <v>16</v>
      </c>
      <c r="Q61" s="8">
        <f>Trainingsabschluss[[#This Row],[Quizergebnis]]/Max_Quizergebnis</f>
        <v>0.72727272727272729</v>
      </c>
      <c r="R61" t="str" cm="1">
        <f t="array" ref="R61">_xlfn.IFS(Trainingsabschluss[[#This Row],[Quizergebnis_Prozent]]&lt;0.5, "Nicht bestanden",
Trainingsabschluss[[#This Row],[Quizergebnis_Prozent]]&lt;0.65, "Bestanden",
Trainingsabschluss[[#This Row],[Quizergebnis_Prozent]]&lt;0.8, "Gut bestanden",
TRUE, "Sehr gut bestanden")</f>
        <v>Gut bestanden</v>
      </c>
      <c r="S61" s="3">
        <v>10</v>
      </c>
      <c r="T61" s="3" t="str" cm="1">
        <f t="array" ref="T61">_xlfn.IFS(Trainingsabschluss[[#This Row],[Training_Bewertung]]&gt;=9, "Promotor", Trainingsabschluss[[#This Row],[Training_Bewertung]]
&lt;=6, "Detraktor",
TRUE, "Passiv")</f>
        <v>Promotor</v>
      </c>
      <c r="W61"/>
    </row>
    <row r="62" spans="1:23" x14ac:dyDescent="0.3">
      <c r="A62" s="13" t="s">
        <v>476</v>
      </c>
      <c r="B62" s="2">
        <v>3.5</v>
      </c>
      <c r="C62" s="2">
        <v>4.5</v>
      </c>
      <c r="D62" s="2">
        <v>4</v>
      </c>
      <c r="E62" s="2">
        <v>1</v>
      </c>
      <c r="F62" s="2">
        <v>1.5</v>
      </c>
      <c r="G62" s="2" t="str">
        <f>_xlfn.XLOOKUP(Trainingsabschluss[[#This Row],[UserID]], Teilnehmende[UserID], Teilnehmende[Branche], "UserID nicht gefunden")</f>
        <v>IT und Technologie</v>
      </c>
      <c r="H62">
        <f>_xlfn.XLOOKUP(Trainingsabschluss[[#This Row],[UserID]], Teilnehmende[UserID], Teilnehmende[Bildungsabschluss], "UserID nicht gefunden")</f>
        <v>0</v>
      </c>
      <c r="I62" s="3">
        <f>_xlfn.XLOOKUP(Trainingsabschluss[[#This Row],[UserID]], Teilnehmende[UserID], Teilnehmende[Berufserfahrung])</f>
        <v>13</v>
      </c>
      <c r="J62" s="3" t="str" cm="1">
        <f t="array" ref="J6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62" s="11">
        <f>Trainingsabschluss[[#This Row],[Quiz_Frage1_Punkte]]/Max_Frage1</f>
        <v>0.7</v>
      </c>
      <c r="L62" s="11">
        <f>Trainingsabschluss[[#This Row],[Quiz_Frage2_Punkte]]/Max_Frage2</f>
        <v>0.9</v>
      </c>
      <c r="M62" s="11">
        <f>Trainingsabschluss[[#This Row],[Quiz_Frage3_Punkte]]/Max_Frage3</f>
        <v>0.8</v>
      </c>
      <c r="N62" s="11">
        <f>Trainingsabschluss[[#This Row],[Quiz_Frage4_Punkte]]/Max_Frage4</f>
        <v>0.25</v>
      </c>
      <c r="O62" s="11">
        <f>Trainingsabschluss[[#This Row],[Quiz_Frage5_Punkte]]/Max_Frage5</f>
        <v>0.5</v>
      </c>
      <c r="P62" s="2">
        <f>Trainingsabschluss[[#This Row],[Quiz_Frage1_Punkte]]+Trainingsabschluss[[#This Row],[Quiz_Frage2_Punkte]]+Trainingsabschluss[[#This Row],[Quiz_Frage3_Punkte]]+Trainingsabschluss[[#This Row],[Quiz_Frage4_Punkte]]+Trainingsabschluss[[#This Row],[Quiz_Frage5_Punkte]]</f>
        <v>14.5</v>
      </c>
      <c r="Q62" s="8">
        <f>Trainingsabschluss[[#This Row],[Quizergebnis]]/Max_Quizergebnis</f>
        <v>0.65909090909090906</v>
      </c>
      <c r="R62" t="str" cm="1">
        <f t="array" ref="R62">_xlfn.IFS(Trainingsabschluss[[#This Row],[Quizergebnis_Prozent]]&lt;0.5, "Nicht bestanden",
Trainingsabschluss[[#This Row],[Quizergebnis_Prozent]]&lt;0.65, "Bestanden",
Trainingsabschluss[[#This Row],[Quizergebnis_Prozent]]&lt;0.8, "Gut bestanden",
TRUE, "Sehr gut bestanden")</f>
        <v>Gut bestanden</v>
      </c>
      <c r="S62" s="3">
        <v>10</v>
      </c>
      <c r="T62" s="3" t="str" cm="1">
        <f t="array" ref="T62">_xlfn.IFS(Trainingsabschluss[[#This Row],[Training_Bewertung]]&gt;=9, "Promotor", Trainingsabschluss[[#This Row],[Training_Bewertung]]
&lt;=6, "Detraktor",
TRUE, "Passiv")</f>
        <v>Promotor</v>
      </c>
      <c r="W62"/>
    </row>
    <row r="63" spans="1:23" x14ac:dyDescent="0.3">
      <c r="A63" s="13" t="s">
        <v>482</v>
      </c>
      <c r="B63" s="2">
        <v>5</v>
      </c>
      <c r="C63" s="2">
        <v>4.5</v>
      </c>
      <c r="D63" s="2">
        <v>4.5</v>
      </c>
      <c r="E63" s="2">
        <v>1</v>
      </c>
      <c r="F63" s="2">
        <v>0</v>
      </c>
      <c r="G63" s="2" t="str">
        <f>_xlfn.XLOOKUP(Trainingsabschluss[[#This Row],[UserID]], Teilnehmende[UserID], Teilnehmende[Branche], "UserID nicht gefunden")</f>
        <v>IT und Technologie</v>
      </c>
      <c r="H63">
        <f>_xlfn.XLOOKUP(Trainingsabschluss[[#This Row],[UserID]], Teilnehmende[UserID], Teilnehmende[Bildungsabschluss], "UserID nicht gefunden")</f>
        <v>0</v>
      </c>
      <c r="I63" s="3">
        <f>_xlfn.XLOOKUP(Trainingsabschluss[[#This Row],[UserID]], Teilnehmende[UserID], Teilnehmende[Berufserfahrung])</f>
        <v>7</v>
      </c>
      <c r="J63" s="3" t="str" cm="1">
        <f t="array" ref="J6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63" s="11">
        <f>Trainingsabschluss[[#This Row],[Quiz_Frage1_Punkte]]/Max_Frage1</f>
        <v>1</v>
      </c>
      <c r="L63" s="11">
        <f>Trainingsabschluss[[#This Row],[Quiz_Frage2_Punkte]]/Max_Frage2</f>
        <v>0.9</v>
      </c>
      <c r="M63" s="11">
        <f>Trainingsabschluss[[#This Row],[Quiz_Frage3_Punkte]]/Max_Frage3</f>
        <v>0.9</v>
      </c>
      <c r="N63" s="11">
        <f>Trainingsabschluss[[#This Row],[Quiz_Frage4_Punkte]]/Max_Frage4</f>
        <v>0.25</v>
      </c>
      <c r="O63" s="11">
        <f>Trainingsabschluss[[#This Row],[Quiz_Frage5_Punkte]]/Max_Frage5</f>
        <v>0</v>
      </c>
      <c r="P63" s="2">
        <f>Trainingsabschluss[[#This Row],[Quiz_Frage1_Punkte]]+Trainingsabschluss[[#This Row],[Quiz_Frage2_Punkte]]+Trainingsabschluss[[#This Row],[Quiz_Frage3_Punkte]]+Trainingsabschluss[[#This Row],[Quiz_Frage4_Punkte]]+Trainingsabschluss[[#This Row],[Quiz_Frage5_Punkte]]</f>
        <v>15</v>
      </c>
      <c r="Q63" s="8">
        <f>Trainingsabschluss[[#This Row],[Quizergebnis]]/Max_Quizergebnis</f>
        <v>0.68181818181818177</v>
      </c>
      <c r="R63" t="str" cm="1">
        <f t="array" ref="R63">_xlfn.IFS(Trainingsabschluss[[#This Row],[Quizergebnis_Prozent]]&lt;0.5, "Nicht bestanden",
Trainingsabschluss[[#This Row],[Quizergebnis_Prozent]]&lt;0.65, "Bestanden",
Trainingsabschluss[[#This Row],[Quizergebnis_Prozent]]&lt;0.8, "Gut bestanden",
TRUE, "Sehr gut bestanden")</f>
        <v>Gut bestanden</v>
      </c>
      <c r="S63" s="3">
        <v>10</v>
      </c>
      <c r="T63" s="3" t="str" cm="1">
        <f t="array" ref="T63">_xlfn.IFS(Trainingsabschluss[[#This Row],[Training_Bewertung]]&gt;=9, "Promotor", Trainingsabschluss[[#This Row],[Training_Bewertung]]
&lt;=6, "Detraktor",
TRUE, "Passiv")</f>
        <v>Promotor</v>
      </c>
      <c r="W63"/>
    </row>
    <row r="64" spans="1:23" x14ac:dyDescent="0.3">
      <c r="A64" s="13" t="s">
        <v>484</v>
      </c>
      <c r="B64" s="2">
        <v>4.5</v>
      </c>
      <c r="C64" s="2">
        <v>3.5</v>
      </c>
      <c r="D64" s="2">
        <v>1</v>
      </c>
      <c r="E64" s="2">
        <v>0.5</v>
      </c>
      <c r="F64" s="2">
        <v>3</v>
      </c>
      <c r="G64" s="2" t="str">
        <f>_xlfn.XLOOKUP(Trainingsabschluss[[#This Row],[UserID]], Teilnehmende[UserID], Teilnehmende[Branche], "UserID nicht gefunden")</f>
        <v>IT und Technologie</v>
      </c>
      <c r="H64">
        <f>_xlfn.XLOOKUP(Trainingsabschluss[[#This Row],[UserID]], Teilnehmende[UserID], Teilnehmende[Bildungsabschluss], "UserID nicht gefunden")</f>
        <v>0</v>
      </c>
      <c r="I64" s="3">
        <f>_xlfn.XLOOKUP(Trainingsabschluss[[#This Row],[UserID]], Teilnehmende[UserID], Teilnehmende[Berufserfahrung])</f>
        <v>18</v>
      </c>
      <c r="J64" s="3" t="str" cm="1">
        <f t="array" ref="J64">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64" s="11">
        <f>Trainingsabschluss[[#This Row],[Quiz_Frage1_Punkte]]/Max_Frage1</f>
        <v>0.9</v>
      </c>
      <c r="L64" s="11">
        <f>Trainingsabschluss[[#This Row],[Quiz_Frage2_Punkte]]/Max_Frage2</f>
        <v>0.7</v>
      </c>
      <c r="M64" s="11">
        <f>Trainingsabschluss[[#This Row],[Quiz_Frage3_Punkte]]/Max_Frage3</f>
        <v>0.2</v>
      </c>
      <c r="N64" s="11">
        <f>Trainingsabschluss[[#This Row],[Quiz_Frage4_Punkte]]/Max_Frage4</f>
        <v>0.125</v>
      </c>
      <c r="O64" s="11">
        <f>Trainingsabschluss[[#This Row],[Quiz_Frage5_Punkte]]/Max_Frage5</f>
        <v>1</v>
      </c>
      <c r="P64" s="2">
        <f>Trainingsabschluss[[#This Row],[Quiz_Frage1_Punkte]]+Trainingsabschluss[[#This Row],[Quiz_Frage2_Punkte]]+Trainingsabschluss[[#This Row],[Quiz_Frage3_Punkte]]+Trainingsabschluss[[#This Row],[Quiz_Frage4_Punkte]]+Trainingsabschluss[[#This Row],[Quiz_Frage5_Punkte]]</f>
        <v>12.5</v>
      </c>
      <c r="Q64" s="8">
        <f>Trainingsabschluss[[#This Row],[Quizergebnis]]/Max_Quizergebnis</f>
        <v>0.56818181818181823</v>
      </c>
      <c r="R64" t="str" cm="1">
        <f t="array" ref="R64">_xlfn.IFS(Trainingsabschluss[[#This Row],[Quizergebnis_Prozent]]&lt;0.5, "Nicht bestanden",
Trainingsabschluss[[#This Row],[Quizergebnis_Prozent]]&lt;0.65, "Bestanden",
Trainingsabschluss[[#This Row],[Quizergebnis_Prozent]]&lt;0.8, "Gut bestanden",
TRUE, "Sehr gut bestanden")</f>
        <v>Bestanden</v>
      </c>
      <c r="S64" s="3">
        <v>10</v>
      </c>
      <c r="T64" s="3" t="str" cm="1">
        <f t="array" ref="T64">_xlfn.IFS(Trainingsabschluss[[#This Row],[Training_Bewertung]]&gt;=9, "Promotor", Trainingsabschluss[[#This Row],[Training_Bewertung]]
&lt;=6, "Detraktor",
TRUE, "Passiv")</f>
        <v>Promotor</v>
      </c>
      <c r="W64"/>
    </row>
    <row r="65" spans="1:23" x14ac:dyDescent="0.3">
      <c r="A65" s="13" t="s">
        <v>485</v>
      </c>
      <c r="B65" s="2">
        <v>4</v>
      </c>
      <c r="C65" s="2">
        <v>4</v>
      </c>
      <c r="D65" s="2">
        <v>2.5</v>
      </c>
      <c r="E65" s="2">
        <v>1</v>
      </c>
      <c r="F65" s="2">
        <v>0.5</v>
      </c>
      <c r="G65" s="2" t="str">
        <f>_xlfn.XLOOKUP(Trainingsabschluss[[#This Row],[UserID]], Teilnehmende[UserID], Teilnehmende[Branche], "UserID nicht gefunden")</f>
        <v>IT und Technologie</v>
      </c>
      <c r="H65">
        <f>_xlfn.XLOOKUP(Trainingsabschluss[[#This Row],[UserID]], Teilnehmende[UserID], Teilnehmende[Bildungsabschluss], "UserID nicht gefunden")</f>
        <v>0</v>
      </c>
      <c r="I65" s="3">
        <f>_xlfn.XLOOKUP(Trainingsabschluss[[#This Row],[UserID]], Teilnehmende[UserID], Teilnehmende[Berufserfahrung])</f>
        <v>21</v>
      </c>
      <c r="J65" s="3" t="str" cm="1">
        <f t="array" ref="J65">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65" s="11">
        <f>Trainingsabschluss[[#This Row],[Quiz_Frage1_Punkte]]/Max_Frage1</f>
        <v>0.8</v>
      </c>
      <c r="L65" s="11">
        <f>Trainingsabschluss[[#This Row],[Quiz_Frage2_Punkte]]/Max_Frage2</f>
        <v>0.8</v>
      </c>
      <c r="M65" s="11">
        <f>Trainingsabschluss[[#This Row],[Quiz_Frage3_Punkte]]/Max_Frage3</f>
        <v>0.5</v>
      </c>
      <c r="N65" s="11">
        <f>Trainingsabschluss[[#This Row],[Quiz_Frage4_Punkte]]/Max_Frage4</f>
        <v>0.25</v>
      </c>
      <c r="O65" s="11">
        <f>Trainingsabschluss[[#This Row],[Quiz_Frage5_Punkte]]/Max_Frage5</f>
        <v>0.16666666666666666</v>
      </c>
      <c r="P65" s="2">
        <f>Trainingsabschluss[[#This Row],[Quiz_Frage1_Punkte]]+Trainingsabschluss[[#This Row],[Quiz_Frage2_Punkte]]+Trainingsabschluss[[#This Row],[Quiz_Frage3_Punkte]]+Trainingsabschluss[[#This Row],[Quiz_Frage4_Punkte]]+Trainingsabschluss[[#This Row],[Quiz_Frage5_Punkte]]</f>
        <v>12</v>
      </c>
      <c r="Q65" s="8">
        <f>Trainingsabschluss[[#This Row],[Quizergebnis]]/Max_Quizergebnis</f>
        <v>0.54545454545454541</v>
      </c>
      <c r="R65" t="str" cm="1">
        <f t="array" ref="R65">_xlfn.IFS(Trainingsabschluss[[#This Row],[Quizergebnis_Prozent]]&lt;0.5, "Nicht bestanden",
Trainingsabschluss[[#This Row],[Quizergebnis_Prozent]]&lt;0.65, "Bestanden",
Trainingsabschluss[[#This Row],[Quizergebnis_Prozent]]&lt;0.8, "Gut bestanden",
TRUE, "Sehr gut bestanden")</f>
        <v>Bestanden</v>
      </c>
      <c r="S65" s="3">
        <v>10</v>
      </c>
      <c r="T65" s="3" t="str" cm="1">
        <f t="array" ref="T65">_xlfn.IFS(Trainingsabschluss[[#This Row],[Training_Bewertung]]&gt;=9, "Promotor", Trainingsabschluss[[#This Row],[Training_Bewertung]]
&lt;=6, "Detraktor",
TRUE, "Passiv")</f>
        <v>Promotor</v>
      </c>
      <c r="W65"/>
    </row>
    <row r="66" spans="1:23" x14ac:dyDescent="0.3">
      <c r="A66" s="13" t="s">
        <v>275</v>
      </c>
      <c r="B66" s="2">
        <v>5</v>
      </c>
      <c r="C66" s="2">
        <v>3.5</v>
      </c>
      <c r="D66" s="2">
        <v>2</v>
      </c>
      <c r="E66" s="2">
        <v>4</v>
      </c>
      <c r="F66" s="2">
        <v>2.5</v>
      </c>
      <c r="G66" s="2" t="str">
        <f>_xlfn.XLOOKUP(Trainingsabschluss[[#This Row],[UserID]], Teilnehmende[UserID], Teilnehmende[Branche], "UserID nicht gefunden")</f>
        <v>Bildung</v>
      </c>
      <c r="H66">
        <f>_xlfn.XLOOKUP(Trainingsabschluss[[#This Row],[UserID]], Teilnehmende[UserID], Teilnehmende[Bildungsabschluss], "UserID nicht gefunden")</f>
        <v>0</v>
      </c>
      <c r="I66" s="3">
        <f>_xlfn.XLOOKUP(Trainingsabschluss[[#This Row],[UserID]], Teilnehmende[UserID], Teilnehmende[Berufserfahrung])</f>
        <v>7</v>
      </c>
      <c r="J66" s="3" t="str" cm="1">
        <f t="array" ref="J6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66" s="11">
        <f>Trainingsabschluss[[#This Row],[Quiz_Frage1_Punkte]]/Max_Frage1</f>
        <v>1</v>
      </c>
      <c r="L66" s="11">
        <f>Trainingsabschluss[[#This Row],[Quiz_Frage2_Punkte]]/Max_Frage2</f>
        <v>0.7</v>
      </c>
      <c r="M66" s="11">
        <f>Trainingsabschluss[[#This Row],[Quiz_Frage3_Punkte]]/Max_Frage3</f>
        <v>0.4</v>
      </c>
      <c r="N66" s="11">
        <f>Trainingsabschluss[[#This Row],[Quiz_Frage4_Punkte]]/Max_Frage4</f>
        <v>1</v>
      </c>
      <c r="O66" s="11">
        <f>Trainingsabschluss[[#This Row],[Quiz_Frage5_Punkte]]/Max_Frage5</f>
        <v>0.83333333333333337</v>
      </c>
      <c r="P66" s="2">
        <f>Trainingsabschluss[[#This Row],[Quiz_Frage1_Punkte]]+Trainingsabschluss[[#This Row],[Quiz_Frage2_Punkte]]+Trainingsabschluss[[#This Row],[Quiz_Frage3_Punkte]]+Trainingsabschluss[[#This Row],[Quiz_Frage4_Punkte]]+Trainingsabschluss[[#This Row],[Quiz_Frage5_Punkte]]</f>
        <v>17</v>
      </c>
      <c r="Q66" s="8">
        <f>Trainingsabschluss[[#This Row],[Quizergebnis]]/Max_Quizergebnis</f>
        <v>0.77272727272727271</v>
      </c>
      <c r="R66" t="str" cm="1">
        <f t="array" ref="R66">_xlfn.IFS(Trainingsabschluss[[#This Row],[Quizergebnis_Prozent]]&lt;0.5, "Nicht bestanden",
Trainingsabschluss[[#This Row],[Quizergebnis_Prozent]]&lt;0.65, "Bestanden",
Trainingsabschluss[[#This Row],[Quizergebnis_Prozent]]&lt;0.8, "Gut bestanden",
TRUE, "Sehr gut bestanden")</f>
        <v>Gut bestanden</v>
      </c>
      <c r="S66" s="3">
        <v>5</v>
      </c>
      <c r="T66" s="3" t="str" cm="1">
        <f t="array" ref="T66">_xlfn.IFS(Trainingsabschluss[[#This Row],[Training_Bewertung]]&gt;=9, "Promotor", Trainingsabschluss[[#This Row],[Training_Bewertung]]
&lt;=6, "Detraktor",
TRUE, "Passiv")</f>
        <v>Detraktor</v>
      </c>
      <c r="W66"/>
    </row>
    <row r="67" spans="1:23" x14ac:dyDescent="0.3">
      <c r="A67" s="13" t="s">
        <v>281</v>
      </c>
      <c r="B67" s="2">
        <v>5</v>
      </c>
      <c r="C67" s="2">
        <v>4</v>
      </c>
      <c r="D67" s="2">
        <v>1.5</v>
      </c>
      <c r="E67" s="2">
        <v>3.5</v>
      </c>
      <c r="F67" s="2">
        <v>2.5</v>
      </c>
      <c r="G67" s="2" t="str">
        <f>_xlfn.XLOOKUP(Trainingsabschluss[[#This Row],[UserID]], Teilnehmende[UserID], Teilnehmende[Branche], "UserID nicht gefunden")</f>
        <v>Bildung</v>
      </c>
      <c r="H67">
        <f>_xlfn.XLOOKUP(Trainingsabschluss[[#This Row],[UserID]], Teilnehmende[UserID], Teilnehmende[Bildungsabschluss], "UserID nicht gefunden")</f>
        <v>0</v>
      </c>
      <c r="I67" s="3">
        <f>_xlfn.XLOOKUP(Trainingsabschluss[[#This Row],[UserID]], Teilnehmende[UserID], Teilnehmende[Berufserfahrung])</f>
        <v>2</v>
      </c>
      <c r="J67" s="3" t="str" cm="1">
        <f t="array" ref="J6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67" s="11">
        <f>Trainingsabschluss[[#This Row],[Quiz_Frage1_Punkte]]/Max_Frage1</f>
        <v>1</v>
      </c>
      <c r="L67" s="11">
        <f>Trainingsabschluss[[#This Row],[Quiz_Frage2_Punkte]]/Max_Frage2</f>
        <v>0.8</v>
      </c>
      <c r="M67" s="11">
        <f>Trainingsabschluss[[#This Row],[Quiz_Frage3_Punkte]]/Max_Frage3</f>
        <v>0.3</v>
      </c>
      <c r="N67" s="11">
        <f>Trainingsabschluss[[#This Row],[Quiz_Frage4_Punkte]]/Max_Frage4</f>
        <v>0.875</v>
      </c>
      <c r="O67" s="11">
        <f>Trainingsabschluss[[#This Row],[Quiz_Frage5_Punkte]]/Max_Frage5</f>
        <v>0.83333333333333337</v>
      </c>
      <c r="P67" s="2">
        <f>Trainingsabschluss[[#This Row],[Quiz_Frage1_Punkte]]+Trainingsabschluss[[#This Row],[Quiz_Frage2_Punkte]]+Trainingsabschluss[[#This Row],[Quiz_Frage3_Punkte]]+Trainingsabschluss[[#This Row],[Quiz_Frage4_Punkte]]+Trainingsabschluss[[#This Row],[Quiz_Frage5_Punkte]]</f>
        <v>16.5</v>
      </c>
      <c r="Q67" s="8">
        <f>Trainingsabschluss[[#This Row],[Quizergebnis]]/Max_Quizergebnis</f>
        <v>0.75</v>
      </c>
      <c r="R67" t="str" cm="1">
        <f t="array" ref="R67">_xlfn.IFS(Trainingsabschluss[[#This Row],[Quizergebnis_Prozent]]&lt;0.5, "Nicht bestanden",
Trainingsabschluss[[#This Row],[Quizergebnis_Prozent]]&lt;0.65, "Bestanden",
Trainingsabschluss[[#This Row],[Quizergebnis_Prozent]]&lt;0.8, "Gut bestanden",
TRUE, "Sehr gut bestanden")</f>
        <v>Gut bestanden</v>
      </c>
      <c r="S67" s="3">
        <v>4</v>
      </c>
      <c r="T67" s="3" t="str" cm="1">
        <f t="array" ref="T67">_xlfn.IFS(Trainingsabschluss[[#This Row],[Training_Bewertung]]&gt;=9, "Promotor", Trainingsabschluss[[#This Row],[Training_Bewertung]]
&lt;=6, "Detraktor",
TRUE, "Passiv")</f>
        <v>Detraktor</v>
      </c>
      <c r="W67"/>
    </row>
    <row r="68" spans="1:23" x14ac:dyDescent="0.3">
      <c r="A68" s="13" t="s">
        <v>282</v>
      </c>
      <c r="B68" s="2">
        <v>3.5</v>
      </c>
      <c r="C68" s="2">
        <v>2</v>
      </c>
      <c r="D68" s="2">
        <v>4</v>
      </c>
      <c r="E68" s="2">
        <v>4</v>
      </c>
      <c r="F68" s="2">
        <v>0</v>
      </c>
      <c r="G68" s="2" t="str">
        <f>_xlfn.XLOOKUP(Trainingsabschluss[[#This Row],[UserID]], Teilnehmende[UserID], Teilnehmende[Branche], "UserID nicht gefunden")</f>
        <v>Bildung</v>
      </c>
      <c r="H68">
        <f>_xlfn.XLOOKUP(Trainingsabschluss[[#This Row],[UserID]], Teilnehmende[UserID], Teilnehmende[Bildungsabschluss], "UserID nicht gefunden")</f>
        <v>0</v>
      </c>
      <c r="I68" s="3">
        <f>_xlfn.XLOOKUP(Trainingsabschluss[[#This Row],[UserID]], Teilnehmende[UserID], Teilnehmende[Berufserfahrung])</f>
        <v>4</v>
      </c>
      <c r="J68" s="3" t="str" cm="1">
        <f t="array" ref="J6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68" s="11">
        <f>Trainingsabschluss[[#This Row],[Quiz_Frage1_Punkte]]/Max_Frage1</f>
        <v>0.7</v>
      </c>
      <c r="L68" s="11">
        <f>Trainingsabschluss[[#This Row],[Quiz_Frage2_Punkte]]/Max_Frage2</f>
        <v>0.4</v>
      </c>
      <c r="M68" s="11">
        <f>Trainingsabschluss[[#This Row],[Quiz_Frage3_Punkte]]/Max_Frage3</f>
        <v>0.8</v>
      </c>
      <c r="N68" s="11">
        <f>Trainingsabschluss[[#This Row],[Quiz_Frage4_Punkte]]/Max_Frage4</f>
        <v>1</v>
      </c>
      <c r="O68" s="11">
        <f>Trainingsabschluss[[#This Row],[Quiz_Frage5_Punkte]]/Max_Frage5</f>
        <v>0</v>
      </c>
      <c r="P68" s="2">
        <f>Trainingsabschluss[[#This Row],[Quiz_Frage1_Punkte]]+Trainingsabschluss[[#This Row],[Quiz_Frage2_Punkte]]+Trainingsabschluss[[#This Row],[Quiz_Frage3_Punkte]]+Trainingsabschluss[[#This Row],[Quiz_Frage4_Punkte]]+Trainingsabschluss[[#This Row],[Quiz_Frage5_Punkte]]</f>
        <v>13.5</v>
      </c>
      <c r="Q68" s="8">
        <f>Trainingsabschluss[[#This Row],[Quizergebnis]]/Max_Quizergebnis</f>
        <v>0.61363636363636365</v>
      </c>
      <c r="R68" t="str" cm="1">
        <f t="array" ref="R68">_xlfn.IFS(Trainingsabschluss[[#This Row],[Quizergebnis_Prozent]]&lt;0.5, "Nicht bestanden",
Trainingsabschluss[[#This Row],[Quizergebnis_Prozent]]&lt;0.65, "Bestanden",
Trainingsabschluss[[#This Row],[Quizergebnis_Prozent]]&lt;0.8, "Gut bestanden",
TRUE, "Sehr gut bestanden")</f>
        <v>Bestanden</v>
      </c>
      <c r="S68" s="3">
        <v>5</v>
      </c>
      <c r="T68" s="3" t="str" cm="1">
        <f t="array" ref="T68">_xlfn.IFS(Trainingsabschluss[[#This Row],[Training_Bewertung]]&gt;=9, "Promotor", Trainingsabschluss[[#This Row],[Training_Bewertung]]
&lt;=6, "Detraktor",
TRUE, "Passiv")</f>
        <v>Detraktor</v>
      </c>
      <c r="W68"/>
    </row>
    <row r="69" spans="1:23" x14ac:dyDescent="0.3">
      <c r="A69" s="13" t="s">
        <v>289</v>
      </c>
      <c r="B69" s="2">
        <v>5</v>
      </c>
      <c r="C69" s="2">
        <v>4</v>
      </c>
      <c r="D69" s="2">
        <v>3.5</v>
      </c>
      <c r="E69" s="2">
        <v>0.5</v>
      </c>
      <c r="F69" s="2">
        <v>2</v>
      </c>
      <c r="G69" s="2" t="str">
        <f>_xlfn.XLOOKUP(Trainingsabschluss[[#This Row],[UserID]], Teilnehmende[UserID], Teilnehmende[Branche], "UserID nicht gefunden")</f>
        <v>Energieversorgung</v>
      </c>
      <c r="H69">
        <f>_xlfn.XLOOKUP(Trainingsabschluss[[#This Row],[UserID]], Teilnehmende[UserID], Teilnehmende[Bildungsabschluss], "UserID nicht gefunden")</f>
        <v>0</v>
      </c>
      <c r="I69" s="3">
        <f>_xlfn.XLOOKUP(Trainingsabschluss[[#This Row],[UserID]], Teilnehmende[UserID], Teilnehmende[Berufserfahrung])</f>
        <v>2</v>
      </c>
      <c r="J69" s="3" t="str" cm="1">
        <f t="array" ref="J6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69" s="11">
        <f>Trainingsabschluss[[#This Row],[Quiz_Frage1_Punkte]]/Max_Frage1</f>
        <v>1</v>
      </c>
      <c r="L69" s="11">
        <f>Trainingsabschluss[[#This Row],[Quiz_Frage2_Punkte]]/Max_Frage2</f>
        <v>0.8</v>
      </c>
      <c r="M69" s="11">
        <f>Trainingsabschluss[[#This Row],[Quiz_Frage3_Punkte]]/Max_Frage3</f>
        <v>0.7</v>
      </c>
      <c r="N69" s="11">
        <f>Trainingsabschluss[[#This Row],[Quiz_Frage4_Punkte]]/Max_Frage4</f>
        <v>0.125</v>
      </c>
      <c r="O69" s="11">
        <f>Trainingsabschluss[[#This Row],[Quiz_Frage5_Punkte]]/Max_Frage5</f>
        <v>0.66666666666666663</v>
      </c>
      <c r="P69" s="2">
        <f>Trainingsabschluss[[#This Row],[Quiz_Frage1_Punkte]]+Trainingsabschluss[[#This Row],[Quiz_Frage2_Punkte]]+Trainingsabschluss[[#This Row],[Quiz_Frage3_Punkte]]+Trainingsabschluss[[#This Row],[Quiz_Frage4_Punkte]]+Trainingsabschluss[[#This Row],[Quiz_Frage5_Punkte]]</f>
        <v>15</v>
      </c>
      <c r="Q69" s="8">
        <f>Trainingsabschluss[[#This Row],[Quizergebnis]]/Max_Quizergebnis</f>
        <v>0.68181818181818177</v>
      </c>
      <c r="R69" t="str" cm="1">
        <f t="array" ref="R69">_xlfn.IFS(Trainingsabschluss[[#This Row],[Quizergebnis_Prozent]]&lt;0.5, "Nicht bestanden",
Trainingsabschluss[[#This Row],[Quizergebnis_Prozent]]&lt;0.65, "Bestanden",
Trainingsabschluss[[#This Row],[Quizergebnis_Prozent]]&lt;0.8, "Gut bestanden",
TRUE, "Sehr gut bestanden")</f>
        <v>Gut bestanden</v>
      </c>
      <c r="S69" s="3">
        <v>10</v>
      </c>
      <c r="T69" s="3" t="str" cm="1">
        <f t="array" ref="T69">_xlfn.IFS(Trainingsabschluss[[#This Row],[Training_Bewertung]]&gt;=9, "Promotor", Trainingsabschluss[[#This Row],[Training_Bewertung]]
&lt;=6, "Detraktor",
TRUE, "Passiv")</f>
        <v>Promotor</v>
      </c>
      <c r="W69"/>
    </row>
    <row r="70" spans="1:23" x14ac:dyDescent="0.3">
      <c r="A70" s="13" t="s">
        <v>294</v>
      </c>
      <c r="B70" s="2">
        <v>2</v>
      </c>
      <c r="C70" s="2">
        <v>0</v>
      </c>
      <c r="D70" s="2">
        <v>1.5</v>
      </c>
      <c r="E70" s="2">
        <v>0</v>
      </c>
      <c r="F70" s="2">
        <v>0</v>
      </c>
      <c r="G70" s="2" t="str">
        <f>_xlfn.XLOOKUP(Trainingsabschluss[[#This Row],[UserID]], Teilnehmende[UserID], Teilnehmende[Branche], "UserID nicht gefunden")</f>
        <v>Energieversorgung</v>
      </c>
      <c r="H70">
        <f>_xlfn.XLOOKUP(Trainingsabschluss[[#This Row],[UserID]], Teilnehmende[UserID], Teilnehmende[Bildungsabschluss], "UserID nicht gefunden")</f>
        <v>0</v>
      </c>
      <c r="I70" s="3">
        <f>_xlfn.XLOOKUP(Trainingsabschluss[[#This Row],[UserID]], Teilnehmende[UserID], Teilnehmende[Berufserfahrung])</f>
        <v>3</v>
      </c>
      <c r="J70" s="3" t="str" cm="1">
        <f t="array" ref="J7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70" s="11">
        <f>Trainingsabschluss[[#This Row],[Quiz_Frage1_Punkte]]/Max_Frage1</f>
        <v>0.4</v>
      </c>
      <c r="L70" s="11">
        <f>Trainingsabschluss[[#This Row],[Quiz_Frage2_Punkte]]/Max_Frage2</f>
        <v>0</v>
      </c>
      <c r="M70" s="11">
        <f>Trainingsabschluss[[#This Row],[Quiz_Frage3_Punkte]]/Max_Frage3</f>
        <v>0.3</v>
      </c>
      <c r="N70" s="11">
        <f>Trainingsabschluss[[#This Row],[Quiz_Frage4_Punkte]]/Max_Frage4</f>
        <v>0</v>
      </c>
      <c r="O70" s="11">
        <f>Trainingsabschluss[[#This Row],[Quiz_Frage5_Punkte]]/Max_Frage5</f>
        <v>0</v>
      </c>
      <c r="P70" s="2">
        <f>Trainingsabschluss[[#This Row],[Quiz_Frage1_Punkte]]+Trainingsabschluss[[#This Row],[Quiz_Frage2_Punkte]]+Trainingsabschluss[[#This Row],[Quiz_Frage3_Punkte]]+Trainingsabschluss[[#This Row],[Quiz_Frage4_Punkte]]+Trainingsabschluss[[#This Row],[Quiz_Frage5_Punkte]]</f>
        <v>3.5</v>
      </c>
      <c r="Q70" s="8">
        <f>Trainingsabschluss[[#This Row],[Quizergebnis]]/Max_Quizergebnis</f>
        <v>0.15909090909090909</v>
      </c>
      <c r="R70" t="str" cm="1">
        <f t="array" ref="R70">_xlfn.IFS(Trainingsabschluss[[#This Row],[Quizergebnis_Prozent]]&lt;0.5, "Nicht bestanden",
Trainingsabschluss[[#This Row],[Quizergebnis_Prozent]]&lt;0.65, "Bestanden",
Trainingsabschluss[[#This Row],[Quizergebnis_Prozent]]&lt;0.8, "Gut bestanden",
TRUE, "Sehr gut bestanden")</f>
        <v>Nicht bestanden</v>
      </c>
      <c r="S70" s="3">
        <v>9</v>
      </c>
      <c r="T70" s="3" t="str" cm="1">
        <f t="array" ref="T70">_xlfn.IFS(Trainingsabschluss[[#This Row],[Training_Bewertung]]&gt;=9, "Promotor", Trainingsabschluss[[#This Row],[Training_Bewertung]]
&lt;=6, "Detraktor",
TRUE, "Passiv")</f>
        <v>Promotor</v>
      </c>
      <c r="W70"/>
    </row>
    <row r="71" spans="1:23" x14ac:dyDescent="0.3">
      <c r="A71" s="13" t="s">
        <v>296</v>
      </c>
      <c r="B71" s="2">
        <v>4</v>
      </c>
      <c r="C71" s="2">
        <v>4</v>
      </c>
      <c r="D71" s="2">
        <v>0.5</v>
      </c>
      <c r="E71" s="2">
        <v>4</v>
      </c>
      <c r="F71" s="2">
        <v>1</v>
      </c>
      <c r="G71" s="2" t="str">
        <f>_xlfn.XLOOKUP(Trainingsabschluss[[#This Row],[UserID]], Teilnehmende[UserID], Teilnehmende[Branche], "UserID nicht gefunden")</f>
        <v>Energieversorgung</v>
      </c>
      <c r="H71">
        <f>_xlfn.XLOOKUP(Trainingsabschluss[[#This Row],[UserID]], Teilnehmende[UserID], Teilnehmende[Bildungsabschluss], "UserID nicht gefunden")</f>
        <v>0</v>
      </c>
      <c r="I71" s="3">
        <f>_xlfn.XLOOKUP(Trainingsabschluss[[#This Row],[UserID]], Teilnehmende[UserID], Teilnehmende[Berufserfahrung])</f>
        <v>6</v>
      </c>
      <c r="J71" s="3" t="str" cm="1">
        <f t="array" ref="J7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71" s="11">
        <f>Trainingsabschluss[[#This Row],[Quiz_Frage1_Punkte]]/Max_Frage1</f>
        <v>0.8</v>
      </c>
      <c r="L71" s="11">
        <f>Trainingsabschluss[[#This Row],[Quiz_Frage2_Punkte]]/Max_Frage2</f>
        <v>0.8</v>
      </c>
      <c r="M71" s="11">
        <f>Trainingsabschluss[[#This Row],[Quiz_Frage3_Punkte]]/Max_Frage3</f>
        <v>0.1</v>
      </c>
      <c r="N71" s="11">
        <f>Trainingsabschluss[[#This Row],[Quiz_Frage4_Punkte]]/Max_Frage4</f>
        <v>1</v>
      </c>
      <c r="O71" s="11">
        <f>Trainingsabschluss[[#This Row],[Quiz_Frage5_Punkte]]/Max_Frage5</f>
        <v>0.33333333333333331</v>
      </c>
      <c r="P71" s="2">
        <f>Trainingsabschluss[[#This Row],[Quiz_Frage1_Punkte]]+Trainingsabschluss[[#This Row],[Quiz_Frage2_Punkte]]+Trainingsabschluss[[#This Row],[Quiz_Frage3_Punkte]]+Trainingsabschluss[[#This Row],[Quiz_Frage4_Punkte]]+Trainingsabschluss[[#This Row],[Quiz_Frage5_Punkte]]</f>
        <v>13.5</v>
      </c>
      <c r="Q71" s="8">
        <f>Trainingsabschluss[[#This Row],[Quizergebnis]]/Max_Quizergebnis</f>
        <v>0.61363636363636365</v>
      </c>
      <c r="R71" t="str" cm="1">
        <f t="array" ref="R71">_xlfn.IFS(Trainingsabschluss[[#This Row],[Quizergebnis_Prozent]]&lt;0.5, "Nicht bestanden",
Trainingsabschluss[[#This Row],[Quizergebnis_Prozent]]&lt;0.65, "Bestanden",
Trainingsabschluss[[#This Row],[Quizergebnis_Prozent]]&lt;0.8, "Gut bestanden",
TRUE, "Sehr gut bestanden")</f>
        <v>Bestanden</v>
      </c>
      <c r="S71" s="3">
        <v>9</v>
      </c>
      <c r="T71" s="3" t="str" cm="1">
        <f t="array" ref="T71">_xlfn.IFS(Trainingsabschluss[[#This Row],[Training_Bewertung]]&gt;=9, "Promotor", Trainingsabschluss[[#This Row],[Training_Bewertung]]
&lt;=6, "Detraktor",
TRUE, "Passiv")</f>
        <v>Promotor</v>
      </c>
      <c r="W71"/>
    </row>
    <row r="72" spans="1:23" x14ac:dyDescent="0.3">
      <c r="A72" s="13" t="s">
        <v>299</v>
      </c>
      <c r="B72" s="2">
        <v>5</v>
      </c>
      <c r="C72" s="2">
        <v>4.5</v>
      </c>
      <c r="D72" s="2">
        <v>3</v>
      </c>
      <c r="E72" s="2">
        <v>3</v>
      </c>
      <c r="F72" s="2">
        <v>2.5</v>
      </c>
      <c r="G72" s="2" t="str">
        <f>_xlfn.XLOOKUP(Trainingsabschluss[[#This Row],[UserID]], Teilnehmende[UserID], Teilnehmende[Branche], "UserID nicht gefunden")</f>
        <v>Energieversorgung</v>
      </c>
      <c r="H72">
        <f>_xlfn.XLOOKUP(Trainingsabschluss[[#This Row],[UserID]], Teilnehmende[UserID], Teilnehmende[Bildungsabschluss], "UserID nicht gefunden")</f>
        <v>0</v>
      </c>
      <c r="I72" s="3">
        <f>_xlfn.XLOOKUP(Trainingsabschluss[[#This Row],[UserID]], Teilnehmende[UserID], Teilnehmende[Berufserfahrung])</f>
        <v>6</v>
      </c>
      <c r="J72" s="3" t="str" cm="1">
        <f t="array" ref="J7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72" s="11">
        <f>Trainingsabschluss[[#This Row],[Quiz_Frage1_Punkte]]/Max_Frage1</f>
        <v>1</v>
      </c>
      <c r="L72" s="11">
        <f>Trainingsabschluss[[#This Row],[Quiz_Frage2_Punkte]]/Max_Frage2</f>
        <v>0.9</v>
      </c>
      <c r="M72" s="11">
        <f>Trainingsabschluss[[#This Row],[Quiz_Frage3_Punkte]]/Max_Frage3</f>
        <v>0.6</v>
      </c>
      <c r="N72" s="11">
        <f>Trainingsabschluss[[#This Row],[Quiz_Frage4_Punkte]]/Max_Frage4</f>
        <v>0.75</v>
      </c>
      <c r="O72" s="11">
        <f>Trainingsabschluss[[#This Row],[Quiz_Frage5_Punkte]]/Max_Frage5</f>
        <v>0.83333333333333337</v>
      </c>
      <c r="P72" s="2">
        <f>Trainingsabschluss[[#This Row],[Quiz_Frage1_Punkte]]+Trainingsabschluss[[#This Row],[Quiz_Frage2_Punkte]]+Trainingsabschluss[[#This Row],[Quiz_Frage3_Punkte]]+Trainingsabschluss[[#This Row],[Quiz_Frage4_Punkte]]+Trainingsabschluss[[#This Row],[Quiz_Frage5_Punkte]]</f>
        <v>18</v>
      </c>
      <c r="Q72" s="8">
        <f>Trainingsabschluss[[#This Row],[Quizergebnis]]/Max_Quizergebnis</f>
        <v>0.81818181818181823</v>
      </c>
      <c r="R72" t="str" cm="1">
        <f t="array" ref="R72">_xlfn.IFS(Trainingsabschluss[[#This Row],[Quizergebnis_Prozent]]&lt;0.5, "Nicht bestanden",
Trainingsabschluss[[#This Row],[Quizergebnis_Prozent]]&lt;0.65, "Bestanden",
Trainingsabschluss[[#This Row],[Quizergebnis_Prozent]]&lt;0.8, "Gut bestanden",
TRUE, "Sehr gut bestanden")</f>
        <v>Sehr gut bestanden</v>
      </c>
      <c r="S72" s="3">
        <v>10</v>
      </c>
      <c r="T72" s="3" t="str" cm="1">
        <f t="array" ref="T72">_xlfn.IFS(Trainingsabschluss[[#This Row],[Training_Bewertung]]&gt;=9, "Promotor", Trainingsabschluss[[#This Row],[Training_Bewertung]]
&lt;=6, "Detraktor",
TRUE, "Passiv")</f>
        <v>Promotor</v>
      </c>
      <c r="W72"/>
    </row>
    <row r="73" spans="1:23" x14ac:dyDescent="0.3">
      <c r="A73" s="13" t="s">
        <v>303</v>
      </c>
      <c r="B73" s="2">
        <v>5</v>
      </c>
      <c r="C73" s="2">
        <v>3.5</v>
      </c>
      <c r="D73" s="2">
        <v>0</v>
      </c>
      <c r="E73" s="2">
        <v>4</v>
      </c>
      <c r="F73" s="2">
        <v>0</v>
      </c>
      <c r="G73" s="2" t="str">
        <f>_xlfn.XLOOKUP(Trainingsabschluss[[#This Row],[UserID]], Teilnehmende[UserID], Teilnehmende[Branche], "UserID nicht gefunden")</f>
        <v>Energieversorgung</v>
      </c>
      <c r="H73">
        <f>_xlfn.XLOOKUP(Trainingsabschluss[[#This Row],[UserID]], Teilnehmende[UserID], Teilnehmende[Bildungsabschluss], "UserID nicht gefunden")</f>
        <v>0</v>
      </c>
      <c r="I73" s="3">
        <f>_xlfn.XLOOKUP(Trainingsabschluss[[#This Row],[UserID]], Teilnehmende[UserID], Teilnehmende[Berufserfahrung])</f>
        <v>6</v>
      </c>
      <c r="J73" s="3" t="str" cm="1">
        <f t="array" ref="J7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73" s="11">
        <f>Trainingsabschluss[[#This Row],[Quiz_Frage1_Punkte]]/Max_Frage1</f>
        <v>1</v>
      </c>
      <c r="L73" s="11">
        <f>Trainingsabschluss[[#This Row],[Quiz_Frage2_Punkte]]/Max_Frage2</f>
        <v>0.7</v>
      </c>
      <c r="M73" s="11">
        <f>Trainingsabschluss[[#This Row],[Quiz_Frage3_Punkte]]/Max_Frage3</f>
        <v>0</v>
      </c>
      <c r="N73" s="11">
        <f>Trainingsabschluss[[#This Row],[Quiz_Frage4_Punkte]]/Max_Frage4</f>
        <v>1</v>
      </c>
      <c r="O73" s="11">
        <f>Trainingsabschluss[[#This Row],[Quiz_Frage5_Punkte]]/Max_Frage5</f>
        <v>0</v>
      </c>
      <c r="P73" s="2">
        <f>Trainingsabschluss[[#This Row],[Quiz_Frage1_Punkte]]+Trainingsabschluss[[#This Row],[Quiz_Frage2_Punkte]]+Trainingsabschluss[[#This Row],[Quiz_Frage3_Punkte]]+Trainingsabschluss[[#This Row],[Quiz_Frage4_Punkte]]+Trainingsabschluss[[#This Row],[Quiz_Frage5_Punkte]]</f>
        <v>12.5</v>
      </c>
      <c r="Q73" s="8">
        <f>Trainingsabschluss[[#This Row],[Quizergebnis]]/Max_Quizergebnis</f>
        <v>0.56818181818181823</v>
      </c>
      <c r="R73" t="str" cm="1">
        <f t="array" ref="R73">_xlfn.IFS(Trainingsabschluss[[#This Row],[Quizergebnis_Prozent]]&lt;0.5, "Nicht bestanden",
Trainingsabschluss[[#This Row],[Quizergebnis_Prozent]]&lt;0.65, "Bestanden",
Trainingsabschluss[[#This Row],[Quizergebnis_Prozent]]&lt;0.8, "Gut bestanden",
TRUE, "Sehr gut bestanden")</f>
        <v>Bestanden</v>
      </c>
      <c r="S73" s="3">
        <v>9</v>
      </c>
      <c r="T73" s="3" t="str" cm="1">
        <f t="array" ref="T73">_xlfn.IFS(Trainingsabschluss[[#This Row],[Training_Bewertung]]&gt;=9, "Promotor", Trainingsabschluss[[#This Row],[Training_Bewertung]]
&lt;=6, "Detraktor",
TRUE, "Passiv")</f>
        <v>Promotor</v>
      </c>
      <c r="W73"/>
    </row>
    <row r="74" spans="1:23" x14ac:dyDescent="0.3">
      <c r="A74" s="13" t="s">
        <v>306</v>
      </c>
      <c r="B74" s="2">
        <v>5</v>
      </c>
      <c r="C74" s="2">
        <v>4</v>
      </c>
      <c r="D74" s="2">
        <v>1.5</v>
      </c>
      <c r="E74" s="2">
        <v>4</v>
      </c>
      <c r="F74" s="2">
        <v>2.5</v>
      </c>
      <c r="G74" s="2" t="str">
        <f>_xlfn.XLOOKUP(Trainingsabschluss[[#This Row],[UserID]], Teilnehmende[UserID], Teilnehmende[Branche], "UserID nicht gefunden")</f>
        <v>Finanzdienstleistung</v>
      </c>
      <c r="H74">
        <f>_xlfn.XLOOKUP(Trainingsabschluss[[#This Row],[UserID]], Teilnehmende[UserID], Teilnehmende[Bildungsabschluss], "UserID nicht gefunden")</f>
        <v>0</v>
      </c>
      <c r="I74" s="3">
        <f>_xlfn.XLOOKUP(Trainingsabschluss[[#This Row],[UserID]], Teilnehmende[UserID], Teilnehmende[Berufserfahrung])</f>
        <v>12</v>
      </c>
      <c r="J74" s="3" t="str" cm="1">
        <f t="array" ref="J74">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74" s="11">
        <f>Trainingsabschluss[[#This Row],[Quiz_Frage1_Punkte]]/Max_Frage1</f>
        <v>1</v>
      </c>
      <c r="L74" s="11">
        <f>Trainingsabschluss[[#This Row],[Quiz_Frage2_Punkte]]/Max_Frage2</f>
        <v>0.8</v>
      </c>
      <c r="M74" s="11">
        <f>Trainingsabschluss[[#This Row],[Quiz_Frage3_Punkte]]/Max_Frage3</f>
        <v>0.3</v>
      </c>
      <c r="N74" s="11">
        <f>Trainingsabschluss[[#This Row],[Quiz_Frage4_Punkte]]/Max_Frage4</f>
        <v>1</v>
      </c>
      <c r="O74" s="11">
        <f>Trainingsabschluss[[#This Row],[Quiz_Frage5_Punkte]]/Max_Frage5</f>
        <v>0.83333333333333337</v>
      </c>
      <c r="P74" s="2">
        <f>Trainingsabschluss[[#This Row],[Quiz_Frage1_Punkte]]+Trainingsabschluss[[#This Row],[Quiz_Frage2_Punkte]]+Trainingsabschluss[[#This Row],[Quiz_Frage3_Punkte]]+Trainingsabschluss[[#This Row],[Quiz_Frage4_Punkte]]+Trainingsabschluss[[#This Row],[Quiz_Frage5_Punkte]]</f>
        <v>17</v>
      </c>
      <c r="Q74" s="8">
        <f>Trainingsabschluss[[#This Row],[Quizergebnis]]/Max_Quizergebnis</f>
        <v>0.77272727272727271</v>
      </c>
      <c r="R74" t="str" cm="1">
        <f t="array" ref="R74">_xlfn.IFS(Trainingsabschluss[[#This Row],[Quizergebnis_Prozent]]&lt;0.5, "Nicht bestanden",
Trainingsabschluss[[#This Row],[Quizergebnis_Prozent]]&lt;0.65, "Bestanden",
Trainingsabschluss[[#This Row],[Quizergebnis_Prozent]]&lt;0.8, "Gut bestanden",
TRUE, "Sehr gut bestanden")</f>
        <v>Gut bestanden</v>
      </c>
      <c r="S74" s="3">
        <v>9</v>
      </c>
      <c r="T74" s="3" t="str" cm="1">
        <f t="array" ref="T74">_xlfn.IFS(Trainingsabschluss[[#This Row],[Training_Bewertung]]&gt;=9, "Promotor", Trainingsabschluss[[#This Row],[Training_Bewertung]]
&lt;=6, "Detraktor",
TRUE, "Passiv")</f>
        <v>Promotor</v>
      </c>
      <c r="W74"/>
    </row>
    <row r="75" spans="1:23" x14ac:dyDescent="0.3">
      <c r="A75" s="13" t="s">
        <v>307</v>
      </c>
      <c r="B75" s="2">
        <v>5</v>
      </c>
      <c r="C75" s="2">
        <v>5</v>
      </c>
      <c r="D75" s="2">
        <v>3.5</v>
      </c>
      <c r="E75" s="2">
        <v>2.5</v>
      </c>
      <c r="F75" s="2">
        <v>0.5</v>
      </c>
      <c r="G75" s="2" t="str">
        <f>_xlfn.XLOOKUP(Trainingsabschluss[[#This Row],[UserID]], Teilnehmende[UserID], Teilnehmende[Branche], "UserID nicht gefunden")</f>
        <v>Finanzdienstleistung</v>
      </c>
      <c r="H75">
        <f>_xlfn.XLOOKUP(Trainingsabschluss[[#This Row],[UserID]], Teilnehmende[UserID], Teilnehmende[Bildungsabschluss], "UserID nicht gefunden")</f>
        <v>0</v>
      </c>
      <c r="I75" s="3">
        <f>_xlfn.XLOOKUP(Trainingsabschluss[[#This Row],[UserID]], Teilnehmende[UserID], Teilnehmende[Berufserfahrung])</f>
        <v>19</v>
      </c>
      <c r="J75" s="3" t="str" cm="1">
        <f t="array" ref="J75">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75" s="11">
        <f>Trainingsabschluss[[#This Row],[Quiz_Frage1_Punkte]]/Max_Frage1</f>
        <v>1</v>
      </c>
      <c r="L75" s="11">
        <f>Trainingsabschluss[[#This Row],[Quiz_Frage2_Punkte]]/Max_Frage2</f>
        <v>1</v>
      </c>
      <c r="M75" s="11">
        <f>Trainingsabschluss[[#This Row],[Quiz_Frage3_Punkte]]/Max_Frage3</f>
        <v>0.7</v>
      </c>
      <c r="N75" s="11">
        <f>Trainingsabschluss[[#This Row],[Quiz_Frage4_Punkte]]/Max_Frage4</f>
        <v>0.625</v>
      </c>
      <c r="O75" s="11">
        <f>Trainingsabschluss[[#This Row],[Quiz_Frage5_Punkte]]/Max_Frage5</f>
        <v>0.16666666666666666</v>
      </c>
      <c r="P75" s="2">
        <f>Trainingsabschluss[[#This Row],[Quiz_Frage1_Punkte]]+Trainingsabschluss[[#This Row],[Quiz_Frage2_Punkte]]+Trainingsabschluss[[#This Row],[Quiz_Frage3_Punkte]]+Trainingsabschluss[[#This Row],[Quiz_Frage4_Punkte]]+Trainingsabschluss[[#This Row],[Quiz_Frage5_Punkte]]</f>
        <v>16.5</v>
      </c>
      <c r="Q75" s="8">
        <f>Trainingsabschluss[[#This Row],[Quizergebnis]]/Max_Quizergebnis</f>
        <v>0.75</v>
      </c>
      <c r="R75" t="str" cm="1">
        <f t="array" ref="R75">_xlfn.IFS(Trainingsabschluss[[#This Row],[Quizergebnis_Prozent]]&lt;0.5, "Nicht bestanden",
Trainingsabschluss[[#This Row],[Quizergebnis_Prozent]]&lt;0.65, "Bestanden",
Trainingsabschluss[[#This Row],[Quizergebnis_Prozent]]&lt;0.8, "Gut bestanden",
TRUE, "Sehr gut bestanden")</f>
        <v>Gut bestanden</v>
      </c>
      <c r="S75" s="3">
        <v>9</v>
      </c>
      <c r="T75" s="3" t="str" cm="1">
        <f t="array" ref="T75">_xlfn.IFS(Trainingsabschluss[[#This Row],[Training_Bewertung]]&gt;=9, "Promotor", Trainingsabschluss[[#This Row],[Training_Bewertung]]
&lt;=6, "Detraktor",
TRUE, "Passiv")</f>
        <v>Promotor</v>
      </c>
      <c r="W75"/>
    </row>
    <row r="76" spans="1:23" x14ac:dyDescent="0.3">
      <c r="A76" s="13" t="s">
        <v>310</v>
      </c>
      <c r="B76" s="2">
        <v>3</v>
      </c>
      <c r="C76" s="2">
        <v>2</v>
      </c>
      <c r="D76" s="2">
        <v>4.5</v>
      </c>
      <c r="E76" s="2">
        <v>2</v>
      </c>
      <c r="F76" s="2">
        <v>1</v>
      </c>
      <c r="G76" s="2" t="str">
        <f>_xlfn.XLOOKUP(Trainingsabschluss[[#This Row],[UserID]], Teilnehmende[UserID], Teilnehmende[Branche], "UserID nicht gefunden")</f>
        <v>Finanzdienstleistung</v>
      </c>
      <c r="H76">
        <f>_xlfn.XLOOKUP(Trainingsabschluss[[#This Row],[UserID]], Teilnehmende[UserID], Teilnehmende[Bildungsabschluss], "UserID nicht gefunden")</f>
        <v>0</v>
      </c>
      <c r="I76" s="3">
        <f>_xlfn.XLOOKUP(Trainingsabschluss[[#This Row],[UserID]], Teilnehmende[UserID], Teilnehmende[Berufserfahrung])</f>
        <v>12</v>
      </c>
      <c r="J76" s="3" t="str" cm="1">
        <f t="array" ref="J7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76" s="11">
        <f>Trainingsabschluss[[#This Row],[Quiz_Frage1_Punkte]]/Max_Frage1</f>
        <v>0.6</v>
      </c>
      <c r="L76" s="11">
        <f>Trainingsabschluss[[#This Row],[Quiz_Frage2_Punkte]]/Max_Frage2</f>
        <v>0.4</v>
      </c>
      <c r="M76" s="11">
        <f>Trainingsabschluss[[#This Row],[Quiz_Frage3_Punkte]]/Max_Frage3</f>
        <v>0.9</v>
      </c>
      <c r="N76" s="11">
        <f>Trainingsabschluss[[#This Row],[Quiz_Frage4_Punkte]]/Max_Frage4</f>
        <v>0.5</v>
      </c>
      <c r="O76" s="11">
        <f>Trainingsabschluss[[#This Row],[Quiz_Frage5_Punkte]]/Max_Frage5</f>
        <v>0.33333333333333331</v>
      </c>
      <c r="P76" s="2">
        <f>Trainingsabschluss[[#This Row],[Quiz_Frage1_Punkte]]+Trainingsabschluss[[#This Row],[Quiz_Frage2_Punkte]]+Trainingsabschluss[[#This Row],[Quiz_Frage3_Punkte]]+Trainingsabschluss[[#This Row],[Quiz_Frage4_Punkte]]+Trainingsabschluss[[#This Row],[Quiz_Frage5_Punkte]]</f>
        <v>12.5</v>
      </c>
      <c r="Q76" s="8">
        <f>Trainingsabschluss[[#This Row],[Quizergebnis]]/Max_Quizergebnis</f>
        <v>0.56818181818181823</v>
      </c>
      <c r="R76" t="str" cm="1">
        <f t="array" ref="R76">_xlfn.IFS(Trainingsabschluss[[#This Row],[Quizergebnis_Prozent]]&lt;0.5, "Nicht bestanden",
Trainingsabschluss[[#This Row],[Quizergebnis_Prozent]]&lt;0.65, "Bestanden",
Trainingsabschluss[[#This Row],[Quizergebnis_Prozent]]&lt;0.8, "Gut bestanden",
TRUE, "Sehr gut bestanden")</f>
        <v>Bestanden</v>
      </c>
      <c r="S76" s="3">
        <v>7</v>
      </c>
      <c r="T76" s="3" t="str" cm="1">
        <f t="array" ref="T76">_xlfn.IFS(Trainingsabschluss[[#This Row],[Training_Bewertung]]&gt;=9, "Promotor", Trainingsabschluss[[#This Row],[Training_Bewertung]]
&lt;=6, "Detraktor",
TRUE, "Passiv")</f>
        <v>Passiv</v>
      </c>
      <c r="W76"/>
    </row>
    <row r="77" spans="1:23" x14ac:dyDescent="0.3">
      <c r="A77" s="13" t="s">
        <v>315</v>
      </c>
      <c r="B77" s="2">
        <v>2</v>
      </c>
      <c r="C77" s="2">
        <v>3</v>
      </c>
      <c r="D77" s="2">
        <v>2.5</v>
      </c>
      <c r="E77" s="2">
        <v>2.5</v>
      </c>
      <c r="F77" s="2">
        <v>0.5</v>
      </c>
      <c r="G77" s="2" t="str">
        <f>_xlfn.XLOOKUP(Trainingsabschluss[[#This Row],[UserID]], Teilnehmende[UserID], Teilnehmende[Branche], "UserID nicht gefunden")</f>
        <v>Finanzdienstleistung</v>
      </c>
      <c r="H77">
        <f>_xlfn.XLOOKUP(Trainingsabschluss[[#This Row],[UserID]], Teilnehmende[UserID], Teilnehmende[Bildungsabschluss], "UserID nicht gefunden")</f>
        <v>0</v>
      </c>
      <c r="I77" s="3">
        <f>_xlfn.XLOOKUP(Trainingsabschluss[[#This Row],[UserID]], Teilnehmende[UserID], Teilnehmende[Berufserfahrung])</f>
        <v>21</v>
      </c>
      <c r="J77" s="3" t="str" cm="1">
        <f t="array" ref="J77">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77" s="11">
        <f>Trainingsabschluss[[#This Row],[Quiz_Frage1_Punkte]]/Max_Frage1</f>
        <v>0.4</v>
      </c>
      <c r="L77" s="11">
        <f>Trainingsabschluss[[#This Row],[Quiz_Frage2_Punkte]]/Max_Frage2</f>
        <v>0.6</v>
      </c>
      <c r="M77" s="11">
        <f>Trainingsabschluss[[#This Row],[Quiz_Frage3_Punkte]]/Max_Frage3</f>
        <v>0.5</v>
      </c>
      <c r="N77" s="11">
        <f>Trainingsabschluss[[#This Row],[Quiz_Frage4_Punkte]]/Max_Frage4</f>
        <v>0.625</v>
      </c>
      <c r="O77" s="11">
        <f>Trainingsabschluss[[#This Row],[Quiz_Frage5_Punkte]]/Max_Frage5</f>
        <v>0.16666666666666666</v>
      </c>
      <c r="P77" s="2">
        <f>Trainingsabschluss[[#This Row],[Quiz_Frage1_Punkte]]+Trainingsabschluss[[#This Row],[Quiz_Frage2_Punkte]]+Trainingsabschluss[[#This Row],[Quiz_Frage3_Punkte]]+Trainingsabschluss[[#This Row],[Quiz_Frage4_Punkte]]+Trainingsabschluss[[#This Row],[Quiz_Frage5_Punkte]]</f>
        <v>10.5</v>
      </c>
      <c r="Q77" s="8">
        <f>Trainingsabschluss[[#This Row],[Quizergebnis]]/Max_Quizergebnis</f>
        <v>0.47727272727272729</v>
      </c>
      <c r="R77" t="str" cm="1">
        <f t="array" ref="R77">_xlfn.IFS(Trainingsabschluss[[#This Row],[Quizergebnis_Prozent]]&lt;0.5, "Nicht bestanden",
Trainingsabschluss[[#This Row],[Quizergebnis_Prozent]]&lt;0.65, "Bestanden",
Trainingsabschluss[[#This Row],[Quizergebnis_Prozent]]&lt;0.8, "Gut bestanden",
TRUE, "Sehr gut bestanden")</f>
        <v>Nicht bestanden</v>
      </c>
      <c r="S77" s="3">
        <v>7</v>
      </c>
      <c r="T77" s="3" t="str" cm="1">
        <f t="array" ref="T77">_xlfn.IFS(Trainingsabschluss[[#This Row],[Training_Bewertung]]&gt;=9, "Promotor", Trainingsabschluss[[#This Row],[Training_Bewertung]]
&lt;=6, "Detraktor",
TRUE, "Passiv")</f>
        <v>Passiv</v>
      </c>
      <c r="W77"/>
    </row>
    <row r="78" spans="1:23" x14ac:dyDescent="0.3">
      <c r="A78" s="13" t="s">
        <v>317</v>
      </c>
      <c r="B78" s="2">
        <v>1.5</v>
      </c>
      <c r="C78" s="2">
        <v>1</v>
      </c>
      <c r="D78" s="2">
        <v>0</v>
      </c>
      <c r="E78" s="2">
        <v>2</v>
      </c>
      <c r="F78" s="2">
        <v>1</v>
      </c>
      <c r="G78" s="2" t="str">
        <f>_xlfn.XLOOKUP(Trainingsabschluss[[#This Row],[UserID]], Teilnehmende[UserID], Teilnehmende[Branche], "UserID nicht gefunden")</f>
        <v>Finanzdienstleistung</v>
      </c>
      <c r="H78">
        <f>_xlfn.XLOOKUP(Trainingsabschluss[[#This Row],[UserID]], Teilnehmende[UserID], Teilnehmende[Bildungsabschluss], "UserID nicht gefunden")</f>
        <v>0</v>
      </c>
      <c r="I78" s="3">
        <f>_xlfn.XLOOKUP(Trainingsabschluss[[#This Row],[UserID]], Teilnehmende[UserID], Teilnehmende[Berufserfahrung])</f>
        <v>20</v>
      </c>
      <c r="J78" s="3" t="str" cm="1">
        <f t="array" ref="J78">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78" s="11">
        <f>Trainingsabschluss[[#This Row],[Quiz_Frage1_Punkte]]/Max_Frage1</f>
        <v>0.3</v>
      </c>
      <c r="L78" s="11">
        <f>Trainingsabschluss[[#This Row],[Quiz_Frage2_Punkte]]/Max_Frage2</f>
        <v>0.2</v>
      </c>
      <c r="M78" s="11">
        <f>Trainingsabschluss[[#This Row],[Quiz_Frage3_Punkte]]/Max_Frage3</f>
        <v>0</v>
      </c>
      <c r="N78" s="11">
        <f>Trainingsabschluss[[#This Row],[Quiz_Frage4_Punkte]]/Max_Frage4</f>
        <v>0.5</v>
      </c>
      <c r="O78" s="11">
        <f>Trainingsabschluss[[#This Row],[Quiz_Frage5_Punkte]]/Max_Frage5</f>
        <v>0.33333333333333331</v>
      </c>
      <c r="P78" s="2">
        <f>Trainingsabschluss[[#This Row],[Quiz_Frage1_Punkte]]+Trainingsabschluss[[#This Row],[Quiz_Frage2_Punkte]]+Trainingsabschluss[[#This Row],[Quiz_Frage3_Punkte]]+Trainingsabschluss[[#This Row],[Quiz_Frage4_Punkte]]+Trainingsabschluss[[#This Row],[Quiz_Frage5_Punkte]]</f>
        <v>5.5</v>
      </c>
      <c r="Q78" s="8">
        <f>Trainingsabschluss[[#This Row],[Quizergebnis]]/Max_Quizergebnis</f>
        <v>0.25</v>
      </c>
      <c r="R78" t="str" cm="1">
        <f t="array" ref="R78">_xlfn.IFS(Trainingsabschluss[[#This Row],[Quizergebnis_Prozent]]&lt;0.5, "Nicht bestanden",
Trainingsabschluss[[#This Row],[Quizergebnis_Prozent]]&lt;0.65, "Bestanden",
Trainingsabschluss[[#This Row],[Quizergebnis_Prozent]]&lt;0.8, "Gut bestanden",
TRUE, "Sehr gut bestanden")</f>
        <v>Nicht bestanden</v>
      </c>
      <c r="S78" s="3">
        <v>8</v>
      </c>
      <c r="T78" s="3" t="str" cm="1">
        <f t="array" ref="T78">_xlfn.IFS(Trainingsabschluss[[#This Row],[Training_Bewertung]]&gt;=9, "Promotor", Trainingsabschluss[[#This Row],[Training_Bewertung]]
&lt;=6, "Detraktor",
TRUE, "Passiv")</f>
        <v>Passiv</v>
      </c>
      <c r="W78"/>
    </row>
    <row r="79" spans="1:23" x14ac:dyDescent="0.3">
      <c r="A79" s="13" t="s">
        <v>318</v>
      </c>
      <c r="B79" s="2">
        <v>3.5</v>
      </c>
      <c r="C79" s="2">
        <v>5</v>
      </c>
      <c r="D79" s="2">
        <v>1.5</v>
      </c>
      <c r="E79" s="2">
        <v>3</v>
      </c>
      <c r="F79" s="2">
        <v>2</v>
      </c>
      <c r="G79" s="2" t="str">
        <f>_xlfn.XLOOKUP(Trainingsabschluss[[#This Row],[UserID]], Teilnehmende[UserID], Teilnehmende[Branche], "UserID nicht gefunden")</f>
        <v>Finanzdienstleistung</v>
      </c>
      <c r="H79">
        <f>_xlfn.XLOOKUP(Trainingsabschluss[[#This Row],[UserID]], Teilnehmende[UserID], Teilnehmende[Bildungsabschluss], "UserID nicht gefunden")</f>
        <v>0</v>
      </c>
      <c r="I79" s="3">
        <f>_xlfn.XLOOKUP(Trainingsabschluss[[#This Row],[UserID]], Teilnehmende[UserID], Teilnehmende[Berufserfahrung])</f>
        <v>7</v>
      </c>
      <c r="J79" s="3" t="str" cm="1">
        <f t="array" ref="J7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79" s="11">
        <f>Trainingsabschluss[[#This Row],[Quiz_Frage1_Punkte]]/Max_Frage1</f>
        <v>0.7</v>
      </c>
      <c r="L79" s="11">
        <f>Trainingsabschluss[[#This Row],[Quiz_Frage2_Punkte]]/Max_Frage2</f>
        <v>1</v>
      </c>
      <c r="M79" s="11">
        <f>Trainingsabschluss[[#This Row],[Quiz_Frage3_Punkte]]/Max_Frage3</f>
        <v>0.3</v>
      </c>
      <c r="N79" s="11">
        <f>Trainingsabschluss[[#This Row],[Quiz_Frage4_Punkte]]/Max_Frage4</f>
        <v>0.75</v>
      </c>
      <c r="O79" s="11">
        <f>Trainingsabschluss[[#This Row],[Quiz_Frage5_Punkte]]/Max_Frage5</f>
        <v>0.66666666666666663</v>
      </c>
      <c r="P79" s="2">
        <f>Trainingsabschluss[[#This Row],[Quiz_Frage1_Punkte]]+Trainingsabschluss[[#This Row],[Quiz_Frage2_Punkte]]+Trainingsabschluss[[#This Row],[Quiz_Frage3_Punkte]]+Trainingsabschluss[[#This Row],[Quiz_Frage4_Punkte]]+Trainingsabschluss[[#This Row],[Quiz_Frage5_Punkte]]</f>
        <v>15</v>
      </c>
      <c r="Q79" s="8">
        <f>Trainingsabschluss[[#This Row],[Quizergebnis]]/Max_Quizergebnis</f>
        <v>0.68181818181818177</v>
      </c>
      <c r="R79" t="str" cm="1">
        <f t="array" ref="R79">_xlfn.IFS(Trainingsabschluss[[#This Row],[Quizergebnis_Prozent]]&lt;0.5, "Nicht bestanden",
Trainingsabschluss[[#This Row],[Quizergebnis_Prozent]]&lt;0.65, "Bestanden",
Trainingsabschluss[[#This Row],[Quizergebnis_Prozent]]&lt;0.8, "Gut bestanden",
TRUE, "Sehr gut bestanden")</f>
        <v>Gut bestanden</v>
      </c>
      <c r="S79" s="3">
        <v>8</v>
      </c>
      <c r="T79" s="3" t="str" cm="1">
        <f t="array" ref="T79">_xlfn.IFS(Trainingsabschluss[[#This Row],[Training_Bewertung]]&gt;=9, "Promotor", Trainingsabschluss[[#This Row],[Training_Bewertung]]
&lt;=6, "Detraktor",
TRUE, "Passiv")</f>
        <v>Passiv</v>
      </c>
      <c r="W79"/>
    </row>
    <row r="80" spans="1:23" x14ac:dyDescent="0.3">
      <c r="A80" s="13" t="s">
        <v>320</v>
      </c>
      <c r="B80" s="2">
        <v>5</v>
      </c>
      <c r="C80" s="2">
        <v>3.5</v>
      </c>
      <c r="D80" s="2">
        <v>1.5</v>
      </c>
      <c r="E80" s="2">
        <v>3</v>
      </c>
      <c r="F80" s="2">
        <v>0</v>
      </c>
      <c r="G80" s="2" t="str">
        <f>_xlfn.XLOOKUP(Trainingsabschluss[[#This Row],[UserID]], Teilnehmende[UserID], Teilnehmende[Branche], "UserID nicht gefunden")</f>
        <v>Finanzdienstleistung</v>
      </c>
      <c r="H80">
        <f>_xlfn.XLOOKUP(Trainingsabschluss[[#This Row],[UserID]], Teilnehmende[UserID], Teilnehmende[Bildungsabschluss], "UserID nicht gefunden")</f>
        <v>0</v>
      </c>
      <c r="I80" s="3">
        <f>_xlfn.XLOOKUP(Trainingsabschluss[[#This Row],[UserID]], Teilnehmende[UserID], Teilnehmende[Berufserfahrung])</f>
        <v>3</v>
      </c>
      <c r="J80" s="3" t="str" cm="1">
        <f t="array" ref="J8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80" s="11">
        <f>Trainingsabschluss[[#This Row],[Quiz_Frage1_Punkte]]/Max_Frage1</f>
        <v>1</v>
      </c>
      <c r="L80" s="11">
        <f>Trainingsabschluss[[#This Row],[Quiz_Frage2_Punkte]]/Max_Frage2</f>
        <v>0.7</v>
      </c>
      <c r="M80" s="11">
        <f>Trainingsabschluss[[#This Row],[Quiz_Frage3_Punkte]]/Max_Frage3</f>
        <v>0.3</v>
      </c>
      <c r="N80" s="11">
        <f>Trainingsabschluss[[#This Row],[Quiz_Frage4_Punkte]]/Max_Frage4</f>
        <v>0.75</v>
      </c>
      <c r="O80" s="11">
        <f>Trainingsabschluss[[#This Row],[Quiz_Frage5_Punkte]]/Max_Frage5</f>
        <v>0</v>
      </c>
      <c r="P80" s="2">
        <f>Trainingsabschluss[[#This Row],[Quiz_Frage1_Punkte]]+Trainingsabschluss[[#This Row],[Quiz_Frage2_Punkte]]+Trainingsabschluss[[#This Row],[Quiz_Frage3_Punkte]]+Trainingsabschluss[[#This Row],[Quiz_Frage4_Punkte]]+Trainingsabschluss[[#This Row],[Quiz_Frage5_Punkte]]</f>
        <v>13</v>
      </c>
      <c r="Q80" s="8">
        <f>Trainingsabschluss[[#This Row],[Quizergebnis]]/Max_Quizergebnis</f>
        <v>0.59090909090909094</v>
      </c>
      <c r="R80" t="str" cm="1">
        <f t="array" ref="R80">_xlfn.IFS(Trainingsabschluss[[#This Row],[Quizergebnis_Prozent]]&lt;0.5, "Nicht bestanden",
Trainingsabschluss[[#This Row],[Quizergebnis_Prozent]]&lt;0.65, "Bestanden",
Trainingsabschluss[[#This Row],[Quizergebnis_Prozent]]&lt;0.8, "Gut bestanden",
TRUE, "Sehr gut bestanden")</f>
        <v>Bestanden</v>
      </c>
      <c r="S80" s="3">
        <v>8</v>
      </c>
      <c r="T80" s="3" t="str" cm="1">
        <f t="array" ref="T80">_xlfn.IFS(Trainingsabschluss[[#This Row],[Training_Bewertung]]&gt;=9, "Promotor", Trainingsabschluss[[#This Row],[Training_Bewertung]]
&lt;=6, "Detraktor",
TRUE, "Passiv")</f>
        <v>Passiv</v>
      </c>
      <c r="W80"/>
    </row>
    <row r="81" spans="1:23" x14ac:dyDescent="0.3">
      <c r="A81" s="13" t="s">
        <v>321</v>
      </c>
      <c r="B81" s="2">
        <v>5</v>
      </c>
      <c r="C81" s="2">
        <v>4</v>
      </c>
      <c r="D81" s="2">
        <v>2</v>
      </c>
      <c r="E81" s="2">
        <v>4</v>
      </c>
      <c r="F81" s="2">
        <v>1.5</v>
      </c>
      <c r="G81" s="2" t="str">
        <f>_xlfn.XLOOKUP(Trainingsabschluss[[#This Row],[UserID]], Teilnehmende[UserID], Teilnehmende[Branche], "UserID nicht gefunden")</f>
        <v>Finanzdienstleistung</v>
      </c>
      <c r="H81">
        <f>_xlfn.XLOOKUP(Trainingsabschluss[[#This Row],[UserID]], Teilnehmende[UserID], Teilnehmende[Bildungsabschluss], "UserID nicht gefunden")</f>
        <v>0</v>
      </c>
      <c r="I81" s="3">
        <f>_xlfn.XLOOKUP(Trainingsabschluss[[#This Row],[UserID]], Teilnehmende[UserID], Teilnehmende[Berufserfahrung])</f>
        <v>2</v>
      </c>
      <c r="J81" s="3" t="str" cm="1">
        <f t="array" ref="J8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81" s="11">
        <f>Trainingsabschluss[[#This Row],[Quiz_Frage1_Punkte]]/Max_Frage1</f>
        <v>1</v>
      </c>
      <c r="L81" s="11">
        <f>Trainingsabschluss[[#This Row],[Quiz_Frage2_Punkte]]/Max_Frage2</f>
        <v>0.8</v>
      </c>
      <c r="M81" s="11">
        <f>Trainingsabschluss[[#This Row],[Quiz_Frage3_Punkte]]/Max_Frage3</f>
        <v>0.4</v>
      </c>
      <c r="N81" s="11">
        <f>Trainingsabschluss[[#This Row],[Quiz_Frage4_Punkte]]/Max_Frage4</f>
        <v>1</v>
      </c>
      <c r="O81" s="11">
        <f>Trainingsabschluss[[#This Row],[Quiz_Frage5_Punkte]]/Max_Frage5</f>
        <v>0.5</v>
      </c>
      <c r="P81" s="2">
        <f>Trainingsabschluss[[#This Row],[Quiz_Frage1_Punkte]]+Trainingsabschluss[[#This Row],[Quiz_Frage2_Punkte]]+Trainingsabschluss[[#This Row],[Quiz_Frage3_Punkte]]+Trainingsabschluss[[#This Row],[Quiz_Frage4_Punkte]]+Trainingsabschluss[[#This Row],[Quiz_Frage5_Punkte]]</f>
        <v>16.5</v>
      </c>
      <c r="Q81" s="8">
        <f>Trainingsabschluss[[#This Row],[Quizergebnis]]/Max_Quizergebnis</f>
        <v>0.75</v>
      </c>
      <c r="R81" t="str" cm="1">
        <f t="array" ref="R81">_xlfn.IFS(Trainingsabschluss[[#This Row],[Quizergebnis_Prozent]]&lt;0.5, "Nicht bestanden",
Trainingsabschluss[[#This Row],[Quizergebnis_Prozent]]&lt;0.65, "Bestanden",
Trainingsabschluss[[#This Row],[Quizergebnis_Prozent]]&lt;0.8, "Gut bestanden",
TRUE, "Sehr gut bestanden")</f>
        <v>Gut bestanden</v>
      </c>
      <c r="S81" s="3">
        <v>8</v>
      </c>
      <c r="T81" s="3" t="str" cm="1">
        <f t="array" ref="T81">_xlfn.IFS(Trainingsabschluss[[#This Row],[Training_Bewertung]]&gt;=9, "Promotor", Trainingsabschluss[[#This Row],[Training_Bewertung]]
&lt;=6, "Detraktor",
TRUE, "Passiv")</f>
        <v>Passiv</v>
      </c>
      <c r="W81"/>
    </row>
    <row r="82" spans="1:23" x14ac:dyDescent="0.3">
      <c r="A82" s="13" t="s">
        <v>326</v>
      </c>
      <c r="B82" s="2">
        <v>5</v>
      </c>
      <c r="C82" s="2">
        <v>4.5</v>
      </c>
      <c r="D82" s="2">
        <v>4</v>
      </c>
      <c r="E82" s="2">
        <v>0.5</v>
      </c>
      <c r="F82" s="2">
        <v>2</v>
      </c>
      <c r="G82" s="2" t="str">
        <f>_xlfn.XLOOKUP(Trainingsabschluss[[#This Row],[UserID]], Teilnehmende[UserID], Teilnehmende[Branche], "UserID nicht gefunden")</f>
        <v>Finanzdienstleistung</v>
      </c>
      <c r="H82">
        <f>_xlfn.XLOOKUP(Trainingsabschluss[[#This Row],[UserID]], Teilnehmende[UserID], Teilnehmende[Bildungsabschluss], "UserID nicht gefunden")</f>
        <v>0</v>
      </c>
      <c r="I82" s="3">
        <f>_xlfn.XLOOKUP(Trainingsabschluss[[#This Row],[UserID]], Teilnehmende[UserID], Teilnehmende[Berufserfahrung])</f>
        <v>8</v>
      </c>
      <c r="J82" s="3" t="str" cm="1">
        <f t="array" ref="J8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82" s="11">
        <f>Trainingsabschluss[[#This Row],[Quiz_Frage1_Punkte]]/Max_Frage1</f>
        <v>1</v>
      </c>
      <c r="L82" s="11">
        <f>Trainingsabschluss[[#This Row],[Quiz_Frage2_Punkte]]/Max_Frage2</f>
        <v>0.9</v>
      </c>
      <c r="M82" s="11">
        <f>Trainingsabschluss[[#This Row],[Quiz_Frage3_Punkte]]/Max_Frage3</f>
        <v>0.8</v>
      </c>
      <c r="N82" s="11">
        <f>Trainingsabschluss[[#This Row],[Quiz_Frage4_Punkte]]/Max_Frage4</f>
        <v>0.125</v>
      </c>
      <c r="O82" s="11">
        <f>Trainingsabschluss[[#This Row],[Quiz_Frage5_Punkte]]/Max_Frage5</f>
        <v>0.66666666666666663</v>
      </c>
      <c r="P82" s="2">
        <f>Trainingsabschluss[[#This Row],[Quiz_Frage1_Punkte]]+Trainingsabschluss[[#This Row],[Quiz_Frage2_Punkte]]+Trainingsabschluss[[#This Row],[Quiz_Frage3_Punkte]]+Trainingsabschluss[[#This Row],[Quiz_Frage4_Punkte]]+Trainingsabschluss[[#This Row],[Quiz_Frage5_Punkte]]</f>
        <v>16</v>
      </c>
      <c r="Q82" s="8">
        <f>Trainingsabschluss[[#This Row],[Quizergebnis]]/Max_Quizergebnis</f>
        <v>0.72727272727272729</v>
      </c>
      <c r="R82" t="str" cm="1">
        <f t="array" ref="R82">_xlfn.IFS(Trainingsabschluss[[#This Row],[Quizergebnis_Prozent]]&lt;0.5, "Nicht bestanden",
Trainingsabschluss[[#This Row],[Quizergebnis_Prozent]]&lt;0.65, "Bestanden",
Trainingsabschluss[[#This Row],[Quizergebnis_Prozent]]&lt;0.8, "Gut bestanden",
TRUE, "Sehr gut bestanden")</f>
        <v>Gut bestanden</v>
      </c>
      <c r="S82" s="3">
        <v>8</v>
      </c>
      <c r="T82" s="3" t="str" cm="1">
        <f t="array" ref="T82">_xlfn.IFS(Trainingsabschluss[[#This Row],[Training_Bewertung]]&gt;=9, "Promotor", Trainingsabschluss[[#This Row],[Training_Bewertung]]
&lt;=6, "Detraktor",
TRUE, "Passiv")</f>
        <v>Passiv</v>
      </c>
      <c r="W82"/>
    </row>
    <row r="83" spans="1:23" x14ac:dyDescent="0.3">
      <c r="A83" s="13" t="s">
        <v>327</v>
      </c>
      <c r="B83" s="2">
        <v>3.5</v>
      </c>
      <c r="C83" s="2">
        <v>3</v>
      </c>
      <c r="D83" s="2">
        <v>3</v>
      </c>
      <c r="E83" s="2">
        <v>0.5</v>
      </c>
      <c r="F83" s="2">
        <v>0</v>
      </c>
      <c r="G83" s="2" t="str">
        <f>_xlfn.XLOOKUP(Trainingsabschluss[[#This Row],[UserID]], Teilnehmende[UserID], Teilnehmende[Branche], "UserID nicht gefunden")</f>
        <v>Gesundheitswesen</v>
      </c>
      <c r="H83">
        <f>_xlfn.XLOOKUP(Trainingsabschluss[[#This Row],[UserID]], Teilnehmende[UserID], Teilnehmende[Bildungsabschluss], "UserID nicht gefunden")</f>
        <v>0</v>
      </c>
      <c r="I83" s="3">
        <f>_xlfn.XLOOKUP(Trainingsabschluss[[#This Row],[UserID]], Teilnehmende[UserID], Teilnehmende[Berufserfahrung])</f>
        <v>5</v>
      </c>
      <c r="J83" s="3" t="str" cm="1">
        <f t="array" ref="J8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83" s="11">
        <f>Trainingsabschluss[[#This Row],[Quiz_Frage1_Punkte]]/Max_Frage1</f>
        <v>0.7</v>
      </c>
      <c r="L83" s="11">
        <f>Trainingsabschluss[[#This Row],[Quiz_Frage2_Punkte]]/Max_Frage2</f>
        <v>0.6</v>
      </c>
      <c r="M83" s="11">
        <f>Trainingsabschluss[[#This Row],[Quiz_Frage3_Punkte]]/Max_Frage3</f>
        <v>0.6</v>
      </c>
      <c r="N83" s="11">
        <f>Trainingsabschluss[[#This Row],[Quiz_Frage4_Punkte]]/Max_Frage4</f>
        <v>0.125</v>
      </c>
      <c r="O83" s="11">
        <f>Trainingsabschluss[[#This Row],[Quiz_Frage5_Punkte]]/Max_Frage5</f>
        <v>0</v>
      </c>
      <c r="P83" s="2">
        <f>Trainingsabschluss[[#This Row],[Quiz_Frage1_Punkte]]+Trainingsabschluss[[#This Row],[Quiz_Frage2_Punkte]]+Trainingsabschluss[[#This Row],[Quiz_Frage3_Punkte]]+Trainingsabschluss[[#This Row],[Quiz_Frage4_Punkte]]+Trainingsabschluss[[#This Row],[Quiz_Frage5_Punkte]]</f>
        <v>10</v>
      </c>
      <c r="Q83" s="8">
        <f>Trainingsabschluss[[#This Row],[Quizergebnis]]/Max_Quizergebnis</f>
        <v>0.45454545454545453</v>
      </c>
      <c r="R83" t="str" cm="1">
        <f t="array" ref="R83">_xlfn.IFS(Trainingsabschluss[[#This Row],[Quizergebnis_Prozent]]&lt;0.5, "Nicht bestanden",
Trainingsabschluss[[#This Row],[Quizergebnis_Prozent]]&lt;0.65, "Bestanden",
Trainingsabschluss[[#This Row],[Quizergebnis_Prozent]]&lt;0.8, "Gut bestanden",
TRUE, "Sehr gut bestanden")</f>
        <v>Nicht bestanden</v>
      </c>
      <c r="S83" s="3">
        <v>8</v>
      </c>
      <c r="T83" s="3" t="str" cm="1">
        <f t="array" ref="T83">_xlfn.IFS(Trainingsabschluss[[#This Row],[Training_Bewertung]]&gt;=9, "Promotor", Trainingsabschluss[[#This Row],[Training_Bewertung]]
&lt;=6, "Detraktor",
TRUE, "Passiv")</f>
        <v>Passiv</v>
      </c>
      <c r="W83"/>
    </row>
    <row r="84" spans="1:23" x14ac:dyDescent="0.3">
      <c r="A84" s="13" t="s">
        <v>337</v>
      </c>
      <c r="B84" s="2">
        <v>4.5</v>
      </c>
      <c r="C84" s="2">
        <v>3</v>
      </c>
      <c r="D84" s="2">
        <v>2.5</v>
      </c>
      <c r="E84" s="2">
        <v>3</v>
      </c>
      <c r="F84" s="2">
        <v>2</v>
      </c>
      <c r="G84" s="2" t="str">
        <f>_xlfn.XLOOKUP(Trainingsabschluss[[#This Row],[UserID]], Teilnehmende[UserID], Teilnehmende[Branche], "UserID nicht gefunden")</f>
        <v>Gesundheitswesen</v>
      </c>
      <c r="H84">
        <f>_xlfn.XLOOKUP(Trainingsabschluss[[#This Row],[UserID]], Teilnehmende[UserID], Teilnehmende[Bildungsabschluss], "UserID nicht gefunden")</f>
        <v>0</v>
      </c>
      <c r="I84" s="3">
        <f>_xlfn.XLOOKUP(Trainingsabschluss[[#This Row],[UserID]], Teilnehmende[UserID], Teilnehmende[Berufserfahrung])</f>
        <v>9</v>
      </c>
      <c r="J84" s="3" t="str" cm="1">
        <f t="array" ref="J8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84" s="11">
        <f>Trainingsabschluss[[#This Row],[Quiz_Frage1_Punkte]]/Max_Frage1</f>
        <v>0.9</v>
      </c>
      <c r="L84" s="11">
        <f>Trainingsabschluss[[#This Row],[Quiz_Frage2_Punkte]]/Max_Frage2</f>
        <v>0.6</v>
      </c>
      <c r="M84" s="11">
        <f>Trainingsabschluss[[#This Row],[Quiz_Frage3_Punkte]]/Max_Frage3</f>
        <v>0.5</v>
      </c>
      <c r="N84" s="11">
        <f>Trainingsabschluss[[#This Row],[Quiz_Frage4_Punkte]]/Max_Frage4</f>
        <v>0.75</v>
      </c>
      <c r="O84" s="11">
        <f>Trainingsabschluss[[#This Row],[Quiz_Frage5_Punkte]]/Max_Frage5</f>
        <v>0.66666666666666663</v>
      </c>
      <c r="P84" s="2">
        <f>Trainingsabschluss[[#This Row],[Quiz_Frage1_Punkte]]+Trainingsabschluss[[#This Row],[Quiz_Frage2_Punkte]]+Trainingsabschluss[[#This Row],[Quiz_Frage3_Punkte]]+Trainingsabschluss[[#This Row],[Quiz_Frage4_Punkte]]+Trainingsabschluss[[#This Row],[Quiz_Frage5_Punkte]]</f>
        <v>15</v>
      </c>
      <c r="Q84" s="8">
        <f>Trainingsabschluss[[#This Row],[Quizergebnis]]/Max_Quizergebnis</f>
        <v>0.68181818181818177</v>
      </c>
      <c r="R84" t="str" cm="1">
        <f t="array" ref="R84">_xlfn.IFS(Trainingsabschluss[[#This Row],[Quizergebnis_Prozent]]&lt;0.5, "Nicht bestanden",
Trainingsabschluss[[#This Row],[Quizergebnis_Prozent]]&lt;0.65, "Bestanden",
Trainingsabschluss[[#This Row],[Quizergebnis_Prozent]]&lt;0.8, "Gut bestanden",
TRUE, "Sehr gut bestanden")</f>
        <v>Gut bestanden</v>
      </c>
      <c r="S84" s="3">
        <v>8</v>
      </c>
      <c r="T84" s="3" t="str" cm="1">
        <f t="array" ref="T84">_xlfn.IFS(Trainingsabschluss[[#This Row],[Training_Bewertung]]&gt;=9, "Promotor", Trainingsabschluss[[#This Row],[Training_Bewertung]]
&lt;=6, "Detraktor",
TRUE, "Passiv")</f>
        <v>Passiv</v>
      </c>
      <c r="W84"/>
    </row>
    <row r="85" spans="1:23" x14ac:dyDescent="0.3">
      <c r="A85" s="13" t="s">
        <v>339</v>
      </c>
      <c r="B85" s="2">
        <v>5</v>
      </c>
      <c r="C85" s="2">
        <v>4.5</v>
      </c>
      <c r="D85" s="2">
        <v>5</v>
      </c>
      <c r="E85" s="2">
        <v>0.5</v>
      </c>
      <c r="F85" s="2">
        <v>2.5</v>
      </c>
      <c r="G85" s="2" t="str">
        <f>_xlfn.XLOOKUP(Trainingsabschluss[[#This Row],[UserID]], Teilnehmende[UserID], Teilnehmende[Branche], "UserID nicht gefunden")</f>
        <v>Gesundheitswesen</v>
      </c>
      <c r="H85">
        <f>_xlfn.XLOOKUP(Trainingsabschluss[[#This Row],[UserID]], Teilnehmende[UserID], Teilnehmende[Bildungsabschluss], "UserID nicht gefunden")</f>
        <v>0</v>
      </c>
      <c r="I85" s="3">
        <f>_xlfn.XLOOKUP(Trainingsabschluss[[#This Row],[UserID]], Teilnehmende[UserID], Teilnehmende[Berufserfahrung])</f>
        <v>5</v>
      </c>
      <c r="J85" s="3" t="str" cm="1">
        <f t="array" ref="J8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85" s="11">
        <f>Trainingsabschluss[[#This Row],[Quiz_Frage1_Punkte]]/Max_Frage1</f>
        <v>1</v>
      </c>
      <c r="L85" s="11">
        <f>Trainingsabschluss[[#This Row],[Quiz_Frage2_Punkte]]/Max_Frage2</f>
        <v>0.9</v>
      </c>
      <c r="M85" s="11">
        <f>Trainingsabschluss[[#This Row],[Quiz_Frage3_Punkte]]/Max_Frage3</f>
        <v>1</v>
      </c>
      <c r="N85" s="11">
        <f>Trainingsabschluss[[#This Row],[Quiz_Frage4_Punkte]]/Max_Frage4</f>
        <v>0.125</v>
      </c>
      <c r="O85" s="11">
        <f>Trainingsabschluss[[#This Row],[Quiz_Frage5_Punkte]]/Max_Frage5</f>
        <v>0.83333333333333337</v>
      </c>
      <c r="P85" s="2">
        <f>Trainingsabschluss[[#This Row],[Quiz_Frage1_Punkte]]+Trainingsabschluss[[#This Row],[Quiz_Frage2_Punkte]]+Trainingsabschluss[[#This Row],[Quiz_Frage3_Punkte]]+Trainingsabschluss[[#This Row],[Quiz_Frage4_Punkte]]+Trainingsabschluss[[#This Row],[Quiz_Frage5_Punkte]]</f>
        <v>17.5</v>
      </c>
      <c r="Q85" s="8">
        <f>Trainingsabschluss[[#This Row],[Quizergebnis]]/Max_Quizergebnis</f>
        <v>0.79545454545454541</v>
      </c>
      <c r="R85" t="str" cm="1">
        <f t="array" ref="R85">_xlfn.IFS(Trainingsabschluss[[#This Row],[Quizergebnis_Prozent]]&lt;0.5, "Nicht bestanden",
Trainingsabschluss[[#This Row],[Quizergebnis_Prozent]]&lt;0.65, "Bestanden",
Trainingsabschluss[[#This Row],[Quizergebnis_Prozent]]&lt;0.8, "Gut bestanden",
TRUE, "Sehr gut bestanden")</f>
        <v>Gut bestanden</v>
      </c>
      <c r="S85" s="3">
        <v>8</v>
      </c>
      <c r="T85" s="3" t="str" cm="1">
        <f t="array" ref="T85">_xlfn.IFS(Trainingsabschluss[[#This Row],[Training_Bewertung]]&gt;=9, "Promotor", Trainingsabschluss[[#This Row],[Training_Bewertung]]
&lt;=6, "Detraktor",
TRUE, "Passiv")</f>
        <v>Passiv</v>
      </c>
      <c r="W85"/>
    </row>
    <row r="86" spans="1:23" x14ac:dyDescent="0.3">
      <c r="A86" s="13" t="s">
        <v>346</v>
      </c>
      <c r="B86" s="2">
        <v>5</v>
      </c>
      <c r="C86" s="2">
        <v>4</v>
      </c>
      <c r="D86" s="2">
        <v>3</v>
      </c>
      <c r="E86" s="2">
        <v>2.5</v>
      </c>
      <c r="F86" s="2">
        <v>2.5</v>
      </c>
      <c r="G86" s="2" t="str">
        <f>_xlfn.XLOOKUP(Trainingsabschluss[[#This Row],[UserID]], Teilnehmende[UserID], Teilnehmende[Branche], "UserID nicht gefunden")</f>
        <v>Immobilien</v>
      </c>
      <c r="H86">
        <f>_xlfn.XLOOKUP(Trainingsabschluss[[#This Row],[UserID]], Teilnehmende[UserID], Teilnehmende[Bildungsabschluss], "UserID nicht gefunden")</f>
        <v>0</v>
      </c>
      <c r="I86" s="3">
        <f>_xlfn.XLOOKUP(Trainingsabschluss[[#This Row],[UserID]], Teilnehmende[UserID], Teilnehmende[Berufserfahrung])</f>
        <v>1</v>
      </c>
      <c r="J86" s="3" t="str" cm="1">
        <f t="array" ref="J8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86" s="11">
        <f>Trainingsabschluss[[#This Row],[Quiz_Frage1_Punkte]]/Max_Frage1</f>
        <v>1</v>
      </c>
      <c r="L86" s="11">
        <f>Trainingsabschluss[[#This Row],[Quiz_Frage2_Punkte]]/Max_Frage2</f>
        <v>0.8</v>
      </c>
      <c r="M86" s="11">
        <f>Trainingsabschluss[[#This Row],[Quiz_Frage3_Punkte]]/Max_Frage3</f>
        <v>0.6</v>
      </c>
      <c r="N86" s="11">
        <f>Trainingsabschluss[[#This Row],[Quiz_Frage4_Punkte]]/Max_Frage4</f>
        <v>0.625</v>
      </c>
      <c r="O86" s="11">
        <f>Trainingsabschluss[[#This Row],[Quiz_Frage5_Punkte]]/Max_Frage5</f>
        <v>0.83333333333333337</v>
      </c>
      <c r="P86" s="2">
        <f>Trainingsabschluss[[#This Row],[Quiz_Frage1_Punkte]]+Trainingsabschluss[[#This Row],[Quiz_Frage2_Punkte]]+Trainingsabschluss[[#This Row],[Quiz_Frage3_Punkte]]+Trainingsabschluss[[#This Row],[Quiz_Frage4_Punkte]]+Trainingsabschluss[[#This Row],[Quiz_Frage5_Punkte]]</f>
        <v>17</v>
      </c>
      <c r="Q86" s="8">
        <f>Trainingsabschluss[[#This Row],[Quizergebnis]]/Max_Quizergebnis</f>
        <v>0.77272727272727271</v>
      </c>
      <c r="R86" t="str" cm="1">
        <f t="array" ref="R86">_xlfn.IFS(Trainingsabschluss[[#This Row],[Quizergebnis_Prozent]]&lt;0.5, "Nicht bestanden",
Trainingsabschluss[[#This Row],[Quizergebnis_Prozent]]&lt;0.65, "Bestanden",
Trainingsabschluss[[#This Row],[Quizergebnis_Prozent]]&lt;0.8, "Gut bestanden",
TRUE, "Sehr gut bestanden")</f>
        <v>Gut bestanden</v>
      </c>
      <c r="S86" s="3">
        <v>8</v>
      </c>
      <c r="T86" s="3" t="str" cm="1">
        <f t="array" ref="T86">_xlfn.IFS(Trainingsabschluss[[#This Row],[Training_Bewertung]]&gt;=9, "Promotor", Trainingsabschluss[[#This Row],[Training_Bewertung]]
&lt;=6, "Detraktor",
TRUE, "Passiv")</f>
        <v>Passiv</v>
      </c>
      <c r="W86"/>
    </row>
    <row r="87" spans="1:23" x14ac:dyDescent="0.3">
      <c r="A87" s="13" t="s">
        <v>354</v>
      </c>
      <c r="B87" s="2">
        <v>5</v>
      </c>
      <c r="C87" s="2">
        <v>4</v>
      </c>
      <c r="D87" s="2">
        <v>4.5</v>
      </c>
      <c r="E87" s="2">
        <v>2.5</v>
      </c>
      <c r="F87" s="2">
        <v>2</v>
      </c>
      <c r="G87" s="2" t="str">
        <f>_xlfn.XLOOKUP(Trainingsabschluss[[#This Row],[UserID]], Teilnehmende[UserID], Teilnehmende[Branche], "UserID nicht gefunden")</f>
        <v>Immobilien</v>
      </c>
      <c r="H87">
        <f>_xlfn.XLOOKUP(Trainingsabschluss[[#This Row],[UserID]], Teilnehmende[UserID], Teilnehmende[Bildungsabschluss], "UserID nicht gefunden")</f>
        <v>0</v>
      </c>
      <c r="I87" s="3">
        <f>_xlfn.XLOOKUP(Trainingsabschluss[[#This Row],[UserID]], Teilnehmende[UserID], Teilnehmende[Berufserfahrung])</f>
        <v>8</v>
      </c>
      <c r="J87" s="3" t="str" cm="1">
        <f t="array" ref="J8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87" s="11">
        <f>Trainingsabschluss[[#This Row],[Quiz_Frage1_Punkte]]/Max_Frage1</f>
        <v>1</v>
      </c>
      <c r="L87" s="11">
        <f>Trainingsabschluss[[#This Row],[Quiz_Frage2_Punkte]]/Max_Frage2</f>
        <v>0.8</v>
      </c>
      <c r="M87" s="11">
        <f>Trainingsabschluss[[#This Row],[Quiz_Frage3_Punkte]]/Max_Frage3</f>
        <v>0.9</v>
      </c>
      <c r="N87" s="11">
        <f>Trainingsabschluss[[#This Row],[Quiz_Frage4_Punkte]]/Max_Frage4</f>
        <v>0.625</v>
      </c>
      <c r="O87" s="11">
        <f>Trainingsabschluss[[#This Row],[Quiz_Frage5_Punkte]]/Max_Frage5</f>
        <v>0.66666666666666663</v>
      </c>
      <c r="P87" s="2">
        <f>Trainingsabschluss[[#This Row],[Quiz_Frage1_Punkte]]+Trainingsabschluss[[#This Row],[Quiz_Frage2_Punkte]]+Trainingsabschluss[[#This Row],[Quiz_Frage3_Punkte]]+Trainingsabschluss[[#This Row],[Quiz_Frage4_Punkte]]+Trainingsabschluss[[#This Row],[Quiz_Frage5_Punkte]]</f>
        <v>18</v>
      </c>
      <c r="Q87" s="8">
        <f>Trainingsabschluss[[#This Row],[Quizergebnis]]/Max_Quizergebnis</f>
        <v>0.81818181818181823</v>
      </c>
      <c r="R87" t="str" cm="1">
        <f t="array" ref="R87">_xlfn.IFS(Trainingsabschluss[[#This Row],[Quizergebnis_Prozent]]&lt;0.5, "Nicht bestanden",
Trainingsabschluss[[#This Row],[Quizergebnis_Prozent]]&lt;0.65, "Bestanden",
Trainingsabschluss[[#This Row],[Quizergebnis_Prozent]]&lt;0.8, "Gut bestanden",
TRUE, "Sehr gut bestanden")</f>
        <v>Sehr gut bestanden</v>
      </c>
      <c r="S87" s="3">
        <v>8</v>
      </c>
      <c r="T87" s="3" t="str" cm="1">
        <f t="array" ref="T87">_xlfn.IFS(Trainingsabschluss[[#This Row],[Training_Bewertung]]&gt;=9, "Promotor", Trainingsabschluss[[#This Row],[Training_Bewertung]]
&lt;=6, "Detraktor",
TRUE, "Passiv")</f>
        <v>Passiv</v>
      </c>
      <c r="W87"/>
    </row>
    <row r="88" spans="1:23" x14ac:dyDescent="0.3">
      <c r="A88" s="13" t="s">
        <v>355</v>
      </c>
      <c r="B88" s="2">
        <v>5</v>
      </c>
      <c r="C88" s="2">
        <v>1</v>
      </c>
      <c r="D88" s="2">
        <v>0.5</v>
      </c>
      <c r="E88" s="2">
        <v>3.5</v>
      </c>
      <c r="F88" s="2">
        <v>3</v>
      </c>
      <c r="G88" s="2" t="str">
        <f>_xlfn.XLOOKUP(Trainingsabschluss[[#This Row],[UserID]], Teilnehmende[UserID], Teilnehmende[Branche], "UserID nicht gefunden")</f>
        <v>Immobilien</v>
      </c>
      <c r="H88">
        <f>_xlfn.XLOOKUP(Trainingsabschluss[[#This Row],[UserID]], Teilnehmende[UserID], Teilnehmende[Bildungsabschluss], "UserID nicht gefunden")</f>
        <v>0</v>
      </c>
      <c r="I88" s="3">
        <f>_xlfn.XLOOKUP(Trainingsabschluss[[#This Row],[UserID]], Teilnehmende[UserID], Teilnehmende[Berufserfahrung])</f>
        <v>10</v>
      </c>
      <c r="J88" s="3" t="str" cm="1">
        <f t="array" ref="J8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88" s="11">
        <f>Trainingsabschluss[[#This Row],[Quiz_Frage1_Punkte]]/Max_Frage1</f>
        <v>1</v>
      </c>
      <c r="L88" s="11">
        <f>Trainingsabschluss[[#This Row],[Quiz_Frage2_Punkte]]/Max_Frage2</f>
        <v>0.2</v>
      </c>
      <c r="M88" s="11">
        <f>Trainingsabschluss[[#This Row],[Quiz_Frage3_Punkte]]/Max_Frage3</f>
        <v>0.1</v>
      </c>
      <c r="N88" s="11">
        <f>Trainingsabschluss[[#This Row],[Quiz_Frage4_Punkte]]/Max_Frage4</f>
        <v>0.875</v>
      </c>
      <c r="O88" s="11">
        <f>Trainingsabschluss[[#This Row],[Quiz_Frage5_Punkte]]/Max_Frage5</f>
        <v>1</v>
      </c>
      <c r="P88" s="2">
        <f>Trainingsabschluss[[#This Row],[Quiz_Frage1_Punkte]]+Trainingsabschluss[[#This Row],[Quiz_Frage2_Punkte]]+Trainingsabschluss[[#This Row],[Quiz_Frage3_Punkte]]+Trainingsabschluss[[#This Row],[Quiz_Frage4_Punkte]]+Trainingsabschluss[[#This Row],[Quiz_Frage5_Punkte]]</f>
        <v>13</v>
      </c>
      <c r="Q88" s="8">
        <f>Trainingsabschluss[[#This Row],[Quizergebnis]]/Max_Quizergebnis</f>
        <v>0.59090909090909094</v>
      </c>
      <c r="R88" t="str" cm="1">
        <f t="array" ref="R88">_xlfn.IFS(Trainingsabschluss[[#This Row],[Quizergebnis_Prozent]]&lt;0.5, "Nicht bestanden",
Trainingsabschluss[[#This Row],[Quizergebnis_Prozent]]&lt;0.65, "Bestanden",
Trainingsabschluss[[#This Row],[Quizergebnis_Prozent]]&lt;0.8, "Gut bestanden",
TRUE, "Sehr gut bestanden")</f>
        <v>Bestanden</v>
      </c>
      <c r="S88" s="3">
        <v>8</v>
      </c>
      <c r="T88" s="3" t="str" cm="1">
        <f t="array" ref="T88">_xlfn.IFS(Trainingsabschluss[[#This Row],[Training_Bewertung]]&gt;=9, "Promotor", Trainingsabschluss[[#This Row],[Training_Bewertung]]
&lt;=6, "Detraktor",
TRUE, "Passiv")</f>
        <v>Passiv</v>
      </c>
      <c r="W88"/>
    </row>
    <row r="89" spans="1:23" x14ac:dyDescent="0.3">
      <c r="A89" s="13" t="s">
        <v>359</v>
      </c>
      <c r="B89" s="2">
        <v>5</v>
      </c>
      <c r="C89" s="2">
        <v>4</v>
      </c>
      <c r="D89" s="2">
        <v>2</v>
      </c>
      <c r="E89" s="2">
        <v>3.5</v>
      </c>
      <c r="F89" s="2">
        <v>1.5</v>
      </c>
      <c r="G89" s="2" t="str">
        <f>_xlfn.XLOOKUP(Trainingsabschluss[[#This Row],[UserID]], Teilnehmende[UserID], Teilnehmende[Branche], "UserID nicht gefunden")</f>
        <v>Immobilien</v>
      </c>
      <c r="H89">
        <f>_xlfn.XLOOKUP(Trainingsabschluss[[#This Row],[UserID]], Teilnehmende[UserID], Teilnehmende[Bildungsabschluss], "UserID nicht gefunden")</f>
        <v>0</v>
      </c>
      <c r="I89" s="3">
        <f>_xlfn.XLOOKUP(Trainingsabschluss[[#This Row],[UserID]], Teilnehmende[UserID], Teilnehmende[Berufserfahrung])</f>
        <v>2</v>
      </c>
      <c r="J89" s="3" t="str" cm="1">
        <f t="array" ref="J8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89" s="11">
        <f>Trainingsabschluss[[#This Row],[Quiz_Frage1_Punkte]]/Max_Frage1</f>
        <v>1</v>
      </c>
      <c r="L89" s="11">
        <f>Trainingsabschluss[[#This Row],[Quiz_Frage2_Punkte]]/Max_Frage2</f>
        <v>0.8</v>
      </c>
      <c r="M89" s="11">
        <f>Trainingsabschluss[[#This Row],[Quiz_Frage3_Punkte]]/Max_Frage3</f>
        <v>0.4</v>
      </c>
      <c r="N89" s="11">
        <f>Trainingsabschluss[[#This Row],[Quiz_Frage4_Punkte]]/Max_Frage4</f>
        <v>0.875</v>
      </c>
      <c r="O89" s="11">
        <f>Trainingsabschluss[[#This Row],[Quiz_Frage5_Punkte]]/Max_Frage5</f>
        <v>0.5</v>
      </c>
      <c r="P89" s="2">
        <f>Trainingsabschluss[[#This Row],[Quiz_Frage1_Punkte]]+Trainingsabschluss[[#This Row],[Quiz_Frage2_Punkte]]+Trainingsabschluss[[#This Row],[Quiz_Frage3_Punkte]]+Trainingsabschluss[[#This Row],[Quiz_Frage4_Punkte]]+Trainingsabschluss[[#This Row],[Quiz_Frage5_Punkte]]</f>
        <v>16</v>
      </c>
      <c r="Q89" s="8">
        <f>Trainingsabschluss[[#This Row],[Quizergebnis]]/Max_Quizergebnis</f>
        <v>0.72727272727272729</v>
      </c>
      <c r="R89" t="str" cm="1">
        <f t="array" ref="R89">_xlfn.IFS(Trainingsabschluss[[#This Row],[Quizergebnis_Prozent]]&lt;0.5, "Nicht bestanden",
Trainingsabschluss[[#This Row],[Quizergebnis_Prozent]]&lt;0.65, "Bestanden",
Trainingsabschluss[[#This Row],[Quizergebnis_Prozent]]&lt;0.8, "Gut bestanden",
TRUE, "Sehr gut bestanden")</f>
        <v>Gut bestanden</v>
      </c>
      <c r="S89" s="3">
        <v>8</v>
      </c>
      <c r="T89" s="3" t="str" cm="1">
        <f t="array" ref="T89">_xlfn.IFS(Trainingsabschluss[[#This Row],[Training_Bewertung]]&gt;=9, "Promotor", Trainingsabschluss[[#This Row],[Training_Bewertung]]
&lt;=6, "Detraktor",
TRUE, "Passiv")</f>
        <v>Passiv</v>
      </c>
      <c r="W89"/>
    </row>
    <row r="90" spans="1:23" x14ac:dyDescent="0.3">
      <c r="A90" s="13" t="s">
        <v>360</v>
      </c>
      <c r="B90" s="2">
        <v>2</v>
      </c>
      <c r="C90" s="2">
        <v>1.5</v>
      </c>
      <c r="D90" s="2">
        <v>0</v>
      </c>
      <c r="E90" s="2">
        <v>0</v>
      </c>
      <c r="F90" s="2">
        <v>0</v>
      </c>
      <c r="G90" s="2" t="str">
        <f>_xlfn.XLOOKUP(Trainingsabschluss[[#This Row],[UserID]], Teilnehmende[UserID], Teilnehmende[Branche], "UserID nicht gefunden")</f>
        <v>Immobilien</v>
      </c>
      <c r="H90">
        <f>_xlfn.XLOOKUP(Trainingsabschluss[[#This Row],[UserID]], Teilnehmende[UserID], Teilnehmende[Bildungsabschluss], "UserID nicht gefunden")</f>
        <v>0</v>
      </c>
      <c r="I90" s="3">
        <f>_xlfn.XLOOKUP(Trainingsabschluss[[#This Row],[UserID]], Teilnehmende[UserID], Teilnehmende[Berufserfahrung])</f>
        <v>22</v>
      </c>
      <c r="J90" s="3" t="str" cm="1">
        <f t="array" ref="J90">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90" s="11">
        <f>Trainingsabschluss[[#This Row],[Quiz_Frage1_Punkte]]/Max_Frage1</f>
        <v>0.4</v>
      </c>
      <c r="L90" s="11">
        <f>Trainingsabschluss[[#This Row],[Quiz_Frage2_Punkte]]/Max_Frage2</f>
        <v>0.3</v>
      </c>
      <c r="M90" s="11">
        <f>Trainingsabschluss[[#This Row],[Quiz_Frage3_Punkte]]/Max_Frage3</f>
        <v>0</v>
      </c>
      <c r="N90" s="11">
        <f>Trainingsabschluss[[#This Row],[Quiz_Frage4_Punkte]]/Max_Frage4</f>
        <v>0</v>
      </c>
      <c r="O90" s="11">
        <f>Trainingsabschluss[[#This Row],[Quiz_Frage5_Punkte]]/Max_Frage5</f>
        <v>0</v>
      </c>
      <c r="P90" s="2">
        <f>Trainingsabschluss[[#This Row],[Quiz_Frage1_Punkte]]+Trainingsabschluss[[#This Row],[Quiz_Frage2_Punkte]]+Trainingsabschluss[[#This Row],[Quiz_Frage3_Punkte]]+Trainingsabschluss[[#This Row],[Quiz_Frage4_Punkte]]+Trainingsabschluss[[#This Row],[Quiz_Frage5_Punkte]]</f>
        <v>3.5</v>
      </c>
      <c r="Q90" s="8">
        <f>Trainingsabschluss[[#This Row],[Quizergebnis]]/Max_Quizergebnis</f>
        <v>0.15909090909090909</v>
      </c>
      <c r="R90" t="str" cm="1">
        <f t="array" ref="R90">_xlfn.IFS(Trainingsabschluss[[#This Row],[Quizergebnis_Prozent]]&lt;0.5, "Nicht bestanden",
Trainingsabschluss[[#This Row],[Quizergebnis_Prozent]]&lt;0.65, "Bestanden",
Trainingsabschluss[[#This Row],[Quizergebnis_Prozent]]&lt;0.8, "Gut bestanden",
TRUE, "Sehr gut bestanden")</f>
        <v>Nicht bestanden</v>
      </c>
      <c r="S90" s="3">
        <v>8</v>
      </c>
      <c r="T90" s="3" t="str" cm="1">
        <f t="array" ref="T90">_xlfn.IFS(Trainingsabschluss[[#This Row],[Training_Bewertung]]&gt;=9, "Promotor", Trainingsabschluss[[#This Row],[Training_Bewertung]]
&lt;=6, "Detraktor",
TRUE, "Passiv")</f>
        <v>Passiv</v>
      </c>
      <c r="W90"/>
    </row>
    <row r="91" spans="1:23" x14ac:dyDescent="0.3">
      <c r="A91" s="13" t="s">
        <v>363</v>
      </c>
      <c r="B91" s="2">
        <v>5</v>
      </c>
      <c r="C91" s="2">
        <v>5</v>
      </c>
      <c r="D91" s="2">
        <v>3</v>
      </c>
      <c r="E91" s="2">
        <v>1</v>
      </c>
      <c r="F91" s="2">
        <v>3</v>
      </c>
      <c r="G91" s="2" t="str">
        <f>_xlfn.XLOOKUP(Trainingsabschluss[[#This Row],[UserID]], Teilnehmende[UserID], Teilnehmende[Branche], "UserID nicht gefunden")</f>
        <v>Immobilien</v>
      </c>
      <c r="H91">
        <f>_xlfn.XLOOKUP(Trainingsabschluss[[#This Row],[UserID]], Teilnehmende[UserID], Teilnehmende[Bildungsabschluss], "UserID nicht gefunden")</f>
        <v>0</v>
      </c>
      <c r="I91" s="3">
        <f>_xlfn.XLOOKUP(Trainingsabschluss[[#This Row],[UserID]], Teilnehmende[UserID], Teilnehmende[Berufserfahrung])</f>
        <v>19</v>
      </c>
      <c r="J91" s="3" t="str" cm="1">
        <f t="array" ref="J91">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91" s="11">
        <f>Trainingsabschluss[[#This Row],[Quiz_Frage1_Punkte]]/Max_Frage1</f>
        <v>1</v>
      </c>
      <c r="L91" s="11">
        <f>Trainingsabschluss[[#This Row],[Quiz_Frage2_Punkte]]/Max_Frage2</f>
        <v>1</v>
      </c>
      <c r="M91" s="11">
        <f>Trainingsabschluss[[#This Row],[Quiz_Frage3_Punkte]]/Max_Frage3</f>
        <v>0.6</v>
      </c>
      <c r="N91" s="11">
        <f>Trainingsabschluss[[#This Row],[Quiz_Frage4_Punkte]]/Max_Frage4</f>
        <v>0.25</v>
      </c>
      <c r="O91" s="11">
        <f>Trainingsabschluss[[#This Row],[Quiz_Frage5_Punkte]]/Max_Frage5</f>
        <v>1</v>
      </c>
      <c r="P91" s="2">
        <f>Trainingsabschluss[[#This Row],[Quiz_Frage1_Punkte]]+Trainingsabschluss[[#This Row],[Quiz_Frage2_Punkte]]+Trainingsabschluss[[#This Row],[Quiz_Frage3_Punkte]]+Trainingsabschluss[[#This Row],[Quiz_Frage4_Punkte]]+Trainingsabschluss[[#This Row],[Quiz_Frage5_Punkte]]</f>
        <v>17</v>
      </c>
      <c r="Q91" s="8">
        <f>Trainingsabschluss[[#This Row],[Quizergebnis]]/Max_Quizergebnis</f>
        <v>0.77272727272727271</v>
      </c>
      <c r="R91" t="str" cm="1">
        <f t="array" ref="R91">_xlfn.IFS(Trainingsabschluss[[#This Row],[Quizergebnis_Prozent]]&lt;0.5, "Nicht bestanden",
Trainingsabschluss[[#This Row],[Quizergebnis_Prozent]]&lt;0.65, "Bestanden",
Trainingsabschluss[[#This Row],[Quizergebnis_Prozent]]&lt;0.8, "Gut bestanden",
TRUE, "Sehr gut bestanden")</f>
        <v>Gut bestanden</v>
      </c>
      <c r="S91" s="3">
        <v>9</v>
      </c>
      <c r="T91" s="3" t="str" cm="1">
        <f t="array" ref="T91">_xlfn.IFS(Trainingsabschluss[[#This Row],[Training_Bewertung]]&gt;=9, "Promotor", Trainingsabschluss[[#This Row],[Training_Bewertung]]
&lt;=6, "Detraktor",
TRUE, "Passiv")</f>
        <v>Promotor</v>
      </c>
      <c r="W91"/>
    </row>
    <row r="92" spans="1:23" x14ac:dyDescent="0.3">
      <c r="A92" s="13" t="s">
        <v>149</v>
      </c>
      <c r="B92" s="2">
        <v>5</v>
      </c>
      <c r="C92" s="2">
        <v>3.5</v>
      </c>
      <c r="D92" s="2">
        <v>2</v>
      </c>
      <c r="E92" s="2">
        <v>2</v>
      </c>
      <c r="F92" s="2">
        <v>3</v>
      </c>
      <c r="G92" s="2" t="str">
        <f>_xlfn.XLOOKUP(Trainingsabschluss[[#This Row],[UserID]], Teilnehmende[UserID], Teilnehmende[Branche], "UserID nicht gefunden")</f>
        <v>Bauwesen</v>
      </c>
      <c r="H92">
        <f>_xlfn.XLOOKUP(Trainingsabschluss[[#This Row],[UserID]], Teilnehmende[UserID], Teilnehmende[Bildungsabschluss], "UserID nicht gefunden")</f>
        <v>0</v>
      </c>
      <c r="I92" s="3">
        <f>_xlfn.XLOOKUP(Trainingsabschluss[[#This Row],[UserID]], Teilnehmende[UserID], Teilnehmende[Berufserfahrung])</f>
        <v>2</v>
      </c>
      <c r="J92" s="3" t="str" cm="1">
        <f t="array" ref="J9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92" s="11">
        <f>Trainingsabschluss[[#This Row],[Quiz_Frage1_Punkte]]/Max_Frage1</f>
        <v>1</v>
      </c>
      <c r="L92" s="11">
        <f>Trainingsabschluss[[#This Row],[Quiz_Frage2_Punkte]]/Max_Frage2</f>
        <v>0.7</v>
      </c>
      <c r="M92" s="11">
        <f>Trainingsabschluss[[#This Row],[Quiz_Frage3_Punkte]]/Max_Frage3</f>
        <v>0.4</v>
      </c>
      <c r="N92" s="11">
        <f>Trainingsabschluss[[#This Row],[Quiz_Frage4_Punkte]]/Max_Frage4</f>
        <v>0.5</v>
      </c>
      <c r="O92" s="11">
        <f>Trainingsabschluss[[#This Row],[Quiz_Frage5_Punkte]]/Max_Frage5</f>
        <v>1</v>
      </c>
      <c r="P92" s="2">
        <f>Trainingsabschluss[[#This Row],[Quiz_Frage1_Punkte]]+Trainingsabschluss[[#This Row],[Quiz_Frage2_Punkte]]+Trainingsabschluss[[#This Row],[Quiz_Frage3_Punkte]]+Trainingsabschluss[[#This Row],[Quiz_Frage4_Punkte]]+Trainingsabschluss[[#This Row],[Quiz_Frage5_Punkte]]</f>
        <v>15.5</v>
      </c>
      <c r="Q92" s="8">
        <f>Trainingsabschluss[[#This Row],[Quizergebnis]]/Max_Quizergebnis</f>
        <v>0.70454545454545459</v>
      </c>
      <c r="R92" t="str" cm="1">
        <f t="array" ref="R92">_xlfn.IFS(Trainingsabschluss[[#This Row],[Quizergebnis_Prozent]]&lt;0.5, "Nicht bestanden",
Trainingsabschluss[[#This Row],[Quizergebnis_Prozent]]&lt;0.65, "Bestanden",
Trainingsabschluss[[#This Row],[Quizergebnis_Prozent]]&lt;0.8, "Gut bestanden",
TRUE, "Sehr gut bestanden")</f>
        <v>Gut bestanden</v>
      </c>
      <c r="S92" s="3">
        <v>10</v>
      </c>
      <c r="T92" s="3" t="str" cm="1">
        <f t="array" ref="T92">_xlfn.IFS(Trainingsabschluss[[#This Row],[Training_Bewertung]]&gt;=9, "Promotor", Trainingsabschluss[[#This Row],[Training_Bewertung]]
&lt;=6, "Detraktor",
TRUE, "Passiv")</f>
        <v>Promotor</v>
      </c>
      <c r="W92"/>
    </row>
    <row r="93" spans="1:23" x14ac:dyDescent="0.3">
      <c r="A93" s="13" t="s">
        <v>154</v>
      </c>
      <c r="B93" s="2">
        <v>4.5</v>
      </c>
      <c r="C93" s="2">
        <v>5</v>
      </c>
      <c r="D93" s="2">
        <v>1.5</v>
      </c>
      <c r="E93" s="2">
        <v>2.5</v>
      </c>
      <c r="F93" s="2">
        <v>2.5</v>
      </c>
      <c r="G93" s="2" t="str">
        <f>_xlfn.XLOOKUP(Trainingsabschluss[[#This Row],[UserID]], Teilnehmende[UserID], Teilnehmende[Branche], "UserID nicht gefunden")</f>
        <v>Bauwesen</v>
      </c>
      <c r="H93">
        <f>_xlfn.XLOOKUP(Trainingsabschluss[[#This Row],[UserID]], Teilnehmende[UserID], Teilnehmende[Bildungsabschluss], "UserID nicht gefunden")</f>
        <v>0</v>
      </c>
      <c r="I93" s="3">
        <f>_xlfn.XLOOKUP(Trainingsabschluss[[#This Row],[UserID]], Teilnehmende[UserID], Teilnehmende[Berufserfahrung])</f>
        <v>4</v>
      </c>
      <c r="J93" s="3" t="str" cm="1">
        <f t="array" ref="J93">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93" s="11">
        <f>Trainingsabschluss[[#This Row],[Quiz_Frage1_Punkte]]/Max_Frage1</f>
        <v>0.9</v>
      </c>
      <c r="L93" s="11">
        <f>Trainingsabschluss[[#This Row],[Quiz_Frage2_Punkte]]/Max_Frage2</f>
        <v>1</v>
      </c>
      <c r="M93" s="11">
        <f>Trainingsabschluss[[#This Row],[Quiz_Frage3_Punkte]]/Max_Frage3</f>
        <v>0.3</v>
      </c>
      <c r="N93" s="11">
        <f>Trainingsabschluss[[#This Row],[Quiz_Frage4_Punkte]]/Max_Frage4</f>
        <v>0.625</v>
      </c>
      <c r="O93" s="11">
        <f>Trainingsabschluss[[#This Row],[Quiz_Frage5_Punkte]]/Max_Frage5</f>
        <v>0.83333333333333337</v>
      </c>
      <c r="P93" s="2">
        <f>Trainingsabschluss[[#This Row],[Quiz_Frage1_Punkte]]+Trainingsabschluss[[#This Row],[Quiz_Frage2_Punkte]]+Trainingsabschluss[[#This Row],[Quiz_Frage3_Punkte]]+Trainingsabschluss[[#This Row],[Quiz_Frage4_Punkte]]+Trainingsabschluss[[#This Row],[Quiz_Frage5_Punkte]]</f>
        <v>16</v>
      </c>
      <c r="Q93" s="8">
        <f>Trainingsabschluss[[#This Row],[Quizergebnis]]/Max_Quizergebnis</f>
        <v>0.72727272727272729</v>
      </c>
      <c r="R93" t="str" cm="1">
        <f t="array" ref="R93">_xlfn.IFS(Trainingsabschluss[[#This Row],[Quizergebnis_Prozent]]&lt;0.5, "Nicht bestanden",
Trainingsabschluss[[#This Row],[Quizergebnis_Prozent]]&lt;0.65, "Bestanden",
Trainingsabschluss[[#This Row],[Quizergebnis_Prozent]]&lt;0.8, "Gut bestanden",
TRUE, "Sehr gut bestanden")</f>
        <v>Gut bestanden</v>
      </c>
      <c r="S93" s="3">
        <v>10</v>
      </c>
      <c r="T93" s="3" t="str" cm="1">
        <f t="array" ref="T93">_xlfn.IFS(Trainingsabschluss[[#This Row],[Training_Bewertung]]&gt;=9, "Promotor", Trainingsabschluss[[#This Row],[Training_Bewertung]]
&lt;=6, "Detraktor",
TRUE, "Passiv")</f>
        <v>Promotor</v>
      </c>
      <c r="W93"/>
    </row>
    <row r="94" spans="1:23" x14ac:dyDescent="0.3">
      <c r="A94" s="13" t="s">
        <v>264</v>
      </c>
      <c r="B94" s="2">
        <v>5</v>
      </c>
      <c r="C94" s="2">
        <v>4.5</v>
      </c>
      <c r="D94" s="2">
        <v>2.5</v>
      </c>
      <c r="E94" s="2">
        <v>2.5</v>
      </c>
      <c r="F94" s="2">
        <v>1</v>
      </c>
      <c r="G94" s="2" t="str">
        <f>_xlfn.XLOOKUP(Trainingsabschluss[[#This Row],[UserID]], Teilnehmende[UserID], Teilnehmende[Branche], "UserID nicht gefunden")</f>
        <v>Bildung</v>
      </c>
      <c r="H94">
        <f>_xlfn.XLOOKUP(Trainingsabschluss[[#This Row],[UserID]], Teilnehmende[UserID], Teilnehmende[Bildungsabschluss], "UserID nicht gefunden")</f>
        <v>0</v>
      </c>
      <c r="I94" s="3">
        <f>_xlfn.XLOOKUP(Trainingsabschluss[[#This Row],[UserID]], Teilnehmende[UserID], Teilnehmende[Berufserfahrung])</f>
        <v>2</v>
      </c>
      <c r="J94" s="3" t="str" cm="1">
        <f t="array" ref="J9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94" s="11">
        <f>Trainingsabschluss[[#This Row],[Quiz_Frage1_Punkte]]/Max_Frage1</f>
        <v>1</v>
      </c>
      <c r="L94" s="11">
        <f>Trainingsabschluss[[#This Row],[Quiz_Frage2_Punkte]]/Max_Frage2</f>
        <v>0.9</v>
      </c>
      <c r="M94" s="11">
        <f>Trainingsabschluss[[#This Row],[Quiz_Frage3_Punkte]]/Max_Frage3</f>
        <v>0.5</v>
      </c>
      <c r="N94" s="11">
        <f>Trainingsabschluss[[#This Row],[Quiz_Frage4_Punkte]]/Max_Frage4</f>
        <v>0.625</v>
      </c>
      <c r="O94" s="11">
        <f>Trainingsabschluss[[#This Row],[Quiz_Frage5_Punkte]]/Max_Frage5</f>
        <v>0.33333333333333331</v>
      </c>
      <c r="P94" s="2">
        <f>Trainingsabschluss[[#This Row],[Quiz_Frage1_Punkte]]+Trainingsabschluss[[#This Row],[Quiz_Frage2_Punkte]]+Trainingsabschluss[[#This Row],[Quiz_Frage3_Punkte]]+Trainingsabschluss[[#This Row],[Quiz_Frage4_Punkte]]+Trainingsabschluss[[#This Row],[Quiz_Frage5_Punkte]]</f>
        <v>15.5</v>
      </c>
      <c r="Q94" s="8">
        <f>Trainingsabschluss[[#This Row],[Quizergebnis]]/Max_Quizergebnis</f>
        <v>0.70454545454545459</v>
      </c>
      <c r="R94" t="str" cm="1">
        <f t="array" ref="R94">_xlfn.IFS(Trainingsabschluss[[#This Row],[Quizergebnis_Prozent]]&lt;0.5, "Nicht bestanden",
Trainingsabschluss[[#This Row],[Quizergebnis_Prozent]]&lt;0.65, "Bestanden",
Trainingsabschluss[[#This Row],[Quizergebnis_Prozent]]&lt;0.8, "Gut bestanden",
TRUE, "Sehr gut bestanden")</f>
        <v>Gut bestanden</v>
      </c>
      <c r="S94" s="3">
        <v>10</v>
      </c>
      <c r="T94" s="3" t="str" cm="1">
        <f t="array" ref="T94">_xlfn.IFS(Trainingsabschluss[[#This Row],[Training_Bewertung]]&gt;=9, "Promotor", Trainingsabschluss[[#This Row],[Training_Bewertung]]
&lt;=6, "Detraktor",
TRUE, "Passiv")</f>
        <v>Promotor</v>
      </c>
      <c r="W94"/>
    </row>
    <row r="95" spans="1:23" x14ac:dyDescent="0.3">
      <c r="A95" s="13" t="s">
        <v>266</v>
      </c>
      <c r="B95" s="2">
        <v>5</v>
      </c>
      <c r="C95" s="2">
        <v>4</v>
      </c>
      <c r="D95" s="2">
        <v>2.5</v>
      </c>
      <c r="E95" s="2">
        <v>3.5</v>
      </c>
      <c r="F95" s="2">
        <v>0.5</v>
      </c>
      <c r="G95" s="2" t="str">
        <f>_xlfn.XLOOKUP(Trainingsabschluss[[#This Row],[UserID]], Teilnehmende[UserID], Teilnehmende[Branche], "UserID nicht gefunden")</f>
        <v>Bildung</v>
      </c>
      <c r="H95">
        <f>_xlfn.XLOOKUP(Trainingsabschluss[[#This Row],[UserID]], Teilnehmende[UserID], Teilnehmende[Bildungsabschluss], "UserID nicht gefunden")</f>
        <v>0</v>
      </c>
      <c r="I95" s="3">
        <f>_xlfn.XLOOKUP(Trainingsabschluss[[#This Row],[UserID]], Teilnehmende[UserID], Teilnehmende[Berufserfahrung])</f>
        <v>5</v>
      </c>
      <c r="J95" s="3" t="str" cm="1">
        <f t="array" ref="J9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95" s="11">
        <f>Trainingsabschluss[[#This Row],[Quiz_Frage1_Punkte]]/Max_Frage1</f>
        <v>1</v>
      </c>
      <c r="L95" s="11">
        <f>Trainingsabschluss[[#This Row],[Quiz_Frage2_Punkte]]/Max_Frage2</f>
        <v>0.8</v>
      </c>
      <c r="M95" s="11">
        <f>Trainingsabschluss[[#This Row],[Quiz_Frage3_Punkte]]/Max_Frage3</f>
        <v>0.5</v>
      </c>
      <c r="N95" s="11">
        <f>Trainingsabschluss[[#This Row],[Quiz_Frage4_Punkte]]/Max_Frage4</f>
        <v>0.875</v>
      </c>
      <c r="O95" s="11">
        <f>Trainingsabschluss[[#This Row],[Quiz_Frage5_Punkte]]/Max_Frage5</f>
        <v>0.16666666666666666</v>
      </c>
      <c r="P95" s="2">
        <f>Trainingsabschluss[[#This Row],[Quiz_Frage1_Punkte]]+Trainingsabschluss[[#This Row],[Quiz_Frage2_Punkte]]+Trainingsabschluss[[#This Row],[Quiz_Frage3_Punkte]]+Trainingsabschluss[[#This Row],[Quiz_Frage4_Punkte]]+Trainingsabschluss[[#This Row],[Quiz_Frage5_Punkte]]</f>
        <v>15.5</v>
      </c>
      <c r="Q95" s="8">
        <f>Trainingsabschluss[[#This Row],[Quizergebnis]]/Max_Quizergebnis</f>
        <v>0.70454545454545459</v>
      </c>
      <c r="R95" t="str" cm="1">
        <f t="array" ref="R95">_xlfn.IFS(Trainingsabschluss[[#This Row],[Quizergebnis_Prozent]]&lt;0.5, "Nicht bestanden",
Trainingsabschluss[[#This Row],[Quizergebnis_Prozent]]&lt;0.65, "Bestanden",
Trainingsabschluss[[#This Row],[Quizergebnis_Prozent]]&lt;0.8, "Gut bestanden",
TRUE, "Sehr gut bestanden")</f>
        <v>Gut bestanden</v>
      </c>
      <c r="S95" s="3">
        <v>10</v>
      </c>
      <c r="T95" s="3" t="str" cm="1">
        <f t="array" ref="T95">_xlfn.IFS(Trainingsabschluss[[#This Row],[Training_Bewertung]]&gt;=9, "Promotor", Trainingsabschluss[[#This Row],[Training_Bewertung]]
&lt;=6, "Detraktor",
TRUE, "Passiv")</f>
        <v>Promotor</v>
      </c>
      <c r="W95"/>
    </row>
    <row r="96" spans="1:23" x14ac:dyDescent="0.3">
      <c r="A96" s="13" t="s">
        <v>270</v>
      </c>
      <c r="B96" s="2">
        <v>3</v>
      </c>
      <c r="C96" s="2">
        <v>4</v>
      </c>
      <c r="D96" s="2">
        <v>4</v>
      </c>
      <c r="E96" s="2">
        <v>4</v>
      </c>
      <c r="F96" s="2">
        <v>2.5</v>
      </c>
      <c r="G96" s="2" t="str">
        <f>_xlfn.XLOOKUP(Trainingsabschluss[[#This Row],[UserID]], Teilnehmende[UserID], Teilnehmende[Branche], "UserID nicht gefunden")</f>
        <v>Bildung</v>
      </c>
      <c r="H96">
        <f>_xlfn.XLOOKUP(Trainingsabschluss[[#This Row],[UserID]], Teilnehmende[UserID], Teilnehmende[Bildungsabschluss], "UserID nicht gefunden")</f>
        <v>0</v>
      </c>
      <c r="I96" s="3">
        <f>_xlfn.XLOOKUP(Trainingsabschluss[[#This Row],[UserID]], Teilnehmende[UserID], Teilnehmende[Berufserfahrung])</f>
        <v>6</v>
      </c>
      <c r="J96" s="3" t="str" cm="1">
        <f t="array" ref="J9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96" s="11">
        <f>Trainingsabschluss[[#This Row],[Quiz_Frage1_Punkte]]/Max_Frage1</f>
        <v>0.6</v>
      </c>
      <c r="L96" s="11">
        <f>Trainingsabschluss[[#This Row],[Quiz_Frage2_Punkte]]/Max_Frage2</f>
        <v>0.8</v>
      </c>
      <c r="M96" s="11">
        <f>Trainingsabschluss[[#This Row],[Quiz_Frage3_Punkte]]/Max_Frage3</f>
        <v>0.8</v>
      </c>
      <c r="N96" s="11">
        <f>Trainingsabschluss[[#This Row],[Quiz_Frage4_Punkte]]/Max_Frage4</f>
        <v>1</v>
      </c>
      <c r="O96" s="11">
        <f>Trainingsabschluss[[#This Row],[Quiz_Frage5_Punkte]]/Max_Frage5</f>
        <v>0.83333333333333337</v>
      </c>
      <c r="P96" s="2">
        <f>Trainingsabschluss[[#This Row],[Quiz_Frage1_Punkte]]+Trainingsabschluss[[#This Row],[Quiz_Frage2_Punkte]]+Trainingsabschluss[[#This Row],[Quiz_Frage3_Punkte]]+Trainingsabschluss[[#This Row],[Quiz_Frage4_Punkte]]+Trainingsabschluss[[#This Row],[Quiz_Frage5_Punkte]]</f>
        <v>17.5</v>
      </c>
      <c r="Q96" s="8">
        <f>Trainingsabschluss[[#This Row],[Quizergebnis]]/Max_Quizergebnis</f>
        <v>0.79545454545454541</v>
      </c>
      <c r="R96" t="str" cm="1">
        <f t="array" ref="R96">_xlfn.IFS(Trainingsabschluss[[#This Row],[Quizergebnis_Prozent]]&lt;0.5, "Nicht bestanden",
Trainingsabschluss[[#This Row],[Quizergebnis_Prozent]]&lt;0.65, "Bestanden",
Trainingsabschluss[[#This Row],[Quizergebnis_Prozent]]&lt;0.8, "Gut bestanden",
TRUE, "Sehr gut bestanden")</f>
        <v>Gut bestanden</v>
      </c>
      <c r="S96" s="3">
        <v>9</v>
      </c>
      <c r="T96" s="3" t="str" cm="1">
        <f t="array" ref="T96">_xlfn.IFS(Trainingsabschluss[[#This Row],[Training_Bewertung]]&gt;=9, "Promotor", Trainingsabschluss[[#This Row],[Training_Bewertung]]
&lt;=6, "Detraktor",
TRUE, "Passiv")</f>
        <v>Promotor</v>
      </c>
      <c r="W96"/>
    </row>
    <row r="97" spans="1:23" x14ac:dyDescent="0.3">
      <c r="A97" s="13" t="s">
        <v>502</v>
      </c>
      <c r="B97" s="2">
        <v>5</v>
      </c>
      <c r="C97" s="2">
        <v>3.5</v>
      </c>
      <c r="D97" s="2">
        <v>0.5</v>
      </c>
      <c r="E97" s="2">
        <v>2</v>
      </c>
      <c r="F97" s="2">
        <v>1.5</v>
      </c>
      <c r="G97" s="2" t="str">
        <f>_xlfn.XLOOKUP(Trainingsabschluss[[#This Row],[UserID]], Teilnehmende[UserID], Teilnehmende[Branche], "UserID nicht gefunden")</f>
        <v>Öffentlicher Dienst</v>
      </c>
      <c r="H97">
        <f>_xlfn.XLOOKUP(Trainingsabschluss[[#This Row],[UserID]], Teilnehmende[UserID], Teilnehmende[Bildungsabschluss], "UserID nicht gefunden")</f>
        <v>0</v>
      </c>
      <c r="I97" s="3">
        <f>_xlfn.XLOOKUP(Trainingsabschluss[[#This Row],[UserID]], Teilnehmende[UserID], Teilnehmende[Berufserfahrung])</f>
        <v>5</v>
      </c>
      <c r="J97" s="3" t="str" cm="1">
        <f t="array" ref="J9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97" s="11">
        <f>Trainingsabschluss[[#This Row],[Quiz_Frage1_Punkte]]/Max_Frage1</f>
        <v>1</v>
      </c>
      <c r="L97" s="11">
        <f>Trainingsabschluss[[#This Row],[Quiz_Frage2_Punkte]]/Max_Frage2</f>
        <v>0.7</v>
      </c>
      <c r="M97" s="11">
        <f>Trainingsabschluss[[#This Row],[Quiz_Frage3_Punkte]]/Max_Frage3</f>
        <v>0.1</v>
      </c>
      <c r="N97" s="11">
        <f>Trainingsabschluss[[#This Row],[Quiz_Frage4_Punkte]]/Max_Frage4</f>
        <v>0.5</v>
      </c>
      <c r="O97" s="11">
        <f>Trainingsabschluss[[#This Row],[Quiz_Frage5_Punkte]]/Max_Frage5</f>
        <v>0.5</v>
      </c>
      <c r="P97" s="2">
        <f>Trainingsabschluss[[#This Row],[Quiz_Frage1_Punkte]]+Trainingsabschluss[[#This Row],[Quiz_Frage2_Punkte]]+Trainingsabschluss[[#This Row],[Quiz_Frage3_Punkte]]+Trainingsabschluss[[#This Row],[Quiz_Frage4_Punkte]]+Trainingsabschluss[[#This Row],[Quiz_Frage5_Punkte]]</f>
        <v>12.5</v>
      </c>
      <c r="Q97" s="8">
        <f>Trainingsabschluss[[#This Row],[Quizergebnis]]/Max_Quizergebnis</f>
        <v>0.56818181818181823</v>
      </c>
      <c r="R97" t="str" cm="1">
        <f t="array" ref="R97">_xlfn.IFS(Trainingsabschluss[[#This Row],[Quizergebnis_Prozent]]&lt;0.5, "Nicht bestanden",
Trainingsabschluss[[#This Row],[Quizergebnis_Prozent]]&lt;0.65, "Bestanden",
Trainingsabschluss[[#This Row],[Quizergebnis_Prozent]]&lt;0.8, "Gut bestanden",
TRUE, "Sehr gut bestanden")</f>
        <v>Bestanden</v>
      </c>
      <c r="S97" s="3">
        <v>10</v>
      </c>
      <c r="T97" s="3" t="str" cm="1">
        <f t="array" ref="T97">_xlfn.IFS(Trainingsabschluss[[#This Row],[Training_Bewertung]]&gt;=9, "Promotor", Trainingsabschluss[[#This Row],[Training_Bewertung]]
&lt;=6, "Detraktor",
TRUE, "Passiv")</f>
        <v>Promotor</v>
      </c>
      <c r="W97"/>
    </row>
    <row r="98" spans="1:23" x14ac:dyDescent="0.3">
      <c r="A98" s="13" t="s">
        <v>504</v>
      </c>
      <c r="B98" s="2">
        <v>5</v>
      </c>
      <c r="C98" s="2">
        <v>4.5</v>
      </c>
      <c r="D98" s="2">
        <v>2</v>
      </c>
      <c r="E98" s="2">
        <v>3</v>
      </c>
      <c r="F98" s="2">
        <v>0</v>
      </c>
      <c r="G98" s="2" t="str">
        <f>_xlfn.XLOOKUP(Trainingsabschluss[[#This Row],[UserID]], Teilnehmende[UserID], Teilnehmende[Branche], "UserID nicht gefunden")</f>
        <v>Öffentlicher Dienst</v>
      </c>
      <c r="H98">
        <f>_xlfn.XLOOKUP(Trainingsabschluss[[#This Row],[UserID]], Teilnehmende[UserID], Teilnehmende[Bildungsabschluss], "UserID nicht gefunden")</f>
        <v>0</v>
      </c>
      <c r="I98" s="3">
        <f>_xlfn.XLOOKUP(Trainingsabschluss[[#This Row],[UserID]], Teilnehmende[UserID], Teilnehmende[Berufserfahrung])</f>
        <v>12</v>
      </c>
      <c r="J98" s="3" t="str" cm="1">
        <f t="array" ref="J9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98" s="11">
        <f>Trainingsabschluss[[#This Row],[Quiz_Frage1_Punkte]]/Max_Frage1</f>
        <v>1</v>
      </c>
      <c r="L98" s="11">
        <f>Trainingsabschluss[[#This Row],[Quiz_Frage2_Punkte]]/Max_Frage2</f>
        <v>0.9</v>
      </c>
      <c r="M98" s="11">
        <f>Trainingsabschluss[[#This Row],[Quiz_Frage3_Punkte]]/Max_Frage3</f>
        <v>0.4</v>
      </c>
      <c r="N98" s="11">
        <f>Trainingsabschluss[[#This Row],[Quiz_Frage4_Punkte]]/Max_Frage4</f>
        <v>0.75</v>
      </c>
      <c r="O98" s="11">
        <f>Trainingsabschluss[[#This Row],[Quiz_Frage5_Punkte]]/Max_Frage5</f>
        <v>0</v>
      </c>
      <c r="P98" s="2">
        <f>Trainingsabschluss[[#This Row],[Quiz_Frage1_Punkte]]+Trainingsabschluss[[#This Row],[Quiz_Frage2_Punkte]]+Trainingsabschluss[[#This Row],[Quiz_Frage3_Punkte]]+Trainingsabschluss[[#This Row],[Quiz_Frage4_Punkte]]+Trainingsabschluss[[#This Row],[Quiz_Frage5_Punkte]]</f>
        <v>14.5</v>
      </c>
      <c r="Q98" s="8">
        <f>Trainingsabschluss[[#This Row],[Quizergebnis]]/Max_Quizergebnis</f>
        <v>0.65909090909090906</v>
      </c>
      <c r="R98" t="str" cm="1">
        <f t="array" ref="R98">_xlfn.IFS(Trainingsabschluss[[#This Row],[Quizergebnis_Prozent]]&lt;0.5, "Nicht bestanden",
Trainingsabschluss[[#This Row],[Quizergebnis_Prozent]]&lt;0.65, "Bestanden",
Trainingsabschluss[[#This Row],[Quizergebnis_Prozent]]&lt;0.8, "Gut bestanden",
TRUE, "Sehr gut bestanden")</f>
        <v>Gut bestanden</v>
      </c>
      <c r="S98" s="3">
        <v>10</v>
      </c>
      <c r="T98" s="3" t="str" cm="1">
        <f t="array" ref="T98">_xlfn.IFS(Trainingsabschluss[[#This Row],[Training_Bewertung]]&gt;=9, "Promotor", Trainingsabschluss[[#This Row],[Training_Bewertung]]
&lt;=6, "Detraktor",
TRUE, "Passiv")</f>
        <v>Promotor</v>
      </c>
      <c r="W98"/>
    </row>
    <row r="99" spans="1:23" x14ac:dyDescent="0.3">
      <c r="A99" s="13" t="s">
        <v>168</v>
      </c>
      <c r="B99" s="2">
        <v>5</v>
      </c>
      <c r="C99" s="2">
        <v>4</v>
      </c>
      <c r="D99" s="2">
        <v>3</v>
      </c>
      <c r="E99" s="2">
        <v>1.5</v>
      </c>
      <c r="F99" s="2">
        <v>2</v>
      </c>
      <c r="G99" s="2" t="str">
        <f>_xlfn.XLOOKUP(Trainingsabschluss[[#This Row],[UserID]], Teilnehmende[UserID], Teilnehmende[Branche], "UserID nicht gefunden")</f>
        <v>Beratung</v>
      </c>
      <c r="H99" t="str">
        <f>_xlfn.XLOOKUP(Trainingsabschluss[[#This Row],[UserID]], Teilnehmende[UserID], Teilnehmende[Bildungsabschluss], "UserID nicht gefunden")</f>
        <v>Bachelor</v>
      </c>
      <c r="I99" s="3">
        <f>_xlfn.XLOOKUP(Trainingsabschluss[[#This Row],[UserID]], Teilnehmende[UserID], Teilnehmende[Berufserfahrung])</f>
        <v>5</v>
      </c>
      <c r="J99" s="3" t="str" cm="1">
        <f t="array" ref="J9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99" s="11">
        <f>Trainingsabschluss[[#This Row],[Quiz_Frage1_Punkte]]/Max_Frage1</f>
        <v>1</v>
      </c>
      <c r="L99" s="11">
        <f>Trainingsabschluss[[#This Row],[Quiz_Frage2_Punkte]]/Max_Frage2</f>
        <v>0.8</v>
      </c>
      <c r="M99" s="11">
        <f>Trainingsabschluss[[#This Row],[Quiz_Frage3_Punkte]]/Max_Frage3</f>
        <v>0.6</v>
      </c>
      <c r="N99" s="11">
        <f>Trainingsabschluss[[#This Row],[Quiz_Frage4_Punkte]]/Max_Frage4</f>
        <v>0.375</v>
      </c>
      <c r="O99" s="11">
        <f>Trainingsabschluss[[#This Row],[Quiz_Frage5_Punkte]]/Max_Frage5</f>
        <v>0.66666666666666663</v>
      </c>
      <c r="P99" s="2">
        <f>Trainingsabschluss[[#This Row],[Quiz_Frage1_Punkte]]+Trainingsabschluss[[#This Row],[Quiz_Frage2_Punkte]]+Trainingsabschluss[[#This Row],[Quiz_Frage3_Punkte]]+Trainingsabschluss[[#This Row],[Quiz_Frage4_Punkte]]+Trainingsabschluss[[#This Row],[Quiz_Frage5_Punkte]]</f>
        <v>15.5</v>
      </c>
      <c r="Q99" s="8">
        <f>Trainingsabschluss[[#This Row],[Quizergebnis]]/Max_Quizergebnis</f>
        <v>0.70454545454545459</v>
      </c>
      <c r="R99" t="str" cm="1">
        <f t="array" ref="R99">_xlfn.IFS(Trainingsabschluss[[#This Row],[Quizergebnis_Prozent]]&lt;0.5, "Nicht bestanden",
Trainingsabschluss[[#This Row],[Quizergebnis_Prozent]]&lt;0.65, "Bestanden",
Trainingsabschluss[[#This Row],[Quizergebnis_Prozent]]&lt;0.8, "Gut bestanden",
TRUE, "Sehr gut bestanden")</f>
        <v>Gut bestanden</v>
      </c>
      <c r="S99" s="3">
        <v>1</v>
      </c>
      <c r="T99" s="3" t="str" cm="1">
        <f t="array" ref="T99">_xlfn.IFS(Trainingsabschluss[[#This Row],[Training_Bewertung]]&gt;=9, "Promotor", Trainingsabschluss[[#This Row],[Training_Bewertung]]
&lt;=6, "Detraktor",
TRUE, "Passiv")</f>
        <v>Detraktor</v>
      </c>
      <c r="W99"/>
    </row>
    <row r="100" spans="1:23" x14ac:dyDescent="0.3">
      <c r="A100" s="13" t="s">
        <v>184</v>
      </c>
      <c r="B100" s="2">
        <v>3</v>
      </c>
      <c r="C100" s="2">
        <v>1</v>
      </c>
      <c r="D100" s="2">
        <v>0.5</v>
      </c>
      <c r="E100" s="2">
        <v>1</v>
      </c>
      <c r="F100" s="2">
        <v>0</v>
      </c>
      <c r="G100" s="2" t="str">
        <f>_xlfn.XLOOKUP(Trainingsabschluss[[#This Row],[UserID]], Teilnehmende[UserID], Teilnehmende[Branche], "UserID nicht gefunden")</f>
        <v>Beratung</v>
      </c>
      <c r="H100" t="str">
        <f>_xlfn.XLOOKUP(Trainingsabschluss[[#This Row],[UserID]], Teilnehmende[UserID], Teilnehmende[Bildungsabschluss], "UserID nicht gefunden")</f>
        <v>Bachelor</v>
      </c>
      <c r="I100" s="3">
        <f>_xlfn.XLOOKUP(Trainingsabschluss[[#This Row],[UserID]], Teilnehmende[UserID], Teilnehmende[Berufserfahrung])</f>
        <v>10</v>
      </c>
      <c r="J100" s="3" t="str" cm="1">
        <f t="array" ref="J100">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00" s="11">
        <f>Trainingsabschluss[[#This Row],[Quiz_Frage1_Punkte]]/Max_Frage1</f>
        <v>0.6</v>
      </c>
      <c r="L100" s="11">
        <f>Trainingsabschluss[[#This Row],[Quiz_Frage2_Punkte]]/Max_Frage2</f>
        <v>0.2</v>
      </c>
      <c r="M100" s="11">
        <f>Trainingsabschluss[[#This Row],[Quiz_Frage3_Punkte]]/Max_Frage3</f>
        <v>0.1</v>
      </c>
      <c r="N100" s="11">
        <f>Trainingsabschluss[[#This Row],[Quiz_Frage4_Punkte]]/Max_Frage4</f>
        <v>0.25</v>
      </c>
      <c r="O100" s="11">
        <f>Trainingsabschluss[[#This Row],[Quiz_Frage5_Punkte]]/Max_Frage5</f>
        <v>0</v>
      </c>
      <c r="P100" s="2">
        <f>Trainingsabschluss[[#This Row],[Quiz_Frage1_Punkte]]+Trainingsabschluss[[#This Row],[Quiz_Frage2_Punkte]]+Trainingsabschluss[[#This Row],[Quiz_Frage3_Punkte]]+Trainingsabschluss[[#This Row],[Quiz_Frage4_Punkte]]+Trainingsabschluss[[#This Row],[Quiz_Frage5_Punkte]]</f>
        <v>5.5</v>
      </c>
      <c r="Q100" s="8">
        <f>Trainingsabschluss[[#This Row],[Quizergebnis]]/Max_Quizergebnis</f>
        <v>0.25</v>
      </c>
      <c r="R100" t="str" cm="1">
        <f t="array" ref="R100">_xlfn.IFS(Trainingsabschluss[[#This Row],[Quizergebnis_Prozent]]&lt;0.5, "Nicht bestanden",
Trainingsabschluss[[#This Row],[Quizergebnis_Prozent]]&lt;0.65, "Bestanden",
Trainingsabschluss[[#This Row],[Quizergebnis_Prozent]]&lt;0.8, "Gut bestanden",
TRUE, "Sehr gut bestanden")</f>
        <v>Nicht bestanden</v>
      </c>
      <c r="S100" s="3">
        <v>3</v>
      </c>
      <c r="T100" s="3" t="str" cm="1">
        <f t="array" ref="T100">_xlfn.IFS(Trainingsabschluss[[#This Row],[Training_Bewertung]]&gt;=9, "Promotor", Trainingsabschluss[[#This Row],[Training_Bewertung]]
&lt;=6, "Detraktor",
TRUE, "Passiv")</f>
        <v>Detraktor</v>
      </c>
      <c r="W100"/>
    </row>
    <row r="101" spans="1:23" x14ac:dyDescent="0.3">
      <c r="A101" s="13" t="s">
        <v>206</v>
      </c>
      <c r="B101" s="2">
        <v>5</v>
      </c>
      <c r="C101" s="2">
        <v>5</v>
      </c>
      <c r="D101" s="2">
        <v>3.5</v>
      </c>
      <c r="E101" s="2">
        <v>3</v>
      </c>
      <c r="F101" s="2">
        <v>1.5</v>
      </c>
      <c r="G101" s="2" t="str">
        <f>_xlfn.XLOOKUP(Trainingsabschluss[[#This Row],[UserID]], Teilnehmende[UserID], Teilnehmende[Branche], "UserID nicht gefunden")</f>
        <v>Beratung</v>
      </c>
      <c r="H101" t="str">
        <f>_xlfn.XLOOKUP(Trainingsabschluss[[#This Row],[UserID]], Teilnehmende[UserID], Teilnehmende[Bildungsabschluss], "UserID nicht gefunden")</f>
        <v>Bachelor</v>
      </c>
      <c r="I101" s="3">
        <f>_xlfn.XLOOKUP(Trainingsabschluss[[#This Row],[UserID]], Teilnehmende[UserID], Teilnehmende[Berufserfahrung])</f>
        <v>16</v>
      </c>
      <c r="J101" s="3" t="str" cm="1">
        <f t="array" ref="J101">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01" s="11">
        <f>Trainingsabschluss[[#This Row],[Quiz_Frage1_Punkte]]/Max_Frage1</f>
        <v>1</v>
      </c>
      <c r="L101" s="11">
        <f>Trainingsabschluss[[#This Row],[Quiz_Frage2_Punkte]]/Max_Frage2</f>
        <v>1</v>
      </c>
      <c r="M101" s="11">
        <f>Trainingsabschluss[[#This Row],[Quiz_Frage3_Punkte]]/Max_Frage3</f>
        <v>0.7</v>
      </c>
      <c r="N101" s="11">
        <f>Trainingsabschluss[[#This Row],[Quiz_Frage4_Punkte]]/Max_Frage4</f>
        <v>0.75</v>
      </c>
      <c r="O101" s="11">
        <f>Trainingsabschluss[[#This Row],[Quiz_Frage5_Punkte]]/Max_Frage5</f>
        <v>0.5</v>
      </c>
      <c r="P101" s="2">
        <f>Trainingsabschluss[[#This Row],[Quiz_Frage1_Punkte]]+Trainingsabschluss[[#This Row],[Quiz_Frage2_Punkte]]+Trainingsabschluss[[#This Row],[Quiz_Frage3_Punkte]]+Trainingsabschluss[[#This Row],[Quiz_Frage4_Punkte]]+Trainingsabschluss[[#This Row],[Quiz_Frage5_Punkte]]</f>
        <v>18</v>
      </c>
      <c r="Q101" s="8">
        <f>Trainingsabschluss[[#This Row],[Quizergebnis]]/Max_Quizergebnis</f>
        <v>0.81818181818181823</v>
      </c>
      <c r="R101" t="str" cm="1">
        <f t="array" ref="R101">_xlfn.IFS(Trainingsabschluss[[#This Row],[Quizergebnis_Prozent]]&lt;0.5, "Nicht bestanden",
Trainingsabschluss[[#This Row],[Quizergebnis_Prozent]]&lt;0.65, "Bestanden",
Trainingsabschluss[[#This Row],[Quizergebnis_Prozent]]&lt;0.8, "Gut bestanden",
TRUE, "Sehr gut bestanden")</f>
        <v>Sehr gut bestanden</v>
      </c>
      <c r="S101" s="3">
        <v>1</v>
      </c>
      <c r="T101" s="3" t="str" cm="1">
        <f t="array" ref="T101">_xlfn.IFS(Trainingsabschluss[[#This Row],[Training_Bewertung]]&gt;=9, "Promotor", Trainingsabschluss[[#This Row],[Training_Bewertung]]
&lt;=6, "Detraktor",
TRUE, "Passiv")</f>
        <v>Detraktor</v>
      </c>
      <c r="W101"/>
    </row>
    <row r="102" spans="1:23" x14ac:dyDescent="0.3">
      <c r="A102" s="13" t="s">
        <v>207</v>
      </c>
      <c r="B102" s="2">
        <v>4.5</v>
      </c>
      <c r="C102" s="2">
        <v>4</v>
      </c>
      <c r="D102" s="2">
        <v>0.5</v>
      </c>
      <c r="E102" s="2">
        <v>3.5</v>
      </c>
      <c r="F102" s="2">
        <v>1</v>
      </c>
      <c r="G102" s="2" t="str">
        <f>_xlfn.XLOOKUP(Trainingsabschluss[[#This Row],[UserID]], Teilnehmende[UserID], Teilnehmende[Branche], "UserID nicht gefunden")</f>
        <v>Beratung</v>
      </c>
      <c r="H102" t="str">
        <f>_xlfn.XLOOKUP(Trainingsabschluss[[#This Row],[UserID]], Teilnehmende[UserID], Teilnehmende[Bildungsabschluss], "UserID nicht gefunden")</f>
        <v>Bachelor</v>
      </c>
      <c r="I102" s="3">
        <f>_xlfn.XLOOKUP(Trainingsabschluss[[#This Row],[UserID]], Teilnehmende[UserID], Teilnehmende[Berufserfahrung])</f>
        <v>7</v>
      </c>
      <c r="J102" s="3" t="str" cm="1">
        <f t="array" ref="J10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02" s="11">
        <f>Trainingsabschluss[[#This Row],[Quiz_Frage1_Punkte]]/Max_Frage1</f>
        <v>0.9</v>
      </c>
      <c r="L102" s="11">
        <f>Trainingsabschluss[[#This Row],[Quiz_Frage2_Punkte]]/Max_Frage2</f>
        <v>0.8</v>
      </c>
      <c r="M102" s="11">
        <f>Trainingsabschluss[[#This Row],[Quiz_Frage3_Punkte]]/Max_Frage3</f>
        <v>0.1</v>
      </c>
      <c r="N102" s="11">
        <f>Trainingsabschluss[[#This Row],[Quiz_Frage4_Punkte]]/Max_Frage4</f>
        <v>0.875</v>
      </c>
      <c r="O102" s="11">
        <f>Trainingsabschluss[[#This Row],[Quiz_Frage5_Punkte]]/Max_Frage5</f>
        <v>0.33333333333333331</v>
      </c>
      <c r="P102" s="2">
        <f>Trainingsabschluss[[#This Row],[Quiz_Frage1_Punkte]]+Trainingsabschluss[[#This Row],[Quiz_Frage2_Punkte]]+Trainingsabschluss[[#This Row],[Quiz_Frage3_Punkte]]+Trainingsabschluss[[#This Row],[Quiz_Frage4_Punkte]]+Trainingsabschluss[[#This Row],[Quiz_Frage5_Punkte]]</f>
        <v>13.5</v>
      </c>
      <c r="Q102" s="8">
        <f>Trainingsabschluss[[#This Row],[Quizergebnis]]/Max_Quizergebnis</f>
        <v>0.61363636363636365</v>
      </c>
      <c r="R102" t="str" cm="1">
        <f t="array" ref="R102">_xlfn.IFS(Trainingsabschluss[[#This Row],[Quizergebnis_Prozent]]&lt;0.5, "Nicht bestanden",
Trainingsabschluss[[#This Row],[Quizergebnis_Prozent]]&lt;0.65, "Bestanden",
Trainingsabschluss[[#This Row],[Quizergebnis_Prozent]]&lt;0.8, "Gut bestanden",
TRUE, "Sehr gut bestanden")</f>
        <v>Bestanden</v>
      </c>
      <c r="S102" s="3">
        <v>2</v>
      </c>
      <c r="T102" s="3" t="str" cm="1">
        <f t="array" ref="T102">_xlfn.IFS(Trainingsabschluss[[#This Row],[Training_Bewertung]]&gt;=9, "Promotor", Trainingsabschluss[[#This Row],[Training_Bewertung]]
&lt;=6, "Detraktor",
TRUE, "Passiv")</f>
        <v>Detraktor</v>
      </c>
      <c r="W102"/>
    </row>
    <row r="103" spans="1:23" x14ac:dyDescent="0.3">
      <c r="A103" s="13" t="s">
        <v>208</v>
      </c>
      <c r="B103" s="2">
        <v>5</v>
      </c>
      <c r="C103" s="2">
        <v>2.5</v>
      </c>
      <c r="D103" s="2">
        <v>2</v>
      </c>
      <c r="E103" s="2">
        <v>2.5</v>
      </c>
      <c r="F103" s="2">
        <v>2.5</v>
      </c>
      <c r="G103" s="2" t="str">
        <f>_xlfn.XLOOKUP(Trainingsabschluss[[#This Row],[UserID]], Teilnehmende[UserID], Teilnehmende[Branche], "UserID nicht gefunden")</f>
        <v>Beratung</v>
      </c>
      <c r="H103" t="str">
        <f>_xlfn.XLOOKUP(Trainingsabschluss[[#This Row],[UserID]], Teilnehmende[UserID], Teilnehmende[Bildungsabschluss], "UserID nicht gefunden")</f>
        <v>Bachelor</v>
      </c>
      <c r="I103" s="3">
        <f>_xlfn.XLOOKUP(Trainingsabschluss[[#This Row],[UserID]], Teilnehmende[UserID], Teilnehmende[Berufserfahrung])</f>
        <v>19</v>
      </c>
      <c r="J103" s="3" t="str" cm="1">
        <f t="array" ref="J103">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03" s="11">
        <f>Trainingsabschluss[[#This Row],[Quiz_Frage1_Punkte]]/Max_Frage1</f>
        <v>1</v>
      </c>
      <c r="L103" s="11">
        <f>Trainingsabschluss[[#This Row],[Quiz_Frage2_Punkte]]/Max_Frage2</f>
        <v>0.5</v>
      </c>
      <c r="M103" s="11">
        <f>Trainingsabschluss[[#This Row],[Quiz_Frage3_Punkte]]/Max_Frage3</f>
        <v>0.4</v>
      </c>
      <c r="N103" s="11">
        <f>Trainingsabschluss[[#This Row],[Quiz_Frage4_Punkte]]/Max_Frage4</f>
        <v>0.625</v>
      </c>
      <c r="O103" s="11">
        <f>Trainingsabschluss[[#This Row],[Quiz_Frage5_Punkte]]/Max_Frage5</f>
        <v>0.83333333333333337</v>
      </c>
      <c r="P103" s="2">
        <f>Trainingsabschluss[[#This Row],[Quiz_Frage1_Punkte]]+Trainingsabschluss[[#This Row],[Quiz_Frage2_Punkte]]+Trainingsabschluss[[#This Row],[Quiz_Frage3_Punkte]]+Trainingsabschluss[[#This Row],[Quiz_Frage4_Punkte]]+Trainingsabschluss[[#This Row],[Quiz_Frage5_Punkte]]</f>
        <v>14.5</v>
      </c>
      <c r="Q103" s="8">
        <f>Trainingsabschluss[[#This Row],[Quizergebnis]]/Max_Quizergebnis</f>
        <v>0.65909090909090906</v>
      </c>
      <c r="R103" t="str" cm="1">
        <f t="array" ref="R103">_xlfn.IFS(Trainingsabschluss[[#This Row],[Quizergebnis_Prozent]]&lt;0.5, "Nicht bestanden",
Trainingsabschluss[[#This Row],[Quizergebnis_Prozent]]&lt;0.65, "Bestanden",
Trainingsabschluss[[#This Row],[Quizergebnis_Prozent]]&lt;0.8, "Gut bestanden",
TRUE, "Sehr gut bestanden")</f>
        <v>Gut bestanden</v>
      </c>
      <c r="S103" s="3">
        <v>3</v>
      </c>
      <c r="T103" s="3" t="str" cm="1">
        <f t="array" ref="T103">_xlfn.IFS(Trainingsabschluss[[#This Row],[Training_Bewertung]]&gt;=9, "Promotor", Trainingsabschluss[[#This Row],[Training_Bewertung]]
&lt;=6, "Detraktor",
TRUE, "Passiv")</f>
        <v>Detraktor</v>
      </c>
      <c r="W103"/>
    </row>
    <row r="104" spans="1:23" x14ac:dyDescent="0.3">
      <c r="A104" s="13" t="s">
        <v>210</v>
      </c>
      <c r="B104" s="2">
        <v>4</v>
      </c>
      <c r="C104" s="2">
        <v>1.5</v>
      </c>
      <c r="D104" s="2">
        <v>3.5</v>
      </c>
      <c r="E104" s="2">
        <v>2.5</v>
      </c>
      <c r="F104" s="2">
        <v>3</v>
      </c>
      <c r="G104" s="2" t="str">
        <f>_xlfn.XLOOKUP(Trainingsabschluss[[#This Row],[UserID]], Teilnehmende[UserID], Teilnehmende[Branche], "UserID nicht gefunden")</f>
        <v>Beratung</v>
      </c>
      <c r="H104" t="str">
        <f>_xlfn.XLOOKUP(Trainingsabschluss[[#This Row],[UserID]], Teilnehmende[UserID], Teilnehmende[Bildungsabschluss], "UserID nicht gefunden")</f>
        <v>Bachelor</v>
      </c>
      <c r="I104" s="3">
        <f>_xlfn.XLOOKUP(Trainingsabschluss[[#This Row],[UserID]], Teilnehmende[UserID], Teilnehmende[Berufserfahrung])</f>
        <v>3</v>
      </c>
      <c r="J104" s="3" t="str" cm="1">
        <f t="array" ref="J10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04" s="11">
        <f>Trainingsabschluss[[#This Row],[Quiz_Frage1_Punkte]]/Max_Frage1</f>
        <v>0.8</v>
      </c>
      <c r="L104" s="11">
        <f>Trainingsabschluss[[#This Row],[Quiz_Frage2_Punkte]]/Max_Frage2</f>
        <v>0.3</v>
      </c>
      <c r="M104" s="11">
        <f>Trainingsabschluss[[#This Row],[Quiz_Frage3_Punkte]]/Max_Frage3</f>
        <v>0.7</v>
      </c>
      <c r="N104" s="11">
        <f>Trainingsabschluss[[#This Row],[Quiz_Frage4_Punkte]]/Max_Frage4</f>
        <v>0.625</v>
      </c>
      <c r="O104" s="11">
        <f>Trainingsabschluss[[#This Row],[Quiz_Frage5_Punkte]]/Max_Frage5</f>
        <v>1</v>
      </c>
      <c r="P104" s="2">
        <f>Trainingsabschluss[[#This Row],[Quiz_Frage1_Punkte]]+Trainingsabschluss[[#This Row],[Quiz_Frage2_Punkte]]+Trainingsabschluss[[#This Row],[Quiz_Frage3_Punkte]]+Trainingsabschluss[[#This Row],[Quiz_Frage4_Punkte]]+Trainingsabschluss[[#This Row],[Quiz_Frage5_Punkte]]</f>
        <v>14.5</v>
      </c>
      <c r="Q104" s="8">
        <f>Trainingsabschluss[[#This Row],[Quizergebnis]]/Max_Quizergebnis</f>
        <v>0.65909090909090906</v>
      </c>
      <c r="R104" t="str" cm="1">
        <f t="array" ref="R104">_xlfn.IFS(Trainingsabschluss[[#This Row],[Quizergebnis_Prozent]]&lt;0.5, "Nicht bestanden",
Trainingsabschluss[[#This Row],[Quizergebnis_Prozent]]&lt;0.65, "Bestanden",
Trainingsabschluss[[#This Row],[Quizergebnis_Prozent]]&lt;0.8, "Gut bestanden",
TRUE, "Sehr gut bestanden")</f>
        <v>Gut bestanden</v>
      </c>
      <c r="S104" s="3">
        <v>4</v>
      </c>
      <c r="T104" s="3" t="str" cm="1">
        <f t="array" ref="T104">_xlfn.IFS(Trainingsabschluss[[#This Row],[Training_Bewertung]]&gt;=9, "Promotor", Trainingsabschluss[[#This Row],[Training_Bewertung]]
&lt;=6, "Detraktor",
TRUE, "Passiv")</f>
        <v>Detraktor</v>
      </c>
      <c r="W104"/>
    </row>
    <row r="105" spans="1:23" x14ac:dyDescent="0.3">
      <c r="A105" s="13" t="s">
        <v>163</v>
      </c>
      <c r="B105" s="2">
        <v>4.5</v>
      </c>
      <c r="C105" s="2">
        <v>4.5</v>
      </c>
      <c r="D105" s="2">
        <v>2.5</v>
      </c>
      <c r="E105" s="2">
        <v>2.5</v>
      </c>
      <c r="F105" s="2">
        <v>2</v>
      </c>
      <c r="G105" s="2" t="str">
        <f>_xlfn.XLOOKUP(Trainingsabschluss[[#This Row],[UserID]], Teilnehmende[UserID], Teilnehmende[Branche], "UserID nicht gefunden")</f>
        <v>Beratung</v>
      </c>
      <c r="H105" t="str">
        <f>_xlfn.XLOOKUP(Trainingsabschluss[[#This Row],[UserID]], Teilnehmende[UserID], Teilnehmende[Bildungsabschluss], "UserID nicht gefunden")</f>
        <v>Bachelor</v>
      </c>
      <c r="I105" s="3">
        <f>_xlfn.XLOOKUP(Trainingsabschluss[[#This Row],[UserID]], Teilnehmende[UserID], Teilnehmende[Berufserfahrung])</f>
        <v>5</v>
      </c>
      <c r="J105" s="3" t="str" cm="1">
        <f t="array" ref="J10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05" s="11">
        <f>Trainingsabschluss[[#This Row],[Quiz_Frage1_Punkte]]/Max_Frage1</f>
        <v>0.9</v>
      </c>
      <c r="L105" s="11">
        <f>Trainingsabschluss[[#This Row],[Quiz_Frage2_Punkte]]/Max_Frage2</f>
        <v>0.9</v>
      </c>
      <c r="M105" s="11">
        <f>Trainingsabschluss[[#This Row],[Quiz_Frage3_Punkte]]/Max_Frage3</f>
        <v>0.5</v>
      </c>
      <c r="N105" s="11">
        <f>Trainingsabschluss[[#This Row],[Quiz_Frage4_Punkte]]/Max_Frage4</f>
        <v>0.625</v>
      </c>
      <c r="O105" s="11">
        <f>Trainingsabschluss[[#This Row],[Quiz_Frage5_Punkte]]/Max_Frage5</f>
        <v>0.66666666666666663</v>
      </c>
      <c r="P105" s="2">
        <f>Trainingsabschluss[[#This Row],[Quiz_Frage1_Punkte]]+Trainingsabschluss[[#This Row],[Quiz_Frage2_Punkte]]+Trainingsabschluss[[#This Row],[Quiz_Frage3_Punkte]]+Trainingsabschluss[[#This Row],[Quiz_Frage4_Punkte]]+Trainingsabschluss[[#This Row],[Quiz_Frage5_Punkte]]</f>
        <v>16</v>
      </c>
      <c r="Q105" s="8">
        <f>Trainingsabschluss[[#This Row],[Quizergebnis]]/Max_Quizergebnis</f>
        <v>0.72727272727272729</v>
      </c>
      <c r="R105" t="str" cm="1">
        <f t="array" ref="R105">_xlfn.IFS(Trainingsabschluss[[#This Row],[Quizergebnis_Prozent]]&lt;0.5, "Nicht bestanden",
Trainingsabschluss[[#This Row],[Quizergebnis_Prozent]]&lt;0.65, "Bestanden",
Trainingsabschluss[[#This Row],[Quizergebnis_Prozent]]&lt;0.8, "Gut bestanden",
TRUE, "Sehr gut bestanden")</f>
        <v>Gut bestanden</v>
      </c>
      <c r="S105" s="3">
        <v>5</v>
      </c>
      <c r="T105" s="3" t="str" cm="1">
        <f t="array" ref="T105">_xlfn.IFS(Trainingsabschluss[[#This Row],[Training_Bewertung]]&gt;=9, "Promotor", Trainingsabschluss[[#This Row],[Training_Bewertung]]
&lt;=6, "Detraktor",
TRUE, "Passiv")</f>
        <v>Detraktor</v>
      </c>
      <c r="W105"/>
    </row>
    <row r="106" spans="1:23" x14ac:dyDescent="0.3">
      <c r="A106" s="13" t="s">
        <v>254</v>
      </c>
      <c r="B106" s="2">
        <v>5</v>
      </c>
      <c r="C106" s="2">
        <v>3</v>
      </c>
      <c r="D106" s="2">
        <v>0.5</v>
      </c>
      <c r="E106" s="2">
        <v>3.5</v>
      </c>
      <c r="F106" s="2">
        <v>0</v>
      </c>
      <c r="G106" s="2" t="str">
        <f>_xlfn.XLOOKUP(Trainingsabschluss[[#This Row],[UserID]], Teilnehmende[UserID], Teilnehmende[Branche], "UserID nicht gefunden")</f>
        <v>Beratung</v>
      </c>
      <c r="H106" t="str">
        <f>_xlfn.XLOOKUP(Trainingsabschluss[[#This Row],[UserID]], Teilnehmende[UserID], Teilnehmende[Bildungsabschluss], "UserID nicht gefunden")</f>
        <v>Bachelor</v>
      </c>
      <c r="I106" s="3">
        <f>_xlfn.XLOOKUP(Trainingsabschluss[[#This Row],[UserID]], Teilnehmende[UserID], Teilnehmende[Berufserfahrung])</f>
        <v>4</v>
      </c>
      <c r="J106" s="3" t="str" cm="1">
        <f t="array" ref="J10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06" s="11">
        <f>Trainingsabschluss[[#This Row],[Quiz_Frage1_Punkte]]/Max_Frage1</f>
        <v>1</v>
      </c>
      <c r="L106" s="11">
        <f>Trainingsabschluss[[#This Row],[Quiz_Frage2_Punkte]]/Max_Frage2</f>
        <v>0.6</v>
      </c>
      <c r="M106" s="11">
        <f>Trainingsabschluss[[#This Row],[Quiz_Frage3_Punkte]]/Max_Frage3</f>
        <v>0.1</v>
      </c>
      <c r="N106" s="11">
        <f>Trainingsabschluss[[#This Row],[Quiz_Frage4_Punkte]]/Max_Frage4</f>
        <v>0.875</v>
      </c>
      <c r="O106" s="11">
        <f>Trainingsabschluss[[#This Row],[Quiz_Frage5_Punkte]]/Max_Frage5</f>
        <v>0</v>
      </c>
      <c r="P106" s="2">
        <f>Trainingsabschluss[[#This Row],[Quiz_Frage1_Punkte]]+Trainingsabschluss[[#This Row],[Quiz_Frage2_Punkte]]+Trainingsabschluss[[#This Row],[Quiz_Frage3_Punkte]]+Trainingsabschluss[[#This Row],[Quiz_Frage4_Punkte]]+Trainingsabschluss[[#This Row],[Quiz_Frage5_Punkte]]</f>
        <v>12</v>
      </c>
      <c r="Q106" s="8">
        <f>Trainingsabschluss[[#This Row],[Quizergebnis]]/Max_Quizergebnis</f>
        <v>0.54545454545454541</v>
      </c>
      <c r="R106" t="str" cm="1">
        <f t="array" ref="R106">_xlfn.IFS(Trainingsabschluss[[#This Row],[Quizergebnis_Prozent]]&lt;0.5, "Nicht bestanden",
Trainingsabschluss[[#This Row],[Quizergebnis_Prozent]]&lt;0.65, "Bestanden",
Trainingsabschluss[[#This Row],[Quizergebnis_Prozent]]&lt;0.8, "Gut bestanden",
TRUE, "Sehr gut bestanden")</f>
        <v>Bestanden</v>
      </c>
      <c r="S106" s="3">
        <v>5</v>
      </c>
      <c r="T106" s="3" t="str" cm="1">
        <f t="array" ref="T106">_xlfn.IFS(Trainingsabschluss[[#This Row],[Training_Bewertung]]&gt;=9, "Promotor", Trainingsabschluss[[#This Row],[Training_Bewertung]]
&lt;=6, "Detraktor",
TRUE, "Passiv")</f>
        <v>Detraktor</v>
      </c>
      <c r="W106"/>
    </row>
    <row r="107" spans="1:23" x14ac:dyDescent="0.3">
      <c r="A107" s="13" t="s">
        <v>166</v>
      </c>
      <c r="B107" s="2">
        <v>5</v>
      </c>
      <c r="C107" s="2">
        <v>5</v>
      </c>
      <c r="D107" s="2">
        <v>0</v>
      </c>
      <c r="E107" s="2">
        <v>2.5</v>
      </c>
      <c r="F107" s="2">
        <v>0</v>
      </c>
      <c r="G107" s="2" t="str">
        <f>_xlfn.XLOOKUP(Trainingsabschluss[[#This Row],[UserID]], Teilnehmende[UserID], Teilnehmende[Branche], "UserID nicht gefunden")</f>
        <v>Beratung</v>
      </c>
      <c r="H107" t="str">
        <f>_xlfn.XLOOKUP(Trainingsabschluss[[#This Row],[UserID]], Teilnehmende[UserID], Teilnehmende[Bildungsabschluss], "UserID nicht gefunden")</f>
        <v>Bachelor</v>
      </c>
      <c r="I107" s="3">
        <f>_xlfn.XLOOKUP(Trainingsabschluss[[#This Row],[UserID]], Teilnehmende[UserID], Teilnehmende[Berufserfahrung])</f>
        <v>6</v>
      </c>
      <c r="J107" s="3" t="str" cm="1">
        <f t="array" ref="J10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07" s="11">
        <f>Trainingsabschluss[[#This Row],[Quiz_Frage1_Punkte]]/Max_Frage1</f>
        <v>1</v>
      </c>
      <c r="L107" s="11">
        <f>Trainingsabschluss[[#This Row],[Quiz_Frage2_Punkte]]/Max_Frage2</f>
        <v>1</v>
      </c>
      <c r="M107" s="11">
        <f>Trainingsabschluss[[#This Row],[Quiz_Frage3_Punkte]]/Max_Frage3</f>
        <v>0</v>
      </c>
      <c r="N107" s="11">
        <f>Trainingsabschluss[[#This Row],[Quiz_Frage4_Punkte]]/Max_Frage4</f>
        <v>0.625</v>
      </c>
      <c r="O107" s="11">
        <f>Trainingsabschluss[[#This Row],[Quiz_Frage5_Punkte]]/Max_Frage5</f>
        <v>0</v>
      </c>
      <c r="P107" s="2">
        <f>Trainingsabschluss[[#This Row],[Quiz_Frage1_Punkte]]+Trainingsabschluss[[#This Row],[Quiz_Frage2_Punkte]]+Trainingsabschluss[[#This Row],[Quiz_Frage3_Punkte]]+Trainingsabschluss[[#This Row],[Quiz_Frage4_Punkte]]+Trainingsabschluss[[#This Row],[Quiz_Frage5_Punkte]]</f>
        <v>12.5</v>
      </c>
      <c r="Q107" s="8">
        <f>Trainingsabschluss[[#This Row],[Quizergebnis]]/Max_Quizergebnis</f>
        <v>0.56818181818181823</v>
      </c>
      <c r="R107" t="str" cm="1">
        <f t="array" ref="R107">_xlfn.IFS(Trainingsabschluss[[#This Row],[Quizergebnis_Prozent]]&lt;0.5, "Nicht bestanden",
Trainingsabschluss[[#This Row],[Quizergebnis_Prozent]]&lt;0.65, "Bestanden",
Trainingsabschluss[[#This Row],[Quizergebnis_Prozent]]&lt;0.8, "Gut bestanden",
TRUE, "Sehr gut bestanden")</f>
        <v>Bestanden</v>
      </c>
      <c r="S107" s="3">
        <v>8</v>
      </c>
      <c r="T107" s="3" t="str" cm="1">
        <f t="array" ref="T107">_xlfn.IFS(Trainingsabschluss[[#This Row],[Training_Bewertung]]&gt;=9, "Promotor", Trainingsabschluss[[#This Row],[Training_Bewertung]]
&lt;=6, "Detraktor",
TRUE, "Passiv")</f>
        <v>Passiv</v>
      </c>
      <c r="W107"/>
    </row>
    <row r="108" spans="1:23" x14ac:dyDescent="0.3">
      <c r="A108" s="13" t="s">
        <v>170</v>
      </c>
      <c r="B108" s="2">
        <v>5</v>
      </c>
      <c r="C108" s="2">
        <v>4</v>
      </c>
      <c r="D108" s="2">
        <v>3</v>
      </c>
      <c r="E108" s="2">
        <v>4</v>
      </c>
      <c r="F108" s="2">
        <v>3</v>
      </c>
      <c r="G108" s="2" t="str">
        <f>_xlfn.XLOOKUP(Trainingsabschluss[[#This Row],[UserID]], Teilnehmende[UserID], Teilnehmende[Branche], "UserID nicht gefunden")</f>
        <v>Beratung</v>
      </c>
      <c r="H108" t="str">
        <f>_xlfn.XLOOKUP(Trainingsabschluss[[#This Row],[UserID]], Teilnehmende[UserID], Teilnehmende[Bildungsabschluss], "UserID nicht gefunden")</f>
        <v>Bachelor</v>
      </c>
      <c r="I108" s="3">
        <f>_xlfn.XLOOKUP(Trainingsabschluss[[#This Row],[UserID]], Teilnehmende[UserID], Teilnehmende[Berufserfahrung])</f>
        <v>16</v>
      </c>
      <c r="J108" s="3" t="str" cm="1">
        <f t="array" ref="J108">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08" s="11">
        <f>Trainingsabschluss[[#This Row],[Quiz_Frage1_Punkte]]/Max_Frage1</f>
        <v>1</v>
      </c>
      <c r="L108" s="11">
        <f>Trainingsabschluss[[#This Row],[Quiz_Frage2_Punkte]]/Max_Frage2</f>
        <v>0.8</v>
      </c>
      <c r="M108" s="11">
        <f>Trainingsabschluss[[#This Row],[Quiz_Frage3_Punkte]]/Max_Frage3</f>
        <v>0.6</v>
      </c>
      <c r="N108" s="11">
        <f>Trainingsabschluss[[#This Row],[Quiz_Frage4_Punkte]]/Max_Frage4</f>
        <v>1</v>
      </c>
      <c r="O108" s="11">
        <f>Trainingsabschluss[[#This Row],[Quiz_Frage5_Punkte]]/Max_Frage5</f>
        <v>1</v>
      </c>
      <c r="P108" s="2">
        <f>Trainingsabschluss[[#This Row],[Quiz_Frage1_Punkte]]+Trainingsabschluss[[#This Row],[Quiz_Frage2_Punkte]]+Trainingsabschluss[[#This Row],[Quiz_Frage3_Punkte]]+Trainingsabschluss[[#This Row],[Quiz_Frage4_Punkte]]+Trainingsabschluss[[#This Row],[Quiz_Frage5_Punkte]]</f>
        <v>19</v>
      </c>
      <c r="Q108" s="8">
        <f>Trainingsabschluss[[#This Row],[Quizergebnis]]/Max_Quizergebnis</f>
        <v>0.86363636363636365</v>
      </c>
      <c r="R108" t="str" cm="1">
        <f t="array" ref="R108">_xlfn.IFS(Trainingsabschluss[[#This Row],[Quizergebnis_Prozent]]&lt;0.5, "Nicht bestanden",
Trainingsabschluss[[#This Row],[Quizergebnis_Prozent]]&lt;0.65, "Bestanden",
Trainingsabschluss[[#This Row],[Quizergebnis_Prozent]]&lt;0.8, "Gut bestanden",
TRUE, "Sehr gut bestanden")</f>
        <v>Sehr gut bestanden</v>
      </c>
      <c r="S108" s="3">
        <v>7</v>
      </c>
      <c r="T108" s="3" t="str" cm="1">
        <f t="array" ref="T108">_xlfn.IFS(Trainingsabschluss[[#This Row],[Training_Bewertung]]&gt;=9, "Promotor", Trainingsabschluss[[#This Row],[Training_Bewertung]]
&lt;=6, "Detraktor",
TRUE, "Passiv")</f>
        <v>Passiv</v>
      </c>
      <c r="W108"/>
    </row>
    <row r="109" spans="1:23" x14ac:dyDescent="0.3">
      <c r="A109" s="13" t="s">
        <v>171</v>
      </c>
      <c r="B109" s="2">
        <v>2</v>
      </c>
      <c r="C109" s="2">
        <v>1.5</v>
      </c>
      <c r="D109" s="2">
        <v>1</v>
      </c>
      <c r="E109" s="2">
        <v>1.5</v>
      </c>
      <c r="F109" s="2">
        <v>0</v>
      </c>
      <c r="G109" s="2" t="str">
        <f>_xlfn.XLOOKUP(Trainingsabschluss[[#This Row],[UserID]], Teilnehmende[UserID], Teilnehmende[Branche], "UserID nicht gefunden")</f>
        <v>Beratung</v>
      </c>
      <c r="H109" t="str">
        <f>_xlfn.XLOOKUP(Trainingsabschluss[[#This Row],[UserID]], Teilnehmende[UserID], Teilnehmende[Bildungsabschluss], "UserID nicht gefunden")</f>
        <v>Bachelor</v>
      </c>
      <c r="I109" s="3">
        <f>_xlfn.XLOOKUP(Trainingsabschluss[[#This Row],[UserID]], Teilnehmende[UserID], Teilnehmende[Berufserfahrung])</f>
        <v>7</v>
      </c>
      <c r="J109" s="3" t="str" cm="1">
        <f t="array" ref="J10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09" s="11">
        <f>Trainingsabschluss[[#This Row],[Quiz_Frage1_Punkte]]/Max_Frage1</f>
        <v>0.4</v>
      </c>
      <c r="L109" s="11">
        <f>Trainingsabschluss[[#This Row],[Quiz_Frage2_Punkte]]/Max_Frage2</f>
        <v>0.3</v>
      </c>
      <c r="M109" s="11">
        <f>Trainingsabschluss[[#This Row],[Quiz_Frage3_Punkte]]/Max_Frage3</f>
        <v>0.2</v>
      </c>
      <c r="N109" s="11">
        <f>Trainingsabschluss[[#This Row],[Quiz_Frage4_Punkte]]/Max_Frage4</f>
        <v>0.375</v>
      </c>
      <c r="O109" s="11">
        <f>Trainingsabschluss[[#This Row],[Quiz_Frage5_Punkte]]/Max_Frage5</f>
        <v>0</v>
      </c>
      <c r="P109" s="2">
        <f>Trainingsabschluss[[#This Row],[Quiz_Frage1_Punkte]]+Trainingsabschluss[[#This Row],[Quiz_Frage2_Punkte]]+Trainingsabschluss[[#This Row],[Quiz_Frage3_Punkte]]+Trainingsabschluss[[#This Row],[Quiz_Frage4_Punkte]]+Trainingsabschluss[[#This Row],[Quiz_Frage5_Punkte]]</f>
        <v>6</v>
      </c>
      <c r="Q109" s="8">
        <f>Trainingsabschluss[[#This Row],[Quizergebnis]]/Max_Quizergebnis</f>
        <v>0.27272727272727271</v>
      </c>
      <c r="R109" t="str" cm="1">
        <f t="array" ref="R109">_xlfn.IFS(Trainingsabschluss[[#This Row],[Quizergebnis_Prozent]]&lt;0.5, "Nicht bestanden",
Trainingsabschluss[[#This Row],[Quizergebnis_Prozent]]&lt;0.65, "Bestanden",
Trainingsabschluss[[#This Row],[Quizergebnis_Prozent]]&lt;0.8, "Gut bestanden",
TRUE, "Sehr gut bestanden")</f>
        <v>Nicht bestanden</v>
      </c>
      <c r="S109" s="3">
        <v>7</v>
      </c>
      <c r="T109" s="3" t="str" cm="1">
        <f t="array" ref="T109">_xlfn.IFS(Trainingsabschluss[[#This Row],[Training_Bewertung]]&gt;=9, "Promotor", Trainingsabschluss[[#This Row],[Training_Bewertung]]
&lt;=6, "Detraktor",
TRUE, "Passiv")</f>
        <v>Passiv</v>
      </c>
      <c r="W109"/>
    </row>
    <row r="110" spans="1:23" x14ac:dyDescent="0.3">
      <c r="A110" s="13" t="s">
        <v>172</v>
      </c>
      <c r="B110" s="2">
        <v>2</v>
      </c>
      <c r="C110" s="2">
        <v>0.5</v>
      </c>
      <c r="D110" s="2">
        <v>0</v>
      </c>
      <c r="E110" s="2">
        <v>0</v>
      </c>
      <c r="F110" s="2">
        <v>0</v>
      </c>
      <c r="G110" s="2" t="str">
        <f>_xlfn.XLOOKUP(Trainingsabschluss[[#This Row],[UserID]], Teilnehmende[UserID], Teilnehmende[Branche], "UserID nicht gefunden")</f>
        <v>Beratung</v>
      </c>
      <c r="H110" t="str">
        <f>_xlfn.XLOOKUP(Trainingsabschluss[[#This Row],[UserID]], Teilnehmende[UserID], Teilnehmende[Bildungsabschluss], "UserID nicht gefunden")</f>
        <v>Bachelor</v>
      </c>
      <c r="I110" s="3">
        <f>_xlfn.XLOOKUP(Trainingsabschluss[[#This Row],[UserID]], Teilnehmende[UserID], Teilnehmende[Berufserfahrung])</f>
        <v>16</v>
      </c>
      <c r="J110" s="3" t="str" cm="1">
        <f t="array" ref="J110">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10" s="11">
        <f>Trainingsabschluss[[#This Row],[Quiz_Frage1_Punkte]]/Max_Frage1</f>
        <v>0.4</v>
      </c>
      <c r="L110" s="11">
        <f>Trainingsabschluss[[#This Row],[Quiz_Frage2_Punkte]]/Max_Frage2</f>
        <v>0.1</v>
      </c>
      <c r="M110" s="11">
        <f>Trainingsabschluss[[#This Row],[Quiz_Frage3_Punkte]]/Max_Frage3</f>
        <v>0</v>
      </c>
      <c r="N110" s="11">
        <f>Trainingsabschluss[[#This Row],[Quiz_Frage4_Punkte]]/Max_Frage4</f>
        <v>0</v>
      </c>
      <c r="O110" s="11">
        <f>Trainingsabschluss[[#This Row],[Quiz_Frage5_Punkte]]/Max_Frage5</f>
        <v>0</v>
      </c>
      <c r="P110" s="2">
        <f>Trainingsabschluss[[#This Row],[Quiz_Frage1_Punkte]]+Trainingsabschluss[[#This Row],[Quiz_Frage2_Punkte]]+Trainingsabschluss[[#This Row],[Quiz_Frage3_Punkte]]+Trainingsabschluss[[#This Row],[Quiz_Frage4_Punkte]]+Trainingsabschluss[[#This Row],[Quiz_Frage5_Punkte]]</f>
        <v>2.5</v>
      </c>
      <c r="Q110" s="8">
        <f>Trainingsabschluss[[#This Row],[Quizergebnis]]/Max_Quizergebnis</f>
        <v>0.11363636363636363</v>
      </c>
      <c r="R110" t="str" cm="1">
        <f t="array" ref="R110">_xlfn.IFS(Trainingsabschluss[[#This Row],[Quizergebnis_Prozent]]&lt;0.5, "Nicht bestanden",
Trainingsabschluss[[#This Row],[Quizergebnis_Prozent]]&lt;0.65, "Bestanden",
Trainingsabschluss[[#This Row],[Quizergebnis_Prozent]]&lt;0.8, "Gut bestanden",
TRUE, "Sehr gut bestanden")</f>
        <v>Nicht bestanden</v>
      </c>
      <c r="S110" s="3">
        <v>7</v>
      </c>
      <c r="T110" s="3" t="str" cm="1">
        <f t="array" ref="T110">_xlfn.IFS(Trainingsabschluss[[#This Row],[Training_Bewertung]]&gt;=9, "Promotor", Trainingsabschluss[[#This Row],[Training_Bewertung]]
&lt;=6, "Detraktor",
TRUE, "Passiv")</f>
        <v>Passiv</v>
      </c>
      <c r="W110"/>
    </row>
    <row r="111" spans="1:23" x14ac:dyDescent="0.3">
      <c r="A111" s="13" t="s">
        <v>175</v>
      </c>
      <c r="B111" s="2">
        <v>4.5</v>
      </c>
      <c r="C111" s="2">
        <v>3.5</v>
      </c>
      <c r="D111" s="2">
        <v>2</v>
      </c>
      <c r="E111" s="2">
        <v>1.5</v>
      </c>
      <c r="F111" s="2">
        <v>2.5</v>
      </c>
      <c r="G111" s="2" t="str">
        <f>_xlfn.XLOOKUP(Trainingsabschluss[[#This Row],[UserID]], Teilnehmende[UserID], Teilnehmende[Branche], "UserID nicht gefunden")</f>
        <v>Beratung</v>
      </c>
      <c r="H111" t="str">
        <f>_xlfn.XLOOKUP(Trainingsabschluss[[#This Row],[UserID]], Teilnehmende[UserID], Teilnehmende[Bildungsabschluss], "UserID nicht gefunden")</f>
        <v>Bachelor</v>
      </c>
      <c r="I111" s="3">
        <f>_xlfn.XLOOKUP(Trainingsabschluss[[#This Row],[UserID]], Teilnehmende[UserID], Teilnehmende[Berufserfahrung])</f>
        <v>11</v>
      </c>
      <c r="J111" s="3" t="str" cm="1">
        <f t="array" ref="J11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11" s="11">
        <f>Trainingsabschluss[[#This Row],[Quiz_Frage1_Punkte]]/Max_Frage1</f>
        <v>0.9</v>
      </c>
      <c r="L111" s="11">
        <f>Trainingsabschluss[[#This Row],[Quiz_Frage2_Punkte]]/Max_Frage2</f>
        <v>0.7</v>
      </c>
      <c r="M111" s="11">
        <f>Trainingsabschluss[[#This Row],[Quiz_Frage3_Punkte]]/Max_Frage3</f>
        <v>0.4</v>
      </c>
      <c r="N111" s="11">
        <f>Trainingsabschluss[[#This Row],[Quiz_Frage4_Punkte]]/Max_Frage4</f>
        <v>0.375</v>
      </c>
      <c r="O111" s="11">
        <f>Trainingsabschluss[[#This Row],[Quiz_Frage5_Punkte]]/Max_Frage5</f>
        <v>0.83333333333333337</v>
      </c>
      <c r="P111" s="2">
        <f>Trainingsabschluss[[#This Row],[Quiz_Frage1_Punkte]]+Trainingsabschluss[[#This Row],[Quiz_Frage2_Punkte]]+Trainingsabschluss[[#This Row],[Quiz_Frage3_Punkte]]+Trainingsabschluss[[#This Row],[Quiz_Frage4_Punkte]]+Trainingsabschluss[[#This Row],[Quiz_Frage5_Punkte]]</f>
        <v>14</v>
      </c>
      <c r="Q111" s="8">
        <f>Trainingsabschluss[[#This Row],[Quizergebnis]]/Max_Quizergebnis</f>
        <v>0.63636363636363635</v>
      </c>
      <c r="R111" t="str" cm="1">
        <f t="array" ref="R111">_xlfn.IFS(Trainingsabschluss[[#This Row],[Quizergebnis_Prozent]]&lt;0.5, "Nicht bestanden",
Trainingsabschluss[[#This Row],[Quizergebnis_Prozent]]&lt;0.65, "Bestanden",
Trainingsabschluss[[#This Row],[Quizergebnis_Prozent]]&lt;0.8, "Gut bestanden",
TRUE, "Sehr gut bestanden")</f>
        <v>Bestanden</v>
      </c>
      <c r="S111" s="3">
        <v>7</v>
      </c>
      <c r="T111" s="3" t="str" cm="1">
        <f t="array" ref="T111">_xlfn.IFS(Trainingsabschluss[[#This Row],[Training_Bewertung]]&gt;=9, "Promotor", Trainingsabschluss[[#This Row],[Training_Bewertung]]
&lt;=6, "Detraktor",
TRUE, "Passiv")</f>
        <v>Passiv</v>
      </c>
      <c r="W111"/>
    </row>
    <row r="112" spans="1:23" x14ac:dyDescent="0.3">
      <c r="A112" s="13" t="s">
        <v>177</v>
      </c>
      <c r="B112" s="2">
        <v>5</v>
      </c>
      <c r="C112" s="2">
        <v>3</v>
      </c>
      <c r="D112" s="2">
        <v>3.5</v>
      </c>
      <c r="E112" s="2">
        <v>3.5</v>
      </c>
      <c r="F112" s="2">
        <v>3</v>
      </c>
      <c r="G112" s="2" t="str">
        <f>_xlfn.XLOOKUP(Trainingsabschluss[[#This Row],[UserID]], Teilnehmende[UserID], Teilnehmende[Branche], "UserID nicht gefunden")</f>
        <v>Beratung</v>
      </c>
      <c r="H112" t="str">
        <f>_xlfn.XLOOKUP(Trainingsabschluss[[#This Row],[UserID]], Teilnehmende[UserID], Teilnehmende[Bildungsabschluss], "UserID nicht gefunden")</f>
        <v>Bachelor</v>
      </c>
      <c r="I112" s="3">
        <f>_xlfn.XLOOKUP(Trainingsabschluss[[#This Row],[UserID]], Teilnehmende[UserID], Teilnehmende[Berufserfahrung])</f>
        <v>8</v>
      </c>
      <c r="J112" s="3" t="str" cm="1">
        <f t="array" ref="J11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12" s="11">
        <f>Trainingsabschluss[[#This Row],[Quiz_Frage1_Punkte]]/Max_Frage1</f>
        <v>1</v>
      </c>
      <c r="L112" s="11">
        <f>Trainingsabschluss[[#This Row],[Quiz_Frage2_Punkte]]/Max_Frage2</f>
        <v>0.6</v>
      </c>
      <c r="M112" s="11">
        <f>Trainingsabschluss[[#This Row],[Quiz_Frage3_Punkte]]/Max_Frage3</f>
        <v>0.7</v>
      </c>
      <c r="N112" s="11">
        <f>Trainingsabschluss[[#This Row],[Quiz_Frage4_Punkte]]/Max_Frage4</f>
        <v>0.875</v>
      </c>
      <c r="O112" s="11">
        <f>Trainingsabschluss[[#This Row],[Quiz_Frage5_Punkte]]/Max_Frage5</f>
        <v>1</v>
      </c>
      <c r="P112" s="2">
        <f>Trainingsabschluss[[#This Row],[Quiz_Frage1_Punkte]]+Trainingsabschluss[[#This Row],[Quiz_Frage2_Punkte]]+Trainingsabschluss[[#This Row],[Quiz_Frage3_Punkte]]+Trainingsabschluss[[#This Row],[Quiz_Frage4_Punkte]]+Trainingsabschluss[[#This Row],[Quiz_Frage5_Punkte]]</f>
        <v>18</v>
      </c>
      <c r="Q112" s="8">
        <f>Trainingsabschluss[[#This Row],[Quizergebnis]]/Max_Quizergebnis</f>
        <v>0.81818181818181823</v>
      </c>
      <c r="R112" t="str" cm="1">
        <f t="array" ref="R112">_xlfn.IFS(Trainingsabschluss[[#This Row],[Quizergebnis_Prozent]]&lt;0.5, "Nicht bestanden",
Trainingsabschluss[[#This Row],[Quizergebnis_Prozent]]&lt;0.65, "Bestanden",
Trainingsabschluss[[#This Row],[Quizergebnis_Prozent]]&lt;0.8, "Gut bestanden",
TRUE, "Sehr gut bestanden")</f>
        <v>Sehr gut bestanden</v>
      </c>
      <c r="S112" s="3">
        <v>7</v>
      </c>
      <c r="T112" s="3" t="str" cm="1">
        <f t="array" ref="T112">_xlfn.IFS(Trainingsabschluss[[#This Row],[Training_Bewertung]]&gt;=9, "Promotor", Trainingsabschluss[[#This Row],[Training_Bewertung]]
&lt;=6, "Detraktor",
TRUE, "Passiv")</f>
        <v>Passiv</v>
      </c>
      <c r="W112"/>
    </row>
    <row r="113" spans="1:23" x14ac:dyDescent="0.3">
      <c r="A113" s="13" t="s">
        <v>179</v>
      </c>
      <c r="B113" s="2">
        <v>5</v>
      </c>
      <c r="C113" s="2">
        <v>3</v>
      </c>
      <c r="D113" s="2">
        <v>1.5</v>
      </c>
      <c r="E113" s="2">
        <v>2.5</v>
      </c>
      <c r="F113" s="2">
        <v>2</v>
      </c>
      <c r="G113" s="2" t="str">
        <f>_xlfn.XLOOKUP(Trainingsabschluss[[#This Row],[UserID]], Teilnehmende[UserID], Teilnehmende[Branche], "UserID nicht gefunden")</f>
        <v>Beratung</v>
      </c>
      <c r="H113" t="str">
        <f>_xlfn.XLOOKUP(Trainingsabschluss[[#This Row],[UserID]], Teilnehmende[UserID], Teilnehmende[Bildungsabschluss], "UserID nicht gefunden")</f>
        <v>Bachelor</v>
      </c>
      <c r="I113" s="3">
        <f>_xlfn.XLOOKUP(Trainingsabschluss[[#This Row],[UserID]], Teilnehmende[UserID], Teilnehmende[Berufserfahrung])</f>
        <v>5</v>
      </c>
      <c r="J113" s="3" t="str" cm="1">
        <f t="array" ref="J11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13" s="11">
        <f>Trainingsabschluss[[#This Row],[Quiz_Frage1_Punkte]]/Max_Frage1</f>
        <v>1</v>
      </c>
      <c r="L113" s="11">
        <f>Trainingsabschluss[[#This Row],[Quiz_Frage2_Punkte]]/Max_Frage2</f>
        <v>0.6</v>
      </c>
      <c r="M113" s="11">
        <f>Trainingsabschluss[[#This Row],[Quiz_Frage3_Punkte]]/Max_Frage3</f>
        <v>0.3</v>
      </c>
      <c r="N113" s="11">
        <f>Trainingsabschluss[[#This Row],[Quiz_Frage4_Punkte]]/Max_Frage4</f>
        <v>0.625</v>
      </c>
      <c r="O113" s="11">
        <f>Trainingsabschluss[[#This Row],[Quiz_Frage5_Punkte]]/Max_Frage5</f>
        <v>0.66666666666666663</v>
      </c>
      <c r="P113" s="2">
        <f>Trainingsabschluss[[#This Row],[Quiz_Frage1_Punkte]]+Trainingsabschluss[[#This Row],[Quiz_Frage2_Punkte]]+Trainingsabschluss[[#This Row],[Quiz_Frage3_Punkte]]+Trainingsabschluss[[#This Row],[Quiz_Frage4_Punkte]]+Trainingsabschluss[[#This Row],[Quiz_Frage5_Punkte]]</f>
        <v>14</v>
      </c>
      <c r="Q113" s="8">
        <f>Trainingsabschluss[[#This Row],[Quizergebnis]]/Max_Quizergebnis</f>
        <v>0.63636363636363635</v>
      </c>
      <c r="R113" t="str" cm="1">
        <f t="array" ref="R113">_xlfn.IFS(Trainingsabschluss[[#This Row],[Quizergebnis_Prozent]]&lt;0.5, "Nicht bestanden",
Trainingsabschluss[[#This Row],[Quizergebnis_Prozent]]&lt;0.65, "Bestanden",
Trainingsabschluss[[#This Row],[Quizergebnis_Prozent]]&lt;0.8, "Gut bestanden",
TRUE, "Sehr gut bestanden")</f>
        <v>Bestanden</v>
      </c>
      <c r="S113" s="3">
        <v>7</v>
      </c>
      <c r="T113" s="3" t="str" cm="1">
        <f t="array" ref="T113">_xlfn.IFS(Trainingsabschluss[[#This Row],[Training_Bewertung]]&gt;=9, "Promotor", Trainingsabschluss[[#This Row],[Training_Bewertung]]
&lt;=6, "Detraktor",
TRUE, "Passiv")</f>
        <v>Passiv</v>
      </c>
      <c r="W113"/>
    </row>
    <row r="114" spans="1:23" x14ac:dyDescent="0.3">
      <c r="A114" s="13" t="s">
        <v>180</v>
      </c>
      <c r="B114" s="2">
        <v>5</v>
      </c>
      <c r="C114" s="2">
        <v>4</v>
      </c>
      <c r="D114" s="2">
        <v>2</v>
      </c>
      <c r="E114" s="2">
        <v>2</v>
      </c>
      <c r="F114" s="2">
        <v>1.5</v>
      </c>
      <c r="G114" s="2" t="str">
        <f>_xlfn.XLOOKUP(Trainingsabschluss[[#This Row],[UserID]], Teilnehmende[UserID], Teilnehmende[Branche], "UserID nicht gefunden")</f>
        <v>Beratung</v>
      </c>
      <c r="H114" t="str">
        <f>_xlfn.XLOOKUP(Trainingsabschluss[[#This Row],[UserID]], Teilnehmende[UserID], Teilnehmende[Bildungsabschluss], "UserID nicht gefunden")</f>
        <v>Bachelor</v>
      </c>
      <c r="I114" s="3">
        <f>_xlfn.XLOOKUP(Trainingsabschluss[[#This Row],[UserID]], Teilnehmende[UserID], Teilnehmende[Berufserfahrung])</f>
        <v>6</v>
      </c>
      <c r="J114" s="3" t="str" cm="1">
        <f t="array" ref="J11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14" s="11">
        <f>Trainingsabschluss[[#This Row],[Quiz_Frage1_Punkte]]/Max_Frage1</f>
        <v>1</v>
      </c>
      <c r="L114" s="11">
        <f>Trainingsabschluss[[#This Row],[Quiz_Frage2_Punkte]]/Max_Frage2</f>
        <v>0.8</v>
      </c>
      <c r="M114" s="11">
        <f>Trainingsabschluss[[#This Row],[Quiz_Frage3_Punkte]]/Max_Frage3</f>
        <v>0.4</v>
      </c>
      <c r="N114" s="11">
        <f>Trainingsabschluss[[#This Row],[Quiz_Frage4_Punkte]]/Max_Frage4</f>
        <v>0.5</v>
      </c>
      <c r="O114" s="11">
        <f>Trainingsabschluss[[#This Row],[Quiz_Frage5_Punkte]]/Max_Frage5</f>
        <v>0.5</v>
      </c>
      <c r="P114" s="2">
        <f>Trainingsabschluss[[#This Row],[Quiz_Frage1_Punkte]]+Trainingsabschluss[[#This Row],[Quiz_Frage2_Punkte]]+Trainingsabschluss[[#This Row],[Quiz_Frage3_Punkte]]+Trainingsabschluss[[#This Row],[Quiz_Frage4_Punkte]]+Trainingsabschluss[[#This Row],[Quiz_Frage5_Punkte]]</f>
        <v>14.5</v>
      </c>
      <c r="Q114" s="8">
        <f>Trainingsabschluss[[#This Row],[Quizergebnis]]/Max_Quizergebnis</f>
        <v>0.65909090909090906</v>
      </c>
      <c r="R114" t="str" cm="1">
        <f t="array" ref="R114">_xlfn.IFS(Trainingsabschluss[[#This Row],[Quizergebnis_Prozent]]&lt;0.5, "Nicht bestanden",
Trainingsabschluss[[#This Row],[Quizergebnis_Prozent]]&lt;0.65, "Bestanden",
Trainingsabschluss[[#This Row],[Quizergebnis_Prozent]]&lt;0.8, "Gut bestanden",
TRUE, "Sehr gut bestanden")</f>
        <v>Gut bestanden</v>
      </c>
      <c r="S114" s="3">
        <v>7</v>
      </c>
      <c r="T114" s="3" t="str" cm="1">
        <f t="array" ref="T114">_xlfn.IFS(Trainingsabschluss[[#This Row],[Training_Bewertung]]&gt;=9, "Promotor", Trainingsabschluss[[#This Row],[Training_Bewertung]]
&lt;=6, "Detraktor",
TRUE, "Passiv")</f>
        <v>Passiv</v>
      </c>
      <c r="W114"/>
    </row>
    <row r="115" spans="1:23" x14ac:dyDescent="0.3">
      <c r="A115" s="13" t="s">
        <v>187</v>
      </c>
      <c r="B115" s="2">
        <v>5</v>
      </c>
      <c r="C115" s="2">
        <v>2.5</v>
      </c>
      <c r="D115" s="2">
        <v>3</v>
      </c>
      <c r="E115" s="2">
        <v>3</v>
      </c>
      <c r="F115" s="2">
        <v>2</v>
      </c>
      <c r="G115" s="2" t="str">
        <f>_xlfn.XLOOKUP(Trainingsabschluss[[#This Row],[UserID]], Teilnehmende[UserID], Teilnehmende[Branche], "UserID nicht gefunden")</f>
        <v>Beratung</v>
      </c>
      <c r="H115" t="str">
        <f>_xlfn.XLOOKUP(Trainingsabschluss[[#This Row],[UserID]], Teilnehmende[UserID], Teilnehmende[Bildungsabschluss], "UserID nicht gefunden")</f>
        <v>Bachelor</v>
      </c>
      <c r="I115" s="3">
        <f>_xlfn.XLOOKUP(Trainingsabschluss[[#This Row],[UserID]], Teilnehmende[UserID], Teilnehmende[Berufserfahrung])</f>
        <v>5</v>
      </c>
      <c r="J115" s="3" t="str" cm="1">
        <f t="array" ref="J11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15" s="11">
        <f>Trainingsabschluss[[#This Row],[Quiz_Frage1_Punkte]]/Max_Frage1</f>
        <v>1</v>
      </c>
      <c r="L115" s="11">
        <f>Trainingsabschluss[[#This Row],[Quiz_Frage2_Punkte]]/Max_Frage2</f>
        <v>0.5</v>
      </c>
      <c r="M115" s="11">
        <f>Trainingsabschluss[[#This Row],[Quiz_Frage3_Punkte]]/Max_Frage3</f>
        <v>0.6</v>
      </c>
      <c r="N115" s="11">
        <f>Trainingsabschluss[[#This Row],[Quiz_Frage4_Punkte]]/Max_Frage4</f>
        <v>0.75</v>
      </c>
      <c r="O115" s="11">
        <f>Trainingsabschluss[[#This Row],[Quiz_Frage5_Punkte]]/Max_Frage5</f>
        <v>0.66666666666666663</v>
      </c>
      <c r="P115" s="2">
        <f>Trainingsabschluss[[#This Row],[Quiz_Frage1_Punkte]]+Trainingsabschluss[[#This Row],[Quiz_Frage2_Punkte]]+Trainingsabschluss[[#This Row],[Quiz_Frage3_Punkte]]+Trainingsabschluss[[#This Row],[Quiz_Frage4_Punkte]]+Trainingsabschluss[[#This Row],[Quiz_Frage5_Punkte]]</f>
        <v>15.5</v>
      </c>
      <c r="Q115" s="8">
        <f>Trainingsabschluss[[#This Row],[Quizergebnis]]/Max_Quizergebnis</f>
        <v>0.70454545454545459</v>
      </c>
      <c r="R115" t="str" cm="1">
        <f t="array" ref="R115">_xlfn.IFS(Trainingsabschluss[[#This Row],[Quizergebnis_Prozent]]&lt;0.5, "Nicht bestanden",
Trainingsabschluss[[#This Row],[Quizergebnis_Prozent]]&lt;0.65, "Bestanden",
Trainingsabschluss[[#This Row],[Quizergebnis_Prozent]]&lt;0.8, "Gut bestanden",
TRUE, "Sehr gut bestanden")</f>
        <v>Gut bestanden</v>
      </c>
      <c r="S115" s="3">
        <v>8</v>
      </c>
      <c r="T115" s="3" t="str" cm="1">
        <f t="array" ref="T115">_xlfn.IFS(Trainingsabschluss[[#This Row],[Training_Bewertung]]&gt;=9, "Promotor", Trainingsabschluss[[#This Row],[Training_Bewertung]]
&lt;=6, "Detraktor",
TRUE, "Passiv")</f>
        <v>Passiv</v>
      </c>
      <c r="W115"/>
    </row>
    <row r="116" spans="1:23" x14ac:dyDescent="0.3">
      <c r="A116" s="13" t="s">
        <v>188</v>
      </c>
      <c r="B116" s="2">
        <v>5</v>
      </c>
      <c r="C116" s="2">
        <v>4.5</v>
      </c>
      <c r="D116" s="2">
        <v>2.5</v>
      </c>
      <c r="E116" s="2">
        <v>4</v>
      </c>
      <c r="F116" s="2">
        <v>3</v>
      </c>
      <c r="G116" s="2" t="str">
        <f>_xlfn.XLOOKUP(Trainingsabschluss[[#This Row],[UserID]], Teilnehmende[UserID], Teilnehmende[Branche], "UserID nicht gefunden")</f>
        <v>Beratung</v>
      </c>
      <c r="H116" t="str">
        <f>_xlfn.XLOOKUP(Trainingsabschluss[[#This Row],[UserID]], Teilnehmende[UserID], Teilnehmende[Bildungsabschluss], "UserID nicht gefunden")</f>
        <v>Bachelor</v>
      </c>
      <c r="I116" s="3">
        <f>_xlfn.XLOOKUP(Trainingsabschluss[[#This Row],[UserID]], Teilnehmende[UserID], Teilnehmende[Berufserfahrung])</f>
        <v>7</v>
      </c>
      <c r="J116" s="3" t="str" cm="1">
        <f t="array" ref="J11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16" s="11">
        <f>Trainingsabschluss[[#This Row],[Quiz_Frage1_Punkte]]/Max_Frage1</f>
        <v>1</v>
      </c>
      <c r="L116" s="11">
        <f>Trainingsabschluss[[#This Row],[Quiz_Frage2_Punkte]]/Max_Frage2</f>
        <v>0.9</v>
      </c>
      <c r="M116" s="11">
        <f>Trainingsabschluss[[#This Row],[Quiz_Frage3_Punkte]]/Max_Frage3</f>
        <v>0.5</v>
      </c>
      <c r="N116" s="11">
        <f>Trainingsabschluss[[#This Row],[Quiz_Frage4_Punkte]]/Max_Frage4</f>
        <v>1</v>
      </c>
      <c r="O116" s="11">
        <f>Trainingsabschluss[[#This Row],[Quiz_Frage5_Punkte]]/Max_Frage5</f>
        <v>1</v>
      </c>
      <c r="P116" s="2">
        <f>Trainingsabschluss[[#This Row],[Quiz_Frage1_Punkte]]+Trainingsabschluss[[#This Row],[Quiz_Frage2_Punkte]]+Trainingsabschluss[[#This Row],[Quiz_Frage3_Punkte]]+Trainingsabschluss[[#This Row],[Quiz_Frage4_Punkte]]+Trainingsabschluss[[#This Row],[Quiz_Frage5_Punkte]]</f>
        <v>19</v>
      </c>
      <c r="Q116" s="8">
        <f>Trainingsabschluss[[#This Row],[Quizergebnis]]/Max_Quizergebnis</f>
        <v>0.86363636363636365</v>
      </c>
      <c r="R116" t="str" cm="1">
        <f t="array" ref="R116">_xlfn.IFS(Trainingsabschluss[[#This Row],[Quizergebnis_Prozent]]&lt;0.5, "Nicht bestanden",
Trainingsabschluss[[#This Row],[Quizergebnis_Prozent]]&lt;0.65, "Bestanden",
Trainingsabschluss[[#This Row],[Quizergebnis_Prozent]]&lt;0.8, "Gut bestanden",
TRUE, "Sehr gut bestanden")</f>
        <v>Sehr gut bestanden</v>
      </c>
      <c r="S116" s="3">
        <v>8</v>
      </c>
      <c r="T116" s="3" t="str" cm="1">
        <f t="array" ref="T116">_xlfn.IFS(Trainingsabschluss[[#This Row],[Training_Bewertung]]&gt;=9, "Promotor", Trainingsabschluss[[#This Row],[Training_Bewertung]]
&lt;=6, "Detraktor",
TRUE, "Passiv")</f>
        <v>Passiv</v>
      </c>
      <c r="W116"/>
    </row>
    <row r="117" spans="1:23" x14ac:dyDescent="0.3">
      <c r="A117" s="13" t="s">
        <v>189</v>
      </c>
      <c r="B117" s="2">
        <v>3</v>
      </c>
      <c r="C117" s="2">
        <v>3</v>
      </c>
      <c r="D117" s="2">
        <v>2.5</v>
      </c>
      <c r="E117" s="2">
        <v>2</v>
      </c>
      <c r="F117" s="2">
        <v>1.5</v>
      </c>
      <c r="G117" s="2" t="str">
        <f>_xlfn.XLOOKUP(Trainingsabschluss[[#This Row],[UserID]], Teilnehmende[UserID], Teilnehmende[Branche], "UserID nicht gefunden")</f>
        <v>Beratung</v>
      </c>
      <c r="H117" t="str">
        <f>_xlfn.XLOOKUP(Trainingsabschluss[[#This Row],[UserID]], Teilnehmende[UserID], Teilnehmende[Bildungsabschluss], "UserID nicht gefunden")</f>
        <v>Bachelor</v>
      </c>
      <c r="I117" s="3">
        <f>_xlfn.XLOOKUP(Trainingsabschluss[[#This Row],[UserID]], Teilnehmende[UserID], Teilnehmende[Berufserfahrung])</f>
        <v>6</v>
      </c>
      <c r="J117" s="3" t="str" cm="1">
        <f t="array" ref="J11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17" s="11">
        <f>Trainingsabschluss[[#This Row],[Quiz_Frage1_Punkte]]/Max_Frage1</f>
        <v>0.6</v>
      </c>
      <c r="L117" s="11">
        <f>Trainingsabschluss[[#This Row],[Quiz_Frage2_Punkte]]/Max_Frage2</f>
        <v>0.6</v>
      </c>
      <c r="M117" s="11">
        <f>Trainingsabschluss[[#This Row],[Quiz_Frage3_Punkte]]/Max_Frage3</f>
        <v>0.5</v>
      </c>
      <c r="N117" s="11">
        <f>Trainingsabschluss[[#This Row],[Quiz_Frage4_Punkte]]/Max_Frage4</f>
        <v>0.5</v>
      </c>
      <c r="O117" s="11">
        <f>Trainingsabschluss[[#This Row],[Quiz_Frage5_Punkte]]/Max_Frage5</f>
        <v>0.5</v>
      </c>
      <c r="P117" s="2">
        <f>Trainingsabschluss[[#This Row],[Quiz_Frage1_Punkte]]+Trainingsabschluss[[#This Row],[Quiz_Frage2_Punkte]]+Trainingsabschluss[[#This Row],[Quiz_Frage3_Punkte]]+Trainingsabschluss[[#This Row],[Quiz_Frage4_Punkte]]+Trainingsabschluss[[#This Row],[Quiz_Frage5_Punkte]]</f>
        <v>12</v>
      </c>
      <c r="Q117" s="8">
        <f>Trainingsabschluss[[#This Row],[Quizergebnis]]/Max_Quizergebnis</f>
        <v>0.54545454545454541</v>
      </c>
      <c r="R117" t="str" cm="1">
        <f t="array" ref="R117">_xlfn.IFS(Trainingsabschluss[[#This Row],[Quizergebnis_Prozent]]&lt;0.5, "Nicht bestanden",
Trainingsabschluss[[#This Row],[Quizergebnis_Prozent]]&lt;0.65, "Bestanden",
Trainingsabschluss[[#This Row],[Quizergebnis_Prozent]]&lt;0.8, "Gut bestanden",
TRUE, "Sehr gut bestanden")</f>
        <v>Bestanden</v>
      </c>
      <c r="S117" s="3">
        <v>8</v>
      </c>
      <c r="T117" s="3" t="str" cm="1">
        <f t="array" ref="T117">_xlfn.IFS(Trainingsabschluss[[#This Row],[Training_Bewertung]]&gt;=9, "Promotor", Trainingsabschluss[[#This Row],[Training_Bewertung]]
&lt;=6, "Detraktor",
TRUE, "Passiv")</f>
        <v>Passiv</v>
      </c>
      <c r="W117"/>
    </row>
    <row r="118" spans="1:23" x14ac:dyDescent="0.3">
      <c r="A118" s="13" t="s">
        <v>190</v>
      </c>
      <c r="B118" s="2">
        <v>3.5</v>
      </c>
      <c r="C118" s="2">
        <v>5</v>
      </c>
      <c r="D118" s="2">
        <v>0</v>
      </c>
      <c r="E118" s="2">
        <v>1.5</v>
      </c>
      <c r="F118" s="2">
        <v>1</v>
      </c>
      <c r="G118" s="2" t="str">
        <f>_xlfn.XLOOKUP(Trainingsabschluss[[#This Row],[UserID]], Teilnehmende[UserID], Teilnehmende[Branche], "UserID nicht gefunden")</f>
        <v>Beratung</v>
      </c>
      <c r="H118" t="str">
        <f>_xlfn.XLOOKUP(Trainingsabschluss[[#This Row],[UserID]], Teilnehmende[UserID], Teilnehmende[Bildungsabschluss], "UserID nicht gefunden")</f>
        <v>Bachelor</v>
      </c>
      <c r="I118" s="3">
        <f>_xlfn.XLOOKUP(Trainingsabschluss[[#This Row],[UserID]], Teilnehmende[UserID], Teilnehmende[Berufserfahrung])</f>
        <v>4</v>
      </c>
      <c r="J118" s="3" t="str" cm="1">
        <f t="array" ref="J11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18" s="11">
        <f>Trainingsabschluss[[#This Row],[Quiz_Frage1_Punkte]]/Max_Frage1</f>
        <v>0.7</v>
      </c>
      <c r="L118" s="11">
        <f>Trainingsabschluss[[#This Row],[Quiz_Frage2_Punkte]]/Max_Frage2</f>
        <v>1</v>
      </c>
      <c r="M118" s="11">
        <f>Trainingsabschluss[[#This Row],[Quiz_Frage3_Punkte]]/Max_Frage3</f>
        <v>0</v>
      </c>
      <c r="N118" s="11">
        <f>Trainingsabschluss[[#This Row],[Quiz_Frage4_Punkte]]/Max_Frage4</f>
        <v>0.375</v>
      </c>
      <c r="O118" s="11">
        <f>Trainingsabschluss[[#This Row],[Quiz_Frage5_Punkte]]/Max_Frage5</f>
        <v>0.33333333333333331</v>
      </c>
      <c r="P118" s="2">
        <f>Trainingsabschluss[[#This Row],[Quiz_Frage1_Punkte]]+Trainingsabschluss[[#This Row],[Quiz_Frage2_Punkte]]+Trainingsabschluss[[#This Row],[Quiz_Frage3_Punkte]]+Trainingsabschluss[[#This Row],[Quiz_Frage4_Punkte]]+Trainingsabschluss[[#This Row],[Quiz_Frage5_Punkte]]</f>
        <v>11</v>
      </c>
      <c r="Q118" s="8">
        <f>Trainingsabschluss[[#This Row],[Quizergebnis]]/Max_Quizergebnis</f>
        <v>0.5</v>
      </c>
      <c r="R118" t="str" cm="1">
        <f t="array" ref="R118">_xlfn.IFS(Trainingsabschluss[[#This Row],[Quizergebnis_Prozent]]&lt;0.5, "Nicht bestanden",
Trainingsabschluss[[#This Row],[Quizergebnis_Prozent]]&lt;0.65, "Bestanden",
Trainingsabschluss[[#This Row],[Quizergebnis_Prozent]]&lt;0.8, "Gut bestanden",
TRUE, "Sehr gut bestanden")</f>
        <v>Bestanden</v>
      </c>
      <c r="S118" s="3">
        <v>8</v>
      </c>
      <c r="T118" s="3" t="str" cm="1">
        <f t="array" ref="T118">_xlfn.IFS(Trainingsabschluss[[#This Row],[Training_Bewertung]]&gt;=9, "Promotor", Trainingsabschluss[[#This Row],[Training_Bewertung]]
&lt;=6, "Detraktor",
TRUE, "Passiv")</f>
        <v>Passiv</v>
      </c>
      <c r="W118"/>
    </row>
    <row r="119" spans="1:23" x14ac:dyDescent="0.3">
      <c r="A119" s="13" t="s">
        <v>193</v>
      </c>
      <c r="B119" s="2">
        <v>4</v>
      </c>
      <c r="C119" s="2">
        <v>4.5</v>
      </c>
      <c r="D119" s="2">
        <v>3</v>
      </c>
      <c r="E119" s="2">
        <v>3</v>
      </c>
      <c r="F119" s="2">
        <v>0</v>
      </c>
      <c r="G119" s="2" t="str">
        <f>_xlfn.XLOOKUP(Trainingsabschluss[[#This Row],[UserID]], Teilnehmende[UserID], Teilnehmende[Branche], "UserID nicht gefunden")</f>
        <v>Beratung</v>
      </c>
      <c r="H119" t="str">
        <f>_xlfn.XLOOKUP(Trainingsabschluss[[#This Row],[UserID]], Teilnehmende[UserID], Teilnehmende[Bildungsabschluss], "UserID nicht gefunden")</f>
        <v>Bachelor</v>
      </c>
      <c r="I119" s="3">
        <f>_xlfn.XLOOKUP(Trainingsabschluss[[#This Row],[UserID]], Teilnehmende[UserID], Teilnehmende[Berufserfahrung])</f>
        <v>6</v>
      </c>
      <c r="J119" s="3" t="str" cm="1">
        <f t="array" ref="J11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19" s="11">
        <f>Trainingsabschluss[[#This Row],[Quiz_Frage1_Punkte]]/Max_Frage1</f>
        <v>0.8</v>
      </c>
      <c r="L119" s="11">
        <f>Trainingsabschluss[[#This Row],[Quiz_Frage2_Punkte]]/Max_Frage2</f>
        <v>0.9</v>
      </c>
      <c r="M119" s="11">
        <f>Trainingsabschluss[[#This Row],[Quiz_Frage3_Punkte]]/Max_Frage3</f>
        <v>0.6</v>
      </c>
      <c r="N119" s="11">
        <f>Trainingsabschluss[[#This Row],[Quiz_Frage4_Punkte]]/Max_Frage4</f>
        <v>0.75</v>
      </c>
      <c r="O119" s="11">
        <f>Trainingsabschluss[[#This Row],[Quiz_Frage5_Punkte]]/Max_Frage5</f>
        <v>0</v>
      </c>
      <c r="P119" s="2">
        <f>Trainingsabschluss[[#This Row],[Quiz_Frage1_Punkte]]+Trainingsabschluss[[#This Row],[Quiz_Frage2_Punkte]]+Trainingsabschluss[[#This Row],[Quiz_Frage3_Punkte]]+Trainingsabschluss[[#This Row],[Quiz_Frage4_Punkte]]+Trainingsabschluss[[#This Row],[Quiz_Frage5_Punkte]]</f>
        <v>14.5</v>
      </c>
      <c r="Q119" s="8">
        <f>Trainingsabschluss[[#This Row],[Quizergebnis]]/Max_Quizergebnis</f>
        <v>0.65909090909090906</v>
      </c>
      <c r="R119" t="str" cm="1">
        <f t="array" ref="R119">_xlfn.IFS(Trainingsabschluss[[#This Row],[Quizergebnis_Prozent]]&lt;0.5, "Nicht bestanden",
Trainingsabschluss[[#This Row],[Quizergebnis_Prozent]]&lt;0.65, "Bestanden",
Trainingsabschluss[[#This Row],[Quizergebnis_Prozent]]&lt;0.8, "Gut bestanden",
TRUE, "Sehr gut bestanden")</f>
        <v>Gut bestanden</v>
      </c>
      <c r="S119" s="3">
        <v>8</v>
      </c>
      <c r="T119" s="3" t="str" cm="1">
        <f t="array" ref="T119">_xlfn.IFS(Trainingsabschluss[[#This Row],[Training_Bewertung]]&gt;=9, "Promotor", Trainingsabschluss[[#This Row],[Training_Bewertung]]
&lt;=6, "Detraktor",
TRUE, "Passiv")</f>
        <v>Passiv</v>
      </c>
      <c r="W119"/>
    </row>
    <row r="120" spans="1:23" x14ac:dyDescent="0.3">
      <c r="A120" s="13" t="s">
        <v>194</v>
      </c>
      <c r="B120" s="2">
        <v>5</v>
      </c>
      <c r="C120" s="2">
        <v>5</v>
      </c>
      <c r="D120" s="2">
        <v>3</v>
      </c>
      <c r="E120" s="2">
        <v>2</v>
      </c>
      <c r="F120" s="2">
        <v>1</v>
      </c>
      <c r="G120" s="2" t="str">
        <f>_xlfn.XLOOKUP(Trainingsabschluss[[#This Row],[UserID]], Teilnehmende[UserID], Teilnehmende[Branche], "UserID nicht gefunden")</f>
        <v>Beratung</v>
      </c>
      <c r="H120" t="str">
        <f>_xlfn.XLOOKUP(Trainingsabschluss[[#This Row],[UserID]], Teilnehmende[UserID], Teilnehmende[Bildungsabschluss], "UserID nicht gefunden")</f>
        <v>Bachelor</v>
      </c>
      <c r="I120" s="3">
        <f>_xlfn.XLOOKUP(Trainingsabschluss[[#This Row],[UserID]], Teilnehmende[UserID], Teilnehmende[Berufserfahrung])</f>
        <v>3</v>
      </c>
      <c r="J120" s="3" t="str" cm="1">
        <f t="array" ref="J12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20" s="11">
        <f>Trainingsabschluss[[#This Row],[Quiz_Frage1_Punkte]]/Max_Frage1</f>
        <v>1</v>
      </c>
      <c r="L120" s="11">
        <f>Trainingsabschluss[[#This Row],[Quiz_Frage2_Punkte]]/Max_Frage2</f>
        <v>1</v>
      </c>
      <c r="M120" s="11">
        <f>Trainingsabschluss[[#This Row],[Quiz_Frage3_Punkte]]/Max_Frage3</f>
        <v>0.6</v>
      </c>
      <c r="N120" s="11">
        <f>Trainingsabschluss[[#This Row],[Quiz_Frage4_Punkte]]/Max_Frage4</f>
        <v>0.5</v>
      </c>
      <c r="O120" s="11">
        <f>Trainingsabschluss[[#This Row],[Quiz_Frage5_Punkte]]/Max_Frage5</f>
        <v>0.33333333333333331</v>
      </c>
      <c r="P120" s="2">
        <f>Trainingsabschluss[[#This Row],[Quiz_Frage1_Punkte]]+Trainingsabschluss[[#This Row],[Quiz_Frage2_Punkte]]+Trainingsabschluss[[#This Row],[Quiz_Frage3_Punkte]]+Trainingsabschluss[[#This Row],[Quiz_Frage4_Punkte]]+Trainingsabschluss[[#This Row],[Quiz_Frage5_Punkte]]</f>
        <v>16</v>
      </c>
      <c r="Q120" s="8">
        <f>Trainingsabschluss[[#This Row],[Quizergebnis]]/Max_Quizergebnis</f>
        <v>0.72727272727272729</v>
      </c>
      <c r="R120" t="str" cm="1">
        <f t="array" ref="R120">_xlfn.IFS(Trainingsabschluss[[#This Row],[Quizergebnis_Prozent]]&lt;0.5, "Nicht bestanden",
Trainingsabschluss[[#This Row],[Quizergebnis_Prozent]]&lt;0.65, "Bestanden",
Trainingsabschluss[[#This Row],[Quizergebnis_Prozent]]&lt;0.8, "Gut bestanden",
TRUE, "Sehr gut bestanden")</f>
        <v>Gut bestanden</v>
      </c>
      <c r="S120" s="3">
        <v>8</v>
      </c>
      <c r="T120" s="3" t="str" cm="1">
        <f t="array" ref="T120">_xlfn.IFS(Trainingsabschluss[[#This Row],[Training_Bewertung]]&gt;=9, "Promotor", Trainingsabschluss[[#This Row],[Training_Bewertung]]
&lt;=6, "Detraktor",
TRUE, "Passiv")</f>
        <v>Passiv</v>
      </c>
      <c r="W120"/>
    </row>
    <row r="121" spans="1:23" x14ac:dyDescent="0.3">
      <c r="A121" s="13" t="s">
        <v>199</v>
      </c>
      <c r="B121" s="2">
        <v>5</v>
      </c>
      <c r="C121" s="2">
        <v>4.5</v>
      </c>
      <c r="D121" s="2">
        <v>0.5</v>
      </c>
      <c r="E121" s="2">
        <v>3.5</v>
      </c>
      <c r="F121" s="2">
        <v>0</v>
      </c>
      <c r="G121" s="2" t="str">
        <f>_xlfn.XLOOKUP(Trainingsabschluss[[#This Row],[UserID]], Teilnehmende[UserID], Teilnehmende[Branche], "UserID nicht gefunden")</f>
        <v>Beratung</v>
      </c>
      <c r="H121" t="str">
        <f>_xlfn.XLOOKUP(Trainingsabschluss[[#This Row],[UserID]], Teilnehmende[UserID], Teilnehmende[Bildungsabschluss], "UserID nicht gefunden")</f>
        <v>Bachelor</v>
      </c>
      <c r="I121" s="3">
        <f>_xlfn.XLOOKUP(Trainingsabschluss[[#This Row],[UserID]], Teilnehmende[UserID], Teilnehmende[Berufserfahrung])</f>
        <v>14</v>
      </c>
      <c r="J121" s="3" t="str" cm="1">
        <f t="array" ref="J12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21" s="11">
        <f>Trainingsabschluss[[#This Row],[Quiz_Frage1_Punkte]]/Max_Frage1</f>
        <v>1</v>
      </c>
      <c r="L121" s="11">
        <f>Trainingsabschluss[[#This Row],[Quiz_Frage2_Punkte]]/Max_Frage2</f>
        <v>0.9</v>
      </c>
      <c r="M121" s="11">
        <f>Trainingsabschluss[[#This Row],[Quiz_Frage3_Punkte]]/Max_Frage3</f>
        <v>0.1</v>
      </c>
      <c r="N121" s="11">
        <f>Trainingsabschluss[[#This Row],[Quiz_Frage4_Punkte]]/Max_Frage4</f>
        <v>0.875</v>
      </c>
      <c r="O121" s="11">
        <f>Trainingsabschluss[[#This Row],[Quiz_Frage5_Punkte]]/Max_Frage5</f>
        <v>0</v>
      </c>
      <c r="P121" s="2">
        <f>Trainingsabschluss[[#This Row],[Quiz_Frage1_Punkte]]+Trainingsabschluss[[#This Row],[Quiz_Frage2_Punkte]]+Trainingsabschluss[[#This Row],[Quiz_Frage3_Punkte]]+Trainingsabschluss[[#This Row],[Quiz_Frage4_Punkte]]+Trainingsabschluss[[#This Row],[Quiz_Frage5_Punkte]]</f>
        <v>13.5</v>
      </c>
      <c r="Q121" s="8">
        <f>Trainingsabschluss[[#This Row],[Quizergebnis]]/Max_Quizergebnis</f>
        <v>0.61363636363636365</v>
      </c>
      <c r="R121" t="str" cm="1">
        <f t="array" ref="R121">_xlfn.IFS(Trainingsabschluss[[#This Row],[Quizergebnis_Prozent]]&lt;0.5, "Nicht bestanden",
Trainingsabschluss[[#This Row],[Quizergebnis_Prozent]]&lt;0.65, "Bestanden",
Trainingsabschluss[[#This Row],[Quizergebnis_Prozent]]&lt;0.8, "Gut bestanden",
TRUE, "Sehr gut bestanden")</f>
        <v>Bestanden</v>
      </c>
      <c r="S121" s="3">
        <v>8</v>
      </c>
      <c r="T121" s="3" t="str" cm="1">
        <f t="array" ref="T121">_xlfn.IFS(Trainingsabschluss[[#This Row],[Training_Bewertung]]&gt;=9, "Promotor", Trainingsabschluss[[#This Row],[Training_Bewertung]]
&lt;=6, "Detraktor",
TRUE, "Passiv")</f>
        <v>Passiv</v>
      </c>
      <c r="W121"/>
    </row>
    <row r="122" spans="1:23" x14ac:dyDescent="0.3">
      <c r="A122" s="13" t="s">
        <v>200</v>
      </c>
      <c r="B122" s="2">
        <v>2.5</v>
      </c>
      <c r="C122" s="2">
        <v>4</v>
      </c>
      <c r="D122" s="2">
        <v>0.5</v>
      </c>
      <c r="E122" s="2">
        <v>3.5</v>
      </c>
      <c r="F122" s="2">
        <v>1</v>
      </c>
      <c r="G122" s="2" t="str">
        <f>_xlfn.XLOOKUP(Trainingsabschluss[[#This Row],[UserID]], Teilnehmende[UserID], Teilnehmende[Branche], "UserID nicht gefunden")</f>
        <v>Beratung</v>
      </c>
      <c r="H122" t="str">
        <f>_xlfn.XLOOKUP(Trainingsabschluss[[#This Row],[UserID]], Teilnehmende[UserID], Teilnehmende[Bildungsabschluss], "UserID nicht gefunden")</f>
        <v>Bachelor</v>
      </c>
      <c r="I122" s="3">
        <f>_xlfn.XLOOKUP(Trainingsabschluss[[#This Row],[UserID]], Teilnehmende[UserID], Teilnehmende[Berufserfahrung])</f>
        <v>3</v>
      </c>
      <c r="J122" s="3" t="str" cm="1">
        <f t="array" ref="J12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22" s="11">
        <f>Trainingsabschluss[[#This Row],[Quiz_Frage1_Punkte]]/Max_Frage1</f>
        <v>0.5</v>
      </c>
      <c r="L122" s="11">
        <f>Trainingsabschluss[[#This Row],[Quiz_Frage2_Punkte]]/Max_Frage2</f>
        <v>0.8</v>
      </c>
      <c r="M122" s="11">
        <f>Trainingsabschluss[[#This Row],[Quiz_Frage3_Punkte]]/Max_Frage3</f>
        <v>0.1</v>
      </c>
      <c r="N122" s="11">
        <f>Trainingsabschluss[[#This Row],[Quiz_Frage4_Punkte]]/Max_Frage4</f>
        <v>0.875</v>
      </c>
      <c r="O122" s="11">
        <f>Trainingsabschluss[[#This Row],[Quiz_Frage5_Punkte]]/Max_Frage5</f>
        <v>0.33333333333333331</v>
      </c>
      <c r="P122" s="2">
        <f>Trainingsabschluss[[#This Row],[Quiz_Frage1_Punkte]]+Trainingsabschluss[[#This Row],[Quiz_Frage2_Punkte]]+Trainingsabschluss[[#This Row],[Quiz_Frage3_Punkte]]+Trainingsabschluss[[#This Row],[Quiz_Frage4_Punkte]]+Trainingsabschluss[[#This Row],[Quiz_Frage5_Punkte]]</f>
        <v>11.5</v>
      </c>
      <c r="Q122" s="8">
        <f>Trainingsabschluss[[#This Row],[Quizergebnis]]/Max_Quizergebnis</f>
        <v>0.52272727272727271</v>
      </c>
      <c r="R122" t="str" cm="1">
        <f t="array" ref="R122">_xlfn.IFS(Trainingsabschluss[[#This Row],[Quizergebnis_Prozent]]&lt;0.5, "Nicht bestanden",
Trainingsabschluss[[#This Row],[Quizergebnis_Prozent]]&lt;0.65, "Bestanden",
Trainingsabschluss[[#This Row],[Quizergebnis_Prozent]]&lt;0.8, "Gut bestanden",
TRUE, "Sehr gut bestanden")</f>
        <v>Bestanden</v>
      </c>
      <c r="S122" s="3">
        <v>8</v>
      </c>
      <c r="T122" s="3" t="str" cm="1">
        <f t="array" ref="T122">_xlfn.IFS(Trainingsabschluss[[#This Row],[Training_Bewertung]]&gt;=9, "Promotor", Trainingsabschluss[[#This Row],[Training_Bewertung]]
&lt;=6, "Detraktor",
TRUE, "Passiv")</f>
        <v>Passiv</v>
      </c>
      <c r="W122"/>
    </row>
    <row r="123" spans="1:23" x14ac:dyDescent="0.3">
      <c r="A123" s="13" t="s">
        <v>201</v>
      </c>
      <c r="B123" s="2">
        <v>5</v>
      </c>
      <c r="C123" s="2">
        <v>2</v>
      </c>
      <c r="D123" s="2">
        <v>4.5</v>
      </c>
      <c r="E123" s="2">
        <v>2.5</v>
      </c>
      <c r="F123" s="2">
        <v>0</v>
      </c>
      <c r="G123" s="2" t="str">
        <f>_xlfn.XLOOKUP(Trainingsabschluss[[#This Row],[UserID]], Teilnehmende[UserID], Teilnehmende[Branche], "UserID nicht gefunden")</f>
        <v>Beratung</v>
      </c>
      <c r="H123" t="str">
        <f>_xlfn.XLOOKUP(Trainingsabschluss[[#This Row],[UserID]], Teilnehmende[UserID], Teilnehmende[Bildungsabschluss], "UserID nicht gefunden")</f>
        <v>Bachelor</v>
      </c>
      <c r="I123" s="3">
        <f>_xlfn.XLOOKUP(Trainingsabschluss[[#This Row],[UserID]], Teilnehmende[UserID], Teilnehmende[Berufserfahrung])</f>
        <v>6</v>
      </c>
      <c r="J123" s="3" t="str" cm="1">
        <f t="array" ref="J12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23" s="11">
        <f>Trainingsabschluss[[#This Row],[Quiz_Frage1_Punkte]]/Max_Frage1</f>
        <v>1</v>
      </c>
      <c r="L123" s="11">
        <f>Trainingsabschluss[[#This Row],[Quiz_Frage2_Punkte]]/Max_Frage2</f>
        <v>0.4</v>
      </c>
      <c r="M123" s="11">
        <f>Trainingsabschluss[[#This Row],[Quiz_Frage3_Punkte]]/Max_Frage3</f>
        <v>0.9</v>
      </c>
      <c r="N123" s="11">
        <f>Trainingsabschluss[[#This Row],[Quiz_Frage4_Punkte]]/Max_Frage4</f>
        <v>0.625</v>
      </c>
      <c r="O123" s="11">
        <f>Trainingsabschluss[[#This Row],[Quiz_Frage5_Punkte]]/Max_Frage5</f>
        <v>0</v>
      </c>
      <c r="P123" s="2">
        <f>Trainingsabschluss[[#This Row],[Quiz_Frage1_Punkte]]+Trainingsabschluss[[#This Row],[Quiz_Frage2_Punkte]]+Trainingsabschluss[[#This Row],[Quiz_Frage3_Punkte]]+Trainingsabschluss[[#This Row],[Quiz_Frage4_Punkte]]+Trainingsabschluss[[#This Row],[Quiz_Frage5_Punkte]]</f>
        <v>14</v>
      </c>
      <c r="Q123" s="8">
        <f>Trainingsabschluss[[#This Row],[Quizergebnis]]/Max_Quizergebnis</f>
        <v>0.63636363636363635</v>
      </c>
      <c r="R123" t="str" cm="1">
        <f t="array" ref="R123">_xlfn.IFS(Trainingsabschluss[[#This Row],[Quizergebnis_Prozent]]&lt;0.5, "Nicht bestanden",
Trainingsabschluss[[#This Row],[Quizergebnis_Prozent]]&lt;0.65, "Bestanden",
Trainingsabschluss[[#This Row],[Quizergebnis_Prozent]]&lt;0.8, "Gut bestanden",
TRUE, "Sehr gut bestanden")</f>
        <v>Bestanden</v>
      </c>
      <c r="S123" s="3">
        <v>8</v>
      </c>
      <c r="T123" s="3" t="str" cm="1">
        <f t="array" ref="T123">_xlfn.IFS(Trainingsabschluss[[#This Row],[Training_Bewertung]]&gt;=9, "Promotor", Trainingsabschluss[[#This Row],[Training_Bewertung]]
&lt;=6, "Detraktor",
TRUE, "Passiv")</f>
        <v>Passiv</v>
      </c>
      <c r="W123"/>
    </row>
    <row r="124" spans="1:23" x14ac:dyDescent="0.3">
      <c r="A124" s="13" t="s">
        <v>204</v>
      </c>
      <c r="B124" s="2">
        <v>4.5</v>
      </c>
      <c r="C124" s="2">
        <v>4.5</v>
      </c>
      <c r="D124" s="2">
        <v>3.5</v>
      </c>
      <c r="E124" s="2">
        <v>2.5</v>
      </c>
      <c r="F124" s="2">
        <v>3</v>
      </c>
      <c r="G124" s="2" t="str">
        <f>_xlfn.XLOOKUP(Trainingsabschluss[[#This Row],[UserID]], Teilnehmende[UserID], Teilnehmende[Branche], "UserID nicht gefunden")</f>
        <v>Beratung</v>
      </c>
      <c r="H124" t="str">
        <f>_xlfn.XLOOKUP(Trainingsabschluss[[#This Row],[UserID]], Teilnehmende[UserID], Teilnehmende[Bildungsabschluss], "UserID nicht gefunden")</f>
        <v>Bachelor</v>
      </c>
      <c r="I124" s="3">
        <f>_xlfn.XLOOKUP(Trainingsabschluss[[#This Row],[UserID]], Teilnehmende[UserID], Teilnehmende[Berufserfahrung])</f>
        <v>10</v>
      </c>
      <c r="J124" s="3" t="str" cm="1">
        <f t="array" ref="J124">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24" s="11">
        <f>Trainingsabschluss[[#This Row],[Quiz_Frage1_Punkte]]/Max_Frage1</f>
        <v>0.9</v>
      </c>
      <c r="L124" s="11">
        <f>Trainingsabschluss[[#This Row],[Quiz_Frage2_Punkte]]/Max_Frage2</f>
        <v>0.9</v>
      </c>
      <c r="M124" s="11">
        <f>Trainingsabschluss[[#This Row],[Quiz_Frage3_Punkte]]/Max_Frage3</f>
        <v>0.7</v>
      </c>
      <c r="N124" s="11">
        <f>Trainingsabschluss[[#This Row],[Quiz_Frage4_Punkte]]/Max_Frage4</f>
        <v>0.625</v>
      </c>
      <c r="O124" s="11">
        <f>Trainingsabschluss[[#This Row],[Quiz_Frage5_Punkte]]/Max_Frage5</f>
        <v>1</v>
      </c>
      <c r="P124" s="2">
        <f>Trainingsabschluss[[#This Row],[Quiz_Frage1_Punkte]]+Trainingsabschluss[[#This Row],[Quiz_Frage2_Punkte]]+Trainingsabschluss[[#This Row],[Quiz_Frage3_Punkte]]+Trainingsabschluss[[#This Row],[Quiz_Frage4_Punkte]]+Trainingsabschluss[[#This Row],[Quiz_Frage5_Punkte]]</f>
        <v>18</v>
      </c>
      <c r="Q124" s="8">
        <f>Trainingsabschluss[[#This Row],[Quizergebnis]]/Max_Quizergebnis</f>
        <v>0.81818181818181823</v>
      </c>
      <c r="R124" t="str" cm="1">
        <f t="array" ref="R124">_xlfn.IFS(Trainingsabschluss[[#This Row],[Quizergebnis_Prozent]]&lt;0.5, "Nicht bestanden",
Trainingsabschluss[[#This Row],[Quizergebnis_Prozent]]&lt;0.65, "Bestanden",
Trainingsabschluss[[#This Row],[Quizergebnis_Prozent]]&lt;0.8, "Gut bestanden",
TRUE, "Sehr gut bestanden")</f>
        <v>Sehr gut bestanden</v>
      </c>
      <c r="S124" s="3">
        <v>8</v>
      </c>
      <c r="T124" s="3" t="str" cm="1">
        <f t="array" ref="T124">_xlfn.IFS(Trainingsabschluss[[#This Row],[Training_Bewertung]]&gt;=9, "Promotor", Trainingsabschluss[[#This Row],[Training_Bewertung]]
&lt;=6, "Detraktor",
TRUE, "Passiv")</f>
        <v>Passiv</v>
      </c>
      <c r="W124"/>
    </row>
    <row r="125" spans="1:23" x14ac:dyDescent="0.3">
      <c r="A125" s="13" t="s">
        <v>212</v>
      </c>
      <c r="B125" s="2">
        <v>4.5</v>
      </c>
      <c r="C125" s="2">
        <v>4.5</v>
      </c>
      <c r="D125" s="2">
        <v>2.5</v>
      </c>
      <c r="E125" s="2">
        <v>2.5</v>
      </c>
      <c r="F125" s="2">
        <v>2</v>
      </c>
      <c r="G125" s="2" t="str">
        <f>_xlfn.XLOOKUP(Trainingsabschluss[[#This Row],[UserID]], Teilnehmende[UserID], Teilnehmende[Branche], "UserID nicht gefunden")</f>
        <v>Beratung</v>
      </c>
      <c r="H125" t="str">
        <f>_xlfn.XLOOKUP(Trainingsabschluss[[#This Row],[UserID]], Teilnehmende[UserID], Teilnehmende[Bildungsabschluss], "UserID nicht gefunden")</f>
        <v>Bachelor</v>
      </c>
      <c r="I125" s="3">
        <f>_xlfn.XLOOKUP(Trainingsabschluss[[#This Row],[UserID]], Teilnehmende[UserID], Teilnehmende[Berufserfahrung])</f>
        <v>9</v>
      </c>
      <c r="J125" s="3" t="str" cm="1">
        <f t="array" ref="J12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25" s="11">
        <f>Trainingsabschluss[[#This Row],[Quiz_Frage1_Punkte]]/Max_Frage1</f>
        <v>0.9</v>
      </c>
      <c r="L125" s="11">
        <f>Trainingsabschluss[[#This Row],[Quiz_Frage2_Punkte]]/Max_Frage2</f>
        <v>0.9</v>
      </c>
      <c r="M125" s="11">
        <f>Trainingsabschluss[[#This Row],[Quiz_Frage3_Punkte]]/Max_Frage3</f>
        <v>0.5</v>
      </c>
      <c r="N125" s="11">
        <f>Trainingsabschluss[[#This Row],[Quiz_Frage4_Punkte]]/Max_Frage4</f>
        <v>0.625</v>
      </c>
      <c r="O125" s="11">
        <f>Trainingsabschluss[[#This Row],[Quiz_Frage5_Punkte]]/Max_Frage5</f>
        <v>0.66666666666666663</v>
      </c>
      <c r="P125" s="2">
        <f>Trainingsabschluss[[#This Row],[Quiz_Frage1_Punkte]]+Trainingsabschluss[[#This Row],[Quiz_Frage2_Punkte]]+Trainingsabschluss[[#This Row],[Quiz_Frage3_Punkte]]+Trainingsabschluss[[#This Row],[Quiz_Frage4_Punkte]]+Trainingsabschluss[[#This Row],[Quiz_Frage5_Punkte]]</f>
        <v>16</v>
      </c>
      <c r="Q125" s="8">
        <f>Trainingsabschluss[[#This Row],[Quizergebnis]]/Max_Quizergebnis</f>
        <v>0.72727272727272729</v>
      </c>
      <c r="R125" t="str" cm="1">
        <f t="array" ref="R125">_xlfn.IFS(Trainingsabschluss[[#This Row],[Quizergebnis_Prozent]]&lt;0.5, "Nicht bestanden",
Trainingsabschluss[[#This Row],[Quizergebnis_Prozent]]&lt;0.65, "Bestanden",
Trainingsabschluss[[#This Row],[Quizergebnis_Prozent]]&lt;0.8, "Gut bestanden",
TRUE, "Sehr gut bestanden")</f>
        <v>Gut bestanden</v>
      </c>
      <c r="S125" s="3">
        <v>9</v>
      </c>
      <c r="T125" s="3" t="str" cm="1">
        <f t="array" ref="T125">_xlfn.IFS(Trainingsabschluss[[#This Row],[Training_Bewertung]]&gt;=9, "Promotor", Trainingsabschluss[[#This Row],[Training_Bewertung]]
&lt;=6, "Detraktor",
TRUE, "Passiv")</f>
        <v>Promotor</v>
      </c>
      <c r="W125"/>
    </row>
    <row r="126" spans="1:23" x14ac:dyDescent="0.3">
      <c r="A126" s="13" t="s">
        <v>213</v>
      </c>
      <c r="B126" s="2">
        <v>5</v>
      </c>
      <c r="C126" s="2">
        <v>4</v>
      </c>
      <c r="D126" s="2">
        <v>0</v>
      </c>
      <c r="E126" s="2">
        <v>1</v>
      </c>
      <c r="F126" s="2">
        <v>2</v>
      </c>
      <c r="G126" s="2" t="str">
        <f>_xlfn.XLOOKUP(Trainingsabschluss[[#This Row],[UserID]], Teilnehmende[UserID], Teilnehmende[Branche], "UserID nicht gefunden")</f>
        <v>Beratung</v>
      </c>
      <c r="H126" t="str">
        <f>_xlfn.XLOOKUP(Trainingsabschluss[[#This Row],[UserID]], Teilnehmende[UserID], Teilnehmende[Bildungsabschluss], "UserID nicht gefunden")</f>
        <v>Bachelor</v>
      </c>
      <c r="I126" s="3">
        <f>_xlfn.XLOOKUP(Trainingsabschluss[[#This Row],[UserID]], Teilnehmende[UserID], Teilnehmende[Berufserfahrung])</f>
        <v>8</v>
      </c>
      <c r="J126" s="3" t="str" cm="1">
        <f t="array" ref="J12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26" s="11">
        <f>Trainingsabschluss[[#This Row],[Quiz_Frage1_Punkte]]/Max_Frage1</f>
        <v>1</v>
      </c>
      <c r="L126" s="11">
        <f>Trainingsabschluss[[#This Row],[Quiz_Frage2_Punkte]]/Max_Frage2</f>
        <v>0.8</v>
      </c>
      <c r="M126" s="11">
        <f>Trainingsabschluss[[#This Row],[Quiz_Frage3_Punkte]]/Max_Frage3</f>
        <v>0</v>
      </c>
      <c r="N126" s="11">
        <f>Trainingsabschluss[[#This Row],[Quiz_Frage4_Punkte]]/Max_Frage4</f>
        <v>0.25</v>
      </c>
      <c r="O126" s="11">
        <f>Trainingsabschluss[[#This Row],[Quiz_Frage5_Punkte]]/Max_Frage5</f>
        <v>0.66666666666666663</v>
      </c>
      <c r="P126" s="2">
        <f>Trainingsabschluss[[#This Row],[Quiz_Frage1_Punkte]]+Trainingsabschluss[[#This Row],[Quiz_Frage2_Punkte]]+Trainingsabschluss[[#This Row],[Quiz_Frage3_Punkte]]+Trainingsabschluss[[#This Row],[Quiz_Frage4_Punkte]]+Trainingsabschluss[[#This Row],[Quiz_Frage5_Punkte]]</f>
        <v>12</v>
      </c>
      <c r="Q126" s="8">
        <f>Trainingsabschluss[[#This Row],[Quizergebnis]]/Max_Quizergebnis</f>
        <v>0.54545454545454541</v>
      </c>
      <c r="R126" t="str" cm="1">
        <f t="array" ref="R126">_xlfn.IFS(Trainingsabschluss[[#This Row],[Quizergebnis_Prozent]]&lt;0.5, "Nicht bestanden",
Trainingsabschluss[[#This Row],[Quizergebnis_Prozent]]&lt;0.65, "Bestanden",
Trainingsabschluss[[#This Row],[Quizergebnis_Prozent]]&lt;0.8, "Gut bestanden",
TRUE, "Sehr gut bestanden")</f>
        <v>Bestanden</v>
      </c>
      <c r="S126" s="3">
        <v>9</v>
      </c>
      <c r="T126" s="3" t="str" cm="1">
        <f t="array" ref="T126">_xlfn.IFS(Trainingsabschluss[[#This Row],[Training_Bewertung]]&gt;=9, "Promotor", Trainingsabschluss[[#This Row],[Training_Bewertung]]
&lt;=6, "Detraktor",
TRUE, "Passiv")</f>
        <v>Promotor</v>
      </c>
      <c r="W126"/>
    </row>
    <row r="127" spans="1:23" x14ac:dyDescent="0.3">
      <c r="A127" s="13" t="s">
        <v>216</v>
      </c>
      <c r="B127" s="2">
        <v>3.5</v>
      </c>
      <c r="C127" s="2">
        <v>2.5</v>
      </c>
      <c r="D127" s="2">
        <v>2</v>
      </c>
      <c r="E127" s="2">
        <v>3.5</v>
      </c>
      <c r="F127" s="2">
        <v>3</v>
      </c>
      <c r="G127" s="2" t="str">
        <f>_xlfn.XLOOKUP(Trainingsabschluss[[#This Row],[UserID]], Teilnehmende[UserID], Teilnehmende[Branche], "UserID nicht gefunden")</f>
        <v>Beratung</v>
      </c>
      <c r="H127" t="str">
        <f>_xlfn.XLOOKUP(Trainingsabschluss[[#This Row],[UserID]], Teilnehmende[UserID], Teilnehmende[Bildungsabschluss], "UserID nicht gefunden")</f>
        <v>Bachelor</v>
      </c>
      <c r="I127" s="3">
        <f>_xlfn.XLOOKUP(Trainingsabschluss[[#This Row],[UserID]], Teilnehmende[UserID], Teilnehmende[Berufserfahrung])</f>
        <v>3</v>
      </c>
      <c r="J127" s="3" t="str" cm="1">
        <f t="array" ref="J12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27" s="11">
        <f>Trainingsabschluss[[#This Row],[Quiz_Frage1_Punkte]]/Max_Frage1</f>
        <v>0.7</v>
      </c>
      <c r="L127" s="11">
        <f>Trainingsabschluss[[#This Row],[Quiz_Frage2_Punkte]]/Max_Frage2</f>
        <v>0.5</v>
      </c>
      <c r="M127" s="11">
        <f>Trainingsabschluss[[#This Row],[Quiz_Frage3_Punkte]]/Max_Frage3</f>
        <v>0.4</v>
      </c>
      <c r="N127" s="11">
        <f>Trainingsabschluss[[#This Row],[Quiz_Frage4_Punkte]]/Max_Frage4</f>
        <v>0.875</v>
      </c>
      <c r="O127" s="11">
        <f>Trainingsabschluss[[#This Row],[Quiz_Frage5_Punkte]]/Max_Frage5</f>
        <v>1</v>
      </c>
      <c r="P127" s="2">
        <f>Trainingsabschluss[[#This Row],[Quiz_Frage1_Punkte]]+Trainingsabschluss[[#This Row],[Quiz_Frage2_Punkte]]+Trainingsabschluss[[#This Row],[Quiz_Frage3_Punkte]]+Trainingsabschluss[[#This Row],[Quiz_Frage4_Punkte]]+Trainingsabschluss[[#This Row],[Quiz_Frage5_Punkte]]</f>
        <v>14.5</v>
      </c>
      <c r="Q127" s="8">
        <f>Trainingsabschluss[[#This Row],[Quizergebnis]]/Max_Quizergebnis</f>
        <v>0.65909090909090906</v>
      </c>
      <c r="R127" t="str" cm="1">
        <f t="array" ref="R127">_xlfn.IFS(Trainingsabschluss[[#This Row],[Quizergebnis_Prozent]]&lt;0.5, "Nicht bestanden",
Trainingsabschluss[[#This Row],[Quizergebnis_Prozent]]&lt;0.65, "Bestanden",
Trainingsabschluss[[#This Row],[Quizergebnis_Prozent]]&lt;0.8, "Gut bestanden",
TRUE, "Sehr gut bestanden")</f>
        <v>Gut bestanden</v>
      </c>
      <c r="S127" s="3">
        <v>9</v>
      </c>
      <c r="T127" s="3" t="str" cm="1">
        <f t="array" ref="T127">_xlfn.IFS(Trainingsabschluss[[#This Row],[Training_Bewertung]]&gt;=9, "Promotor", Trainingsabschluss[[#This Row],[Training_Bewertung]]
&lt;=6, "Detraktor",
TRUE, "Passiv")</f>
        <v>Promotor</v>
      </c>
      <c r="W127"/>
    </row>
    <row r="128" spans="1:23" x14ac:dyDescent="0.3">
      <c r="A128" s="13" t="s">
        <v>217</v>
      </c>
      <c r="B128" s="2">
        <v>3.5</v>
      </c>
      <c r="C128" s="2">
        <v>5</v>
      </c>
      <c r="D128" s="2">
        <v>3.5</v>
      </c>
      <c r="E128" s="2">
        <v>1.5</v>
      </c>
      <c r="F128" s="2">
        <v>3</v>
      </c>
      <c r="G128" s="2" t="str">
        <f>_xlfn.XLOOKUP(Trainingsabschluss[[#This Row],[UserID]], Teilnehmende[UserID], Teilnehmende[Branche], "UserID nicht gefunden")</f>
        <v>Beratung</v>
      </c>
      <c r="H128" t="str">
        <f>_xlfn.XLOOKUP(Trainingsabschluss[[#This Row],[UserID]], Teilnehmende[UserID], Teilnehmende[Bildungsabschluss], "UserID nicht gefunden")</f>
        <v>Bachelor</v>
      </c>
      <c r="I128" s="3">
        <f>_xlfn.XLOOKUP(Trainingsabschluss[[#This Row],[UserID]], Teilnehmende[UserID], Teilnehmende[Berufserfahrung])</f>
        <v>24</v>
      </c>
      <c r="J128" s="3" t="str" cm="1">
        <f t="array" ref="J128">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128" s="11">
        <f>Trainingsabschluss[[#This Row],[Quiz_Frage1_Punkte]]/Max_Frage1</f>
        <v>0.7</v>
      </c>
      <c r="L128" s="11">
        <f>Trainingsabschluss[[#This Row],[Quiz_Frage2_Punkte]]/Max_Frage2</f>
        <v>1</v>
      </c>
      <c r="M128" s="11">
        <f>Trainingsabschluss[[#This Row],[Quiz_Frage3_Punkte]]/Max_Frage3</f>
        <v>0.7</v>
      </c>
      <c r="N128" s="11">
        <f>Trainingsabschluss[[#This Row],[Quiz_Frage4_Punkte]]/Max_Frage4</f>
        <v>0.375</v>
      </c>
      <c r="O128" s="11">
        <f>Trainingsabschluss[[#This Row],[Quiz_Frage5_Punkte]]/Max_Frage5</f>
        <v>1</v>
      </c>
      <c r="P128" s="2">
        <f>Trainingsabschluss[[#This Row],[Quiz_Frage1_Punkte]]+Trainingsabschluss[[#This Row],[Quiz_Frage2_Punkte]]+Trainingsabschluss[[#This Row],[Quiz_Frage3_Punkte]]+Trainingsabschluss[[#This Row],[Quiz_Frage4_Punkte]]+Trainingsabschluss[[#This Row],[Quiz_Frage5_Punkte]]</f>
        <v>16.5</v>
      </c>
      <c r="Q128" s="8">
        <f>Trainingsabschluss[[#This Row],[Quizergebnis]]/Max_Quizergebnis</f>
        <v>0.75</v>
      </c>
      <c r="R128" t="str" cm="1">
        <f t="array" ref="R128">_xlfn.IFS(Trainingsabschluss[[#This Row],[Quizergebnis_Prozent]]&lt;0.5, "Nicht bestanden",
Trainingsabschluss[[#This Row],[Quizergebnis_Prozent]]&lt;0.65, "Bestanden",
Trainingsabschluss[[#This Row],[Quizergebnis_Prozent]]&lt;0.8, "Gut bestanden",
TRUE, "Sehr gut bestanden")</f>
        <v>Gut bestanden</v>
      </c>
      <c r="S128" s="3">
        <v>9</v>
      </c>
      <c r="T128" s="3" t="str" cm="1">
        <f t="array" ref="T128">_xlfn.IFS(Trainingsabschluss[[#This Row],[Training_Bewertung]]&gt;=9, "Promotor", Trainingsabschluss[[#This Row],[Training_Bewertung]]
&lt;=6, "Detraktor",
TRUE, "Passiv")</f>
        <v>Promotor</v>
      </c>
      <c r="W128"/>
    </row>
    <row r="129" spans="1:23" x14ac:dyDescent="0.3">
      <c r="A129" s="13" t="s">
        <v>218</v>
      </c>
      <c r="B129" s="2">
        <v>5</v>
      </c>
      <c r="C129" s="2">
        <v>3</v>
      </c>
      <c r="D129" s="2">
        <v>2.5</v>
      </c>
      <c r="E129" s="2">
        <v>4</v>
      </c>
      <c r="F129" s="2">
        <v>0</v>
      </c>
      <c r="G129" s="2" t="str">
        <f>_xlfn.XLOOKUP(Trainingsabschluss[[#This Row],[UserID]], Teilnehmende[UserID], Teilnehmende[Branche], "UserID nicht gefunden")</f>
        <v>Beratung</v>
      </c>
      <c r="H129" t="str">
        <f>_xlfn.XLOOKUP(Trainingsabschluss[[#This Row],[UserID]], Teilnehmende[UserID], Teilnehmende[Bildungsabschluss], "UserID nicht gefunden")</f>
        <v>Bachelor</v>
      </c>
      <c r="I129" s="3">
        <f>_xlfn.XLOOKUP(Trainingsabschluss[[#This Row],[UserID]], Teilnehmende[UserID], Teilnehmende[Berufserfahrung])</f>
        <v>13</v>
      </c>
      <c r="J129" s="3" t="str" cm="1">
        <f t="array" ref="J12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29" s="11">
        <f>Trainingsabschluss[[#This Row],[Quiz_Frage1_Punkte]]/Max_Frage1</f>
        <v>1</v>
      </c>
      <c r="L129" s="11">
        <f>Trainingsabschluss[[#This Row],[Quiz_Frage2_Punkte]]/Max_Frage2</f>
        <v>0.6</v>
      </c>
      <c r="M129" s="11">
        <f>Trainingsabschluss[[#This Row],[Quiz_Frage3_Punkte]]/Max_Frage3</f>
        <v>0.5</v>
      </c>
      <c r="N129" s="11">
        <f>Trainingsabschluss[[#This Row],[Quiz_Frage4_Punkte]]/Max_Frage4</f>
        <v>1</v>
      </c>
      <c r="O129" s="11">
        <f>Trainingsabschluss[[#This Row],[Quiz_Frage5_Punkte]]/Max_Frage5</f>
        <v>0</v>
      </c>
      <c r="P129" s="2">
        <f>Trainingsabschluss[[#This Row],[Quiz_Frage1_Punkte]]+Trainingsabschluss[[#This Row],[Quiz_Frage2_Punkte]]+Trainingsabschluss[[#This Row],[Quiz_Frage3_Punkte]]+Trainingsabschluss[[#This Row],[Quiz_Frage4_Punkte]]+Trainingsabschluss[[#This Row],[Quiz_Frage5_Punkte]]</f>
        <v>14.5</v>
      </c>
      <c r="Q129" s="8">
        <f>Trainingsabschluss[[#This Row],[Quizergebnis]]/Max_Quizergebnis</f>
        <v>0.65909090909090906</v>
      </c>
      <c r="R129" t="str" cm="1">
        <f t="array" ref="R129">_xlfn.IFS(Trainingsabschluss[[#This Row],[Quizergebnis_Prozent]]&lt;0.5, "Nicht bestanden",
Trainingsabschluss[[#This Row],[Quizergebnis_Prozent]]&lt;0.65, "Bestanden",
Trainingsabschluss[[#This Row],[Quizergebnis_Prozent]]&lt;0.8, "Gut bestanden",
TRUE, "Sehr gut bestanden")</f>
        <v>Gut bestanden</v>
      </c>
      <c r="S129" s="3">
        <v>9</v>
      </c>
      <c r="T129" s="3" t="str" cm="1">
        <f t="array" ref="T129">_xlfn.IFS(Trainingsabschluss[[#This Row],[Training_Bewertung]]&gt;=9, "Promotor", Trainingsabschluss[[#This Row],[Training_Bewertung]]
&lt;=6, "Detraktor",
TRUE, "Passiv")</f>
        <v>Promotor</v>
      </c>
      <c r="W129"/>
    </row>
    <row r="130" spans="1:23" x14ac:dyDescent="0.3">
      <c r="A130" s="13" t="s">
        <v>220</v>
      </c>
      <c r="B130" s="2">
        <v>3.5</v>
      </c>
      <c r="C130" s="2">
        <v>4.5</v>
      </c>
      <c r="D130" s="2">
        <v>1</v>
      </c>
      <c r="E130" s="2">
        <v>2.5</v>
      </c>
      <c r="F130" s="2">
        <v>2</v>
      </c>
      <c r="G130" s="2" t="str">
        <f>_xlfn.XLOOKUP(Trainingsabschluss[[#This Row],[UserID]], Teilnehmende[UserID], Teilnehmende[Branche], "UserID nicht gefunden")</f>
        <v>Beratung</v>
      </c>
      <c r="H130" t="str">
        <f>_xlfn.XLOOKUP(Trainingsabschluss[[#This Row],[UserID]], Teilnehmende[UserID], Teilnehmende[Bildungsabschluss], "UserID nicht gefunden")</f>
        <v>Bachelor</v>
      </c>
      <c r="I130" s="3">
        <f>_xlfn.XLOOKUP(Trainingsabschluss[[#This Row],[UserID]], Teilnehmende[UserID], Teilnehmende[Berufserfahrung])</f>
        <v>16</v>
      </c>
      <c r="J130" s="3" t="str" cm="1">
        <f t="array" ref="J130">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30" s="11">
        <f>Trainingsabschluss[[#This Row],[Quiz_Frage1_Punkte]]/Max_Frage1</f>
        <v>0.7</v>
      </c>
      <c r="L130" s="11">
        <f>Trainingsabschluss[[#This Row],[Quiz_Frage2_Punkte]]/Max_Frage2</f>
        <v>0.9</v>
      </c>
      <c r="M130" s="11">
        <f>Trainingsabschluss[[#This Row],[Quiz_Frage3_Punkte]]/Max_Frage3</f>
        <v>0.2</v>
      </c>
      <c r="N130" s="11">
        <f>Trainingsabschluss[[#This Row],[Quiz_Frage4_Punkte]]/Max_Frage4</f>
        <v>0.625</v>
      </c>
      <c r="O130" s="11">
        <f>Trainingsabschluss[[#This Row],[Quiz_Frage5_Punkte]]/Max_Frage5</f>
        <v>0.66666666666666663</v>
      </c>
      <c r="P130" s="2">
        <f>Trainingsabschluss[[#This Row],[Quiz_Frage1_Punkte]]+Trainingsabschluss[[#This Row],[Quiz_Frage2_Punkte]]+Trainingsabschluss[[#This Row],[Quiz_Frage3_Punkte]]+Trainingsabschluss[[#This Row],[Quiz_Frage4_Punkte]]+Trainingsabschluss[[#This Row],[Quiz_Frage5_Punkte]]</f>
        <v>13.5</v>
      </c>
      <c r="Q130" s="8">
        <f>Trainingsabschluss[[#This Row],[Quizergebnis]]/Max_Quizergebnis</f>
        <v>0.61363636363636365</v>
      </c>
      <c r="R130" t="str" cm="1">
        <f t="array" ref="R130">_xlfn.IFS(Trainingsabschluss[[#This Row],[Quizergebnis_Prozent]]&lt;0.5, "Nicht bestanden",
Trainingsabschluss[[#This Row],[Quizergebnis_Prozent]]&lt;0.65, "Bestanden",
Trainingsabschluss[[#This Row],[Quizergebnis_Prozent]]&lt;0.8, "Gut bestanden",
TRUE, "Sehr gut bestanden")</f>
        <v>Bestanden</v>
      </c>
      <c r="S130" s="3">
        <v>9</v>
      </c>
      <c r="T130" s="3" t="str" cm="1">
        <f t="array" ref="T130">_xlfn.IFS(Trainingsabschluss[[#This Row],[Training_Bewertung]]&gt;=9, "Promotor", Trainingsabschluss[[#This Row],[Training_Bewertung]]
&lt;=6, "Detraktor",
TRUE, "Passiv")</f>
        <v>Promotor</v>
      </c>
      <c r="W130"/>
    </row>
    <row r="131" spans="1:23" x14ac:dyDescent="0.3">
      <c r="A131" s="13" t="s">
        <v>222</v>
      </c>
      <c r="B131" s="2">
        <v>5</v>
      </c>
      <c r="C131" s="2">
        <v>3.5</v>
      </c>
      <c r="D131" s="2">
        <v>0.5</v>
      </c>
      <c r="E131" s="2">
        <v>1.5</v>
      </c>
      <c r="F131" s="2">
        <v>1.5</v>
      </c>
      <c r="G131" s="2" t="str">
        <f>_xlfn.XLOOKUP(Trainingsabschluss[[#This Row],[UserID]], Teilnehmende[UserID], Teilnehmende[Branche], "UserID nicht gefunden")</f>
        <v>Beratung</v>
      </c>
      <c r="H131" t="str">
        <f>_xlfn.XLOOKUP(Trainingsabschluss[[#This Row],[UserID]], Teilnehmende[UserID], Teilnehmende[Bildungsabschluss], "UserID nicht gefunden")</f>
        <v>Bachelor</v>
      </c>
      <c r="I131" s="3">
        <f>_xlfn.XLOOKUP(Trainingsabschluss[[#This Row],[UserID]], Teilnehmende[UserID], Teilnehmende[Berufserfahrung])</f>
        <v>6</v>
      </c>
      <c r="J131" s="3" t="str" cm="1">
        <f t="array" ref="J13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31" s="11">
        <f>Trainingsabschluss[[#This Row],[Quiz_Frage1_Punkte]]/Max_Frage1</f>
        <v>1</v>
      </c>
      <c r="L131" s="11">
        <f>Trainingsabschluss[[#This Row],[Quiz_Frage2_Punkte]]/Max_Frage2</f>
        <v>0.7</v>
      </c>
      <c r="M131" s="11">
        <f>Trainingsabschluss[[#This Row],[Quiz_Frage3_Punkte]]/Max_Frage3</f>
        <v>0.1</v>
      </c>
      <c r="N131" s="11">
        <f>Trainingsabschluss[[#This Row],[Quiz_Frage4_Punkte]]/Max_Frage4</f>
        <v>0.375</v>
      </c>
      <c r="O131" s="11">
        <f>Trainingsabschluss[[#This Row],[Quiz_Frage5_Punkte]]/Max_Frage5</f>
        <v>0.5</v>
      </c>
      <c r="P131" s="2">
        <f>Trainingsabschluss[[#This Row],[Quiz_Frage1_Punkte]]+Trainingsabschluss[[#This Row],[Quiz_Frage2_Punkte]]+Trainingsabschluss[[#This Row],[Quiz_Frage3_Punkte]]+Trainingsabschluss[[#This Row],[Quiz_Frage4_Punkte]]+Trainingsabschluss[[#This Row],[Quiz_Frage5_Punkte]]</f>
        <v>12</v>
      </c>
      <c r="Q131" s="8">
        <f>Trainingsabschluss[[#This Row],[Quizergebnis]]/Max_Quizergebnis</f>
        <v>0.54545454545454541</v>
      </c>
      <c r="R131" t="str" cm="1">
        <f t="array" ref="R131">_xlfn.IFS(Trainingsabschluss[[#This Row],[Quizergebnis_Prozent]]&lt;0.5, "Nicht bestanden",
Trainingsabschluss[[#This Row],[Quizergebnis_Prozent]]&lt;0.65, "Bestanden",
Trainingsabschluss[[#This Row],[Quizergebnis_Prozent]]&lt;0.8, "Gut bestanden",
TRUE, "Sehr gut bestanden")</f>
        <v>Bestanden</v>
      </c>
      <c r="S131" s="3">
        <v>9</v>
      </c>
      <c r="T131" s="3" t="str" cm="1">
        <f t="array" ref="T131">_xlfn.IFS(Trainingsabschluss[[#This Row],[Training_Bewertung]]&gt;=9, "Promotor", Trainingsabschluss[[#This Row],[Training_Bewertung]]
&lt;=6, "Detraktor",
TRUE, "Passiv")</f>
        <v>Promotor</v>
      </c>
      <c r="W131"/>
    </row>
    <row r="132" spans="1:23" x14ac:dyDescent="0.3">
      <c r="A132" s="13" t="s">
        <v>223</v>
      </c>
      <c r="B132" s="2">
        <v>4</v>
      </c>
      <c r="C132" s="2">
        <v>4</v>
      </c>
      <c r="D132" s="2">
        <v>1</v>
      </c>
      <c r="E132" s="2">
        <v>2.5</v>
      </c>
      <c r="F132" s="2">
        <v>3</v>
      </c>
      <c r="G132" s="2" t="str">
        <f>_xlfn.XLOOKUP(Trainingsabschluss[[#This Row],[UserID]], Teilnehmende[UserID], Teilnehmende[Branche], "UserID nicht gefunden")</f>
        <v>Beratung</v>
      </c>
      <c r="H132" t="str">
        <f>_xlfn.XLOOKUP(Trainingsabschluss[[#This Row],[UserID]], Teilnehmende[UserID], Teilnehmende[Bildungsabschluss], "UserID nicht gefunden")</f>
        <v>Bachelor</v>
      </c>
      <c r="I132" s="3">
        <f>_xlfn.XLOOKUP(Trainingsabschluss[[#This Row],[UserID]], Teilnehmende[UserID], Teilnehmende[Berufserfahrung])</f>
        <v>11</v>
      </c>
      <c r="J132" s="3" t="str" cm="1">
        <f t="array" ref="J13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32" s="11">
        <f>Trainingsabschluss[[#This Row],[Quiz_Frage1_Punkte]]/Max_Frage1</f>
        <v>0.8</v>
      </c>
      <c r="L132" s="11">
        <f>Trainingsabschluss[[#This Row],[Quiz_Frage2_Punkte]]/Max_Frage2</f>
        <v>0.8</v>
      </c>
      <c r="M132" s="11">
        <f>Trainingsabschluss[[#This Row],[Quiz_Frage3_Punkte]]/Max_Frage3</f>
        <v>0.2</v>
      </c>
      <c r="N132" s="11">
        <f>Trainingsabschluss[[#This Row],[Quiz_Frage4_Punkte]]/Max_Frage4</f>
        <v>0.625</v>
      </c>
      <c r="O132" s="11">
        <f>Trainingsabschluss[[#This Row],[Quiz_Frage5_Punkte]]/Max_Frage5</f>
        <v>1</v>
      </c>
      <c r="P132" s="2">
        <f>Trainingsabschluss[[#This Row],[Quiz_Frage1_Punkte]]+Trainingsabschluss[[#This Row],[Quiz_Frage2_Punkte]]+Trainingsabschluss[[#This Row],[Quiz_Frage3_Punkte]]+Trainingsabschluss[[#This Row],[Quiz_Frage4_Punkte]]+Trainingsabschluss[[#This Row],[Quiz_Frage5_Punkte]]</f>
        <v>14.5</v>
      </c>
      <c r="Q132" s="8">
        <f>Trainingsabschluss[[#This Row],[Quizergebnis]]/Max_Quizergebnis</f>
        <v>0.65909090909090906</v>
      </c>
      <c r="R132" t="str" cm="1">
        <f t="array" ref="R132">_xlfn.IFS(Trainingsabschluss[[#This Row],[Quizergebnis_Prozent]]&lt;0.5, "Nicht bestanden",
Trainingsabschluss[[#This Row],[Quizergebnis_Prozent]]&lt;0.65, "Bestanden",
Trainingsabschluss[[#This Row],[Quizergebnis_Prozent]]&lt;0.8, "Gut bestanden",
TRUE, "Sehr gut bestanden")</f>
        <v>Gut bestanden</v>
      </c>
      <c r="S132" s="3">
        <v>9</v>
      </c>
      <c r="T132" s="3" t="str" cm="1">
        <f t="array" ref="T132">_xlfn.IFS(Trainingsabschluss[[#This Row],[Training_Bewertung]]&gt;=9, "Promotor", Trainingsabschluss[[#This Row],[Training_Bewertung]]
&lt;=6, "Detraktor",
TRUE, "Passiv")</f>
        <v>Promotor</v>
      </c>
      <c r="W132"/>
    </row>
    <row r="133" spans="1:23" x14ac:dyDescent="0.3">
      <c r="A133" s="13" t="s">
        <v>224</v>
      </c>
      <c r="B133" s="2">
        <v>4</v>
      </c>
      <c r="C133" s="2">
        <v>4.5</v>
      </c>
      <c r="D133" s="2">
        <v>4</v>
      </c>
      <c r="E133" s="2">
        <v>1.5</v>
      </c>
      <c r="F133" s="2">
        <v>3</v>
      </c>
      <c r="G133" s="2" t="str">
        <f>_xlfn.XLOOKUP(Trainingsabschluss[[#This Row],[UserID]], Teilnehmende[UserID], Teilnehmende[Branche], "UserID nicht gefunden")</f>
        <v>Beratung</v>
      </c>
      <c r="H133" t="str">
        <f>_xlfn.XLOOKUP(Trainingsabschluss[[#This Row],[UserID]], Teilnehmende[UserID], Teilnehmende[Bildungsabschluss], "UserID nicht gefunden")</f>
        <v>Bachelor</v>
      </c>
      <c r="I133" s="3">
        <f>_xlfn.XLOOKUP(Trainingsabschluss[[#This Row],[UserID]], Teilnehmende[UserID], Teilnehmende[Berufserfahrung])</f>
        <v>12</v>
      </c>
      <c r="J133" s="3" t="str" cm="1">
        <f t="array" ref="J13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33" s="11">
        <f>Trainingsabschluss[[#This Row],[Quiz_Frage1_Punkte]]/Max_Frage1</f>
        <v>0.8</v>
      </c>
      <c r="L133" s="11">
        <f>Trainingsabschluss[[#This Row],[Quiz_Frage2_Punkte]]/Max_Frage2</f>
        <v>0.9</v>
      </c>
      <c r="M133" s="11">
        <f>Trainingsabschluss[[#This Row],[Quiz_Frage3_Punkte]]/Max_Frage3</f>
        <v>0.8</v>
      </c>
      <c r="N133" s="11">
        <f>Trainingsabschluss[[#This Row],[Quiz_Frage4_Punkte]]/Max_Frage4</f>
        <v>0.375</v>
      </c>
      <c r="O133" s="11">
        <f>Trainingsabschluss[[#This Row],[Quiz_Frage5_Punkte]]/Max_Frage5</f>
        <v>1</v>
      </c>
      <c r="P133" s="2">
        <f>Trainingsabschluss[[#This Row],[Quiz_Frage1_Punkte]]+Trainingsabschluss[[#This Row],[Quiz_Frage2_Punkte]]+Trainingsabschluss[[#This Row],[Quiz_Frage3_Punkte]]+Trainingsabschluss[[#This Row],[Quiz_Frage4_Punkte]]+Trainingsabschluss[[#This Row],[Quiz_Frage5_Punkte]]</f>
        <v>17</v>
      </c>
      <c r="Q133" s="8">
        <f>Trainingsabschluss[[#This Row],[Quizergebnis]]/Max_Quizergebnis</f>
        <v>0.77272727272727271</v>
      </c>
      <c r="R133" t="str" cm="1">
        <f t="array" ref="R133">_xlfn.IFS(Trainingsabschluss[[#This Row],[Quizergebnis_Prozent]]&lt;0.5, "Nicht bestanden",
Trainingsabschluss[[#This Row],[Quizergebnis_Prozent]]&lt;0.65, "Bestanden",
Trainingsabschluss[[#This Row],[Quizergebnis_Prozent]]&lt;0.8, "Gut bestanden",
TRUE, "Sehr gut bestanden")</f>
        <v>Gut bestanden</v>
      </c>
      <c r="S133" s="3">
        <v>9</v>
      </c>
      <c r="T133" s="3" t="str" cm="1">
        <f t="array" ref="T133">_xlfn.IFS(Trainingsabschluss[[#This Row],[Training_Bewertung]]&gt;=9, "Promotor", Trainingsabschluss[[#This Row],[Training_Bewertung]]
&lt;=6, "Detraktor",
TRUE, "Passiv")</f>
        <v>Promotor</v>
      </c>
      <c r="W133"/>
    </row>
    <row r="134" spans="1:23" x14ac:dyDescent="0.3">
      <c r="A134" s="13" t="s">
        <v>226</v>
      </c>
      <c r="B134" s="2">
        <v>5</v>
      </c>
      <c r="C134" s="2">
        <v>5</v>
      </c>
      <c r="D134" s="2">
        <v>3</v>
      </c>
      <c r="E134" s="2">
        <v>4</v>
      </c>
      <c r="F134" s="2">
        <v>3</v>
      </c>
      <c r="G134" s="2" t="str">
        <f>_xlfn.XLOOKUP(Trainingsabschluss[[#This Row],[UserID]], Teilnehmende[UserID], Teilnehmende[Branche], "UserID nicht gefunden")</f>
        <v>Beratung</v>
      </c>
      <c r="H134" t="str">
        <f>_xlfn.XLOOKUP(Trainingsabschluss[[#This Row],[UserID]], Teilnehmende[UserID], Teilnehmende[Bildungsabschluss], "UserID nicht gefunden")</f>
        <v>Bachelor</v>
      </c>
      <c r="I134" s="3">
        <f>_xlfn.XLOOKUP(Trainingsabschluss[[#This Row],[UserID]], Teilnehmende[UserID], Teilnehmende[Berufserfahrung])</f>
        <v>8</v>
      </c>
      <c r="J134" s="3" t="str" cm="1">
        <f t="array" ref="J13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34" s="11">
        <f>Trainingsabschluss[[#This Row],[Quiz_Frage1_Punkte]]/Max_Frage1</f>
        <v>1</v>
      </c>
      <c r="L134" s="11">
        <f>Trainingsabschluss[[#This Row],[Quiz_Frage2_Punkte]]/Max_Frage2</f>
        <v>1</v>
      </c>
      <c r="M134" s="11">
        <f>Trainingsabschluss[[#This Row],[Quiz_Frage3_Punkte]]/Max_Frage3</f>
        <v>0.6</v>
      </c>
      <c r="N134" s="11">
        <f>Trainingsabschluss[[#This Row],[Quiz_Frage4_Punkte]]/Max_Frage4</f>
        <v>1</v>
      </c>
      <c r="O134" s="11">
        <f>Trainingsabschluss[[#This Row],[Quiz_Frage5_Punkte]]/Max_Frage5</f>
        <v>1</v>
      </c>
      <c r="P134" s="2">
        <f>Trainingsabschluss[[#This Row],[Quiz_Frage1_Punkte]]+Trainingsabschluss[[#This Row],[Quiz_Frage2_Punkte]]+Trainingsabschluss[[#This Row],[Quiz_Frage3_Punkte]]+Trainingsabschluss[[#This Row],[Quiz_Frage4_Punkte]]+Trainingsabschluss[[#This Row],[Quiz_Frage5_Punkte]]</f>
        <v>20</v>
      </c>
      <c r="Q134" s="8">
        <f>Trainingsabschluss[[#This Row],[Quizergebnis]]/Max_Quizergebnis</f>
        <v>0.90909090909090906</v>
      </c>
      <c r="R134" t="str" cm="1">
        <f t="array" ref="R134">_xlfn.IFS(Trainingsabschluss[[#This Row],[Quizergebnis_Prozent]]&lt;0.5, "Nicht bestanden",
Trainingsabschluss[[#This Row],[Quizergebnis_Prozent]]&lt;0.65, "Bestanden",
Trainingsabschluss[[#This Row],[Quizergebnis_Prozent]]&lt;0.8, "Gut bestanden",
TRUE, "Sehr gut bestanden")</f>
        <v>Sehr gut bestanden</v>
      </c>
      <c r="S134" s="3">
        <v>9</v>
      </c>
      <c r="T134" s="3" t="str" cm="1">
        <f t="array" ref="T134">_xlfn.IFS(Trainingsabschluss[[#This Row],[Training_Bewertung]]&gt;=9, "Promotor", Trainingsabschluss[[#This Row],[Training_Bewertung]]
&lt;=6, "Detraktor",
TRUE, "Passiv")</f>
        <v>Promotor</v>
      </c>
      <c r="W134"/>
    </row>
    <row r="135" spans="1:23" x14ac:dyDescent="0.3">
      <c r="A135" s="13" t="s">
        <v>227</v>
      </c>
      <c r="B135" s="2">
        <v>3.5</v>
      </c>
      <c r="C135" s="2">
        <v>1</v>
      </c>
      <c r="D135" s="2">
        <v>1.5</v>
      </c>
      <c r="E135" s="2">
        <v>1</v>
      </c>
      <c r="F135" s="2">
        <v>0</v>
      </c>
      <c r="G135" s="2" t="str">
        <f>_xlfn.XLOOKUP(Trainingsabschluss[[#This Row],[UserID]], Teilnehmende[UserID], Teilnehmende[Branche], "UserID nicht gefunden")</f>
        <v>Beratung</v>
      </c>
      <c r="H135" t="str">
        <f>_xlfn.XLOOKUP(Trainingsabschluss[[#This Row],[UserID]], Teilnehmende[UserID], Teilnehmende[Bildungsabschluss], "UserID nicht gefunden")</f>
        <v>Bachelor</v>
      </c>
      <c r="I135" s="3">
        <f>_xlfn.XLOOKUP(Trainingsabschluss[[#This Row],[UserID]], Teilnehmende[UserID], Teilnehmende[Berufserfahrung])</f>
        <v>10</v>
      </c>
      <c r="J135" s="3" t="str" cm="1">
        <f t="array" ref="J13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35" s="11">
        <f>Trainingsabschluss[[#This Row],[Quiz_Frage1_Punkte]]/Max_Frage1</f>
        <v>0.7</v>
      </c>
      <c r="L135" s="11">
        <f>Trainingsabschluss[[#This Row],[Quiz_Frage2_Punkte]]/Max_Frage2</f>
        <v>0.2</v>
      </c>
      <c r="M135" s="11">
        <f>Trainingsabschluss[[#This Row],[Quiz_Frage3_Punkte]]/Max_Frage3</f>
        <v>0.3</v>
      </c>
      <c r="N135" s="11">
        <f>Trainingsabschluss[[#This Row],[Quiz_Frage4_Punkte]]/Max_Frage4</f>
        <v>0.25</v>
      </c>
      <c r="O135" s="11">
        <f>Trainingsabschluss[[#This Row],[Quiz_Frage5_Punkte]]/Max_Frage5</f>
        <v>0</v>
      </c>
      <c r="P135" s="2">
        <f>Trainingsabschluss[[#This Row],[Quiz_Frage1_Punkte]]+Trainingsabschluss[[#This Row],[Quiz_Frage2_Punkte]]+Trainingsabschluss[[#This Row],[Quiz_Frage3_Punkte]]+Trainingsabschluss[[#This Row],[Quiz_Frage4_Punkte]]+Trainingsabschluss[[#This Row],[Quiz_Frage5_Punkte]]</f>
        <v>7</v>
      </c>
      <c r="Q135" s="8">
        <f>Trainingsabschluss[[#This Row],[Quizergebnis]]/Max_Quizergebnis</f>
        <v>0.31818181818181818</v>
      </c>
      <c r="R135" t="str" cm="1">
        <f t="array" ref="R135">_xlfn.IFS(Trainingsabschluss[[#This Row],[Quizergebnis_Prozent]]&lt;0.5, "Nicht bestanden",
Trainingsabschluss[[#This Row],[Quizergebnis_Prozent]]&lt;0.65, "Bestanden",
Trainingsabschluss[[#This Row],[Quizergebnis_Prozent]]&lt;0.8, "Gut bestanden",
TRUE, "Sehr gut bestanden")</f>
        <v>Nicht bestanden</v>
      </c>
      <c r="S135" s="3">
        <v>9</v>
      </c>
      <c r="T135" s="3" t="str" cm="1">
        <f t="array" ref="T135">_xlfn.IFS(Trainingsabschluss[[#This Row],[Training_Bewertung]]&gt;=9, "Promotor", Trainingsabschluss[[#This Row],[Training_Bewertung]]
&lt;=6, "Detraktor",
TRUE, "Passiv")</f>
        <v>Promotor</v>
      </c>
      <c r="W135"/>
    </row>
    <row r="136" spans="1:23" x14ac:dyDescent="0.3">
      <c r="A136" s="13" t="s">
        <v>231</v>
      </c>
      <c r="B136" s="2">
        <v>5</v>
      </c>
      <c r="C136" s="2">
        <v>1.5</v>
      </c>
      <c r="D136" s="2">
        <v>2.5</v>
      </c>
      <c r="E136" s="2">
        <v>4</v>
      </c>
      <c r="F136" s="2">
        <v>0</v>
      </c>
      <c r="G136" s="2" t="str">
        <f>_xlfn.XLOOKUP(Trainingsabschluss[[#This Row],[UserID]], Teilnehmende[UserID], Teilnehmende[Branche], "UserID nicht gefunden")</f>
        <v>Beratung</v>
      </c>
      <c r="H136" t="str">
        <f>_xlfn.XLOOKUP(Trainingsabschluss[[#This Row],[UserID]], Teilnehmende[UserID], Teilnehmende[Bildungsabschluss], "UserID nicht gefunden")</f>
        <v>Bachelor</v>
      </c>
      <c r="I136" s="3">
        <f>_xlfn.XLOOKUP(Trainingsabschluss[[#This Row],[UserID]], Teilnehmende[UserID], Teilnehmende[Berufserfahrung])</f>
        <v>11</v>
      </c>
      <c r="J136" s="3" t="str" cm="1">
        <f t="array" ref="J13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36" s="11">
        <f>Trainingsabschluss[[#This Row],[Quiz_Frage1_Punkte]]/Max_Frage1</f>
        <v>1</v>
      </c>
      <c r="L136" s="11">
        <f>Trainingsabschluss[[#This Row],[Quiz_Frage2_Punkte]]/Max_Frage2</f>
        <v>0.3</v>
      </c>
      <c r="M136" s="11">
        <f>Trainingsabschluss[[#This Row],[Quiz_Frage3_Punkte]]/Max_Frage3</f>
        <v>0.5</v>
      </c>
      <c r="N136" s="11">
        <f>Trainingsabschluss[[#This Row],[Quiz_Frage4_Punkte]]/Max_Frage4</f>
        <v>1</v>
      </c>
      <c r="O136" s="11">
        <f>Trainingsabschluss[[#This Row],[Quiz_Frage5_Punkte]]/Max_Frage5</f>
        <v>0</v>
      </c>
      <c r="P136" s="2">
        <f>Trainingsabschluss[[#This Row],[Quiz_Frage1_Punkte]]+Trainingsabschluss[[#This Row],[Quiz_Frage2_Punkte]]+Trainingsabschluss[[#This Row],[Quiz_Frage3_Punkte]]+Trainingsabschluss[[#This Row],[Quiz_Frage4_Punkte]]+Trainingsabschluss[[#This Row],[Quiz_Frage5_Punkte]]</f>
        <v>13</v>
      </c>
      <c r="Q136" s="8">
        <f>Trainingsabschluss[[#This Row],[Quizergebnis]]/Max_Quizergebnis</f>
        <v>0.59090909090909094</v>
      </c>
      <c r="R136" t="str" cm="1">
        <f t="array" ref="R136">_xlfn.IFS(Trainingsabschluss[[#This Row],[Quizergebnis_Prozent]]&lt;0.5, "Nicht bestanden",
Trainingsabschluss[[#This Row],[Quizergebnis_Prozent]]&lt;0.65, "Bestanden",
Trainingsabschluss[[#This Row],[Quizergebnis_Prozent]]&lt;0.8, "Gut bestanden",
TRUE, "Sehr gut bestanden")</f>
        <v>Bestanden</v>
      </c>
      <c r="S136" s="3">
        <v>9</v>
      </c>
      <c r="T136" s="3" t="str" cm="1">
        <f t="array" ref="T136">_xlfn.IFS(Trainingsabschluss[[#This Row],[Training_Bewertung]]&gt;=9, "Promotor", Trainingsabschluss[[#This Row],[Training_Bewertung]]
&lt;=6, "Detraktor",
TRUE, "Passiv")</f>
        <v>Promotor</v>
      </c>
      <c r="W136"/>
    </row>
    <row r="137" spans="1:23" x14ac:dyDescent="0.3">
      <c r="A137" s="13" t="s">
        <v>233</v>
      </c>
      <c r="B137" s="2">
        <v>5</v>
      </c>
      <c r="C137" s="2">
        <v>4.5</v>
      </c>
      <c r="D137" s="2">
        <v>1.5</v>
      </c>
      <c r="E137" s="2">
        <v>1.5</v>
      </c>
      <c r="F137" s="2">
        <v>0.5</v>
      </c>
      <c r="G137" s="2" t="str">
        <f>_xlfn.XLOOKUP(Trainingsabschluss[[#This Row],[UserID]], Teilnehmende[UserID], Teilnehmende[Branche], "UserID nicht gefunden")</f>
        <v>Beratung</v>
      </c>
      <c r="H137" t="str">
        <f>_xlfn.XLOOKUP(Trainingsabschluss[[#This Row],[UserID]], Teilnehmende[UserID], Teilnehmende[Bildungsabschluss], "UserID nicht gefunden")</f>
        <v>Bachelor</v>
      </c>
      <c r="I137" s="3">
        <f>_xlfn.XLOOKUP(Trainingsabschluss[[#This Row],[UserID]], Teilnehmende[UserID], Teilnehmende[Berufserfahrung])</f>
        <v>3</v>
      </c>
      <c r="J137" s="3" t="str" cm="1">
        <f t="array" ref="J13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37" s="11">
        <f>Trainingsabschluss[[#This Row],[Quiz_Frage1_Punkte]]/Max_Frage1</f>
        <v>1</v>
      </c>
      <c r="L137" s="11">
        <f>Trainingsabschluss[[#This Row],[Quiz_Frage2_Punkte]]/Max_Frage2</f>
        <v>0.9</v>
      </c>
      <c r="M137" s="11">
        <f>Trainingsabschluss[[#This Row],[Quiz_Frage3_Punkte]]/Max_Frage3</f>
        <v>0.3</v>
      </c>
      <c r="N137" s="11">
        <f>Trainingsabschluss[[#This Row],[Quiz_Frage4_Punkte]]/Max_Frage4</f>
        <v>0.375</v>
      </c>
      <c r="O137" s="11">
        <f>Trainingsabschluss[[#This Row],[Quiz_Frage5_Punkte]]/Max_Frage5</f>
        <v>0.16666666666666666</v>
      </c>
      <c r="P137" s="2">
        <f>Trainingsabschluss[[#This Row],[Quiz_Frage1_Punkte]]+Trainingsabschluss[[#This Row],[Quiz_Frage2_Punkte]]+Trainingsabschluss[[#This Row],[Quiz_Frage3_Punkte]]+Trainingsabschluss[[#This Row],[Quiz_Frage4_Punkte]]+Trainingsabschluss[[#This Row],[Quiz_Frage5_Punkte]]</f>
        <v>13</v>
      </c>
      <c r="Q137" s="8">
        <f>Trainingsabschluss[[#This Row],[Quizergebnis]]/Max_Quizergebnis</f>
        <v>0.59090909090909094</v>
      </c>
      <c r="R137" t="str" cm="1">
        <f t="array" ref="R137">_xlfn.IFS(Trainingsabschluss[[#This Row],[Quizergebnis_Prozent]]&lt;0.5, "Nicht bestanden",
Trainingsabschluss[[#This Row],[Quizergebnis_Prozent]]&lt;0.65, "Bestanden",
Trainingsabschluss[[#This Row],[Quizergebnis_Prozent]]&lt;0.8, "Gut bestanden",
TRUE, "Sehr gut bestanden")</f>
        <v>Bestanden</v>
      </c>
      <c r="S137" s="3">
        <v>9</v>
      </c>
      <c r="T137" s="3" t="str" cm="1">
        <f t="array" ref="T137">_xlfn.IFS(Trainingsabschluss[[#This Row],[Training_Bewertung]]&gt;=9, "Promotor", Trainingsabschluss[[#This Row],[Training_Bewertung]]
&lt;=6, "Detraktor",
TRUE, "Passiv")</f>
        <v>Promotor</v>
      </c>
      <c r="W137"/>
    </row>
    <row r="138" spans="1:23" x14ac:dyDescent="0.3">
      <c r="A138" s="13" t="s">
        <v>235</v>
      </c>
      <c r="B138" s="2">
        <v>2.5</v>
      </c>
      <c r="C138" s="2">
        <v>4.5</v>
      </c>
      <c r="D138" s="2">
        <v>2</v>
      </c>
      <c r="E138" s="2">
        <v>3.5</v>
      </c>
      <c r="F138" s="2">
        <v>1.5</v>
      </c>
      <c r="G138" s="2" t="str">
        <f>_xlfn.XLOOKUP(Trainingsabschluss[[#This Row],[UserID]], Teilnehmende[UserID], Teilnehmende[Branche], "UserID nicht gefunden")</f>
        <v>Beratung</v>
      </c>
      <c r="H138" t="str">
        <f>_xlfn.XLOOKUP(Trainingsabschluss[[#This Row],[UserID]], Teilnehmende[UserID], Teilnehmende[Bildungsabschluss], "UserID nicht gefunden")</f>
        <v>Bachelor</v>
      </c>
      <c r="I138" s="3">
        <f>_xlfn.XLOOKUP(Trainingsabschluss[[#This Row],[UserID]], Teilnehmende[UserID], Teilnehmende[Berufserfahrung])</f>
        <v>18</v>
      </c>
      <c r="J138" s="3" t="str" cm="1">
        <f t="array" ref="J138">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38" s="11">
        <f>Trainingsabschluss[[#This Row],[Quiz_Frage1_Punkte]]/Max_Frage1</f>
        <v>0.5</v>
      </c>
      <c r="L138" s="11">
        <f>Trainingsabschluss[[#This Row],[Quiz_Frage2_Punkte]]/Max_Frage2</f>
        <v>0.9</v>
      </c>
      <c r="M138" s="11">
        <f>Trainingsabschluss[[#This Row],[Quiz_Frage3_Punkte]]/Max_Frage3</f>
        <v>0.4</v>
      </c>
      <c r="N138" s="11">
        <f>Trainingsabschluss[[#This Row],[Quiz_Frage4_Punkte]]/Max_Frage4</f>
        <v>0.875</v>
      </c>
      <c r="O138" s="11">
        <f>Trainingsabschluss[[#This Row],[Quiz_Frage5_Punkte]]/Max_Frage5</f>
        <v>0.5</v>
      </c>
      <c r="P138" s="2">
        <f>Trainingsabschluss[[#This Row],[Quiz_Frage1_Punkte]]+Trainingsabschluss[[#This Row],[Quiz_Frage2_Punkte]]+Trainingsabschluss[[#This Row],[Quiz_Frage3_Punkte]]+Trainingsabschluss[[#This Row],[Quiz_Frage4_Punkte]]+Trainingsabschluss[[#This Row],[Quiz_Frage5_Punkte]]</f>
        <v>14</v>
      </c>
      <c r="Q138" s="8">
        <f>Trainingsabschluss[[#This Row],[Quizergebnis]]/Max_Quizergebnis</f>
        <v>0.63636363636363635</v>
      </c>
      <c r="R138" t="str" cm="1">
        <f t="array" ref="R138">_xlfn.IFS(Trainingsabschluss[[#This Row],[Quizergebnis_Prozent]]&lt;0.5, "Nicht bestanden",
Trainingsabschluss[[#This Row],[Quizergebnis_Prozent]]&lt;0.65, "Bestanden",
Trainingsabschluss[[#This Row],[Quizergebnis_Prozent]]&lt;0.8, "Gut bestanden",
TRUE, "Sehr gut bestanden")</f>
        <v>Bestanden</v>
      </c>
      <c r="S138" s="3">
        <v>9</v>
      </c>
      <c r="T138" s="3" t="str" cm="1">
        <f t="array" ref="T138">_xlfn.IFS(Trainingsabschluss[[#This Row],[Training_Bewertung]]&gt;=9, "Promotor", Trainingsabschluss[[#This Row],[Training_Bewertung]]
&lt;=6, "Detraktor",
TRUE, "Passiv")</f>
        <v>Promotor</v>
      </c>
      <c r="W138"/>
    </row>
    <row r="139" spans="1:23" x14ac:dyDescent="0.3">
      <c r="A139" s="13" t="s">
        <v>237</v>
      </c>
      <c r="B139" s="2">
        <v>5</v>
      </c>
      <c r="C139" s="2">
        <v>3</v>
      </c>
      <c r="D139" s="2">
        <v>0.5</v>
      </c>
      <c r="E139" s="2">
        <v>2</v>
      </c>
      <c r="F139" s="2">
        <v>1.5</v>
      </c>
      <c r="G139" s="2" t="str">
        <f>_xlfn.XLOOKUP(Trainingsabschluss[[#This Row],[UserID]], Teilnehmende[UserID], Teilnehmende[Branche], "UserID nicht gefunden")</f>
        <v>Beratung</v>
      </c>
      <c r="H139" t="str">
        <f>_xlfn.XLOOKUP(Trainingsabschluss[[#This Row],[UserID]], Teilnehmende[UserID], Teilnehmende[Bildungsabschluss], "UserID nicht gefunden")</f>
        <v>Bachelor</v>
      </c>
      <c r="I139" s="3">
        <f>_xlfn.XLOOKUP(Trainingsabschluss[[#This Row],[UserID]], Teilnehmende[UserID], Teilnehmende[Berufserfahrung])</f>
        <v>9</v>
      </c>
      <c r="J139" s="3" t="str" cm="1">
        <f t="array" ref="J13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39" s="11">
        <f>Trainingsabschluss[[#This Row],[Quiz_Frage1_Punkte]]/Max_Frage1</f>
        <v>1</v>
      </c>
      <c r="L139" s="11">
        <f>Trainingsabschluss[[#This Row],[Quiz_Frage2_Punkte]]/Max_Frage2</f>
        <v>0.6</v>
      </c>
      <c r="M139" s="11">
        <f>Trainingsabschluss[[#This Row],[Quiz_Frage3_Punkte]]/Max_Frage3</f>
        <v>0.1</v>
      </c>
      <c r="N139" s="11">
        <f>Trainingsabschluss[[#This Row],[Quiz_Frage4_Punkte]]/Max_Frage4</f>
        <v>0.5</v>
      </c>
      <c r="O139" s="11">
        <f>Trainingsabschluss[[#This Row],[Quiz_Frage5_Punkte]]/Max_Frage5</f>
        <v>0.5</v>
      </c>
      <c r="P139" s="2">
        <f>Trainingsabschluss[[#This Row],[Quiz_Frage1_Punkte]]+Trainingsabschluss[[#This Row],[Quiz_Frage2_Punkte]]+Trainingsabschluss[[#This Row],[Quiz_Frage3_Punkte]]+Trainingsabschluss[[#This Row],[Quiz_Frage4_Punkte]]+Trainingsabschluss[[#This Row],[Quiz_Frage5_Punkte]]</f>
        <v>12</v>
      </c>
      <c r="Q139" s="8">
        <f>Trainingsabschluss[[#This Row],[Quizergebnis]]/Max_Quizergebnis</f>
        <v>0.54545454545454541</v>
      </c>
      <c r="R139" t="str" cm="1">
        <f t="array" ref="R139">_xlfn.IFS(Trainingsabschluss[[#This Row],[Quizergebnis_Prozent]]&lt;0.5, "Nicht bestanden",
Trainingsabschluss[[#This Row],[Quizergebnis_Prozent]]&lt;0.65, "Bestanden",
Trainingsabschluss[[#This Row],[Quizergebnis_Prozent]]&lt;0.8, "Gut bestanden",
TRUE, "Sehr gut bestanden")</f>
        <v>Bestanden</v>
      </c>
      <c r="S139" s="3">
        <v>9</v>
      </c>
      <c r="T139" s="3" t="str" cm="1">
        <f t="array" ref="T139">_xlfn.IFS(Trainingsabschluss[[#This Row],[Training_Bewertung]]&gt;=9, "Promotor", Trainingsabschluss[[#This Row],[Training_Bewertung]]
&lt;=6, "Detraktor",
TRUE, "Passiv")</f>
        <v>Promotor</v>
      </c>
      <c r="W139"/>
    </row>
    <row r="140" spans="1:23" x14ac:dyDescent="0.3">
      <c r="A140" s="13" t="s">
        <v>238</v>
      </c>
      <c r="B140" s="2">
        <v>5</v>
      </c>
      <c r="C140" s="2">
        <v>3.5</v>
      </c>
      <c r="D140" s="2">
        <v>4.5</v>
      </c>
      <c r="E140" s="2">
        <v>2</v>
      </c>
      <c r="F140" s="2">
        <v>1</v>
      </c>
      <c r="G140" s="2" t="str">
        <f>_xlfn.XLOOKUP(Trainingsabschluss[[#This Row],[UserID]], Teilnehmende[UserID], Teilnehmende[Branche], "UserID nicht gefunden")</f>
        <v>Beratung</v>
      </c>
      <c r="H140" t="str">
        <f>_xlfn.XLOOKUP(Trainingsabschluss[[#This Row],[UserID]], Teilnehmende[UserID], Teilnehmende[Bildungsabschluss], "UserID nicht gefunden")</f>
        <v>Bachelor</v>
      </c>
      <c r="I140" s="3">
        <f>_xlfn.XLOOKUP(Trainingsabschluss[[#This Row],[UserID]], Teilnehmende[UserID], Teilnehmende[Berufserfahrung])</f>
        <v>3</v>
      </c>
      <c r="J140" s="3" t="str" cm="1">
        <f t="array" ref="J14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40" s="11">
        <f>Trainingsabschluss[[#This Row],[Quiz_Frage1_Punkte]]/Max_Frage1</f>
        <v>1</v>
      </c>
      <c r="L140" s="11">
        <f>Trainingsabschluss[[#This Row],[Quiz_Frage2_Punkte]]/Max_Frage2</f>
        <v>0.7</v>
      </c>
      <c r="M140" s="11">
        <f>Trainingsabschluss[[#This Row],[Quiz_Frage3_Punkte]]/Max_Frage3</f>
        <v>0.9</v>
      </c>
      <c r="N140" s="11">
        <f>Trainingsabschluss[[#This Row],[Quiz_Frage4_Punkte]]/Max_Frage4</f>
        <v>0.5</v>
      </c>
      <c r="O140" s="11">
        <f>Trainingsabschluss[[#This Row],[Quiz_Frage5_Punkte]]/Max_Frage5</f>
        <v>0.33333333333333331</v>
      </c>
      <c r="P140" s="2">
        <f>Trainingsabschluss[[#This Row],[Quiz_Frage1_Punkte]]+Trainingsabschluss[[#This Row],[Quiz_Frage2_Punkte]]+Trainingsabschluss[[#This Row],[Quiz_Frage3_Punkte]]+Trainingsabschluss[[#This Row],[Quiz_Frage4_Punkte]]+Trainingsabschluss[[#This Row],[Quiz_Frage5_Punkte]]</f>
        <v>16</v>
      </c>
      <c r="Q140" s="8">
        <f>Trainingsabschluss[[#This Row],[Quizergebnis]]/Max_Quizergebnis</f>
        <v>0.72727272727272729</v>
      </c>
      <c r="R140" t="str" cm="1">
        <f t="array" ref="R140">_xlfn.IFS(Trainingsabschluss[[#This Row],[Quizergebnis_Prozent]]&lt;0.5, "Nicht bestanden",
Trainingsabschluss[[#This Row],[Quizergebnis_Prozent]]&lt;0.65, "Bestanden",
Trainingsabschluss[[#This Row],[Quizergebnis_Prozent]]&lt;0.8, "Gut bestanden",
TRUE, "Sehr gut bestanden")</f>
        <v>Gut bestanden</v>
      </c>
      <c r="S140" s="3">
        <v>9</v>
      </c>
      <c r="T140" s="3" t="str" cm="1">
        <f t="array" ref="T140">_xlfn.IFS(Trainingsabschluss[[#This Row],[Training_Bewertung]]&gt;=9, "Promotor", Trainingsabschluss[[#This Row],[Training_Bewertung]]
&lt;=6, "Detraktor",
TRUE, "Passiv")</f>
        <v>Promotor</v>
      </c>
      <c r="W140"/>
    </row>
    <row r="141" spans="1:23" x14ac:dyDescent="0.3">
      <c r="A141" s="13" t="s">
        <v>240</v>
      </c>
      <c r="B141" s="2">
        <v>5</v>
      </c>
      <c r="C141" s="2">
        <v>2.5</v>
      </c>
      <c r="D141" s="2">
        <v>3.5</v>
      </c>
      <c r="E141" s="2">
        <v>3</v>
      </c>
      <c r="F141" s="2">
        <v>1</v>
      </c>
      <c r="G141" s="2" t="str">
        <f>_xlfn.XLOOKUP(Trainingsabschluss[[#This Row],[UserID]], Teilnehmende[UserID], Teilnehmende[Branche], "UserID nicht gefunden")</f>
        <v>Beratung</v>
      </c>
      <c r="H141" t="str">
        <f>_xlfn.XLOOKUP(Trainingsabschluss[[#This Row],[UserID]], Teilnehmende[UserID], Teilnehmende[Bildungsabschluss], "UserID nicht gefunden")</f>
        <v>Bachelor</v>
      </c>
      <c r="I141" s="3">
        <f>_xlfn.XLOOKUP(Trainingsabschluss[[#This Row],[UserID]], Teilnehmende[UserID], Teilnehmende[Berufserfahrung])</f>
        <v>5</v>
      </c>
      <c r="J141" s="3" t="str" cm="1">
        <f t="array" ref="J14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41" s="11">
        <f>Trainingsabschluss[[#This Row],[Quiz_Frage1_Punkte]]/Max_Frage1</f>
        <v>1</v>
      </c>
      <c r="L141" s="11">
        <f>Trainingsabschluss[[#This Row],[Quiz_Frage2_Punkte]]/Max_Frage2</f>
        <v>0.5</v>
      </c>
      <c r="M141" s="11">
        <f>Trainingsabschluss[[#This Row],[Quiz_Frage3_Punkte]]/Max_Frage3</f>
        <v>0.7</v>
      </c>
      <c r="N141" s="11">
        <f>Trainingsabschluss[[#This Row],[Quiz_Frage4_Punkte]]/Max_Frage4</f>
        <v>0.75</v>
      </c>
      <c r="O141" s="11">
        <f>Trainingsabschluss[[#This Row],[Quiz_Frage5_Punkte]]/Max_Frage5</f>
        <v>0.33333333333333331</v>
      </c>
      <c r="P141" s="2">
        <f>Trainingsabschluss[[#This Row],[Quiz_Frage1_Punkte]]+Trainingsabschluss[[#This Row],[Quiz_Frage2_Punkte]]+Trainingsabschluss[[#This Row],[Quiz_Frage3_Punkte]]+Trainingsabschluss[[#This Row],[Quiz_Frage4_Punkte]]+Trainingsabschluss[[#This Row],[Quiz_Frage5_Punkte]]</f>
        <v>15</v>
      </c>
      <c r="Q141" s="8">
        <f>Trainingsabschluss[[#This Row],[Quizergebnis]]/Max_Quizergebnis</f>
        <v>0.68181818181818177</v>
      </c>
      <c r="R141" t="str" cm="1">
        <f t="array" ref="R141">_xlfn.IFS(Trainingsabschluss[[#This Row],[Quizergebnis_Prozent]]&lt;0.5, "Nicht bestanden",
Trainingsabschluss[[#This Row],[Quizergebnis_Prozent]]&lt;0.65, "Bestanden",
Trainingsabschluss[[#This Row],[Quizergebnis_Prozent]]&lt;0.8, "Gut bestanden",
TRUE, "Sehr gut bestanden")</f>
        <v>Gut bestanden</v>
      </c>
      <c r="S141" s="3">
        <v>9</v>
      </c>
      <c r="T141" s="3" t="str" cm="1">
        <f t="array" ref="T141">_xlfn.IFS(Trainingsabschluss[[#This Row],[Training_Bewertung]]&gt;=9, "Promotor", Trainingsabschluss[[#This Row],[Training_Bewertung]]
&lt;=6, "Detraktor",
TRUE, "Passiv")</f>
        <v>Promotor</v>
      </c>
      <c r="W141"/>
    </row>
    <row r="142" spans="1:23" x14ac:dyDescent="0.3">
      <c r="A142" s="13" t="s">
        <v>241</v>
      </c>
      <c r="B142" s="2">
        <v>4</v>
      </c>
      <c r="C142" s="2">
        <v>3</v>
      </c>
      <c r="D142" s="2">
        <v>2.5</v>
      </c>
      <c r="E142" s="2">
        <v>4</v>
      </c>
      <c r="F142" s="2">
        <v>1.5</v>
      </c>
      <c r="G142" s="2" t="str">
        <f>_xlfn.XLOOKUP(Trainingsabschluss[[#This Row],[UserID]], Teilnehmende[UserID], Teilnehmende[Branche], "UserID nicht gefunden")</f>
        <v>Beratung</v>
      </c>
      <c r="H142" t="str">
        <f>_xlfn.XLOOKUP(Trainingsabschluss[[#This Row],[UserID]], Teilnehmende[UserID], Teilnehmende[Bildungsabschluss], "UserID nicht gefunden")</f>
        <v>Bachelor</v>
      </c>
      <c r="I142" s="3">
        <f>_xlfn.XLOOKUP(Trainingsabschluss[[#This Row],[UserID]], Teilnehmende[UserID], Teilnehmende[Berufserfahrung])</f>
        <v>2</v>
      </c>
      <c r="J142" s="3" t="str" cm="1">
        <f t="array" ref="J14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42" s="11">
        <f>Trainingsabschluss[[#This Row],[Quiz_Frage1_Punkte]]/Max_Frage1</f>
        <v>0.8</v>
      </c>
      <c r="L142" s="11">
        <f>Trainingsabschluss[[#This Row],[Quiz_Frage2_Punkte]]/Max_Frage2</f>
        <v>0.6</v>
      </c>
      <c r="M142" s="11">
        <f>Trainingsabschluss[[#This Row],[Quiz_Frage3_Punkte]]/Max_Frage3</f>
        <v>0.5</v>
      </c>
      <c r="N142" s="11">
        <f>Trainingsabschluss[[#This Row],[Quiz_Frage4_Punkte]]/Max_Frage4</f>
        <v>1</v>
      </c>
      <c r="O142" s="11">
        <f>Trainingsabschluss[[#This Row],[Quiz_Frage5_Punkte]]/Max_Frage5</f>
        <v>0.5</v>
      </c>
      <c r="P142" s="2">
        <f>Trainingsabschluss[[#This Row],[Quiz_Frage1_Punkte]]+Trainingsabschluss[[#This Row],[Quiz_Frage2_Punkte]]+Trainingsabschluss[[#This Row],[Quiz_Frage3_Punkte]]+Trainingsabschluss[[#This Row],[Quiz_Frage4_Punkte]]+Trainingsabschluss[[#This Row],[Quiz_Frage5_Punkte]]</f>
        <v>15</v>
      </c>
      <c r="Q142" s="8">
        <f>Trainingsabschluss[[#This Row],[Quizergebnis]]/Max_Quizergebnis</f>
        <v>0.68181818181818177</v>
      </c>
      <c r="R142" t="str" cm="1">
        <f t="array" ref="R142">_xlfn.IFS(Trainingsabschluss[[#This Row],[Quizergebnis_Prozent]]&lt;0.5, "Nicht bestanden",
Trainingsabschluss[[#This Row],[Quizergebnis_Prozent]]&lt;0.65, "Bestanden",
Trainingsabschluss[[#This Row],[Quizergebnis_Prozent]]&lt;0.8, "Gut bestanden",
TRUE, "Sehr gut bestanden")</f>
        <v>Gut bestanden</v>
      </c>
      <c r="S142" s="3">
        <v>9</v>
      </c>
      <c r="T142" s="3" t="str" cm="1">
        <f t="array" ref="T142">_xlfn.IFS(Trainingsabschluss[[#This Row],[Training_Bewertung]]&gt;=9, "Promotor", Trainingsabschluss[[#This Row],[Training_Bewertung]]
&lt;=6, "Detraktor",
TRUE, "Passiv")</f>
        <v>Promotor</v>
      </c>
      <c r="W142"/>
    </row>
    <row r="143" spans="1:23" x14ac:dyDescent="0.3">
      <c r="A143" s="13" t="s">
        <v>242</v>
      </c>
      <c r="B143" s="2">
        <v>5</v>
      </c>
      <c r="C143" s="2">
        <v>3</v>
      </c>
      <c r="D143" s="2">
        <v>3.5</v>
      </c>
      <c r="E143" s="2">
        <v>4</v>
      </c>
      <c r="F143" s="2">
        <v>1</v>
      </c>
      <c r="G143" s="2" t="str">
        <f>_xlfn.XLOOKUP(Trainingsabschluss[[#This Row],[UserID]], Teilnehmende[UserID], Teilnehmende[Branche], "UserID nicht gefunden")</f>
        <v>Beratung</v>
      </c>
      <c r="H143" t="str">
        <f>_xlfn.XLOOKUP(Trainingsabschluss[[#This Row],[UserID]], Teilnehmende[UserID], Teilnehmende[Bildungsabschluss], "UserID nicht gefunden")</f>
        <v>Bachelor</v>
      </c>
      <c r="I143" s="3">
        <f>_xlfn.XLOOKUP(Trainingsabschluss[[#This Row],[UserID]], Teilnehmende[UserID], Teilnehmende[Berufserfahrung])</f>
        <v>5</v>
      </c>
      <c r="J143" s="3" t="str" cm="1">
        <f t="array" ref="J14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43" s="11">
        <f>Trainingsabschluss[[#This Row],[Quiz_Frage1_Punkte]]/Max_Frage1</f>
        <v>1</v>
      </c>
      <c r="L143" s="11">
        <f>Trainingsabschluss[[#This Row],[Quiz_Frage2_Punkte]]/Max_Frage2</f>
        <v>0.6</v>
      </c>
      <c r="M143" s="11">
        <f>Trainingsabschluss[[#This Row],[Quiz_Frage3_Punkte]]/Max_Frage3</f>
        <v>0.7</v>
      </c>
      <c r="N143" s="11">
        <f>Trainingsabschluss[[#This Row],[Quiz_Frage4_Punkte]]/Max_Frage4</f>
        <v>1</v>
      </c>
      <c r="O143" s="11">
        <f>Trainingsabschluss[[#This Row],[Quiz_Frage5_Punkte]]/Max_Frage5</f>
        <v>0.33333333333333331</v>
      </c>
      <c r="P143" s="2">
        <f>Trainingsabschluss[[#This Row],[Quiz_Frage1_Punkte]]+Trainingsabschluss[[#This Row],[Quiz_Frage2_Punkte]]+Trainingsabschluss[[#This Row],[Quiz_Frage3_Punkte]]+Trainingsabschluss[[#This Row],[Quiz_Frage4_Punkte]]+Trainingsabschluss[[#This Row],[Quiz_Frage5_Punkte]]</f>
        <v>16.5</v>
      </c>
      <c r="Q143" s="8">
        <f>Trainingsabschluss[[#This Row],[Quizergebnis]]/Max_Quizergebnis</f>
        <v>0.75</v>
      </c>
      <c r="R143" t="str" cm="1">
        <f t="array" ref="R143">_xlfn.IFS(Trainingsabschluss[[#This Row],[Quizergebnis_Prozent]]&lt;0.5, "Nicht bestanden",
Trainingsabschluss[[#This Row],[Quizergebnis_Prozent]]&lt;0.65, "Bestanden",
Trainingsabschluss[[#This Row],[Quizergebnis_Prozent]]&lt;0.8, "Gut bestanden",
TRUE, "Sehr gut bestanden")</f>
        <v>Gut bestanden</v>
      </c>
      <c r="S143" s="3">
        <v>9</v>
      </c>
      <c r="T143" s="3" t="str" cm="1">
        <f t="array" ref="T143">_xlfn.IFS(Trainingsabschluss[[#This Row],[Training_Bewertung]]&gt;=9, "Promotor", Trainingsabschluss[[#This Row],[Training_Bewertung]]
&lt;=6, "Detraktor",
TRUE, "Passiv")</f>
        <v>Promotor</v>
      </c>
      <c r="W143"/>
    </row>
    <row r="144" spans="1:23" x14ac:dyDescent="0.3">
      <c r="A144" s="13" t="s">
        <v>244</v>
      </c>
      <c r="B144" s="2">
        <v>4.5</v>
      </c>
      <c r="C144" s="2">
        <v>5</v>
      </c>
      <c r="D144" s="2">
        <v>1.5</v>
      </c>
      <c r="E144" s="2">
        <v>3.5</v>
      </c>
      <c r="F144" s="2">
        <v>3</v>
      </c>
      <c r="G144" s="2" t="str">
        <f>_xlfn.XLOOKUP(Trainingsabschluss[[#This Row],[UserID]], Teilnehmende[UserID], Teilnehmende[Branche], "UserID nicht gefunden")</f>
        <v>Beratung</v>
      </c>
      <c r="H144" t="str">
        <f>_xlfn.XLOOKUP(Trainingsabschluss[[#This Row],[UserID]], Teilnehmende[UserID], Teilnehmende[Bildungsabschluss], "UserID nicht gefunden")</f>
        <v>Bachelor</v>
      </c>
      <c r="I144" s="3">
        <f>_xlfn.XLOOKUP(Trainingsabschluss[[#This Row],[UserID]], Teilnehmende[UserID], Teilnehmende[Berufserfahrung])</f>
        <v>5</v>
      </c>
      <c r="J144" s="3" t="str" cm="1">
        <f t="array" ref="J14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44" s="11">
        <f>Trainingsabschluss[[#This Row],[Quiz_Frage1_Punkte]]/Max_Frage1</f>
        <v>0.9</v>
      </c>
      <c r="L144" s="11">
        <f>Trainingsabschluss[[#This Row],[Quiz_Frage2_Punkte]]/Max_Frage2</f>
        <v>1</v>
      </c>
      <c r="M144" s="11">
        <f>Trainingsabschluss[[#This Row],[Quiz_Frage3_Punkte]]/Max_Frage3</f>
        <v>0.3</v>
      </c>
      <c r="N144" s="11">
        <f>Trainingsabschluss[[#This Row],[Quiz_Frage4_Punkte]]/Max_Frage4</f>
        <v>0.875</v>
      </c>
      <c r="O144" s="11">
        <f>Trainingsabschluss[[#This Row],[Quiz_Frage5_Punkte]]/Max_Frage5</f>
        <v>1</v>
      </c>
      <c r="P144" s="2">
        <f>Trainingsabschluss[[#This Row],[Quiz_Frage1_Punkte]]+Trainingsabschluss[[#This Row],[Quiz_Frage2_Punkte]]+Trainingsabschluss[[#This Row],[Quiz_Frage3_Punkte]]+Trainingsabschluss[[#This Row],[Quiz_Frage4_Punkte]]+Trainingsabschluss[[#This Row],[Quiz_Frage5_Punkte]]</f>
        <v>17.5</v>
      </c>
      <c r="Q144" s="8">
        <f>Trainingsabschluss[[#This Row],[Quizergebnis]]/Max_Quizergebnis</f>
        <v>0.79545454545454541</v>
      </c>
      <c r="R144" t="str" cm="1">
        <f t="array" ref="R144">_xlfn.IFS(Trainingsabschluss[[#This Row],[Quizergebnis_Prozent]]&lt;0.5, "Nicht bestanden",
Trainingsabschluss[[#This Row],[Quizergebnis_Prozent]]&lt;0.65, "Bestanden",
Trainingsabschluss[[#This Row],[Quizergebnis_Prozent]]&lt;0.8, "Gut bestanden",
TRUE, "Sehr gut bestanden")</f>
        <v>Gut bestanden</v>
      </c>
      <c r="S144" s="3">
        <v>9</v>
      </c>
      <c r="T144" s="3" t="str" cm="1">
        <f t="array" ref="T144">_xlfn.IFS(Trainingsabschluss[[#This Row],[Training_Bewertung]]&gt;=9, "Promotor", Trainingsabschluss[[#This Row],[Training_Bewertung]]
&lt;=6, "Detraktor",
TRUE, "Passiv")</f>
        <v>Promotor</v>
      </c>
      <c r="W144"/>
    </row>
    <row r="145" spans="1:23" x14ac:dyDescent="0.3">
      <c r="A145" s="13" t="s">
        <v>246</v>
      </c>
      <c r="B145" s="2">
        <v>4</v>
      </c>
      <c r="C145" s="2">
        <v>5</v>
      </c>
      <c r="D145" s="2">
        <v>2.5</v>
      </c>
      <c r="E145" s="2">
        <v>3</v>
      </c>
      <c r="F145" s="2">
        <v>2</v>
      </c>
      <c r="G145" s="2" t="str">
        <f>_xlfn.XLOOKUP(Trainingsabschluss[[#This Row],[UserID]], Teilnehmende[UserID], Teilnehmende[Branche], "UserID nicht gefunden")</f>
        <v>Beratung</v>
      </c>
      <c r="H145" t="str">
        <f>_xlfn.XLOOKUP(Trainingsabschluss[[#This Row],[UserID]], Teilnehmende[UserID], Teilnehmende[Bildungsabschluss], "UserID nicht gefunden")</f>
        <v>Bachelor</v>
      </c>
      <c r="I145" s="3">
        <f>_xlfn.XLOOKUP(Trainingsabschluss[[#This Row],[UserID]], Teilnehmende[UserID], Teilnehmende[Berufserfahrung])</f>
        <v>16</v>
      </c>
      <c r="J145" s="3" t="str" cm="1">
        <f t="array" ref="J145">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45" s="11">
        <f>Trainingsabschluss[[#This Row],[Quiz_Frage1_Punkte]]/Max_Frage1</f>
        <v>0.8</v>
      </c>
      <c r="L145" s="11">
        <f>Trainingsabschluss[[#This Row],[Quiz_Frage2_Punkte]]/Max_Frage2</f>
        <v>1</v>
      </c>
      <c r="M145" s="11">
        <f>Trainingsabschluss[[#This Row],[Quiz_Frage3_Punkte]]/Max_Frage3</f>
        <v>0.5</v>
      </c>
      <c r="N145" s="11">
        <f>Trainingsabschluss[[#This Row],[Quiz_Frage4_Punkte]]/Max_Frage4</f>
        <v>0.75</v>
      </c>
      <c r="O145" s="11">
        <f>Trainingsabschluss[[#This Row],[Quiz_Frage5_Punkte]]/Max_Frage5</f>
        <v>0.66666666666666663</v>
      </c>
      <c r="P145" s="2">
        <f>Trainingsabschluss[[#This Row],[Quiz_Frage1_Punkte]]+Trainingsabschluss[[#This Row],[Quiz_Frage2_Punkte]]+Trainingsabschluss[[#This Row],[Quiz_Frage3_Punkte]]+Trainingsabschluss[[#This Row],[Quiz_Frage4_Punkte]]+Trainingsabschluss[[#This Row],[Quiz_Frage5_Punkte]]</f>
        <v>16.5</v>
      </c>
      <c r="Q145" s="8">
        <f>Trainingsabschluss[[#This Row],[Quizergebnis]]/Max_Quizergebnis</f>
        <v>0.75</v>
      </c>
      <c r="R145" t="str" cm="1">
        <f t="array" ref="R145">_xlfn.IFS(Trainingsabschluss[[#This Row],[Quizergebnis_Prozent]]&lt;0.5, "Nicht bestanden",
Trainingsabschluss[[#This Row],[Quizergebnis_Prozent]]&lt;0.65, "Bestanden",
Trainingsabschluss[[#This Row],[Quizergebnis_Prozent]]&lt;0.8, "Gut bestanden",
TRUE, "Sehr gut bestanden")</f>
        <v>Gut bestanden</v>
      </c>
      <c r="S145" s="3">
        <v>9</v>
      </c>
      <c r="T145" s="3" t="str" cm="1">
        <f t="array" ref="T145">_xlfn.IFS(Trainingsabschluss[[#This Row],[Training_Bewertung]]&gt;=9, "Promotor", Trainingsabschluss[[#This Row],[Training_Bewertung]]
&lt;=6, "Detraktor",
TRUE, "Passiv")</f>
        <v>Promotor</v>
      </c>
      <c r="W145"/>
    </row>
    <row r="146" spans="1:23" x14ac:dyDescent="0.3">
      <c r="A146" s="13" t="s">
        <v>247</v>
      </c>
      <c r="B146" s="2">
        <v>4</v>
      </c>
      <c r="C146" s="2">
        <v>2</v>
      </c>
      <c r="D146" s="2">
        <v>0</v>
      </c>
      <c r="E146" s="2">
        <v>2.5</v>
      </c>
      <c r="F146" s="2">
        <v>3</v>
      </c>
      <c r="G146" s="2" t="str">
        <f>_xlfn.XLOOKUP(Trainingsabschluss[[#This Row],[UserID]], Teilnehmende[UserID], Teilnehmende[Branche], "UserID nicht gefunden")</f>
        <v>Beratung</v>
      </c>
      <c r="H146" t="str">
        <f>_xlfn.XLOOKUP(Trainingsabschluss[[#This Row],[UserID]], Teilnehmende[UserID], Teilnehmende[Bildungsabschluss], "UserID nicht gefunden")</f>
        <v>Bachelor</v>
      </c>
      <c r="I146" s="3">
        <f>_xlfn.XLOOKUP(Trainingsabschluss[[#This Row],[UserID]], Teilnehmende[UserID], Teilnehmende[Berufserfahrung])</f>
        <v>6</v>
      </c>
      <c r="J146" s="3" t="str" cm="1">
        <f t="array" ref="J14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46" s="11">
        <f>Trainingsabschluss[[#This Row],[Quiz_Frage1_Punkte]]/Max_Frage1</f>
        <v>0.8</v>
      </c>
      <c r="L146" s="11">
        <f>Trainingsabschluss[[#This Row],[Quiz_Frage2_Punkte]]/Max_Frage2</f>
        <v>0.4</v>
      </c>
      <c r="M146" s="11">
        <f>Trainingsabschluss[[#This Row],[Quiz_Frage3_Punkte]]/Max_Frage3</f>
        <v>0</v>
      </c>
      <c r="N146" s="11">
        <f>Trainingsabschluss[[#This Row],[Quiz_Frage4_Punkte]]/Max_Frage4</f>
        <v>0.625</v>
      </c>
      <c r="O146" s="11">
        <f>Trainingsabschluss[[#This Row],[Quiz_Frage5_Punkte]]/Max_Frage5</f>
        <v>1</v>
      </c>
      <c r="P146" s="2">
        <f>Trainingsabschluss[[#This Row],[Quiz_Frage1_Punkte]]+Trainingsabschluss[[#This Row],[Quiz_Frage2_Punkte]]+Trainingsabschluss[[#This Row],[Quiz_Frage3_Punkte]]+Trainingsabschluss[[#This Row],[Quiz_Frage4_Punkte]]+Trainingsabschluss[[#This Row],[Quiz_Frage5_Punkte]]</f>
        <v>11.5</v>
      </c>
      <c r="Q146" s="8">
        <f>Trainingsabschluss[[#This Row],[Quizergebnis]]/Max_Quizergebnis</f>
        <v>0.52272727272727271</v>
      </c>
      <c r="R146" t="str" cm="1">
        <f t="array" ref="R146">_xlfn.IFS(Trainingsabschluss[[#This Row],[Quizergebnis_Prozent]]&lt;0.5, "Nicht bestanden",
Trainingsabschluss[[#This Row],[Quizergebnis_Prozent]]&lt;0.65, "Bestanden",
Trainingsabschluss[[#This Row],[Quizergebnis_Prozent]]&lt;0.8, "Gut bestanden",
TRUE, "Sehr gut bestanden")</f>
        <v>Bestanden</v>
      </c>
      <c r="S146" s="3">
        <v>9</v>
      </c>
      <c r="T146" s="3" t="str" cm="1">
        <f t="array" ref="T146">_xlfn.IFS(Trainingsabschluss[[#This Row],[Training_Bewertung]]&gt;=9, "Promotor", Trainingsabschluss[[#This Row],[Training_Bewertung]]
&lt;=6, "Detraktor",
TRUE, "Passiv")</f>
        <v>Promotor</v>
      </c>
      <c r="W146"/>
    </row>
    <row r="147" spans="1:23" x14ac:dyDescent="0.3">
      <c r="A147" s="13" t="s">
        <v>250</v>
      </c>
      <c r="B147" s="2">
        <v>5</v>
      </c>
      <c r="C147" s="2">
        <v>3</v>
      </c>
      <c r="D147" s="2">
        <v>1</v>
      </c>
      <c r="E147" s="2">
        <v>4</v>
      </c>
      <c r="F147" s="2">
        <v>0</v>
      </c>
      <c r="G147" s="2" t="str">
        <f>_xlfn.XLOOKUP(Trainingsabschluss[[#This Row],[UserID]], Teilnehmende[UserID], Teilnehmende[Branche], "UserID nicht gefunden")</f>
        <v>Beratung</v>
      </c>
      <c r="H147" t="str">
        <f>_xlfn.XLOOKUP(Trainingsabschluss[[#This Row],[UserID]], Teilnehmende[UserID], Teilnehmende[Bildungsabschluss], "UserID nicht gefunden")</f>
        <v>Bachelor</v>
      </c>
      <c r="I147" s="3">
        <f>_xlfn.XLOOKUP(Trainingsabschluss[[#This Row],[UserID]], Teilnehmende[UserID], Teilnehmende[Berufserfahrung])</f>
        <v>10</v>
      </c>
      <c r="J147" s="3" t="str" cm="1">
        <f t="array" ref="J147">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47" s="11">
        <f>Trainingsabschluss[[#This Row],[Quiz_Frage1_Punkte]]/Max_Frage1</f>
        <v>1</v>
      </c>
      <c r="L147" s="11">
        <f>Trainingsabschluss[[#This Row],[Quiz_Frage2_Punkte]]/Max_Frage2</f>
        <v>0.6</v>
      </c>
      <c r="M147" s="11">
        <f>Trainingsabschluss[[#This Row],[Quiz_Frage3_Punkte]]/Max_Frage3</f>
        <v>0.2</v>
      </c>
      <c r="N147" s="11">
        <f>Trainingsabschluss[[#This Row],[Quiz_Frage4_Punkte]]/Max_Frage4</f>
        <v>1</v>
      </c>
      <c r="O147" s="11">
        <f>Trainingsabschluss[[#This Row],[Quiz_Frage5_Punkte]]/Max_Frage5</f>
        <v>0</v>
      </c>
      <c r="P147" s="2">
        <f>Trainingsabschluss[[#This Row],[Quiz_Frage1_Punkte]]+Trainingsabschluss[[#This Row],[Quiz_Frage2_Punkte]]+Trainingsabschluss[[#This Row],[Quiz_Frage3_Punkte]]+Trainingsabschluss[[#This Row],[Quiz_Frage4_Punkte]]+Trainingsabschluss[[#This Row],[Quiz_Frage5_Punkte]]</f>
        <v>13</v>
      </c>
      <c r="Q147" s="8">
        <f>Trainingsabschluss[[#This Row],[Quizergebnis]]/Max_Quizergebnis</f>
        <v>0.59090909090909094</v>
      </c>
      <c r="R147" t="str" cm="1">
        <f t="array" ref="R147">_xlfn.IFS(Trainingsabschluss[[#This Row],[Quizergebnis_Prozent]]&lt;0.5, "Nicht bestanden",
Trainingsabschluss[[#This Row],[Quizergebnis_Prozent]]&lt;0.65, "Bestanden",
Trainingsabschluss[[#This Row],[Quizergebnis_Prozent]]&lt;0.8, "Gut bestanden",
TRUE, "Sehr gut bestanden")</f>
        <v>Bestanden</v>
      </c>
      <c r="S147" s="3">
        <v>9</v>
      </c>
      <c r="T147" s="3" t="str" cm="1">
        <f t="array" ref="T147">_xlfn.IFS(Trainingsabschluss[[#This Row],[Training_Bewertung]]&gt;=9, "Promotor", Trainingsabschluss[[#This Row],[Training_Bewertung]]
&lt;=6, "Detraktor",
TRUE, "Passiv")</f>
        <v>Promotor</v>
      </c>
      <c r="W147"/>
    </row>
    <row r="148" spans="1:23" x14ac:dyDescent="0.3">
      <c r="A148" s="13" t="s">
        <v>155</v>
      </c>
      <c r="B148" s="2">
        <v>5</v>
      </c>
      <c r="C148" s="2">
        <v>2.5</v>
      </c>
      <c r="D148" s="2">
        <v>5</v>
      </c>
      <c r="E148" s="2">
        <v>3.5</v>
      </c>
      <c r="F148" s="2">
        <v>2.5</v>
      </c>
      <c r="G148" s="2" t="str">
        <f>_xlfn.XLOOKUP(Trainingsabschluss[[#This Row],[UserID]], Teilnehmende[UserID], Teilnehmende[Branche], "UserID nicht gefunden")</f>
        <v>Beratung</v>
      </c>
      <c r="H148" t="str">
        <f>_xlfn.XLOOKUP(Trainingsabschluss[[#This Row],[UserID]], Teilnehmende[UserID], Teilnehmende[Bildungsabschluss], "UserID nicht gefunden")</f>
        <v>Bachelor</v>
      </c>
      <c r="I148" s="3">
        <f>_xlfn.XLOOKUP(Trainingsabschluss[[#This Row],[UserID]], Teilnehmende[UserID], Teilnehmende[Berufserfahrung])</f>
        <v>6</v>
      </c>
      <c r="J148" s="3" t="str" cm="1">
        <f t="array" ref="J14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48" s="11">
        <f>Trainingsabschluss[[#This Row],[Quiz_Frage1_Punkte]]/Max_Frage1</f>
        <v>1</v>
      </c>
      <c r="L148" s="11">
        <f>Trainingsabschluss[[#This Row],[Quiz_Frage2_Punkte]]/Max_Frage2</f>
        <v>0.5</v>
      </c>
      <c r="M148" s="11">
        <f>Trainingsabschluss[[#This Row],[Quiz_Frage3_Punkte]]/Max_Frage3</f>
        <v>1</v>
      </c>
      <c r="N148" s="11">
        <f>Trainingsabschluss[[#This Row],[Quiz_Frage4_Punkte]]/Max_Frage4</f>
        <v>0.875</v>
      </c>
      <c r="O148" s="11">
        <f>Trainingsabschluss[[#This Row],[Quiz_Frage5_Punkte]]/Max_Frage5</f>
        <v>0.83333333333333337</v>
      </c>
      <c r="P148" s="2">
        <f>Trainingsabschluss[[#This Row],[Quiz_Frage1_Punkte]]+Trainingsabschluss[[#This Row],[Quiz_Frage2_Punkte]]+Trainingsabschluss[[#This Row],[Quiz_Frage3_Punkte]]+Trainingsabschluss[[#This Row],[Quiz_Frage4_Punkte]]+Trainingsabschluss[[#This Row],[Quiz_Frage5_Punkte]]</f>
        <v>18.5</v>
      </c>
      <c r="Q148" s="8">
        <f>Trainingsabschluss[[#This Row],[Quizergebnis]]/Max_Quizergebnis</f>
        <v>0.84090909090909094</v>
      </c>
      <c r="R148" t="str" cm="1">
        <f t="array" ref="R148">_xlfn.IFS(Trainingsabschluss[[#This Row],[Quizergebnis_Prozent]]&lt;0.5, "Nicht bestanden",
Trainingsabschluss[[#This Row],[Quizergebnis_Prozent]]&lt;0.65, "Bestanden",
Trainingsabschluss[[#This Row],[Quizergebnis_Prozent]]&lt;0.8, "Gut bestanden",
TRUE, "Sehr gut bestanden")</f>
        <v>Sehr gut bestanden</v>
      </c>
      <c r="S148" s="3">
        <v>10</v>
      </c>
      <c r="T148" s="3" t="str" cm="1">
        <f t="array" ref="T148">_xlfn.IFS(Trainingsabschluss[[#This Row],[Training_Bewertung]]&gt;=9, "Promotor", Trainingsabschluss[[#This Row],[Training_Bewertung]]
&lt;=6, "Detraktor",
TRUE, "Passiv")</f>
        <v>Promotor</v>
      </c>
      <c r="W148"/>
    </row>
    <row r="149" spans="1:23" x14ac:dyDescent="0.3">
      <c r="A149" s="13" t="s">
        <v>158</v>
      </c>
      <c r="B149" s="2">
        <v>5</v>
      </c>
      <c r="C149" s="2">
        <v>3.5</v>
      </c>
      <c r="D149" s="2">
        <v>2</v>
      </c>
      <c r="E149" s="2">
        <v>3.5</v>
      </c>
      <c r="F149" s="2">
        <v>2</v>
      </c>
      <c r="G149" s="2" t="str">
        <f>_xlfn.XLOOKUP(Trainingsabschluss[[#This Row],[UserID]], Teilnehmende[UserID], Teilnehmende[Branche], "UserID nicht gefunden")</f>
        <v>Beratung</v>
      </c>
      <c r="H149" t="str">
        <f>_xlfn.XLOOKUP(Trainingsabschluss[[#This Row],[UserID]], Teilnehmende[UserID], Teilnehmende[Bildungsabschluss], "UserID nicht gefunden")</f>
        <v>Bachelor</v>
      </c>
      <c r="I149" s="3">
        <f>_xlfn.XLOOKUP(Trainingsabschluss[[#This Row],[UserID]], Teilnehmende[UserID], Teilnehmende[Berufserfahrung])</f>
        <v>6</v>
      </c>
      <c r="J149" s="3" t="str" cm="1">
        <f t="array" ref="J14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49" s="11">
        <f>Trainingsabschluss[[#This Row],[Quiz_Frage1_Punkte]]/Max_Frage1</f>
        <v>1</v>
      </c>
      <c r="L149" s="11">
        <f>Trainingsabschluss[[#This Row],[Quiz_Frage2_Punkte]]/Max_Frage2</f>
        <v>0.7</v>
      </c>
      <c r="M149" s="11">
        <f>Trainingsabschluss[[#This Row],[Quiz_Frage3_Punkte]]/Max_Frage3</f>
        <v>0.4</v>
      </c>
      <c r="N149" s="11">
        <f>Trainingsabschluss[[#This Row],[Quiz_Frage4_Punkte]]/Max_Frage4</f>
        <v>0.875</v>
      </c>
      <c r="O149" s="11">
        <f>Trainingsabschluss[[#This Row],[Quiz_Frage5_Punkte]]/Max_Frage5</f>
        <v>0.66666666666666663</v>
      </c>
      <c r="P149" s="2">
        <f>Trainingsabschluss[[#This Row],[Quiz_Frage1_Punkte]]+Trainingsabschluss[[#This Row],[Quiz_Frage2_Punkte]]+Trainingsabschluss[[#This Row],[Quiz_Frage3_Punkte]]+Trainingsabschluss[[#This Row],[Quiz_Frage4_Punkte]]+Trainingsabschluss[[#This Row],[Quiz_Frage5_Punkte]]</f>
        <v>16</v>
      </c>
      <c r="Q149" s="8">
        <f>Trainingsabschluss[[#This Row],[Quizergebnis]]/Max_Quizergebnis</f>
        <v>0.72727272727272729</v>
      </c>
      <c r="R149" t="str" cm="1">
        <f t="array" ref="R149">_xlfn.IFS(Trainingsabschluss[[#This Row],[Quizergebnis_Prozent]]&lt;0.5, "Nicht bestanden",
Trainingsabschluss[[#This Row],[Quizergebnis_Prozent]]&lt;0.65, "Bestanden",
Trainingsabschluss[[#This Row],[Quizergebnis_Prozent]]&lt;0.8, "Gut bestanden",
TRUE, "Sehr gut bestanden")</f>
        <v>Gut bestanden</v>
      </c>
      <c r="S149" s="3">
        <v>10</v>
      </c>
      <c r="T149" s="3" t="str" cm="1">
        <f t="array" ref="T149">_xlfn.IFS(Trainingsabschluss[[#This Row],[Training_Bewertung]]&gt;=9, "Promotor", Trainingsabschluss[[#This Row],[Training_Bewertung]]
&lt;=6, "Detraktor",
TRUE, "Passiv")</f>
        <v>Promotor</v>
      </c>
      <c r="W149"/>
    </row>
    <row r="150" spans="1:23" x14ac:dyDescent="0.3">
      <c r="A150" s="13" t="s">
        <v>256</v>
      </c>
      <c r="B150" s="2">
        <v>1</v>
      </c>
      <c r="C150" s="2">
        <v>0</v>
      </c>
      <c r="D150" s="2">
        <v>0</v>
      </c>
      <c r="E150" s="2">
        <v>0</v>
      </c>
      <c r="F150" s="2">
        <v>0</v>
      </c>
      <c r="G150" s="2" t="str">
        <f>_xlfn.XLOOKUP(Trainingsabschluss[[#This Row],[UserID]], Teilnehmende[UserID], Teilnehmende[Branche], "UserID nicht gefunden")</f>
        <v>Beratung</v>
      </c>
      <c r="H150" t="str">
        <f>_xlfn.XLOOKUP(Trainingsabschluss[[#This Row],[UserID]], Teilnehmende[UserID], Teilnehmende[Bildungsabschluss], "UserID nicht gefunden")</f>
        <v>Bachelor</v>
      </c>
      <c r="I150" s="3">
        <f>_xlfn.XLOOKUP(Trainingsabschluss[[#This Row],[UserID]], Teilnehmende[UserID], Teilnehmende[Berufserfahrung])</f>
        <v>8</v>
      </c>
      <c r="J150" s="3" t="str" cm="1">
        <f t="array" ref="J15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50" s="11">
        <f>Trainingsabschluss[[#This Row],[Quiz_Frage1_Punkte]]/Max_Frage1</f>
        <v>0.2</v>
      </c>
      <c r="L150" s="11">
        <f>Trainingsabschluss[[#This Row],[Quiz_Frage2_Punkte]]/Max_Frage2</f>
        <v>0</v>
      </c>
      <c r="M150" s="11">
        <f>Trainingsabschluss[[#This Row],[Quiz_Frage3_Punkte]]/Max_Frage3</f>
        <v>0</v>
      </c>
      <c r="N150" s="11">
        <f>Trainingsabschluss[[#This Row],[Quiz_Frage4_Punkte]]/Max_Frage4</f>
        <v>0</v>
      </c>
      <c r="O150" s="11">
        <f>Trainingsabschluss[[#This Row],[Quiz_Frage5_Punkte]]/Max_Frage5</f>
        <v>0</v>
      </c>
      <c r="P150" s="2">
        <f>Trainingsabschluss[[#This Row],[Quiz_Frage1_Punkte]]+Trainingsabschluss[[#This Row],[Quiz_Frage2_Punkte]]+Trainingsabschluss[[#This Row],[Quiz_Frage3_Punkte]]+Trainingsabschluss[[#This Row],[Quiz_Frage4_Punkte]]+Trainingsabschluss[[#This Row],[Quiz_Frage5_Punkte]]</f>
        <v>1</v>
      </c>
      <c r="Q150" s="8">
        <f>Trainingsabschluss[[#This Row],[Quizergebnis]]/Max_Quizergebnis</f>
        <v>4.5454545454545456E-2</v>
      </c>
      <c r="R150" t="str" cm="1">
        <f t="array" ref="R150">_xlfn.IFS(Trainingsabschluss[[#This Row],[Quizergebnis_Prozent]]&lt;0.5, "Nicht bestanden",
Trainingsabschluss[[#This Row],[Quizergebnis_Prozent]]&lt;0.65, "Bestanden",
Trainingsabschluss[[#This Row],[Quizergebnis_Prozent]]&lt;0.8, "Gut bestanden",
TRUE, "Sehr gut bestanden")</f>
        <v>Nicht bestanden</v>
      </c>
      <c r="S150" s="3">
        <v>9</v>
      </c>
      <c r="T150" s="3" t="str" cm="1">
        <f t="array" ref="T150">_xlfn.IFS(Trainingsabschluss[[#This Row],[Training_Bewertung]]&gt;=9, "Promotor", Trainingsabschluss[[#This Row],[Training_Bewertung]]
&lt;=6, "Detraktor",
TRUE, "Passiv")</f>
        <v>Promotor</v>
      </c>
      <c r="W150"/>
    </row>
    <row r="151" spans="1:23" x14ac:dyDescent="0.3">
      <c r="A151" s="13" t="s">
        <v>258</v>
      </c>
      <c r="B151" s="2">
        <v>3</v>
      </c>
      <c r="C151" s="2">
        <v>3.5</v>
      </c>
      <c r="D151" s="2">
        <v>2.5</v>
      </c>
      <c r="E151" s="2">
        <v>3.5</v>
      </c>
      <c r="F151" s="2">
        <v>2.5</v>
      </c>
      <c r="G151" s="2" t="str">
        <f>_xlfn.XLOOKUP(Trainingsabschluss[[#This Row],[UserID]], Teilnehmende[UserID], Teilnehmende[Branche], "UserID nicht gefunden")</f>
        <v>Beratung</v>
      </c>
      <c r="H151" t="str">
        <f>_xlfn.XLOOKUP(Trainingsabschluss[[#This Row],[UserID]], Teilnehmende[UserID], Teilnehmende[Bildungsabschluss], "UserID nicht gefunden")</f>
        <v>Bachelor</v>
      </c>
      <c r="I151" s="3">
        <f>_xlfn.XLOOKUP(Trainingsabschluss[[#This Row],[UserID]], Teilnehmende[UserID], Teilnehmende[Berufserfahrung])</f>
        <v>5</v>
      </c>
      <c r="J151" s="3" t="str" cm="1">
        <f t="array" ref="J15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51" s="11">
        <f>Trainingsabschluss[[#This Row],[Quiz_Frage1_Punkte]]/Max_Frage1</f>
        <v>0.6</v>
      </c>
      <c r="L151" s="11">
        <f>Trainingsabschluss[[#This Row],[Quiz_Frage2_Punkte]]/Max_Frage2</f>
        <v>0.7</v>
      </c>
      <c r="M151" s="11">
        <f>Trainingsabschluss[[#This Row],[Quiz_Frage3_Punkte]]/Max_Frage3</f>
        <v>0.5</v>
      </c>
      <c r="N151" s="11">
        <f>Trainingsabschluss[[#This Row],[Quiz_Frage4_Punkte]]/Max_Frage4</f>
        <v>0.875</v>
      </c>
      <c r="O151" s="11">
        <f>Trainingsabschluss[[#This Row],[Quiz_Frage5_Punkte]]/Max_Frage5</f>
        <v>0.83333333333333337</v>
      </c>
      <c r="P151" s="2">
        <f>Trainingsabschluss[[#This Row],[Quiz_Frage1_Punkte]]+Trainingsabschluss[[#This Row],[Quiz_Frage2_Punkte]]+Trainingsabschluss[[#This Row],[Quiz_Frage3_Punkte]]+Trainingsabschluss[[#This Row],[Quiz_Frage4_Punkte]]+Trainingsabschluss[[#This Row],[Quiz_Frage5_Punkte]]</f>
        <v>15</v>
      </c>
      <c r="Q151" s="8">
        <f>Trainingsabschluss[[#This Row],[Quizergebnis]]/Max_Quizergebnis</f>
        <v>0.68181818181818177</v>
      </c>
      <c r="R151" t="str" cm="1">
        <f t="array" ref="R151">_xlfn.IFS(Trainingsabschluss[[#This Row],[Quizergebnis_Prozent]]&lt;0.5, "Nicht bestanden",
Trainingsabschluss[[#This Row],[Quizergebnis_Prozent]]&lt;0.65, "Bestanden",
Trainingsabschluss[[#This Row],[Quizergebnis_Prozent]]&lt;0.8, "Gut bestanden",
TRUE, "Sehr gut bestanden")</f>
        <v>Gut bestanden</v>
      </c>
      <c r="S151" s="3">
        <v>10</v>
      </c>
      <c r="T151" s="3" t="str" cm="1">
        <f t="array" ref="T151">_xlfn.IFS(Trainingsabschluss[[#This Row],[Training_Bewertung]]&gt;=9, "Promotor", Trainingsabschluss[[#This Row],[Training_Bewertung]]
&lt;=6, "Detraktor",
TRUE, "Passiv")</f>
        <v>Promotor</v>
      </c>
      <c r="W151"/>
    </row>
    <row r="152" spans="1:23" x14ac:dyDescent="0.3">
      <c r="A152" s="13" t="s">
        <v>260</v>
      </c>
      <c r="B152" s="2">
        <v>4</v>
      </c>
      <c r="C152" s="2">
        <v>3.5</v>
      </c>
      <c r="D152" s="2">
        <v>4.5</v>
      </c>
      <c r="E152" s="2">
        <v>2</v>
      </c>
      <c r="F152" s="2">
        <v>1.5</v>
      </c>
      <c r="G152" s="2" t="str">
        <f>_xlfn.XLOOKUP(Trainingsabschluss[[#This Row],[UserID]], Teilnehmende[UserID], Teilnehmende[Branche], "UserID nicht gefunden")</f>
        <v>Beratung</v>
      </c>
      <c r="H152" t="str">
        <f>_xlfn.XLOOKUP(Trainingsabschluss[[#This Row],[UserID]], Teilnehmende[UserID], Teilnehmende[Bildungsabschluss], "UserID nicht gefunden")</f>
        <v>Bachelor</v>
      </c>
      <c r="I152" s="3">
        <f>_xlfn.XLOOKUP(Trainingsabschluss[[#This Row],[UserID]], Teilnehmende[UserID], Teilnehmende[Berufserfahrung])</f>
        <v>2</v>
      </c>
      <c r="J152" s="3" t="str" cm="1">
        <f t="array" ref="J15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52" s="11">
        <f>Trainingsabschluss[[#This Row],[Quiz_Frage1_Punkte]]/Max_Frage1</f>
        <v>0.8</v>
      </c>
      <c r="L152" s="11">
        <f>Trainingsabschluss[[#This Row],[Quiz_Frage2_Punkte]]/Max_Frage2</f>
        <v>0.7</v>
      </c>
      <c r="M152" s="11">
        <f>Trainingsabschluss[[#This Row],[Quiz_Frage3_Punkte]]/Max_Frage3</f>
        <v>0.9</v>
      </c>
      <c r="N152" s="11">
        <f>Trainingsabschluss[[#This Row],[Quiz_Frage4_Punkte]]/Max_Frage4</f>
        <v>0.5</v>
      </c>
      <c r="O152" s="11">
        <f>Trainingsabschluss[[#This Row],[Quiz_Frage5_Punkte]]/Max_Frage5</f>
        <v>0.5</v>
      </c>
      <c r="P152" s="2">
        <f>Trainingsabschluss[[#This Row],[Quiz_Frage1_Punkte]]+Trainingsabschluss[[#This Row],[Quiz_Frage2_Punkte]]+Trainingsabschluss[[#This Row],[Quiz_Frage3_Punkte]]+Trainingsabschluss[[#This Row],[Quiz_Frage4_Punkte]]+Trainingsabschluss[[#This Row],[Quiz_Frage5_Punkte]]</f>
        <v>15.5</v>
      </c>
      <c r="Q152" s="8">
        <f>Trainingsabschluss[[#This Row],[Quizergebnis]]/Max_Quizergebnis</f>
        <v>0.70454545454545459</v>
      </c>
      <c r="R152" t="str" cm="1">
        <f t="array" ref="R152">_xlfn.IFS(Trainingsabschluss[[#This Row],[Quizergebnis_Prozent]]&lt;0.5, "Nicht bestanden",
Trainingsabschluss[[#This Row],[Quizergebnis_Prozent]]&lt;0.65, "Bestanden",
Trainingsabschluss[[#This Row],[Quizergebnis_Prozent]]&lt;0.8, "Gut bestanden",
TRUE, "Sehr gut bestanden")</f>
        <v>Gut bestanden</v>
      </c>
      <c r="S152" s="3">
        <v>10</v>
      </c>
      <c r="T152" s="3" t="str" cm="1">
        <f t="array" ref="T152">_xlfn.IFS(Trainingsabschluss[[#This Row],[Training_Bewertung]]&gt;=9, "Promotor", Trainingsabschluss[[#This Row],[Training_Bewertung]]
&lt;=6, "Detraktor",
TRUE, "Passiv")</f>
        <v>Promotor</v>
      </c>
      <c r="W152"/>
    </row>
    <row r="153" spans="1:23" x14ac:dyDescent="0.3">
      <c r="A153" s="13" t="s">
        <v>262</v>
      </c>
      <c r="B153" s="2">
        <v>5</v>
      </c>
      <c r="C153" s="2">
        <v>5</v>
      </c>
      <c r="D153" s="2">
        <v>4</v>
      </c>
      <c r="E153" s="2">
        <v>3.5</v>
      </c>
      <c r="F153" s="2">
        <v>3</v>
      </c>
      <c r="G153" s="2" t="str">
        <f>_xlfn.XLOOKUP(Trainingsabschluss[[#This Row],[UserID]], Teilnehmende[UserID], Teilnehmende[Branche], "UserID nicht gefunden")</f>
        <v>Beratung</v>
      </c>
      <c r="H153" t="str">
        <f>_xlfn.XLOOKUP(Trainingsabschluss[[#This Row],[UserID]], Teilnehmende[UserID], Teilnehmende[Bildungsabschluss], "UserID nicht gefunden")</f>
        <v>Bachelor</v>
      </c>
      <c r="I153" s="3">
        <f>_xlfn.XLOOKUP(Trainingsabschluss[[#This Row],[UserID]], Teilnehmende[UserID], Teilnehmende[Berufserfahrung])</f>
        <v>12</v>
      </c>
      <c r="J153" s="3" t="str" cm="1">
        <f t="array" ref="J15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53" s="11">
        <f>Trainingsabschluss[[#This Row],[Quiz_Frage1_Punkte]]/Max_Frage1</f>
        <v>1</v>
      </c>
      <c r="L153" s="11">
        <f>Trainingsabschluss[[#This Row],[Quiz_Frage2_Punkte]]/Max_Frage2</f>
        <v>1</v>
      </c>
      <c r="M153" s="11">
        <f>Trainingsabschluss[[#This Row],[Quiz_Frage3_Punkte]]/Max_Frage3</f>
        <v>0.8</v>
      </c>
      <c r="N153" s="11">
        <f>Trainingsabschluss[[#This Row],[Quiz_Frage4_Punkte]]/Max_Frage4</f>
        <v>0.875</v>
      </c>
      <c r="O153" s="11">
        <f>Trainingsabschluss[[#This Row],[Quiz_Frage5_Punkte]]/Max_Frage5</f>
        <v>1</v>
      </c>
      <c r="P153" s="2">
        <f>Trainingsabschluss[[#This Row],[Quiz_Frage1_Punkte]]+Trainingsabschluss[[#This Row],[Quiz_Frage2_Punkte]]+Trainingsabschluss[[#This Row],[Quiz_Frage3_Punkte]]+Trainingsabschluss[[#This Row],[Quiz_Frage4_Punkte]]+Trainingsabschluss[[#This Row],[Quiz_Frage5_Punkte]]</f>
        <v>20.5</v>
      </c>
      <c r="Q153" s="8">
        <f>Trainingsabschluss[[#This Row],[Quizergebnis]]/Max_Quizergebnis</f>
        <v>0.93181818181818177</v>
      </c>
      <c r="R153" t="str" cm="1">
        <f t="array" ref="R153">_xlfn.IFS(Trainingsabschluss[[#This Row],[Quizergebnis_Prozent]]&lt;0.5, "Nicht bestanden",
Trainingsabschluss[[#This Row],[Quizergebnis_Prozent]]&lt;0.65, "Bestanden",
Trainingsabschluss[[#This Row],[Quizergebnis_Prozent]]&lt;0.8, "Gut bestanden",
TRUE, "Sehr gut bestanden")</f>
        <v>Sehr gut bestanden</v>
      </c>
      <c r="S153" s="3">
        <v>10</v>
      </c>
      <c r="T153" s="3" t="str" cm="1">
        <f t="array" ref="T153">_xlfn.IFS(Trainingsabschluss[[#This Row],[Training_Bewertung]]&gt;=9, "Promotor", Trainingsabschluss[[#This Row],[Training_Bewertung]]
&lt;=6, "Detraktor",
TRUE, "Passiv")</f>
        <v>Promotor</v>
      </c>
      <c r="W153"/>
    </row>
    <row r="154" spans="1:23" x14ac:dyDescent="0.3">
      <c r="A154" s="13" t="s">
        <v>85</v>
      </c>
      <c r="B154" s="2">
        <v>4.5</v>
      </c>
      <c r="C154" s="2">
        <v>3.5</v>
      </c>
      <c r="D154" s="2">
        <v>2.5</v>
      </c>
      <c r="E154" s="2">
        <v>3.5</v>
      </c>
      <c r="F154" s="2">
        <v>1.5</v>
      </c>
      <c r="G154" s="2" t="str">
        <f>_xlfn.XLOOKUP(Trainingsabschluss[[#This Row],[UserID]], Teilnehmende[UserID], Teilnehmende[Branche], "UserID nicht gefunden")</f>
        <v>E-Commerce</v>
      </c>
      <c r="H154" t="str">
        <f>_xlfn.XLOOKUP(Trainingsabschluss[[#This Row],[UserID]], Teilnehmende[UserID], Teilnehmende[Bildungsabschluss], "UserID nicht gefunden")</f>
        <v>Bachelor</v>
      </c>
      <c r="I154" s="3">
        <f>_xlfn.XLOOKUP(Trainingsabschluss[[#This Row],[UserID]], Teilnehmende[UserID], Teilnehmende[Berufserfahrung])</f>
        <v>9</v>
      </c>
      <c r="J154" s="3" t="str" cm="1">
        <f t="array" ref="J15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54" s="11">
        <f>Trainingsabschluss[[#This Row],[Quiz_Frage1_Punkte]]/Max_Frage1</f>
        <v>0.9</v>
      </c>
      <c r="L154" s="11">
        <f>Trainingsabschluss[[#This Row],[Quiz_Frage2_Punkte]]/Max_Frage2</f>
        <v>0.7</v>
      </c>
      <c r="M154" s="11">
        <f>Trainingsabschluss[[#This Row],[Quiz_Frage3_Punkte]]/Max_Frage3</f>
        <v>0.5</v>
      </c>
      <c r="N154" s="11">
        <f>Trainingsabschluss[[#This Row],[Quiz_Frage4_Punkte]]/Max_Frage4</f>
        <v>0.875</v>
      </c>
      <c r="O154" s="11">
        <f>Trainingsabschluss[[#This Row],[Quiz_Frage5_Punkte]]/Max_Frage5</f>
        <v>0.5</v>
      </c>
      <c r="P154" s="2">
        <f>Trainingsabschluss[[#This Row],[Quiz_Frage1_Punkte]]+Trainingsabschluss[[#This Row],[Quiz_Frage2_Punkte]]+Trainingsabschluss[[#This Row],[Quiz_Frage3_Punkte]]+Trainingsabschluss[[#This Row],[Quiz_Frage4_Punkte]]+Trainingsabschluss[[#This Row],[Quiz_Frage5_Punkte]]</f>
        <v>15.5</v>
      </c>
      <c r="Q154" s="8">
        <f>Trainingsabschluss[[#This Row],[Quizergebnis]]/Max_Quizergebnis</f>
        <v>0.70454545454545459</v>
      </c>
      <c r="R154" t="str" cm="1">
        <f t="array" ref="R154">_xlfn.IFS(Trainingsabschluss[[#This Row],[Quizergebnis_Prozent]]&lt;0.5, "Nicht bestanden",
Trainingsabschluss[[#This Row],[Quizergebnis_Prozent]]&lt;0.65, "Bestanden",
Trainingsabschluss[[#This Row],[Quizergebnis_Prozent]]&lt;0.8, "Gut bestanden",
TRUE, "Sehr gut bestanden")</f>
        <v>Gut bestanden</v>
      </c>
      <c r="S154" s="3">
        <v>2</v>
      </c>
      <c r="T154" s="3" t="str" cm="1">
        <f t="array" ref="T154">_xlfn.IFS(Trainingsabschluss[[#This Row],[Training_Bewertung]]&gt;=9, "Promotor", Trainingsabschluss[[#This Row],[Training_Bewertung]]
&lt;=6, "Detraktor",
TRUE, "Passiv")</f>
        <v>Detraktor</v>
      </c>
      <c r="W154"/>
    </row>
    <row r="155" spans="1:23" x14ac:dyDescent="0.3">
      <c r="A155" s="13" t="s">
        <v>6</v>
      </c>
      <c r="B155" s="2">
        <v>4</v>
      </c>
      <c r="C155" s="2">
        <v>3.5</v>
      </c>
      <c r="D155" s="2">
        <v>4</v>
      </c>
      <c r="E155" s="2">
        <v>3</v>
      </c>
      <c r="F155" s="2">
        <v>1.5</v>
      </c>
      <c r="G155" s="2" t="str">
        <f>_xlfn.XLOOKUP(Trainingsabschluss[[#This Row],[UserID]], Teilnehmende[UserID], Teilnehmende[Branche], "UserID nicht gefunden")</f>
        <v>Großhandel</v>
      </c>
      <c r="H155" t="str">
        <f>_xlfn.XLOOKUP(Trainingsabschluss[[#This Row],[UserID]], Teilnehmende[UserID], Teilnehmende[Bildungsabschluss], "UserID nicht gefunden")</f>
        <v>Bachelor</v>
      </c>
      <c r="I155" s="3">
        <f>_xlfn.XLOOKUP(Trainingsabschluss[[#This Row],[UserID]], Teilnehmende[UserID], Teilnehmende[Berufserfahrung])</f>
        <v>9</v>
      </c>
      <c r="J155" s="3" t="str" cm="1">
        <f t="array" ref="J15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55" s="11">
        <f>Trainingsabschluss[[#This Row],[Quiz_Frage1_Punkte]]/Max_Frage1</f>
        <v>0.8</v>
      </c>
      <c r="L155" s="11">
        <f>Trainingsabschluss[[#This Row],[Quiz_Frage2_Punkte]]/Max_Frage2</f>
        <v>0.7</v>
      </c>
      <c r="M155" s="11">
        <f>Trainingsabschluss[[#This Row],[Quiz_Frage3_Punkte]]/Max_Frage3</f>
        <v>0.8</v>
      </c>
      <c r="N155" s="11">
        <f>Trainingsabschluss[[#This Row],[Quiz_Frage4_Punkte]]/Max_Frage4</f>
        <v>0.75</v>
      </c>
      <c r="O155" s="11">
        <f>Trainingsabschluss[[#This Row],[Quiz_Frage5_Punkte]]/Max_Frage5</f>
        <v>0.5</v>
      </c>
      <c r="P155" s="2">
        <f>Trainingsabschluss[[#This Row],[Quiz_Frage1_Punkte]]+Trainingsabschluss[[#This Row],[Quiz_Frage2_Punkte]]+Trainingsabschluss[[#This Row],[Quiz_Frage3_Punkte]]+Trainingsabschluss[[#This Row],[Quiz_Frage4_Punkte]]+Trainingsabschluss[[#This Row],[Quiz_Frage5_Punkte]]</f>
        <v>16</v>
      </c>
      <c r="Q155" s="8">
        <f>Trainingsabschluss[[#This Row],[Quizergebnis]]/Max_Quizergebnis</f>
        <v>0.72727272727272729</v>
      </c>
      <c r="R155" t="str" cm="1">
        <f t="array" ref="R155">_xlfn.IFS(Trainingsabschluss[[#This Row],[Quizergebnis_Prozent]]&lt;0.5, "Nicht bestanden",
Trainingsabschluss[[#This Row],[Quizergebnis_Prozent]]&lt;0.65, "Bestanden",
Trainingsabschluss[[#This Row],[Quizergebnis_Prozent]]&lt;0.8, "Gut bestanden",
TRUE, "Sehr gut bestanden")</f>
        <v>Gut bestanden</v>
      </c>
      <c r="S155" s="3">
        <v>3</v>
      </c>
      <c r="T155" s="3" t="str" cm="1">
        <f t="array" ref="T155">_xlfn.IFS(Trainingsabschluss[[#This Row],[Training_Bewertung]]&gt;=9, "Promotor", Trainingsabschluss[[#This Row],[Training_Bewertung]]
&lt;=6, "Detraktor",
TRUE, "Passiv")</f>
        <v>Detraktor</v>
      </c>
      <c r="W155"/>
    </row>
    <row r="156" spans="1:23" x14ac:dyDescent="0.3">
      <c r="A156" s="13" t="s">
        <v>33</v>
      </c>
      <c r="B156" s="2">
        <v>4</v>
      </c>
      <c r="C156" s="2">
        <v>5</v>
      </c>
      <c r="D156" s="2">
        <v>1.5</v>
      </c>
      <c r="E156" s="2">
        <v>2.5</v>
      </c>
      <c r="F156" s="2">
        <v>3</v>
      </c>
      <c r="G156" s="2" t="str">
        <f>_xlfn.XLOOKUP(Trainingsabschluss[[#This Row],[UserID]], Teilnehmende[UserID], Teilnehmende[Branche], "UserID nicht gefunden")</f>
        <v>Einzelhandel</v>
      </c>
      <c r="H156" t="str">
        <f>_xlfn.XLOOKUP(Trainingsabschluss[[#This Row],[UserID]], Teilnehmende[UserID], Teilnehmende[Bildungsabschluss], "UserID nicht gefunden")</f>
        <v>Bachelor</v>
      </c>
      <c r="I156" s="3">
        <f>_xlfn.XLOOKUP(Trainingsabschluss[[#This Row],[UserID]], Teilnehmende[UserID], Teilnehmende[Berufserfahrung])</f>
        <v>2</v>
      </c>
      <c r="J156" s="3" t="str" cm="1">
        <f t="array" ref="J15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56" s="11">
        <f>Trainingsabschluss[[#This Row],[Quiz_Frage1_Punkte]]/Max_Frage1</f>
        <v>0.8</v>
      </c>
      <c r="L156" s="11">
        <f>Trainingsabschluss[[#This Row],[Quiz_Frage2_Punkte]]/Max_Frage2</f>
        <v>1</v>
      </c>
      <c r="M156" s="11">
        <f>Trainingsabschluss[[#This Row],[Quiz_Frage3_Punkte]]/Max_Frage3</f>
        <v>0.3</v>
      </c>
      <c r="N156" s="11">
        <f>Trainingsabschluss[[#This Row],[Quiz_Frage4_Punkte]]/Max_Frage4</f>
        <v>0.625</v>
      </c>
      <c r="O156" s="11">
        <f>Trainingsabschluss[[#This Row],[Quiz_Frage5_Punkte]]/Max_Frage5</f>
        <v>1</v>
      </c>
      <c r="P156" s="2">
        <f>Trainingsabschluss[[#This Row],[Quiz_Frage1_Punkte]]+Trainingsabschluss[[#This Row],[Quiz_Frage2_Punkte]]+Trainingsabschluss[[#This Row],[Quiz_Frage3_Punkte]]+Trainingsabschluss[[#This Row],[Quiz_Frage4_Punkte]]+Trainingsabschluss[[#This Row],[Quiz_Frage5_Punkte]]</f>
        <v>16</v>
      </c>
      <c r="Q156" s="8">
        <f>Trainingsabschluss[[#This Row],[Quizergebnis]]/Max_Quizergebnis</f>
        <v>0.72727272727272729</v>
      </c>
      <c r="R156" t="str" cm="1">
        <f t="array" ref="R156">_xlfn.IFS(Trainingsabschluss[[#This Row],[Quizergebnis_Prozent]]&lt;0.5, "Nicht bestanden",
Trainingsabschluss[[#This Row],[Quizergebnis_Prozent]]&lt;0.65, "Bestanden",
Trainingsabschluss[[#This Row],[Quizergebnis_Prozent]]&lt;0.8, "Gut bestanden",
TRUE, "Sehr gut bestanden")</f>
        <v>Gut bestanden</v>
      </c>
      <c r="S156" s="3">
        <v>4</v>
      </c>
      <c r="T156" s="3" t="str" cm="1">
        <f t="array" ref="T156">_xlfn.IFS(Trainingsabschluss[[#This Row],[Training_Bewertung]]&gt;=9, "Promotor", Trainingsabschluss[[#This Row],[Training_Bewertung]]
&lt;=6, "Detraktor",
TRUE, "Passiv")</f>
        <v>Detraktor</v>
      </c>
      <c r="W156"/>
    </row>
    <row r="157" spans="1:23" x14ac:dyDescent="0.3">
      <c r="A157" s="13" t="s">
        <v>132</v>
      </c>
      <c r="B157" s="2">
        <v>5</v>
      </c>
      <c r="C157" s="2">
        <v>5</v>
      </c>
      <c r="D157" s="2">
        <v>1.5</v>
      </c>
      <c r="E157" s="2">
        <v>1.5</v>
      </c>
      <c r="F157" s="2">
        <v>1.5</v>
      </c>
      <c r="G157" s="2" t="str">
        <f>_xlfn.XLOOKUP(Trainingsabschluss[[#This Row],[UserID]], Teilnehmende[UserID], Teilnehmende[Branche], "UserID nicht gefunden")</f>
        <v>E-Commerce</v>
      </c>
      <c r="H157" t="str">
        <f>_xlfn.XLOOKUP(Trainingsabschluss[[#This Row],[UserID]], Teilnehmende[UserID], Teilnehmende[Bildungsabschluss], "UserID nicht gefunden")</f>
        <v>Bachelor</v>
      </c>
      <c r="I157" s="3">
        <f>_xlfn.XLOOKUP(Trainingsabschluss[[#This Row],[UserID]], Teilnehmende[UserID], Teilnehmende[Berufserfahrung])</f>
        <v>2</v>
      </c>
      <c r="J157" s="3" t="str" cm="1">
        <f t="array" ref="J15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57" s="11">
        <f>Trainingsabschluss[[#This Row],[Quiz_Frage1_Punkte]]/Max_Frage1</f>
        <v>1</v>
      </c>
      <c r="L157" s="11">
        <f>Trainingsabschluss[[#This Row],[Quiz_Frage2_Punkte]]/Max_Frage2</f>
        <v>1</v>
      </c>
      <c r="M157" s="11">
        <f>Trainingsabschluss[[#This Row],[Quiz_Frage3_Punkte]]/Max_Frage3</f>
        <v>0.3</v>
      </c>
      <c r="N157" s="11">
        <f>Trainingsabschluss[[#This Row],[Quiz_Frage4_Punkte]]/Max_Frage4</f>
        <v>0.375</v>
      </c>
      <c r="O157" s="11">
        <f>Trainingsabschluss[[#This Row],[Quiz_Frage5_Punkte]]/Max_Frage5</f>
        <v>0.5</v>
      </c>
      <c r="P157" s="2">
        <f>Trainingsabschluss[[#This Row],[Quiz_Frage1_Punkte]]+Trainingsabschluss[[#This Row],[Quiz_Frage2_Punkte]]+Trainingsabschluss[[#This Row],[Quiz_Frage3_Punkte]]+Trainingsabschluss[[#This Row],[Quiz_Frage4_Punkte]]+Trainingsabschluss[[#This Row],[Quiz_Frage5_Punkte]]</f>
        <v>14.5</v>
      </c>
      <c r="Q157" s="8">
        <f>Trainingsabschluss[[#This Row],[Quizergebnis]]/Max_Quizergebnis</f>
        <v>0.65909090909090906</v>
      </c>
      <c r="R157" t="str" cm="1">
        <f t="array" ref="R157">_xlfn.IFS(Trainingsabschluss[[#This Row],[Quizergebnis_Prozent]]&lt;0.5, "Nicht bestanden",
Trainingsabschluss[[#This Row],[Quizergebnis_Prozent]]&lt;0.65, "Bestanden",
Trainingsabschluss[[#This Row],[Quizergebnis_Prozent]]&lt;0.8, "Gut bestanden",
TRUE, "Sehr gut bestanden")</f>
        <v>Gut bestanden</v>
      </c>
      <c r="S157" s="3">
        <v>4</v>
      </c>
      <c r="T157" s="3" t="str" cm="1">
        <f t="array" ref="T157">_xlfn.IFS(Trainingsabschluss[[#This Row],[Training_Bewertung]]&gt;=9, "Promotor", Trainingsabschluss[[#This Row],[Training_Bewertung]]
&lt;=6, "Detraktor",
TRUE, "Passiv")</f>
        <v>Detraktor</v>
      </c>
      <c r="W157"/>
    </row>
    <row r="158" spans="1:23" x14ac:dyDescent="0.3">
      <c r="A158" s="13" t="s">
        <v>56</v>
      </c>
      <c r="B158" s="2">
        <v>5</v>
      </c>
      <c r="C158" s="2">
        <v>2</v>
      </c>
      <c r="D158" s="2">
        <v>4</v>
      </c>
      <c r="E158" s="2">
        <v>4</v>
      </c>
      <c r="F158" s="2">
        <v>2</v>
      </c>
      <c r="G158" s="2" t="str">
        <f>_xlfn.XLOOKUP(Trainingsabschluss[[#This Row],[UserID]], Teilnehmende[UserID], Teilnehmende[Branche], "UserID nicht gefunden")</f>
        <v>Einzelhandel</v>
      </c>
      <c r="H158" t="str">
        <f>_xlfn.XLOOKUP(Trainingsabschluss[[#This Row],[UserID]], Teilnehmende[UserID], Teilnehmende[Bildungsabschluss], "UserID nicht gefunden")</f>
        <v>Bachelor</v>
      </c>
      <c r="I158" s="3">
        <f>_xlfn.XLOOKUP(Trainingsabschluss[[#This Row],[UserID]], Teilnehmende[UserID], Teilnehmende[Berufserfahrung])</f>
        <v>2</v>
      </c>
      <c r="J158" s="3" t="str" cm="1">
        <f t="array" ref="J15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58" s="11">
        <f>Trainingsabschluss[[#This Row],[Quiz_Frage1_Punkte]]/Max_Frage1</f>
        <v>1</v>
      </c>
      <c r="L158" s="11">
        <f>Trainingsabschluss[[#This Row],[Quiz_Frage2_Punkte]]/Max_Frage2</f>
        <v>0.4</v>
      </c>
      <c r="M158" s="11">
        <f>Trainingsabschluss[[#This Row],[Quiz_Frage3_Punkte]]/Max_Frage3</f>
        <v>0.8</v>
      </c>
      <c r="N158" s="11">
        <f>Trainingsabschluss[[#This Row],[Quiz_Frage4_Punkte]]/Max_Frage4</f>
        <v>1</v>
      </c>
      <c r="O158" s="11">
        <f>Trainingsabschluss[[#This Row],[Quiz_Frage5_Punkte]]/Max_Frage5</f>
        <v>0.66666666666666663</v>
      </c>
      <c r="P158" s="2">
        <f>Trainingsabschluss[[#This Row],[Quiz_Frage1_Punkte]]+Trainingsabschluss[[#This Row],[Quiz_Frage2_Punkte]]+Trainingsabschluss[[#This Row],[Quiz_Frage3_Punkte]]+Trainingsabschluss[[#This Row],[Quiz_Frage4_Punkte]]+Trainingsabschluss[[#This Row],[Quiz_Frage5_Punkte]]</f>
        <v>17</v>
      </c>
      <c r="Q158" s="8">
        <f>Trainingsabschluss[[#This Row],[Quizergebnis]]/Max_Quizergebnis</f>
        <v>0.77272727272727271</v>
      </c>
      <c r="R158" t="str" cm="1">
        <f t="array" ref="R158">_xlfn.IFS(Trainingsabschluss[[#This Row],[Quizergebnis_Prozent]]&lt;0.5, "Nicht bestanden",
Trainingsabschluss[[#This Row],[Quizergebnis_Prozent]]&lt;0.65, "Bestanden",
Trainingsabschluss[[#This Row],[Quizergebnis_Prozent]]&lt;0.8, "Gut bestanden",
TRUE, "Sehr gut bestanden")</f>
        <v>Gut bestanden</v>
      </c>
      <c r="S158" s="3">
        <v>5</v>
      </c>
      <c r="T158" s="3" t="str" cm="1">
        <f t="array" ref="T158">_xlfn.IFS(Trainingsabschluss[[#This Row],[Training_Bewertung]]&gt;=9, "Promotor", Trainingsabschluss[[#This Row],[Training_Bewertung]]
&lt;=6, "Detraktor",
TRUE, "Passiv")</f>
        <v>Detraktor</v>
      </c>
      <c r="W158"/>
    </row>
    <row r="159" spans="1:23" x14ac:dyDescent="0.3">
      <c r="A159" s="13" t="s">
        <v>9</v>
      </c>
      <c r="B159" s="2">
        <v>5</v>
      </c>
      <c r="C159" s="2">
        <v>4</v>
      </c>
      <c r="D159" s="2">
        <v>3</v>
      </c>
      <c r="E159" s="2">
        <v>1.5</v>
      </c>
      <c r="F159" s="2">
        <v>0.5</v>
      </c>
      <c r="G159" s="2" t="str">
        <f>_xlfn.XLOOKUP(Trainingsabschluss[[#This Row],[UserID]], Teilnehmende[UserID], Teilnehmende[Branche], "UserID nicht gefunden")</f>
        <v>Einzelhandel</v>
      </c>
      <c r="H159" t="str">
        <f>_xlfn.XLOOKUP(Trainingsabschluss[[#This Row],[UserID]], Teilnehmende[UserID], Teilnehmende[Bildungsabschluss], "UserID nicht gefunden")</f>
        <v>Bachelor</v>
      </c>
      <c r="I159" s="3">
        <f>_xlfn.XLOOKUP(Trainingsabschluss[[#This Row],[UserID]], Teilnehmende[UserID], Teilnehmende[Berufserfahrung])</f>
        <v>12</v>
      </c>
      <c r="J159" s="3" t="str" cm="1">
        <f t="array" ref="J15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59" s="11">
        <f>Trainingsabschluss[[#This Row],[Quiz_Frage1_Punkte]]/Max_Frage1</f>
        <v>1</v>
      </c>
      <c r="L159" s="11">
        <f>Trainingsabschluss[[#This Row],[Quiz_Frage2_Punkte]]/Max_Frage2</f>
        <v>0.8</v>
      </c>
      <c r="M159" s="11">
        <f>Trainingsabschluss[[#This Row],[Quiz_Frage3_Punkte]]/Max_Frage3</f>
        <v>0.6</v>
      </c>
      <c r="N159" s="11">
        <f>Trainingsabschluss[[#This Row],[Quiz_Frage4_Punkte]]/Max_Frage4</f>
        <v>0.375</v>
      </c>
      <c r="O159" s="11">
        <f>Trainingsabschluss[[#This Row],[Quiz_Frage5_Punkte]]/Max_Frage5</f>
        <v>0.16666666666666666</v>
      </c>
      <c r="P159" s="2">
        <f>Trainingsabschluss[[#This Row],[Quiz_Frage1_Punkte]]+Trainingsabschluss[[#This Row],[Quiz_Frage2_Punkte]]+Trainingsabschluss[[#This Row],[Quiz_Frage3_Punkte]]+Trainingsabschluss[[#This Row],[Quiz_Frage4_Punkte]]+Trainingsabschluss[[#This Row],[Quiz_Frage5_Punkte]]</f>
        <v>14</v>
      </c>
      <c r="Q159" s="8">
        <f>Trainingsabschluss[[#This Row],[Quizergebnis]]/Max_Quizergebnis</f>
        <v>0.63636363636363635</v>
      </c>
      <c r="R159" t="str" cm="1">
        <f t="array" ref="R159">_xlfn.IFS(Trainingsabschluss[[#This Row],[Quizergebnis_Prozent]]&lt;0.5, "Nicht bestanden",
Trainingsabschluss[[#This Row],[Quizergebnis_Prozent]]&lt;0.65, "Bestanden",
Trainingsabschluss[[#This Row],[Quizergebnis_Prozent]]&lt;0.8, "Gut bestanden",
TRUE, "Sehr gut bestanden")</f>
        <v>Bestanden</v>
      </c>
      <c r="S159" s="3">
        <v>6</v>
      </c>
      <c r="T159" s="3" t="str" cm="1">
        <f t="array" ref="T159">_xlfn.IFS(Trainingsabschluss[[#This Row],[Training_Bewertung]]&gt;=9, "Promotor", Trainingsabschluss[[#This Row],[Training_Bewertung]]
&lt;=6, "Detraktor",
TRUE, "Passiv")</f>
        <v>Detraktor</v>
      </c>
      <c r="W159"/>
    </row>
    <row r="160" spans="1:23" x14ac:dyDescent="0.3">
      <c r="A160" s="13" t="s">
        <v>14</v>
      </c>
      <c r="B160" s="2">
        <v>4.5</v>
      </c>
      <c r="C160" s="2">
        <v>2.5</v>
      </c>
      <c r="D160" s="2">
        <v>4</v>
      </c>
      <c r="E160" s="2">
        <v>1.5</v>
      </c>
      <c r="F160" s="2">
        <v>2.5</v>
      </c>
      <c r="G160" s="2" t="str">
        <f>_xlfn.XLOOKUP(Trainingsabschluss[[#This Row],[UserID]], Teilnehmende[UserID], Teilnehmende[Branche], "UserID nicht gefunden")</f>
        <v>Großhandel</v>
      </c>
      <c r="H160" t="str">
        <f>_xlfn.XLOOKUP(Trainingsabschluss[[#This Row],[UserID]], Teilnehmende[UserID], Teilnehmende[Bildungsabschluss], "UserID nicht gefunden")</f>
        <v>Bachelor</v>
      </c>
      <c r="I160" s="3">
        <f>_xlfn.XLOOKUP(Trainingsabschluss[[#This Row],[UserID]], Teilnehmende[UserID], Teilnehmende[Berufserfahrung])</f>
        <v>3</v>
      </c>
      <c r="J160" s="3" t="str" cm="1">
        <f t="array" ref="J16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60" s="11">
        <f>Trainingsabschluss[[#This Row],[Quiz_Frage1_Punkte]]/Max_Frage1</f>
        <v>0.9</v>
      </c>
      <c r="L160" s="11">
        <f>Trainingsabschluss[[#This Row],[Quiz_Frage2_Punkte]]/Max_Frage2</f>
        <v>0.5</v>
      </c>
      <c r="M160" s="11">
        <f>Trainingsabschluss[[#This Row],[Quiz_Frage3_Punkte]]/Max_Frage3</f>
        <v>0.8</v>
      </c>
      <c r="N160" s="11">
        <f>Trainingsabschluss[[#This Row],[Quiz_Frage4_Punkte]]/Max_Frage4</f>
        <v>0.375</v>
      </c>
      <c r="O160" s="11">
        <f>Trainingsabschluss[[#This Row],[Quiz_Frage5_Punkte]]/Max_Frage5</f>
        <v>0.83333333333333337</v>
      </c>
      <c r="P160" s="2">
        <f>Trainingsabschluss[[#This Row],[Quiz_Frage1_Punkte]]+Trainingsabschluss[[#This Row],[Quiz_Frage2_Punkte]]+Trainingsabschluss[[#This Row],[Quiz_Frage3_Punkte]]+Trainingsabschluss[[#This Row],[Quiz_Frage4_Punkte]]+Trainingsabschluss[[#This Row],[Quiz_Frage5_Punkte]]</f>
        <v>15</v>
      </c>
      <c r="Q160" s="8">
        <f>Trainingsabschluss[[#This Row],[Quizergebnis]]/Max_Quizergebnis</f>
        <v>0.68181818181818177</v>
      </c>
      <c r="R160" t="str" cm="1">
        <f t="array" ref="R160">_xlfn.IFS(Trainingsabschluss[[#This Row],[Quizergebnis_Prozent]]&lt;0.5, "Nicht bestanden",
Trainingsabschluss[[#This Row],[Quizergebnis_Prozent]]&lt;0.65, "Bestanden",
Trainingsabschluss[[#This Row],[Quizergebnis_Prozent]]&lt;0.8, "Gut bestanden",
TRUE, "Sehr gut bestanden")</f>
        <v>Gut bestanden</v>
      </c>
      <c r="S160" s="3">
        <v>2</v>
      </c>
      <c r="T160" s="3" t="str" cm="1">
        <f t="array" ref="T160">_xlfn.IFS(Trainingsabschluss[[#This Row],[Training_Bewertung]]&gt;=9, "Promotor", Trainingsabschluss[[#This Row],[Training_Bewertung]]
&lt;=6, "Detraktor",
TRUE, "Passiv")</f>
        <v>Detraktor</v>
      </c>
      <c r="W160"/>
    </row>
    <row r="161" spans="1:23" x14ac:dyDescent="0.3">
      <c r="A161" s="13" t="s">
        <v>71</v>
      </c>
      <c r="B161" s="2">
        <v>2</v>
      </c>
      <c r="C161" s="2">
        <v>1</v>
      </c>
      <c r="D161" s="2">
        <v>0</v>
      </c>
      <c r="E161" s="2">
        <v>2</v>
      </c>
      <c r="F161" s="2">
        <v>0</v>
      </c>
      <c r="G161" s="2" t="str">
        <f>_xlfn.XLOOKUP(Trainingsabschluss[[#This Row],[UserID]], Teilnehmende[UserID], Teilnehmende[Branche], "UserID nicht gefunden")</f>
        <v>Einzelhandel</v>
      </c>
      <c r="H161" t="str">
        <f>_xlfn.XLOOKUP(Trainingsabschluss[[#This Row],[UserID]], Teilnehmende[UserID], Teilnehmende[Bildungsabschluss], "UserID nicht gefunden")</f>
        <v>Bachelor</v>
      </c>
      <c r="I161" s="3">
        <f>_xlfn.XLOOKUP(Trainingsabschluss[[#This Row],[UserID]], Teilnehmende[UserID], Teilnehmende[Berufserfahrung])</f>
        <v>2</v>
      </c>
      <c r="J161" s="3" t="str" cm="1">
        <f t="array" ref="J16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61" s="11">
        <f>Trainingsabschluss[[#This Row],[Quiz_Frage1_Punkte]]/Max_Frage1</f>
        <v>0.4</v>
      </c>
      <c r="L161" s="11">
        <f>Trainingsabschluss[[#This Row],[Quiz_Frage2_Punkte]]/Max_Frage2</f>
        <v>0.2</v>
      </c>
      <c r="M161" s="11">
        <f>Trainingsabschluss[[#This Row],[Quiz_Frage3_Punkte]]/Max_Frage3</f>
        <v>0</v>
      </c>
      <c r="N161" s="11">
        <f>Trainingsabschluss[[#This Row],[Quiz_Frage4_Punkte]]/Max_Frage4</f>
        <v>0.5</v>
      </c>
      <c r="O161" s="11">
        <f>Trainingsabschluss[[#This Row],[Quiz_Frage5_Punkte]]/Max_Frage5</f>
        <v>0</v>
      </c>
      <c r="P161" s="2">
        <f>Trainingsabschluss[[#This Row],[Quiz_Frage1_Punkte]]+Trainingsabschluss[[#This Row],[Quiz_Frage2_Punkte]]+Trainingsabschluss[[#This Row],[Quiz_Frage3_Punkte]]+Trainingsabschluss[[#This Row],[Quiz_Frage4_Punkte]]+Trainingsabschluss[[#This Row],[Quiz_Frage5_Punkte]]</f>
        <v>5</v>
      </c>
      <c r="Q161" s="8">
        <f>Trainingsabschluss[[#This Row],[Quizergebnis]]/Max_Quizergebnis</f>
        <v>0.22727272727272727</v>
      </c>
      <c r="R161" t="str" cm="1">
        <f t="array" ref="R161">_xlfn.IFS(Trainingsabschluss[[#This Row],[Quizergebnis_Prozent]]&lt;0.5, "Nicht bestanden",
Trainingsabschluss[[#This Row],[Quizergebnis_Prozent]]&lt;0.65, "Bestanden",
Trainingsabschluss[[#This Row],[Quizergebnis_Prozent]]&lt;0.8, "Gut bestanden",
TRUE, "Sehr gut bestanden")</f>
        <v>Nicht bestanden</v>
      </c>
      <c r="S161" s="3">
        <v>3</v>
      </c>
      <c r="T161" s="3" t="str" cm="1">
        <f t="array" ref="T161">_xlfn.IFS(Trainingsabschluss[[#This Row],[Training_Bewertung]]&gt;=9, "Promotor", Trainingsabschluss[[#This Row],[Training_Bewertung]]
&lt;=6, "Detraktor",
TRUE, "Passiv")</f>
        <v>Detraktor</v>
      </c>
      <c r="W161"/>
    </row>
    <row r="162" spans="1:23" x14ac:dyDescent="0.3">
      <c r="A162" s="13" t="s">
        <v>17</v>
      </c>
      <c r="B162" s="2">
        <v>4</v>
      </c>
      <c r="C162" s="2">
        <v>3</v>
      </c>
      <c r="D162" s="2">
        <v>0.5</v>
      </c>
      <c r="E162" s="2">
        <v>4</v>
      </c>
      <c r="F162" s="2">
        <v>0</v>
      </c>
      <c r="G162" s="2" t="str">
        <f>_xlfn.XLOOKUP(Trainingsabschluss[[#This Row],[UserID]], Teilnehmende[UserID], Teilnehmende[Branche], "UserID nicht gefunden")</f>
        <v>E-Commerce</v>
      </c>
      <c r="H162" t="str">
        <f>_xlfn.XLOOKUP(Trainingsabschluss[[#This Row],[UserID]], Teilnehmende[UserID], Teilnehmende[Bildungsabschluss], "UserID nicht gefunden")</f>
        <v>Bachelor</v>
      </c>
      <c r="I162" s="3">
        <f>_xlfn.XLOOKUP(Trainingsabschluss[[#This Row],[UserID]], Teilnehmende[UserID], Teilnehmende[Berufserfahrung])</f>
        <v>8</v>
      </c>
      <c r="J162" s="3" t="str" cm="1">
        <f t="array" ref="J16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62" s="11">
        <f>Trainingsabschluss[[#This Row],[Quiz_Frage1_Punkte]]/Max_Frage1</f>
        <v>0.8</v>
      </c>
      <c r="L162" s="11">
        <f>Trainingsabschluss[[#This Row],[Quiz_Frage2_Punkte]]/Max_Frage2</f>
        <v>0.6</v>
      </c>
      <c r="M162" s="11">
        <f>Trainingsabschluss[[#This Row],[Quiz_Frage3_Punkte]]/Max_Frage3</f>
        <v>0.1</v>
      </c>
      <c r="N162" s="11">
        <f>Trainingsabschluss[[#This Row],[Quiz_Frage4_Punkte]]/Max_Frage4</f>
        <v>1</v>
      </c>
      <c r="O162" s="11">
        <f>Trainingsabschluss[[#This Row],[Quiz_Frage5_Punkte]]/Max_Frage5</f>
        <v>0</v>
      </c>
      <c r="P162" s="2">
        <f>Trainingsabschluss[[#This Row],[Quiz_Frage1_Punkte]]+Trainingsabschluss[[#This Row],[Quiz_Frage2_Punkte]]+Trainingsabschluss[[#This Row],[Quiz_Frage3_Punkte]]+Trainingsabschluss[[#This Row],[Quiz_Frage4_Punkte]]+Trainingsabschluss[[#This Row],[Quiz_Frage5_Punkte]]</f>
        <v>11.5</v>
      </c>
      <c r="Q162" s="8">
        <f>Trainingsabschluss[[#This Row],[Quizergebnis]]/Max_Quizergebnis</f>
        <v>0.52272727272727271</v>
      </c>
      <c r="R162" t="str" cm="1">
        <f t="array" ref="R162">_xlfn.IFS(Trainingsabschluss[[#This Row],[Quizergebnis_Prozent]]&lt;0.5, "Nicht bestanden",
Trainingsabschluss[[#This Row],[Quizergebnis_Prozent]]&lt;0.65, "Bestanden",
Trainingsabschluss[[#This Row],[Quizergebnis_Prozent]]&lt;0.8, "Gut bestanden",
TRUE, "Sehr gut bestanden")</f>
        <v>Bestanden</v>
      </c>
      <c r="S162" s="3">
        <v>7</v>
      </c>
      <c r="T162" s="3" t="str" cm="1">
        <f t="array" ref="T162">_xlfn.IFS(Trainingsabschluss[[#This Row],[Training_Bewertung]]&gt;=9, "Promotor", Trainingsabschluss[[#This Row],[Training_Bewertung]]
&lt;=6, "Detraktor",
TRUE, "Passiv")</f>
        <v>Passiv</v>
      </c>
      <c r="W162"/>
    </row>
    <row r="163" spans="1:23" x14ac:dyDescent="0.3">
      <c r="A163" s="13" t="s">
        <v>18</v>
      </c>
      <c r="B163" s="2">
        <v>4</v>
      </c>
      <c r="C163" s="2">
        <v>3</v>
      </c>
      <c r="D163" s="2">
        <v>0</v>
      </c>
      <c r="E163" s="2">
        <v>3.5</v>
      </c>
      <c r="F163" s="2">
        <v>0.5</v>
      </c>
      <c r="G163" s="2" t="str">
        <f>_xlfn.XLOOKUP(Trainingsabschluss[[#This Row],[UserID]], Teilnehmende[UserID], Teilnehmende[Branche], "UserID nicht gefunden")</f>
        <v>Einzelhandel</v>
      </c>
      <c r="H163" t="str">
        <f>_xlfn.XLOOKUP(Trainingsabschluss[[#This Row],[UserID]], Teilnehmende[UserID], Teilnehmende[Bildungsabschluss], "UserID nicht gefunden")</f>
        <v>Bachelor</v>
      </c>
      <c r="I163" s="3">
        <f>_xlfn.XLOOKUP(Trainingsabschluss[[#This Row],[UserID]], Teilnehmende[UserID], Teilnehmende[Berufserfahrung])</f>
        <v>4</v>
      </c>
      <c r="J163" s="3" t="str" cm="1">
        <f t="array" ref="J163">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63" s="11">
        <f>Trainingsabschluss[[#This Row],[Quiz_Frage1_Punkte]]/Max_Frage1</f>
        <v>0.8</v>
      </c>
      <c r="L163" s="11">
        <f>Trainingsabschluss[[#This Row],[Quiz_Frage2_Punkte]]/Max_Frage2</f>
        <v>0.6</v>
      </c>
      <c r="M163" s="11">
        <f>Trainingsabschluss[[#This Row],[Quiz_Frage3_Punkte]]/Max_Frage3</f>
        <v>0</v>
      </c>
      <c r="N163" s="11">
        <f>Trainingsabschluss[[#This Row],[Quiz_Frage4_Punkte]]/Max_Frage4</f>
        <v>0.875</v>
      </c>
      <c r="O163" s="11">
        <f>Trainingsabschluss[[#This Row],[Quiz_Frage5_Punkte]]/Max_Frage5</f>
        <v>0.16666666666666666</v>
      </c>
      <c r="P163" s="2">
        <f>Trainingsabschluss[[#This Row],[Quiz_Frage1_Punkte]]+Trainingsabschluss[[#This Row],[Quiz_Frage2_Punkte]]+Trainingsabschluss[[#This Row],[Quiz_Frage3_Punkte]]+Trainingsabschluss[[#This Row],[Quiz_Frage4_Punkte]]+Trainingsabschluss[[#This Row],[Quiz_Frage5_Punkte]]</f>
        <v>11</v>
      </c>
      <c r="Q163" s="8">
        <f>Trainingsabschluss[[#This Row],[Quizergebnis]]/Max_Quizergebnis</f>
        <v>0.5</v>
      </c>
      <c r="R163" t="str" cm="1">
        <f t="array" ref="R163">_xlfn.IFS(Trainingsabschluss[[#This Row],[Quizergebnis_Prozent]]&lt;0.5, "Nicht bestanden",
Trainingsabschluss[[#This Row],[Quizergebnis_Prozent]]&lt;0.65, "Bestanden",
Trainingsabschluss[[#This Row],[Quizergebnis_Prozent]]&lt;0.8, "Gut bestanden",
TRUE, "Sehr gut bestanden")</f>
        <v>Bestanden</v>
      </c>
      <c r="S163" s="3">
        <v>7</v>
      </c>
      <c r="T163" s="3" t="str" cm="1">
        <f t="array" ref="T163">_xlfn.IFS(Trainingsabschluss[[#This Row],[Training_Bewertung]]&gt;=9, "Promotor", Trainingsabschluss[[#This Row],[Training_Bewertung]]
&lt;=6, "Detraktor",
TRUE, "Passiv")</f>
        <v>Passiv</v>
      </c>
      <c r="W163"/>
    </row>
    <row r="164" spans="1:23" x14ac:dyDescent="0.3">
      <c r="A164" s="13" t="s">
        <v>81</v>
      </c>
      <c r="B164" s="2">
        <v>5</v>
      </c>
      <c r="C164" s="2">
        <v>4.5</v>
      </c>
      <c r="D164" s="2">
        <v>0</v>
      </c>
      <c r="E164" s="2">
        <v>1.5</v>
      </c>
      <c r="F164" s="2">
        <v>3</v>
      </c>
      <c r="G164" s="2" t="str">
        <f>_xlfn.XLOOKUP(Trainingsabschluss[[#This Row],[UserID]], Teilnehmende[UserID], Teilnehmende[Branche], "UserID nicht gefunden")</f>
        <v>Großhandel</v>
      </c>
      <c r="H164" t="str">
        <f>_xlfn.XLOOKUP(Trainingsabschluss[[#This Row],[UserID]], Teilnehmende[UserID], Teilnehmende[Bildungsabschluss], "UserID nicht gefunden")</f>
        <v>Bachelor</v>
      </c>
      <c r="I164" s="3">
        <f>_xlfn.XLOOKUP(Trainingsabschluss[[#This Row],[UserID]], Teilnehmende[UserID], Teilnehmende[Berufserfahrung])</f>
        <v>21</v>
      </c>
      <c r="J164" s="3" t="str" cm="1">
        <f t="array" ref="J164">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164" s="11">
        <f>Trainingsabschluss[[#This Row],[Quiz_Frage1_Punkte]]/Max_Frage1</f>
        <v>1</v>
      </c>
      <c r="L164" s="11">
        <f>Trainingsabschluss[[#This Row],[Quiz_Frage2_Punkte]]/Max_Frage2</f>
        <v>0.9</v>
      </c>
      <c r="M164" s="11">
        <f>Trainingsabschluss[[#This Row],[Quiz_Frage3_Punkte]]/Max_Frage3</f>
        <v>0</v>
      </c>
      <c r="N164" s="11">
        <f>Trainingsabschluss[[#This Row],[Quiz_Frage4_Punkte]]/Max_Frage4</f>
        <v>0.375</v>
      </c>
      <c r="O164" s="11">
        <f>Trainingsabschluss[[#This Row],[Quiz_Frage5_Punkte]]/Max_Frage5</f>
        <v>1</v>
      </c>
      <c r="P164" s="2">
        <f>Trainingsabschluss[[#This Row],[Quiz_Frage1_Punkte]]+Trainingsabschluss[[#This Row],[Quiz_Frage2_Punkte]]+Trainingsabschluss[[#This Row],[Quiz_Frage3_Punkte]]+Trainingsabschluss[[#This Row],[Quiz_Frage4_Punkte]]+Trainingsabschluss[[#This Row],[Quiz_Frage5_Punkte]]</f>
        <v>14</v>
      </c>
      <c r="Q164" s="8">
        <f>Trainingsabschluss[[#This Row],[Quizergebnis]]/Max_Quizergebnis</f>
        <v>0.63636363636363635</v>
      </c>
      <c r="R164" t="str" cm="1">
        <f t="array" ref="R164">_xlfn.IFS(Trainingsabschluss[[#This Row],[Quizergebnis_Prozent]]&lt;0.5, "Nicht bestanden",
Trainingsabschluss[[#This Row],[Quizergebnis_Prozent]]&lt;0.65, "Bestanden",
Trainingsabschluss[[#This Row],[Quizergebnis_Prozent]]&lt;0.8, "Gut bestanden",
TRUE, "Sehr gut bestanden")</f>
        <v>Bestanden</v>
      </c>
      <c r="S164" s="3">
        <v>7</v>
      </c>
      <c r="T164" s="3" t="str" cm="1">
        <f t="array" ref="T164">_xlfn.IFS(Trainingsabschluss[[#This Row],[Training_Bewertung]]&gt;=9, "Promotor", Trainingsabschluss[[#This Row],[Training_Bewertung]]
&lt;=6, "Detraktor",
TRUE, "Passiv")</f>
        <v>Passiv</v>
      </c>
      <c r="W164"/>
    </row>
    <row r="165" spans="1:23" x14ac:dyDescent="0.3">
      <c r="A165" s="13" t="s">
        <v>82</v>
      </c>
      <c r="B165" s="2">
        <v>5</v>
      </c>
      <c r="C165" s="2">
        <v>4</v>
      </c>
      <c r="D165" s="2">
        <v>2.5</v>
      </c>
      <c r="E165" s="2">
        <v>1</v>
      </c>
      <c r="F165" s="2">
        <v>0.5</v>
      </c>
      <c r="G165" s="2" t="str">
        <f>_xlfn.XLOOKUP(Trainingsabschluss[[#This Row],[UserID]], Teilnehmende[UserID], Teilnehmende[Branche], "UserID nicht gefunden")</f>
        <v>E-Commerce</v>
      </c>
      <c r="H165" t="str">
        <f>_xlfn.XLOOKUP(Trainingsabschluss[[#This Row],[UserID]], Teilnehmende[UserID], Teilnehmende[Bildungsabschluss], "UserID nicht gefunden")</f>
        <v>Bachelor</v>
      </c>
      <c r="I165" s="3">
        <f>_xlfn.XLOOKUP(Trainingsabschluss[[#This Row],[UserID]], Teilnehmende[UserID], Teilnehmende[Berufserfahrung])</f>
        <v>4</v>
      </c>
      <c r="J165" s="3" t="str" cm="1">
        <f t="array" ref="J16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65" s="11">
        <f>Trainingsabschluss[[#This Row],[Quiz_Frage1_Punkte]]/Max_Frage1</f>
        <v>1</v>
      </c>
      <c r="L165" s="11">
        <f>Trainingsabschluss[[#This Row],[Quiz_Frage2_Punkte]]/Max_Frage2</f>
        <v>0.8</v>
      </c>
      <c r="M165" s="11">
        <f>Trainingsabschluss[[#This Row],[Quiz_Frage3_Punkte]]/Max_Frage3</f>
        <v>0.5</v>
      </c>
      <c r="N165" s="11">
        <f>Trainingsabschluss[[#This Row],[Quiz_Frage4_Punkte]]/Max_Frage4</f>
        <v>0.25</v>
      </c>
      <c r="O165" s="11">
        <f>Trainingsabschluss[[#This Row],[Quiz_Frage5_Punkte]]/Max_Frage5</f>
        <v>0.16666666666666666</v>
      </c>
      <c r="P165" s="2">
        <f>Trainingsabschluss[[#This Row],[Quiz_Frage1_Punkte]]+Trainingsabschluss[[#This Row],[Quiz_Frage2_Punkte]]+Trainingsabschluss[[#This Row],[Quiz_Frage3_Punkte]]+Trainingsabschluss[[#This Row],[Quiz_Frage4_Punkte]]+Trainingsabschluss[[#This Row],[Quiz_Frage5_Punkte]]</f>
        <v>13</v>
      </c>
      <c r="Q165" s="8">
        <f>Trainingsabschluss[[#This Row],[Quizergebnis]]/Max_Quizergebnis</f>
        <v>0.59090909090909094</v>
      </c>
      <c r="R165" t="str" cm="1">
        <f t="array" ref="R165">_xlfn.IFS(Trainingsabschluss[[#This Row],[Quizergebnis_Prozent]]&lt;0.5, "Nicht bestanden",
Trainingsabschluss[[#This Row],[Quizergebnis_Prozent]]&lt;0.65, "Bestanden",
Trainingsabschluss[[#This Row],[Quizergebnis_Prozent]]&lt;0.8, "Gut bestanden",
TRUE, "Sehr gut bestanden")</f>
        <v>Bestanden</v>
      </c>
      <c r="S165" s="3">
        <v>7</v>
      </c>
      <c r="T165" s="3" t="str" cm="1">
        <f t="array" ref="T165">_xlfn.IFS(Trainingsabschluss[[#This Row],[Training_Bewertung]]&gt;=9, "Promotor", Trainingsabschluss[[#This Row],[Training_Bewertung]]
&lt;=6, "Detraktor",
TRUE, "Passiv")</f>
        <v>Passiv</v>
      </c>
      <c r="W165"/>
    </row>
    <row r="166" spans="1:23" x14ac:dyDescent="0.3">
      <c r="A166" s="13" t="s">
        <v>83</v>
      </c>
      <c r="B166" s="2">
        <v>4</v>
      </c>
      <c r="C166" s="2">
        <v>4</v>
      </c>
      <c r="D166" s="2">
        <v>2.5</v>
      </c>
      <c r="E166" s="2">
        <v>1</v>
      </c>
      <c r="F166" s="2">
        <v>2.5</v>
      </c>
      <c r="G166" s="2" t="str">
        <f>_xlfn.XLOOKUP(Trainingsabschluss[[#This Row],[UserID]], Teilnehmende[UserID], Teilnehmende[Branche], "UserID nicht gefunden")</f>
        <v>Einzelhandel</v>
      </c>
      <c r="H166" t="str">
        <f>_xlfn.XLOOKUP(Trainingsabschluss[[#This Row],[UserID]], Teilnehmende[UserID], Teilnehmende[Bildungsabschluss], "UserID nicht gefunden")</f>
        <v>Bachelor</v>
      </c>
      <c r="I166" s="3">
        <f>_xlfn.XLOOKUP(Trainingsabschluss[[#This Row],[UserID]], Teilnehmende[UserID], Teilnehmende[Berufserfahrung])</f>
        <v>6</v>
      </c>
      <c r="J166" s="3" t="str" cm="1">
        <f t="array" ref="J16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66" s="11">
        <f>Trainingsabschluss[[#This Row],[Quiz_Frage1_Punkte]]/Max_Frage1</f>
        <v>0.8</v>
      </c>
      <c r="L166" s="11">
        <f>Trainingsabschluss[[#This Row],[Quiz_Frage2_Punkte]]/Max_Frage2</f>
        <v>0.8</v>
      </c>
      <c r="M166" s="11">
        <f>Trainingsabschluss[[#This Row],[Quiz_Frage3_Punkte]]/Max_Frage3</f>
        <v>0.5</v>
      </c>
      <c r="N166" s="11">
        <f>Trainingsabschluss[[#This Row],[Quiz_Frage4_Punkte]]/Max_Frage4</f>
        <v>0.25</v>
      </c>
      <c r="O166" s="11">
        <f>Trainingsabschluss[[#This Row],[Quiz_Frage5_Punkte]]/Max_Frage5</f>
        <v>0.83333333333333337</v>
      </c>
      <c r="P166" s="2">
        <f>Trainingsabschluss[[#This Row],[Quiz_Frage1_Punkte]]+Trainingsabschluss[[#This Row],[Quiz_Frage2_Punkte]]+Trainingsabschluss[[#This Row],[Quiz_Frage3_Punkte]]+Trainingsabschluss[[#This Row],[Quiz_Frage4_Punkte]]+Trainingsabschluss[[#This Row],[Quiz_Frage5_Punkte]]</f>
        <v>14</v>
      </c>
      <c r="Q166" s="8">
        <f>Trainingsabschluss[[#This Row],[Quizergebnis]]/Max_Quizergebnis</f>
        <v>0.63636363636363635</v>
      </c>
      <c r="R166" t="str" cm="1">
        <f t="array" ref="R166">_xlfn.IFS(Trainingsabschluss[[#This Row],[Quizergebnis_Prozent]]&lt;0.5, "Nicht bestanden",
Trainingsabschluss[[#This Row],[Quizergebnis_Prozent]]&lt;0.65, "Bestanden",
Trainingsabschluss[[#This Row],[Quizergebnis_Prozent]]&lt;0.8, "Gut bestanden",
TRUE, "Sehr gut bestanden")</f>
        <v>Bestanden</v>
      </c>
      <c r="S166" s="3">
        <v>7</v>
      </c>
      <c r="T166" s="3" t="str" cm="1">
        <f t="array" ref="T166">_xlfn.IFS(Trainingsabschluss[[#This Row],[Training_Bewertung]]&gt;=9, "Promotor", Trainingsabschluss[[#This Row],[Training_Bewertung]]
&lt;=6, "Detraktor",
TRUE, "Passiv")</f>
        <v>Passiv</v>
      </c>
      <c r="W166"/>
    </row>
    <row r="167" spans="1:23" x14ac:dyDescent="0.3">
      <c r="A167" s="13" t="s">
        <v>84</v>
      </c>
      <c r="B167" s="2">
        <v>5</v>
      </c>
      <c r="C167" s="2">
        <v>4</v>
      </c>
      <c r="D167" s="2">
        <v>2</v>
      </c>
      <c r="E167" s="2">
        <v>2.5</v>
      </c>
      <c r="F167" s="2">
        <v>2.5</v>
      </c>
      <c r="G167" s="2" t="str">
        <f>_xlfn.XLOOKUP(Trainingsabschluss[[#This Row],[UserID]], Teilnehmende[UserID], Teilnehmende[Branche], "UserID nicht gefunden")</f>
        <v>E-Commerce</v>
      </c>
      <c r="H167" t="str">
        <f>_xlfn.XLOOKUP(Trainingsabschluss[[#This Row],[UserID]], Teilnehmende[UserID], Teilnehmende[Bildungsabschluss], "UserID nicht gefunden")</f>
        <v>Bachelor</v>
      </c>
      <c r="I167" s="3">
        <f>_xlfn.XLOOKUP(Trainingsabschluss[[#This Row],[UserID]], Teilnehmende[UserID], Teilnehmende[Berufserfahrung])</f>
        <v>5</v>
      </c>
      <c r="J167" s="3" t="str" cm="1">
        <f t="array" ref="J16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67" s="11">
        <f>Trainingsabschluss[[#This Row],[Quiz_Frage1_Punkte]]/Max_Frage1</f>
        <v>1</v>
      </c>
      <c r="L167" s="11">
        <f>Trainingsabschluss[[#This Row],[Quiz_Frage2_Punkte]]/Max_Frage2</f>
        <v>0.8</v>
      </c>
      <c r="M167" s="11">
        <f>Trainingsabschluss[[#This Row],[Quiz_Frage3_Punkte]]/Max_Frage3</f>
        <v>0.4</v>
      </c>
      <c r="N167" s="11">
        <f>Trainingsabschluss[[#This Row],[Quiz_Frage4_Punkte]]/Max_Frage4</f>
        <v>0.625</v>
      </c>
      <c r="O167" s="11">
        <f>Trainingsabschluss[[#This Row],[Quiz_Frage5_Punkte]]/Max_Frage5</f>
        <v>0.83333333333333337</v>
      </c>
      <c r="P167" s="2">
        <f>Trainingsabschluss[[#This Row],[Quiz_Frage1_Punkte]]+Trainingsabschluss[[#This Row],[Quiz_Frage2_Punkte]]+Trainingsabschluss[[#This Row],[Quiz_Frage3_Punkte]]+Trainingsabschluss[[#This Row],[Quiz_Frage4_Punkte]]+Trainingsabschluss[[#This Row],[Quiz_Frage5_Punkte]]</f>
        <v>16</v>
      </c>
      <c r="Q167" s="8">
        <f>Trainingsabschluss[[#This Row],[Quizergebnis]]/Max_Quizergebnis</f>
        <v>0.72727272727272729</v>
      </c>
      <c r="R167" t="str" cm="1">
        <f t="array" ref="R167">_xlfn.IFS(Trainingsabschluss[[#This Row],[Quizergebnis_Prozent]]&lt;0.5, "Nicht bestanden",
Trainingsabschluss[[#This Row],[Quizergebnis_Prozent]]&lt;0.65, "Bestanden",
Trainingsabschluss[[#This Row],[Quizergebnis_Prozent]]&lt;0.8, "Gut bestanden",
TRUE, "Sehr gut bestanden")</f>
        <v>Gut bestanden</v>
      </c>
      <c r="S167" s="3">
        <v>7</v>
      </c>
      <c r="T167" s="3" t="str" cm="1">
        <f t="array" ref="T167">_xlfn.IFS(Trainingsabschluss[[#This Row],[Training_Bewertung]]&gt;=9, "Promotor", Trainingsabschluss[[#This Row],[Training_Bewertung]]
&lt;=6, "Detraktor",
TRUE, "Passiv")</f>
        <v>Passiv</v>
      </c>
      <c r="W167"/>
    </row>
    <row r="168" spans="1:23" x14ac:dyDescent="0.3">
      <c r="A168" s="13" t="s">
        <v>22</v>
      </c>
      <c r="B168" s="2">
        <v>5</v>
      </c>
      <c r="C168" s="2">
        <v>3.5</v>
      </c>
      <c r="D168" s="2">
        <v>3.5</v>
      </c>
      <c r="E168" s="2">
        <v>2</v>
      </c>
      <c r="F168" s="2">
        <v>0</v>
      </c>
      <c r="G168" s="2" t="str">
        <f>_xlfn.XLOOKUP(Trainingsabschluss[[#This Row],[UserID]], Teilnehmende[UserID], Teilnehmende[Branche], "UserID nicht gefunden")</f>
        <v>E-Commerce</v>
      </c>
      <c r="H168" t="str">
        <f>_xlfn.XLOOKUP(Trainingsabschluss[[#This Row],[UserID]], Teilnehmende[UserID], Teilnehmende[Bildungsabschluss], "UserID nicht gefunden")</f>
        <v>Bachelor</v>
      </c>
      <c r="I168" s="3">
        <f>_xlfn.XLOOKUP(Trainingsabschluss[[#This Row],[UserID]], Teilnehmende[UserID], Teilnehmende[Berufserfahrung])</f>
        <v>14</v>
      </c>
      <c r="J168" s="3" t="str" cm="1">
        <f t="array" ref="J16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68" s="11">
        <f>Trainingsabschluss[[#This Row],[Quiz_Frage1_Punkte]]/Max_Frage1</f>
        <v>1</v>
      </c>
      <c r="L168" s="11">
        <f>Trainingsabschluss[[#This Row],[Quiz_Frage2_Punkte]]/Max_Frage2</f>
        <v>0.7</v>
      </c>
      <c r="M168" s="11">
        <f>Trainingsabschluss[[#This Row],[Quiz_Frage3_Punkte]]/Max_Frage3</f>
        <v>0.7</v>
      </c>
      <c r="N168" s="11">
        <f>Trainingsabschluss[[#This Row],[Quiz_Frage4_Punkte]]/Max_Frage4</f>
        <v>0.5</v>
      </c>
      <c r="O168" s="11">
        <f>Trainingsabschluss[[#This Row],[Quiz_Frage5_Punkte]]/Max_Frage5</f>
        <v>0</v>
      </c>
      <c r="P168" s="2">
        <f>Trainingsabschluss[[#This Row],[Quiz_Frage1_Punkte]]+Trainingsabschluss[[#This Row],[Quiz_Frage2_Punkte]]+Trainingsabschluss[[#This Row],[Quiz_Frage3_Punkte]]+Trainingsabschluss[[#This Row],[Quiz_Frage4_Punkte]]+Trainingsabschluss[[#This Row],[Quiz_Frage5_Punkte]]</f>
        <v>14</v>
      </c>
      <c r="Q168" s="8">
        <f>Trainingsabschluss[[#This Row],[Quizergebnis]]/Max_Quizergebnis</f>
        <v>0.63636363636363635</v>
      </c>
      <c r="R168" t="str" cm="1">
        <f t="array" ref="R168">_xlfn.IFS(Trainingsabschluss[[#This Row],[Quizergebnis_Prozent]]&lt;0.5, "Nicht bestanden",
Trainingsabschluss[[#This Row],[Quizergebnis_Prozent]]&lt;0.65, "Bestanden",
Trainingsabschluss[[#This Row],[Quizergebnis_Prozent]]&lt;0.8, "Gut bestanden",
TRUE, "Sehr gut bestanden")</f>
        <v>Bestanden</v>
      </c>
      <c r="S168" s="3">
        <v>3</v>
      </c>
      <c r="T168" s="3" t="str" cm="1">
        <f t="array" ref="T168">_xlfn.IFS(Trainingsabschluss[[#This Row],[Training_Bewertung]]&gt;=9, "Promotor", Trainingsabschluss[[#This Row],[Training_Bewertung]]
&lt;=6, "Detraktor",
TRUE, "Passiv")</f>
        <v>Detraktor</v>
      </c>
      <c r="W168"/>
    </row>
    <row r="169" spans="1:23" x14ac:dyDescent="0.3">
      <c r="A169" s="13" t="s">
        <v>23</v>
      </c>
      <c r="B169" s="2">
        <v>1</v>
      </c>
      <c r="C169" s="2">
        <v>2</v>
      </c>
      <c r="D169" s="2">
        <v>0.5</v>
      </c>
      <c r="E169" s="2">
        <v>0.5</v>
      </c>
      <c r="F169" s="2">
        <v>0</v>
      </c>
      <c r="G169" s="2" t="str">
        <f>_xlfn.XLOOKUP(Trainingsabschluss[[#This Row],[UserID]], Teilnehmende[UserID], Teilnehmende[Branche], "UserID nicht gefunden")</f>
        <v>E-Commerce</v>
      </c>
      <c r="H169" t="str">
        <f>_xlfn.XLOOKUP(Trainingsabschluss[[#This Row],[UserID]], Teilnehmende[UserID], Teilnehmende[Bildungsabschluss], "UserID nicht gefunden")</f>
        <v>Bachelor</v>
      </c>
      <c r="I169" s="3">
        <f>_xlfn.XLOOKUP(Trainingsabschluss[[#This Row],[UserID]], Teilnehmende[UserID], Teilnehmende[Berufserfahrung])</f>
        <v>18</v>
      </c>
      <c r="J169" s="3" t="str" cm="1">
        <f t="array" ref="J169">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69" s="11">
        <f>Trainingsabschluss[[#This Row],[Quiz_Frage1_Punkte]]/Max_Frage1</f>
        <v>0.2</v>
      </c>
      <c r="L169" s="11">
        <f>Trainingsabschluss[[#This Row],[Quiz_Frage2_Punkte]]/Max_Frage2</f>
        <v>0.4</v>
      </c>
      <c r="M169" s="11">
        <f>Trainingsabschluss[[#This Row],[Quiz_Frage3_Punkte]]/Max_Frage3</f>
        <v>0.1</v>
      </c>
      <c r="N169" s="11">
        <f>Trainingsabschluss[[#This Row],[Quiz_Frage4_Punkte]]/Max_Frage4</f>
        <v>0.125</v>
      </c>
      <c r="O169" s="11">
        <f>Trainingsabschluss[[#This Row],[Quiz_Frage5_Punkte]]/Max_Frage5</f>
        <v>0</v>
      </c>
      <c r="P169" s="2">
        <f>Trainingsabschluss[[#This Row],[Quiz_Frage1_Punkte]]+Trainingsabschluss[[#This Row],[Quiz_Frage2_Punkte]]+Trainingsabschluss[[#This Row],[Quiz_Frage3_Punkte]]+Trainingsabschluss[[#This Row],[Quiz_Frage4_Punkte]]+Trainingsabschluss[[#This Row],[Quiz_Frage5_Punkte]]</f>
        <v>4</v>
      </c>
      <c r="Q169" s="8">
        <f>Trainingsabschluss[[#This Row],[Quizergebnis]]/Max_Quizergebnis</f>
        <v>0.18181818181818182</v>
      </c>
      <c r="R169" t="str" cm="1">
        <f t="array" ref="R169">_xlfn.IFS(Trainingsabschluss[[#This Row],[Quizergebnis_Prozent]]&lt;0.5, "Nicht bestanden",
Trainingsabschluss[[#This Row],[Quizergebnis_Prozent]]&lt;0.65, "Bestanden",
Trainingsabschluss[[#This Row],[Quizergebnis_Prozent]]&lt;0.8, "Gut bestanden",
TRUE, "Sehr gut bestanden")</f>
        <v>Nicht bestanden</v>
      </c>
      <c r="S169" s="3">
        <v>4</v>
      </c>
      <c r="T169" s="3" t="str" cm="1">
        <f t="array" ref="T169">_xlfn.IFS(Trainingsabschluss[[#This Row],[Training_Bewertung]]&gt;=9, "Promotor", Trainingsabschluss[[#This Row],[Training_Bewertung]]
&lt;=6, "Detraktor",
TRUE, "Passiv")</f>
        <v>Detraktor</v>
      </c>
      <c r="W169"/>
    </row>
    <row r="170" spans="1:23" x14ac:dyDescent="0.3">
      <c r="A170" s="13" t="s">
        <v>25</v>
      </c>
      <c r="B170" s="2">
        <v>5</v>
      </c>
      <c r="C170" s="2">
        <v>3</v>
      </c>
      <c r="D170" s="2">
        <v>3</v>
      </c>
      <c r="E170" s="2">
        <v>4</v>
      </c>
      <c r="F170" s="2">
        <v>1.5</v>
      </c>
      <c r="G170" s="2" t="str">
        <f>_xlfn.XLOOKUP(Trainingsabschluss[[#This Row],[UserID]], Teilnehmende[UserID], Teilnehmende[Branche], "UserID nicht gefunden")</f>
        <v>Großhandel</v>
      </c>
      <c r="H170" t="str">
        <f>_xlfn.XLOOKUP(Trainingsabschluss[[#This Row],[UserID]], Teilnehmende[UserID], Teilnehmende[Bildungsabschluss], "UserID nicht gefunden")</f>
        <v>Bachelor</v>
      </c>
      <c r="I170" s="3">
        <f>_xlfn.XLOOKUP(Trainingsabschluss[[#This Row],[UserID]], Teilnehmende[UserID], Teilnehmende[Berufserfahrung])</f>
        <v>14</v>
      </c>
      <c r="J170" s="3" t="str" cm="1">
        <f t="array" ref="J170">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70" s="11">
        <f>Trainingsabschluss[[#This Row],[Quiz_Frage1_Punkte]]/Max_Frage1</f>
        <v>1</v>
      </c>
      <c r="L170" s="11">
        <f>Trainingsabschluss[[#This Row],[Quiz_Frage2_Punkte]]/Max_Frage2</f>
        <v>0.6</v>
      </c>
      <c r="M170" s="11">
        <f>Trainingsabschluss[[#This Row],[Quiz_Frage3_Punkte]]/Max_Frage3</f>
        <v>0.6</v>
      </c>
      <c r="N170" s="11">
        <f>Trainingsabschluss[[#This Row],[Quiz_Frage4_Punkte]]/Max_Frage4</f>
        <v>1</v>
      </c>
      <c r="O170" s="11">
        <f>Trainingsabschluss[[#This Row],[Quiz_Frage5_Punkte]]/Max_Frage5</f>
        <v>0.5</v>
      </c>
      <c r="P170" s="2">
        <f>Trainingsabschluss[[#This Row],[Quiz_Frage1_Punkte]]+Trainingsabschluss[[#This Row],[Quiz_Frage2_Punkte]]+Trainingsabschluss[[#This Row],[Quiz_Frage3_Punkte]]+Trainingsabschluss[[#This Row],[Quiz_Frage4_Punkte]]+Trainingsabschluss[[#This Row],[Quiz_Frage5_Punkte]]</f>
        <v>16.5</v>
      </c>
      <c r="Q170" s="8">
        <f>Trainingsabschluss[[#This Row],[Quizergebnis]]/Max_Quizergebnis</f>
        <v>0.75</v>
      </c>
      <c r="R170" t="str" cm="1">
        <f t="array" ref="R170">_xlfn.IFS(Trainingsabschluss[[#This Row],[Quizergebnis_Prozent]]&lt;0.5, "Nicht bestanden",
Trainingsabschluss[[#This Row],[Quizergebnis_Prozent]]&lt;0.65, "Bestanden",
Trainingsabschluss[[#This Row],[Quizergebnis_Prozent]]&lt;0.8, "Gut bestanden",
TRUE, "Sehr gut bestanden")</f>
        <v>Gut bestanden</v>
      </c>
      <c r="S170" s="3">
        <v>5</v>
      </c>
      <c r="T170" s="3" t="str" cm="1">
        <f t="array" ref="T170">_xlfn.IFS(Trainingsabschluss[[#This Row],[Training_Bewertung]]&gt;=9, "Promotor", Trainingsabschluss[[#This Row],[Training_Bewertung]]
&lt;=6, "Detraktor",
TRUE, "Passiv")</f>
        <v>Detraktor</v>
      </c>
      <c r="W170"/>
    </row>
    <row r="171" spans="1:23" x14ac:dyDescent="0.3">
      <c r="A171" s="13" t="s">
        <v>29</v>
      </c>
      <c r="B171" s="2">
        <v>4.5</v>
      </c>
      <c r="C171" s="2">
        <v>5</v>
      </c>
      <c r="D171" s="2">
        <v>1</v>
      </c>
      <c r="E171" s="2">
        <v>2</v>
      </c>
      <c r="F171" s="2">
        <v>2</v>
      </c>
      <c r="G171" s="2" t="str">
        <f>_xlfn.XLOOKUP(Trainingsabschluss[[#This Row],[UserID]], Teilnehmende[UserID], Teilnehmende[Branche], "UserID nicht gefunden")</f>
        <v>E-Commerce</v>
      </c>
      <c r="H171" t="str">
        <f>_xlfn.XLOOKUP(Trainingsabschluss[[#This Row],[UserID]], Teilnehmende[UserID], Teilnehmende[Bildungsabschluss], "UserID nicht gefunden")</f>
        <v>Bachelor</v>
      </c>
      <c r="I171" s="3">
        <f>_xlfn.XLOOKUP(Trainingsabschluss[[#This Row],[UserID]], Teilnehmende[UserID], Teilnehmende[Berufserfahrung])</f>
        <v>7</v>
      </c>
      <c r="J171" s="3" t="str" cm="1">
        <f t="array" ref="J17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71" s="11">
        <f>Trainingsabschluss[[#This Row],[Quiz_Frage1_Punkte]]/Max_Frage1</f>
        <v>0.9</v>
      </c>
      <c r="L171" s="11">
        <f>Trainingsabschluss[[#This Row],[Quiz_Frage2_Punkte]]/Max_Frage2</f>
        <v>1</v>
      </c>
      <c r="M171" s="11">
        <f>Trainingsabschluss[[#This Row],[Quiz_Frage3_Punkte]]/Max_Frage3</f>
        <v>0.2</v>
      </c>
      <c r="N171" s="11">
        <f>Trainingsabschluss[[#This Row],[Quiz_Frage4_Punkte]]/Max_Frage4</f>
        <v>0.5</v>
      </c>
      <c r="O171" s="11">
        <f>Trainingsabschluss[[#This Row],[Quiz_Frage5_Punkte]]/Max_Frage5</f>
        <v>0.66666666666666663</v>
      </c>
      <c r="P171" s="2">
        <f>Trainingsabschluss[[#This Row],[Quiz_Frage1_Punkte]]+Trainingsabschluss[[#This Row],[Quiz_Frage2_Punkte]]+Trainingsabschluss[[#This Row],[Quiz_Frage3_Punkte]]+Trainingsabschluss[[#This Row],[Quiz_Frage4_Punkte]]+Trainingsabschluss[[#This Row],[Quiz_Frage5_Punkte]]</f>
        <v>14.5</v>
      </c>
      <c r="Q171" s="8">
        <f>Trainingsabschluss[[#This Row],[Quizergebnis]]/Max_Quizergebnis</f>
        <v>0.65909090909090906</v>
      </c>
      <c r="R171" t="str" cm="1">
        <f t="array" ref="R171">_xlfn.IFS(Trainingsabschluss[[#This Row],[Quizergebnis_Prozent]]&lt;0.5, "Nicht bestanden",
Trainingsabschluss[[#This Row],[Quizergebnis_Prozent]]&lt;0.65, "Bestanden",
Trainingsabschluss[[#This Row],[Quizergebnis_Prozent]]&lt;0.8, "Gut bestanden",
TRUE, "Sehr gut bestanden")</f>
        <v>Gut bestanden</v>
      </c>
      <c r="S171" s="3">
        <v>8</v>
      </c>
      <c r="T171" s="3" t="str" cm="1">
        <f t="array" ref="T171">_xlfn.IFS(Trainingsabschluss[[#This Row],[Training_Bewertung]]&gt;=9, "Promotor", Trainingsabschluss[[#This Row],[Training_Bewertung]]
&lt;=6, "Detraktor",
TRUE, "Passiv")</f>
        <v>Passiv</v>
      </c>
      <c r="W171"/>
    </row>
    <row r="172" spans="1:23" x14ac:dyDescent="0.3">
      <c r="A172" s="13" t="s">
        <v>30</v>
      </c>
      <c r="B172" s="2">
        <v>5</v>
      </c>
      <c r="C172" s="2">
        <v>5</v>
      </c>
      <c r="D172" s="2">
        <v>2.5</v>
      </c>
      <c r="E172" s="2">
        <v>3.5</v>
      </c>
      <c r="F172" s="2">
        <v>1.5</v>
      </c>
      <c r="G172" s="2" t="str">
        <f>_xlfn.XLOOKUP(Trainingsabschluss[[#This Row],[UserID]], Teilnehmende[UserID], Teilnehmende[Branche], "UserID nicht gefunden")</f>
        <v>Großhandel</v>
      </c>
      <c r="H172" t="str">
        <f>_xlfn.XLOOKUP(Trainingsabschluss[[#This Row],[UserID]], Teilnehmende[UserID], Teilnehmende[Bildungsabschluss], "UserID nicht gefunden")</f>
        <v>Bachelor</v>
      </c>
      <c r="I172" s="3">
        <f>_xlfn.XLOOKUP(Trainingsabschluss[[#This Row],[UserID]], Teilnehmende[UserID], Teilnehmende[Berufserfahrung])</f>
        <v>12</v>
      </c>
      <c r="J172" s="3" t="str" cm="1">
        <f t="array" ref="J17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72" s="11">
        <f>Trainingsabschluss[[#This Row],[Quiz_Frage1_Punkte]]/Max_Frage1</f>
        <v>1</v>
      </c>
      <c r="L172" s="11">
        <f>Trainingsabschluss[[#This Row],[Quiz_Frage2_Punkte]]/Max_Frage2</f>
        <v>1</v>
      </c>
      <c r="M172" s="11">
        <f>Trainingsabschluss[[#This Row],[Quiz_Frage3_Punkte]]/Max_Frage3</f>
        <v>0.5</v>
      </c>
      <c r="N172" s="11">
        <f>Trainingsabschluss[[#This Row],[Quiz_Frage4_Punkte]]/Max_Frage4</f>
        <v>0.875</v>
      </c>
      <c r="O172" s="11">
        <f>Trainingsabschluss[[#This Row],[Quiz_Frage5_Punkte]]/Max_Frage5</f>
        <v>0.5</v>
      </c>
      <c r="P172" s="2">
        <f>Trainingsabschluss[[#This Row],[Quiz_Frage1_Punkte]]+Trainingsabschluss[[#This Row],[Quiz_Frage2_Punkte]]+Trainingsabschluss[[#This Row],[Quiz_Frage3_Punkte]]+Trainingsabschluss[[#This Row],[Quiz_Frage4_Punkte]]+Trainingsabschluss[[#This Row],[Quiz_Frage5_Punkte]]</f>
        <v>17.5</v>
      </c>
      <c r="Q172" s="8">
        <f>Trainingsabschluss[[#This Row],[Quizergebnis]]/Max_Quizergebnis</f>
        <v>0.79545454545454541</v>
      </c>
      <c r="R172" t="str" cm="1">
        <f t="array" ref="R172">_xlfn.IFS(Trainingsabschluss[[#This Row],[Quizergebnis_Prozent]]&lt;0.5, "Nicht bestanden",
Trainingsabschluss[[#This Row],[Quizergebnis_Prozent]]&lt;0.65, "Bestanden",
Trainingsabschluss[[#This Row],[Quizergebnis_Prozent]]&lt;0.8, "Gut bestanden",
TRUE, "Sehr gut bestanden")</f>
        <v>Gut bestanden</v>
      </c>
      <c r="S172" s="3">
        <v>8</v>
      </c>
      <c r="T172" s="3" t="str" cm="1">
        <f t="array" ref="T172">_xlfn.IFS(Trainingsabschluss[[#This Row],[Training_Bewertung]]&gt;=9, "Promotor", Trainingsabschluss[[#This Row],[Training_Bewertung]]
&lt;=6, "Detraktor",
TRUE, "Passiv")</f>
        <v>Passiv</v>
      </c>
      <c r="W172"/>
    </row>
    <row r="173" spans="1:23" x14ac:dyDescent="0.3">
      <c r="A173" s="13" t="s">
        <v>32</v>
      </c>
      <c r="B173" s="2">
        <v>5</v>
      </c>
      <c r="C173" s="2">
        <v>2.5</v>
      </c>
      <c r="D173" s="2">
        <v>0</v>
      </c>
      <c r="E173" s="2">
        <v>3</v>
      </c>
      <c r="F173" s="2">
        <v>2</v>
      </c>
      <c r="G173" s="2" t="str">
        <f>_xlfn.XLOOKUP(Trainingsabschluss[[#This Row],[UserID]], Teilnehmende[UserID], Teilnehmende[Branche], "UserID nicht gefunden")</f>
        <v>E-Commerce</v>
      </c>
      <c r="H173" t="str">
        <f>_xlfn.XLOOKUP(Trainingsabschluss[[#This Row],[UserID]], Teilnehmende[UserID], Teilnehmende[Bildungsabschluss], "UserID nicht gefunden")</f>
        <v>Bachelor</v>
      </c>
      <c r="I173" s="3">
        <f>_xlfn.XLOOKUP(Trainingsabschluss[[#This Row],[UserID]], Teilnehmende[UserID], Teilnehmende[Berufserfahrung])</f>
        <v>10</v>
      </c>
      <c r="J173" s="3" t="str" cm="1">
        <f t="array" ref="J17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73" s="11">
        <f>Trainingsabschluss[[#This Row],[Quiz_Frage1_Punkte]]/Max_Frage1</f>
        <v>1</v>
      </c>
      <c r="L173" s="11">
        <f>Trainingsabschluss[[#This Row],[Quiz_Frage2_Punkte]]/Max_Frage2</f>
        <v>0.5</v>
      </c>
      <c r="M173" s="11">
        <f>Trainingsabschluss[[#This Row],[Quiz_Frage3_Punkte]]/Max_Frage3</f>
        <v>0</v>
      </c>
      <c r="N173" s="11">
        <f>Trainingsabschluss[[#This Row],[Quiz_Frage4_Punkte]]/Max_Frage4</f>
        <v>0.75</v>
      </c>
      <c r="O173" s="11">
        <f>Trainingsabschluss[[#This Row],[Quiz_Frage5_Punkte]]/Max_Frage5</f>
        <v>0.66666666666666663</v>
      </c>
      <c r="P173" s="2">
        <f>Trainingsabschluss[[#This Row],[Quiz_Frage1_Punkte]]+Trainingsabschluss[[#This Row],[Quiz_Frage2_Punkte]]+Trainingsabschluss[[#This Row],[Quiz_Frage3_Punkte]]+Trainingsabschluss[[#This Row],[Quiz_Frage4_Punkte]]+Trainingsabschluss[[#This Row],[Quiz_Frage5_Punkte]]</f>
        <v>12.5</v>
      </c>
      <c r="Q173" s="8">
        <f>Trainingsabschluss[[#This Row],[Quizergebnis]]/Max_Quizergebnis</f>
        <v>0.56818181818181823</v>
      </c>
      <c r="R173" t="str" cm="1">
        <f t="array" ref="R173">_xlfn.IFS(Trainingsabschluss[[#This Row],[Quizergebnis_Prozent]]&lt;0.5, "Nicht bestanden",
Trainingsabschluss[[#This Row],[Quizergebnis_Prozent]]&lt;0.65, "Bestanden",
Trainingsabschluss[[#This Row],[Quizergebnis_Prozent]]&lt;0.8, "Gut bestanden",
TRUE, "Sehr gut bestanden")</f>
        <v>Bestanden</v>
      </c>
      <c r="S173" s="3">
        <v>8</v>
      </c>
      <c r="T173" s="3" t="str" cm="1">
        <f t="array" ref="T173">_xlfn.IFS(Trainingsabschluss[[#This Row],[Training_Bewertung]]&gt;=9, "Promotor", Trainingsabschluss[[#This Row],[Training_Bewertung]]
&lt;=6, "Detraktor",
TRUE, "Passiv")</f>
        <v>Passiv</v>
      </c>
      <c r="W173"/>
    </row>
    <row r="174" spans="1:23" x14ac:dyDescent="0.3">
      <c r="A174" s="13" t="s">
        <v>88</v>
      </c>
      <c r="B174" s="2">
        <v>5</v>
      </c>
      <c r="C174" s="2">
        <v>5</v>
      </c>
      <c r="D174" s="2">
        <v>3.5</v>
      </c>
      <c r="E174" s="2">
        <v>2.5</v>
      </c>
      <c r="F174" s="2">
        <v>1</v>
      </c>
      <c r="G174" s="2" t="str">
        <f>_xlfn.XLOOKUP(Trainingsabschluss[[#This Row],[UserID]], Teilnehmende[UserID], Teilnehmende[Branche], "UserID nicht gefunden")</f>
        <v>E-Commerce</v>
      </c>
      <c r="H174" t="str">
        <f>_xlfn.XLOOKUP(Trainingsabschluss[[#This Row],[UserID]], Teilnehmende[UserID], Teilnehmende[Bildungsabschluss], "UserID nicht gefunden")</f>
        <v>Bachelor</v>
      </c>
      <c r="I174" s="3">
        <f>_xlfn.XLOOKUP(Trainingsabschluss[[#This Row],[UserID]], Teilnehmende[UserID], Teilnehmende[Berufserfahrung])</f>
        <v>7</v>
      </c>
      <c r="J174" s="3" t="str" cm="1">
        <f t="array" ref="J17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74" s="11">
        <f>Trainingsabschluss[[#This Row],[Quiz_Frage1_Punkte]]/Max_Frage1</f>
        <v>1</v>
      </c>
      <c r="L174" s="11">
        <f>Trainingsabschluss[[#This Row],[Quiz_Frage2_Punkte]]/Max_Frage2</f>
        <v>1</v>
      </c>
      <c r="M174" s="11">
        <f>Trainingsabschluss[[#This Row],[Quiz_Frage3_Punkte]]/Max_Frage3</f>
        <v>0.7</v>
      </c>
      <c r="N174" s="11">
        <f>Trainingsabschluss[[#This Row],[Quiz_Frage4_Punkte]]/Max_Frage4</f>
        <v>0.625</v>
      </c>
      <c r="O174" s="11">
        <f>Trainingsabschluss[[#This Row],[Quiz_Frage5_Punkte]]/Max_Frage5</f>
        <v>0.33333333333333331</v>
      </c>
      <c r="P174" s="2">
        <f>Trainingsabschluss[[#This Row],[Quiz_Frage1_Punkte]]+Trainingsabschluss[[#This Row],[Quiz_Frage2_Punkte]]+Trainingsabschluss[[#This Row],[Quiz_Frage3_Punkte]]+Trainingsabschluss[[#This Row],[Quiz_Frage4_Punkte]]+Trainingsabschluss[[#This Row],[Quiz_Frage5_Punkte]]</f>
        <v>17</v>
      </c>
      <c r="Q174" s="8">
        <f>Trainingsabschluss[[#This Row],[Quizergebnis]]/Max_Quizergebnis</f>
        <v>0.77272727272727271</v>
      </c>
      <c r="R174" t="str" cm="1">
        <f t="array" ref="R174">_xlfn.IFS(Trainingsabschluss[[#This Row],[Quizergebnis_Prozent]]&lt;0.5, "Nicht bestanden",
Trainingsabschluss[[#This Row],[Quizergebnis_Prozent]]&lt;0.65, "Bestanden",
Trainingsabschluss[[#This Row],[Quizergebnis_Prozent]]&lt;0.8, "Gut bestanden",
TRUE, "Sehr gut bestanden")</f>
        <v>Gut bestanden</v>
      </c>
      <c r="S174" s="3">
        <v>8</v>
      </c>
      <c r="T174" s="3" t="str" cm="1">
        <f t="array" ref="T174">_xlfn.IFS(Trainingsabschluss[[#This Row],[Training_Bewertung]]&gt;=9, "Promotor", Trainingsabschluss[[#This Row],[Training_Bewertung]]
&lt;=6, "Detraktor",
TRUE, "Passiv")</f>
        <v>Passiv</v>
      </c>
      <c r="W174"/>
    </row>
    <row r="175" spans="1:23" x14ac:dyDescent="0.3">
      <c r="A175" s="13" t="s">
        <v>89</v>
      </c>
      <c r="B175" s="2">
        <v>5</v>
      </c>
      <c r="C175" s="2">
        <v>4</v>
      </c>
      <c r="D175" s="2">
        <v>4</v>
      </c>
      <c r="E175" s="2">
        <v>1</v>
      </c>
      <c r="F175" s="2">
        <v>1</v>
      </c>
      <c r="G175" s="2" t="str">
        <f>_xlfn.XLOOKUP(Trainingsabschluss[[#This Row],[UserID]], Teilnehmende[UserID], Teilnehmende[Branche], "UserID nicht gefunden")</f>
        <v>Einzelhandel</v>
      </c>
      <c r="H175" t="str">
        <f>_xlfn.XLOOKUP(Trainingsabschluss[[#This Row],[UserID]], Teilnehmende[UserID], Teilnehmende[Bildungsabschluss], "UserID nicht gefunden")</f>
        <v>Bachelor</v>
      </c>
      <c r="I175" s="3">
        <f>_xlfn.XLOOKUP(Trainingsabschluss[[#This Row],[UserID]], Teilnehmende[UserID], Teilnehmende[Berufserfahrung])</f>
        <v>4</v>
      </c>
      <c r="J175" s="3" t="str" cm="1">
        <f t="array" ref="J17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75" s="11">
        <f>Trainingsabschluss[[#This Row],[Quiz_Frage1_Punkte]]/Max_Frage1</f>
        <v>1</v>
      </c>
      <c r="L175" s="11">
        <f>Trainingsabschluss[[#This Row],[Quiz_Frage2_Punkte]]/Max_Frage2</f>
        <v>0.8</v>
      </c>
      <c r="M175" s="11">
        <f>Trainingsabschluss[[#This Row],[Quiz_Frage3_Punkte]]/Max_Frage3</f>
        <v>0.8</v>
      </c>
      <c r="N175" s="11">
        <f>Trainingsabschluss[[#This Row],[Quiz_Frage4_Punkte]]/Max_Frage4</f>
        <v>0.25</v>
      </c>
      <c r="O175" s="11">
        <f>Trainingsabschluss[[#This Row],[Quiz_Frage5_Punkte]]/Max_Frage5</f>
        <v>0.33333333333333331</v>
      </c>
      <c r="P175" s="2">
        <f>Trainingsabschluss[[#This Row],[Quiz_Frage1_Punkte]]+Trainingsabschluss[[#This Row],[Quiz_Frage2_Punkte]]+Trainingsabschluss[[#This Row],[Quiz_Frage3_Punkte]]+Trainingsabschluss[[#This Row],[Quiz_Frage4_Punkte]]+Trainingsabschluss[[#This Row],[Quiz_Frage5_Punkte]]</f>
        <v>15</v>
      </c>
      <c r="Q175" s="8">
        <f>Trainingsabschluss[[#This Row],[Quizergebnis]]/Max_Quizergebnis</f>
        <v>0.68181818181818177</v>
      </c>
      <c r="R175" t="str" cm="1">
        <f t="array" ref="R175">_xlfn.IFS(Trainingsabschluss[[#This Row],[Quizergebnis_Prozent]]&lt;0.5, "Nicht bestanden",
Trainingsabschluss[[#This Row],[Quizergebnis_Prozent]]&lt;0.65, "Bestanden",
Trainingsabschluss[[#This Row],[Quizergebnis_Prozent]]&lt;0.8, "Gut bestanden",
TRUE, "Sehr gut bestanden")</f>
        <v>Gut bestanden</v>
      </c>
      <c r="S175" s="3">
        <v>8</v>
      </c>
      <c r="T175" s="3" t="str" cm="1">
        <f t="array" ref="T175">_xlfn.IFS(Trainingsabschluss[[#This Row],[Training_Bewertung]]&gt;=9, "Promotor", Trainingsabschluss[[#This Row],[Training_Bewertung]]
&lt;=6, "Detraktor",
TRUE, "Passiv")</f>
        <v>Passiv</v>
      </c>
      <c r="W175"/>
    </row>
    <row r="176" spans="1:23" x14ac:dyDescent="0.3">
      <c r="A176" s="13" t="s">
        <v>90</v>
      </c>
      <c r="B176" s="2">
        <v>4</v>
      </c>
      <c r="C176" s="2">
        <v>4.5</v>
      </c>
      <c r="D176" s="2">
        <v>2.5</v>
      </c>
      <c r="E176" s="2">
        <v>0</v>
      </c>
      <c r="F176" s="2">
        <v>2.5</v>
      </c>
      <c r="G176" s="2" t="str">
        <f>_xlfn.XLOOKUP(Trainingsabschluss[[#This Row],[UserID]], Teilnehmende[UserID], Teilnehmende[Branche], "UserID nicht gefunden")</f>
        <v>Einzelhandel</v>
      </c>
      <c r="H176" t="str">
        <f>_xlfn.XLOOKUP(Trainingsabschluss[[#This Row],[UserID]], Teilnehmende[UserID], Teilnehmende[Bildungsabschluss], "UserID nicht gefunden")</f>
        <v>Bachelor</v>
      </c>
      <c r="I176" s="3">
        <f>_xlfn.XLOOKUP(Trainingsabschluss[[#This Row],[UserID]], Teilnehmende[UserID], Teilnehmende[Berufserfahrung])</f>
        <v>7</v>
      </c>
      <c r="J176" s="3" t="str" cm="1">
        <f t="array" ref="J17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76" s="11">
        <f>Trainingsabschluss[[#This Row],[Quiz_Frage1_Punkte]]/Max_Frage1</f>
        <v>0.8</v>
      </c>
      <c r="L176" s="11">
        <f>Trainingsabschluss[[#This Row],[Quiz_Frage2_Punkte]]/Max_Frage2</f>
        <v>0.9</v>
      </c>
      <c r="M176" s="11">
        <f>Trainingsabschluss[[#This Row],[Quiz_Frage3_Punkte]]/Max_Frage3</f>
        <v>0.5</v>
      </c>
      <c r="N176" s="11">
        <f>Trainingsabschluss[[#This Row],[Quiz_Frage4_Punkte]]/Max_Frage4</f>
        <v>0</v>
      </c>
      <c r="O176" s="11">
        <f>Trainingsabschluss[[#This Row],[Quiz_Frage5_Punkte]]/Max_Frage5</f>
        <v>0.83333333333333337</v>
      </c>
      <c r="P176" s="2">
        <f>Trainingsabschluss[[#This Row],[Quiz_Frage1_Punkte]]+Trainingsabschluss[[#This Row],[Quiz_Frage2_Punkte]]+Trainingsabschluss[[#This Row],[Quiz_Frage3_Punkte]]+Trainingsabschluss[[#This Row],[Quiz_Frage4_Punkte]]+Trainingsabschluss[[#This Row],[Quiz_Frage5_Punkte]]</f>
        <v>13.5</v>
      </c>
      <c r="Q176" s="8">
        <f>Trainingsabschluss[[#This Row],[Quizergebnis]]/Max_Quizergebnis</f>
        <v>0.61363636363636365</v>
      </c>
      <c r="R176" t="str" cm="1">
        <f t="array" ref="R176">_xlfn.IFS(Trainingsabschluss[[#This Row],[Quizergebnis_Prozent]]&lt;0.5, "Nicht bestanden",
Trainingsabschluss[[#This Row],[Quizergebnis_Prozent]]&lt;0.65, "Bestanden",
Trainingsabschluss[[#This Row],[Quizergebnis_Prozent]]&lt;0.8, "Gut bestanden",
TRUE, "Sehr gut bestanden")</f>
        <v>Bestanden</v>
      </c>
      <c r="S176" s="3">
        <v>8</v>
      </c>
      <c r="T176" s="3" t="str" cm="1">
        <f t="array" ref="T176">_xlfn.IFS(Trainingsabschluss[[#This Row],[Training_Bewertung]]&gt;=9, "Promotor", Trainingsabschluss[[#This Row],[Training_Bewertung]]
&lt;=6, "Detraktor",
TRUE, "Passiv")</f>
        <v>Passiv</v>
      </c>
      <c r="W176"/>
    </row>
    <row r="177" spans="1:23" x14ac:dyDescent="0.3">
      <c r="A177" s="13" t="s">
        <v>91</v>
      </c>
      <c r="B177" s="2">
        <v>5</v>
      </c>
      <c r="C177" s="2">
        <v>4</v>
      </c>
      <c r="D177" s="2">
        <v>3.5</v>
      </c>
      <c r="E177" s="2">
        <v>4</v>
      </c>
      <c r="F177" s="2">
        <v>1</v>
      </c>
      <c r="G177" s="2" t="str">
        <f>_xlfn.XLOOKUP(Trainingsabschluss[[#This Row],[UserID]], Teilnehmende[UserID], Teilnehmende[Branche], "UserID nicht gefunden")</f>
        <v>Großhandel</v>
      </c>
      <c r="H177" t="str">
        <f>_xlfn.XLOOKUP(Trainingsabschluss[[#This Row],[UserID]], Teilnehmende[UserID], Teilnehmende[Bildungsabschluss], "UserID nicht gefunden")</f>
        <v>Bachelor</v>
      </c>
      <c r="I177" s="3">
        <f>_xlfn.XLOOKUP(Trainingsabschluss[[#This Row],[UserID]], Teilnehmende[UserID], Teilnehmende[Berufserfahrung])</f>
        <v>10</v>
      </c>
      <c r="J177" s="3" t="str" cm="1">
        <f t="array" ref="J177">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77" s="11">
        <f>Trainingsabschluss[[#This Row],[Quiz_Frage1_Punkte]]/Max_Frage1</f>
        <v>1</v>
      </c>
      <c r="L177" s="11">
        <f>Trainingsabschluss[[#This Row],[Quiz_Frage2_Punkte]]/Max_Frage2</f>
        <v>0.8</v>
      </c>
      <c r="M177" s="11">
        <f>Trainingsabschluss[[#This Row],[Quiz_Frage3_Punkte]]/Max_Frage3</f>
        <v>0.7</v>
      </c>
      <c r="N177" s="11">
        <f>Trainingsabschluss[[#This Row],[Quiz_Frage4_Punkte]]/Max_Frage4</f>
        <v>1</v>
      </c>
      <c r="O177" s="11">
        <f>Trainingsabschluss[[#This Row],[Quiz_Frage5_Punkte]]/Max_Frage5</f>
        <v>0.33333333333333331</v>
      </c>
      <c r="P177" s="2">
        <f>Trainingsabschluss[[#This Row],[Quiz_Frage1_Punkte]]+Trainingsabschluss[[#This Row],[Quiz_Frage2_Punkte]]+Trainingsabschluss[[#This Row],[Quiz_Frage3_Punkte]]+Trainingsabschluss[[#This Row],[Quiz_Frage4_Punkte]]+Trainingsabschluss[[#This Row],[Quiz_Frage5_Punkte]]</f>
        <v>17.5</v>
      </c>
      <c r="Q177" s="8">
        <f>Trainingsabschluss[[#This Row],[Quizergebnis]]/Max_Quizergebnis</f>
        <v>0.79545454545454541</v>
      </c>
      <c r="R177" t="str" cm="1">
        <f t="array" ref="R177">_xlfn.IFS(Trainingsabschluss[[#This Row],[Quizergebnis_Prozent]]&lt;0.5, "Nicht bestanden",
Trainingsabschluss[[#This Row],[Quizergebnis_Prozent]]&lt;0.65, "Bestanden",
Trainingsabschluss[[#This Row],[Quizergebnis_Prozent]]&lt;0.8, "Gut bestanden",
TRUE, "Sehr gut bestanden")</f>
        <v>Gut bestanden</v>
      </c>
      <c r="S177" s="3">
        <v>8</v>
      </c>
      <c r="T177" s="3" t="str" cm="1">
        <f t="array" ref="T177">_xlfn.IFS(Trainingsabschluss[[#This Row],[Training_Bewertung]]&gt;=9, "Promotor", Trainingsabschluss[[#This Row],[Training_Bewertung]]
&lt;=6, "Detraktor",
TRUE, "Passiv")</f>
        <v>Passiv</v>
      </c>
      <c r="W177"/>
    </row>
    <row r="178" spans="1:23" x14ac:dyDescent="0.3">
      <c r="A178" s="13" t="s">
        <v>92</v>
      </c>
      <c r="B178" s="2">
        <v>5</v>
      </c>
      <c r="C178" s="2">
        <v>3.5</v>
      </c>
      <c r="D178" s="2">
        <v>4.5</v>
      </c>
      <c r="E178" s="2">
        <v>4</v>
      </c>
      <c r="F178" s="2">
        <v>1.5</v>
      </c>
      <c r="G178" s="2" t="str">
        <f>_xlfn.XLOOKUP(Trainingsabschluss[[#This Row],[UserID]], Teilnehmende[UserID], Teilnehmende[Branche], "UserID nicht gefunden")</f>
        <v>Einzelhandel</v>
      </c>
      <c r="H178" t="str">
        <f>_xlfn.XLOOKUP(Trainingsabschluss[[#This Row],[UserID]], Teilnehmende[UserID], Teilnehmende[Bildungsabschluss], "UserID nicht gefunden")</f>
        <v>Bachelor</v>
      </c>
      <c r="I178" s="3">
        <f>_xlfn.XLOOKUP(Trainingsabschluss[[#This Row],[UserID]], Teilnehmende[UserID], Teilnehmende[Berufserfahrung])</f>
        <v>8</v>
      </c>
      <c r="J178" s="3" t="str" cm="1">
        <f t="array" ref="J17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78" s="11">
        <f>Trainingsabschluss[[#This Row],[Quiz_Frage1_Punkte]]/Max_Frage1</f>
        <v>1</v>
      </c>
      <c r="L178" s="11">
        <f>Trainingsabschluss[[#This Row],[Quiz_Frage2_Punkte]]/Max_Frage2</f>
        <v>0.7</v>
      </c>
      <c r="M178" s="11">
        <f>Trainingsabschluss[[#This Row],[Quiz_Frage3_Punkte]]/Max_Frage3</f>
        <v>0.9</v>
      </c>
      <c r="N178" s="11">
        <f>Trainingsabschluss[[#This Row],[Quiz_Frage4_Punkte]]/Max_Frage4</f>
        <v>1</v>
      </c>
      <c r="O178" s="11">
        <f>Trainingsabschluss[[#This Row],[Quiz_Frage5_Punkte]]/Max_Frage5</f>
        <v>0.5</v>
      </c>
      <c r="P178" s="2">
        <f>Trainingsabschluss[[#This Row],[Quiz_Frage1_Punkte]]+Trainingsabschluss[[#This Row],[Quiz_Frage2_Punkte]]+Trainingsabschluss[[#This Row],[Quiz_Frage3_Punkte]]+Trainingsabschluss[[#This Row],[Quiz_Frage4_Punkte]]+Trainingsabschluss[[#This Row],[Quiz_Frage5_Punkte]]</f>
        <v>18.5</v>
      </c>
      <c r="Q178" s="8">
        <f>Trainingsabschluss[[#This Row],[Quizergebnis]]/Max_Quizergebnis</f>
        <v>0.84090909090909094</v>
      </c>
      <c r="R178" t="str" cm="1">
        <f t="array" ref="R178">_xlfn.IFS(Trainingsabschluss[[#This Row],[Quizergebnis_Prozent]]&lt;0.5, "Nicht bestanden",
Trainingsabschluss[[#This Row],[Quizergebnis_Prozent]]&lt;0.65, "Bestanden",
Trainingsabschluss[[#This Row],[Quizergebnis_Prozent]]&lt;0.8, "Gut bestanden",
TRUE, "Sehr gut bestanden")</f>
        <v>Sehr gut bestanden</v>
      </c>
      <c r="S178" s="3">
        <v>8</v>
      </c>
      <c r="T178" s="3" t="str" cm="1">
        <f t="array" ref="T178">_xlfn.IFS(Trainingsabschluss[[#This Row],[Training_Bewertung]]&gt;=9, "Promotor", Trainingsabschluss[[#This Row],[Training_Bewertung]]
&lt;=6, "Detraktor",
TRUE, "Passiv")</f>
        <v>Passiv</v>
      </c>
      <c r="W178"/>
    </row>
    <row r="179" spans="1:23" x14ac:dyDescent="0.3">
      <c r="A179" s="13" t="s">
        <v>94</v>
      </c>
      <c r="B179" s="2">
        <v>5</v>
      </c>
      <c r="C179" s="2">
        <v>3</v>
      </c>
      <c r="D179" s="2">
        <v>3</v>
      </c>
      <c r="E179" s="2">
        <v>3</v>
      </c>
      <c r="F179" s="2">
        <v>3</v>
      </c>
      <c r="G179" s="2" t="str">
        <f>_xlfn.XLOOKUP(Trainingsabschluss[[#This Row],[UserID]], Teilnehmende[UserID], Teilnehmende[Branche], "UserID nicht gefunden")</f>
        <v>E-Commerce</v>
      </c>
      <c r="H179" t="str">
        <f>_xlfn.XLOOKUP(Trainingsabschluss[[#This Row],[UserID]], Teilnehmende[UserID], Teilnehmende[Bildungsabschluss], "UserID nicht gefunden")</f>
        <v>Bachelor</v>
      </c>
      <c r="I179" s="3">
        <f>_xlfn.XLOOKUP(Trainingsabschluss[[#This Row],[UserID]], Teilnehmende[UserID], Teilnehmende[Berufserfahrung])</f>
        <v>14</v>
      </c>
      <c r="J179" s="3" t="str" cm="1">
        <f t="array" ref="J17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79" s="11">
        <f>Trainingsabschluss[[#This Row],[Quiz_Frage1_Punkte]]/Max_Frage1</f>
        <v>1</v>
      </c>
      <c r="L179" s="11">
        <f>Trainingsabschluss[[#This Row],[Quiz_Frage2_Punkte]]/Max_Frage2</f>
        <v>0.6</v>
      </c>
      <c r="M179" s="11">
        <f>Trainingsabschluss[[#This Row],[Quiz_Frage3_Punkte]]/Max_Frage3</f>
        <v>0.6</v>
      </c>
      <c r="N179" s="11">
        <f>Trainingsabschluss[[#This Row],[Quiz_Frage4_Punkte]]/Max_Frage4</f>
        <v>0.75</v>
      </c>
      <c r="O179" s="11">
        <f>Trainingsabschluss[[#This Row],[Quiz_Frage5_Punkte]]/Max_Frage5</f>
        <v>1</v>
      </c>
      <c r="P179" s="2">
        <f>Trainingsabschluss[[#This Row],[Quiz_Frage1_Punkte]]+Trainingsabschluss[[#This Row],[Quiz_Frage2_Punkte]]+Trainingsabschluss[[#This Row],[Quiz_Frage3_Punkte]]+Trainingsabschluss[[#This Row],[Quiz_Frage4_Punkte]]+Trainingsabschluss[[#This Row],[Quiz_Frage5_Punkte]]</f>
        <v>17</v>
      </c>
      <c r="Q179" s="8">
        <f>Trainingsabschluss[[#This Row],[Quizergebnis]]/Max_Quizergebnis</f>
        <v>0.77272727272727271</v>
      </c>
      <c r="R179" t="str" cm="1">
        <f t="array" ref="R179">_xlfn.IFS(Trainingsabschluss[[#This Row],[Quizergebnis_Prozent]]&lt;0.5, "Nicht bestanden",
Trainingsabschluss[[#This Row],[Quizergebnis_Prozent]]&lt;0.65, "Bestanden",
Trainingsabschluss[[#This Row],[Quizergebnis_Prozent]]&lt;0.8, "Gut bestanden",
TRUE, "Sehr gut bestanden")</f>
        <v>Gut bestanden</v>
      </c>
      <c r="S179" s="3">
        <v>8</v>
      </c>
      <c r="T179" s="3" t="str" cm="1">
        <f t="array" ref="T179">_xlfn.IFS(Trainingsabschluss[[#This Row],[Training_Bewertung]]&gt;=9, "Promotor", Trainingsabschluss[[#This Row],[Training_Bewertung]]
&lt;=6, "Detraktor",
TRUE, "Passiv")</f>
        <v>Passiv</v>
      </c>
      <c r="W179"/>
    </row>
    <row r="180" spans="1:23" x14ac:dyDescent="0.3">
      <c r="A180" s="13" t="s">
        <v>97</v>
      </c>
      <c r="B180" s="2">
        <v>5</v>
      </c>
      <c r="C180" s="2">
        <v>5</v>
      </c>
      <c r="D180" s="2">
        <v>1.5</v>
      </c>
      <c r="E180" s="2">
        <v>0.5</v>
      </c>
      <c r="F180" s="2">
        <v>1.5</v>
      </c>
      <c r="G180" s="2" t="str">
        <f>_xlfn.XLOOKUP(Trainingsabschluss[[#This Row],[UserID]], Teilnehmende[UserID], Teilnehmende[Branche], "UserID nicht gefunden")</f>
        <v>Großhandel</v>
      </c>
      <c r="H180" t="str">
        <f>_xlfn.XLOOKUP(Trainingsabschluss[[#This Row],[UserID]], Teilnehmende[UserID], Teilnehmende[Bildungsabschluss], "UserID nicht gefunden")</f>
        <v>Bachelor</v>
      </c>
      <c r="I180" s="3">
        <f>_xlfn.XLOOKUP(Trainingsabschluss[[#This Row],[UserID]], Teilnehmende[UserID], Teilnehmende[Berufserfahrung])</f>
        <v>10</v>
      </c>
      <c r="J180" s="3" t="str" cm="1">
        <f t="array" ref="J180">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80" s="11">
        <f>Trainingsabschluss[[#This Row],[Quiz_Frage1_Punkte]]/Max_Frage1</f>
        <v>1</v>
      </c>
      <c r="L180" s="11">
        <f>Trainingsabschluss[[#This Row],[Quiz_Frage2_Punkte]]/Max_Frage2</f>
        <v>1</v>
      </c>
      <c r="M180" s="11">
        <f>Trainingsabschluss[[#This Row],[Quiz_Frage3_Punkte]]/Max_Frage3</f>
        <v>0.3</v>
      </c>
      <c r="N180" s="11">
        <f>Trainingsabschluss[[#This Row],[Quiz_Frage4_Punkte]]/Max_Frage4</f>
        <v>0.125</v>
      </c>
      <c r="O180" s="11">
        <f>Trainingsabschluss[[#This Row],[Quiz_Frage5_Punkte]]/Max_Frage5</f>
        <v>0.5</v>
      </c>
      <c r="P180" s="2">
        <f>Trainingsabschluss[[#This Row],[Quiz_Frage1_Punkte]]+Trainingsabschluss[[#This Row],[Quiz_Frage2_Punkte]]+Trainingsabschluss[[#This Row],[Quiz_Frage3_Punkte]]+Trainingsabschluss[[#This Row],[Quiz_Frage4_Punkte]]+Trainingsabschluss[[#This Row],[Quiz_Frage5_Punkte]]</f>
        <v>13.5</v>
      </c>
      <c r="Q180" s="8">
        <f>Trainingsabschluss[[#This Row],[Quizergebnis]]/Max_Quizergebnis</f>
        <v>0.61363636363636365</v>
      </c>
      <c r="R180" t="str" cm="1">
        <f t="array" ref="R180">_xlfn.IFS(Trainingsabschluss[[#This Row],[Quizergebnis_Prozent]]&lt;0.5, "Nicht bestanden",
Trainingsabschluss[[#This Row],[Quizergebnis_Prozent]]&lt;0.65, "Bestanden",
Trainingsabschluss[[#This Row],[Quizergebnis_Prozent]]&lt;0.8, "Gut bestanden",
TRUE, "Sehr gut bestanden")</f>
        <v>Bestanden</v>
      </c>
      <c r="S180" s="3">
        <v>8</v>
      </c>
      <c r="T180" s="3" t="str" cm="1">
        <f t="array" ref="T180">_xlfn.IFS(Trainingsabschluss[[#This Row],[Training_Bewertung]]&gt;=9, "Promotor", Trainingsabschluss[[#This Row],[Training_Bewertung]]
&lt;=6, "Detraktor",
TRUE, "Passiv")</f>
        <v>Passiv</v>
      </c>
      <c r="W180"/>
    </row>
    <row r="181" spans="1:23" x14ac:dyDescent="0.3">
      <c r="A181" s="13" t="s">
        <v>98</v>
      </c>
      <c r="B181" s="2">
        <v>5</v>
      </c>
      <c r="C181" s="2">
        <v>4</v>
      </c>
      <c r="D181" s="2">
        <v>2.5</v>
      </c>
      <c r="E181" s="2">
        <v>4</v>
      </c>
      <c r="F181" s="2">
        <v>1.5</v>
      </c>
      <c r="G181" s="2" t="str">
        <f>_xlfn.XLOOKUP(Trainingsabschluss[[#This Row],[UserID]], Teilnehmende[UserID], Teilnehmende[Branche], "UserID nicht gefunden")</f>
        <v>E-Commerce</v>
      </c>
      <c r="H181" t="str">
        <f>_xlfn.XLOOKUP(Trainingsabschluss[[#This Row],[UserID]], Teilnehmende[UserID], Teilnehmende[Bildungsabschluss], "UserID nicht gefunden")</f>
        <v>Bachelor</v>
      </c>
      <c r="I181" s="3">
        <f>_xlfn.XLOOKUP(Trainingsabschluss[[#This Row],[UserID]], Teilnehmende[UserID], Teilnehmende[Berufserfahrung])</f>
        <v>3</v>
      </c>
      <c r="J181" s="3" t="str" cm="1">
        <f t="array" ref="J18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81" s="11">
        <f>Trainingsabschluss[[#This Row],[Quiz_Frage1_Punkte]]/Max_Frage1</f>
        <v>1</v>
      </c>
      <c r="L181" s="11">
        <f>Trainingsabschluss[[#This Row],[Quiz_Frage2_Punkte]]/Max_Frage2</f>
        <v>0.8</v>
      </c>
      <c r="M181" s="11">
        <f>Trainingsabschluss[[#This Row],[Quiz_Frage3_Punkte]]/Max_Frage3</f>
        <v>0.5</v>
      </c>
      <c r="N181" s="11">
        <f>Trainingsabschluss[[#This Row],[Quiz_Frage4_Punkte]]/Max_Frage4</f>
        <v>1</v>
      </c>
      <c r="O181" s="11">
        <f>Trainingsabschluss[[#This Row],[Quiz_Frage5_Punkte]]/Max_Frage5</f>
        <v>0.5</v>
      </c>
      <c r="P181" s="2">
        <f>Trainingsabschluss[[#This Row],[Quiz_Frage1_Punkte]]+Trainingsabschluss[[#This Row],[Quiz_Frage2_Punkte]]+Trainingsabschluss[[#This Row],[Quiz_Frage3_Punkte]]+Trainingsabschluss[[#This Row],[Quiz_Frage4_Punkte]]+Trainingsabschluss[[#This Row],[Quiz_Frage5_Punkte]]</f>
        <v>17</v>
      </c>
      <c r="Q181" s="8">
        <f>Trainingsabschluss[[#This Row],[Quizergebnis]]/Max_Quizergebnis</f>
        <v>0.77272727272727271</v>
      </c>
      <c r="R181" t="str" cm="1">
        <f t="array" ref="R181">_xlfn.IFS(Trainingsabschluss[[#This Row],[Quizergebnis_Prozent]]&lt;0.5, "Nicht bestanden",
Trainingsabschluss[[#This Row],[Quizergebnis_Prozent]]&lt;0.65, "Bestanden",
Trainingsabschluss[[#This Row],[Quizergebnis_Prozent]]&lt;0.8, "Gut bestanden",
TRUE, "Sehr gut bestanden")</f>
        <v>Gut bestanden</v>
      </c>
      <c r="S181" s="3">
        <v>8</v>
      </c>
      <c r="T181" s="3" t="str" cm="1">
        <f t="array" ref="T181">_xlfn.IFS(Trainingsabschluss[[#This Row],[Training_Bewertung]]&gt;=9, "Promotor", Trainingsabschluss[[#This Row],[Training_Bewertung]]
&lt;=6, "Detraktor",
TRUE, "Passiv")</f>
        <v>Passiv</v>
      </c>
      <c r="W181"/>
    </row>
    <row r="182" spans="1:23" x14ac:dyDescent="0.3">
      <c r="A182" s="13" t="s">
        <v>99</v>
      </c>
      <c r="B182" s="2">
        <v>5</v>
      </c>
      <c r="C182" s="2">
        <v>1.5</v>
      </c>
      <c r="D182" s="2">
        <v>0</v>
      </c>
      <c r="E182" s="2">
        <v>3.5</v>
      </c>
      <c r="F182" s="2">
        <v>2</v>
      </c>
      <c r="G182" s="2" t="str">
        <f>_xlfn.XLOOKUP(Trainingsabschluss[[#This Row],[UserID]], Teilnehmende[UserID], Teilnehmende[Branche], "UserID nicht gefunden")</f>
        <v>Einzelhandel</v>
      </c>
      <c r="H182" t="str">
        <f>_xlfn.XLOOKUP(Trainingsabschluss[[#This Row],[UserID]], Teilnehmende[UserID], Teilnehmende[Bildungsabschluss], "UserID nicht gefunden")</f>
        <v>Bachelor</v>
      </c>
      <c r="I182" s="3">
        <f>_xlfn.XLOOKUP(Trainingsabschluss[[#This Row],[UserID]], Teilnehmende[UserID], Teilnehmende[Berufserfahrung])</f>
        <v>6</v>
      </c>
      <c r="J182" s="3" t="str" cm="1">
        <f t="array" ref="J18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82" s="11">
        <f>Trainingsabschluss[[#This Row],[Quiz_Frage1_Punkte]]/Max_Frage1</f>
        <v>1</v>
      </c>
      <c r="L182" s="11">
        <f>Trainingsabschluss[[#This Row],[Quiz_Frage2_Punkte]]/Max_Frage2</f>
        <v>0.3</v>
      </c>
      <c r="M182" s="11">
        <f>Trainingsabschluss[[#This Row],[Quiz_Frage3_Punkte]]/Max_Frage3</f>
        <v>0</v>
      </c>
      <c r="N182" s="11">
        <f>Trainingsabschluss[[#This Row],[Quiz_Frage4_Punkte]]/Max_Frage4</f>
        <v>0.875</v>
      </c>
      <c r="O182" s="11">
        <f>Trainingsabschluss[[#This Row],[Quiz_Frage5_Punkte]]/Max_Frage5</f>
        <v>0.66666666666666663</v>
      </c>
      <c r="P182" s="2">
        <f>Trainingsabschluss[[#This Row],[Quiz_Frage1_Punkte]]+Trainingsabschluss[[#This Row],[Quiz_Frage2_Punkte]]+Trainingsabschluss[[#This Row],[Quiz_Frage3_Punkte]]+Trainingsabschluss[[#This Row],[Quiz_Frage4_Punkte]]+Trainingsabschluss[[#This Row],[Quiz_Frage5_Punkte]]</f>
        <v>12</v>
      </c>
      <c r="Q182" s="8">
        <f>Trainingsabschluss[[#This Row],[Quizergebnis]]/Max_Quizergebnis</f>
        <v>0.54545454545454541</v>
      </c>
      <c r="R182" t="str" cm="1">
        <f t="array" ref="R182">_xlfn.IFS(Trainingsabschluss[[#This Row],[Quizergebnis_Prozent]]&lt;0.5, "Nicht bestanden",
Trainingsabschluss[[#This Row],[Quizergebnis_Prozent]]&lt;0.65, "Bestanden",
Trainingsabschluss[[#This Row],[Quizergebnis_Prozent]]&lt;0.8, "Gut bestanden",
TRUE, "Sehr gut bestanden")</f>
        <v>Bestanden</v>
      </c>
      <c r="S182" s="3">
        <v>8</v>
      </c>
      <c r="T182" s="3" t="str" cm="1">
        <f t="array" ref="T182">_xlfn.IFS(Trainingsabschluss[[#This Row],[Training_Bewertung]]&gt;=9, "Promotor", Trainingsabschluss[[#This Row],[Training_Bewertung]]
&lt;=6, "Detraktor",
TRUE, "Passiv")</f>
        <v>Passiv</v>
      </c>
      <c r="W182"/>
    </row>
    <row r="183" spans="1:23" x14ac:dyDescent="0.3">
      <c r="A183" s="13" t="s">
        <v>100</v>
      </c>
      <c r="B183" s="2">
        <v>5</v>
      </c>
      <c r="C183" s="2">
        <v>3</v>
      </c>
      <c r="D183" s="2">
        <v>3</v>
      </c>
      <c r="E183" s="2">
        <v>4</v>
      </c>
      <c r="F183" s="2">
        <v>1.5</v>
      </c>
      <c r="G183" s="2" t="str">
        <f>_xlfn.XLOOKUP(Trainingsabschluss[[#This Row],[UserID]], Teilnehmende[UserID], Teilnehmende[Branche], "UserID nicht gefunden")</f>
        <v>E-Commerce</v>
      </c>
      <c r="H183" t="str">
        <f>_xlfn.XLOOKUP(Trainingsabschluss[[#This Row],[UserID]], Teilnehmende[UserID], Teilnehmende[Bildungsabschluss], "UserID nicht gefunden")</f>
        <v>Bachelor</v>
      </c>
      <c r="I183" s="3">
        <f>_xlfn.XLOOKUP(Trainingsabschluss[[#This Row],[UserID]], Teilnehmende[UserID], Teilnehmende[Berufserfahrung])</f>
        <v>9</v>
      </c>
      <c r="J183" s="3" t="str" cm="1">
        <f t="array" ref="J18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83" s="11">
        <f>Trainingsabschluss[[#This Row],[Quiz_Frage1_Punkte]]/Max_Frage1</f>
        <v>1</v>
      </c>
      <c r="L183" s="11">
        <f>Trainingsabschluss[[#This Row],[Quiz_Frage2_Punkte]]/Max_Frage2</f>
        <v>0.6</v>
      </c>
      <c r="M183" s="11">
        <f>Trainingsabschluss[[#This Row],[Quiz_Frage3_Punkte]]/Max_Frage3</f>
        <v>0.6</v>
      </c>
      <c r="N183" s="11">
        <f>Trainingsabschluss[[#This Row],[Quiz_Frage4_Punkte]]/Max_Frage4</f>
        <v>1</v>
      </c>
      <c r="O183" s="11">
        <f>Trainingsabschluss[[#This Row],[Quiz_Frage5_Punkte]]/Max_Frage5</f>
        <v>0.5</v>
      </c>
      <c r="P183" s="2">
        <f>Trainingsabschluss[[#This Row],[Quiz_Frage1_Punkte]]+Trainingsabschluss[[#This Row],[Quiz_Frage2_Punkte]]+Trainingsabschluss[[#This Row],[Quiz_Frage3_Punkte]]+Trainingsabschluss[[#This Row],[Quiz_Frage4_Punkte]]+Trainingsabschluss[[#This Row],[Quiz_Frage5_Punkte]]</f>
        <v>16.5</v>
      </c>
      <c r="Q183" s="8">
        <f>Trainingsabschluss[[#This Row],[Quizergebnis]]/Max_Quizergebnis</f>
        <v>0.75</v>
      </c>
      <c r="R183" t="str" cm="1">
        <f t="array" ref="R183">_xlfn.IFS(Trainingsabschluss[[#This Row],[Quizergebnis_Prozent]]&lt;0.5, "Nicht bestanden",
Trainingsabschluss[[#This Row],[Quizergebnis_Prozent]]&lt;0.65, "Bestanden",
Trainingsabschluss[[#This Row],[Quizergebnis_Prozent]]&lt;0.8, "Gut bestanden",
TRUE, "Sehr gut bestanden")</f>
        <v>Gut bestanden</v>
      </c>
      <c r="S183" s="3">
        <v>8</v>
      </c>
      <c r="T183" s="3" t="str" cm="1">
        <f t="array" ref="T183">_xlfn.IFS(Trainingsabschluss[[#This Row],[Training_Bewertung]]&gt;=9, "Promotor", Trainingsabschluss[[#This Row],[Training_Bewertung]]
&lt;=6, "Detraktor",
TRUE, "Passiv")</f>
        <v>Passiv</v>
      </c>
      <c r="W183"/>
    </row>
    <row r="184" spans="1:23" x14ac:dyDescent="0.3">
      <c r="A184" s="13" t="s">
        <v>102</v>
      </c>
      <c r="B184" s="2">
        <v>2.5</v>
      </c>
      <c r="C184" s="2">
        <v>5</v>
      </c>
      <c r="D184" s="2">
        <v>3</v>
      </c>
      <c r="E184" s="2">
        <v>2.5</v>
      </c>
      <c r="F184" s="2">
        <v>0.5</v>
      </c>
      <c r="G184" s="2" t="str">
        <f>_xlfn.XLOOKUP(Trainingsabschluss[[#This Row],[UserID]], Teilnehmende[UserID], Teilnehmende[Branche], "UserID nicht gefunden")</f>
        <v>Großhandel</v>
      </c>
      <c r="H184" t="str">
        <f>_xlfn.XLOOKUP(Trainingsabschluss[[#This Row],[UserID]], Teilnehmende[UserID], Teilnehmende[Bildungsabschluss], "UserID nicht gefunden")</f>
        <v>Bachelor</v>
      </c>
      <c r="I184" s="3">
        <f>_xlfn.XLOOKUP(Trainingsabschluss[[#This Row],[UserID]], Teilnehmende[UserID], Teilnehmende[Berufserfahrung])</f>
        <v>8</v>
      </c>
      <c r="J184" s="3" t="str" cm="1">
        <f t="array" ref="J18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84" s="11">
        <f>Trainingsabschluss[[#This Row],[Quiz_Frage1_Punkte]]/Max_Frage1</f>
        <v>0.5</v>
      </c>
      <c r="L184" s="11">
        <f>Trainingsabschluss[[#This Row],[Quiz_Frage2_Punkte]]/Max_Frage2</f>
        <v>1</v>
      </c>
      <c r="M184" s="11">
        <f>Trainingsabschluss[[#This Row],[Quiz_Frage3_Punkte]]/Max_Frage3</f>
        <v>0.6</v>
      </c>
      <c r="N184" s="11">
        <f>Trainingsabschluss[[#This Row],[Quiz_Frage4_Punkte]]/Max_Frage4</f>
        <v>0.625</v>
      </c>
      <c r="O184" s="11">
        <f>Trainingsabschluss[[#This Row],[Quiz_Frage5_Punkte]]/Max_Frage5</f>
        <v>0.16666666666666666</v>
      </c>
      <c r="P184" s="2">
        <f>Trainingsabschluss[[#This Row],[Quiz_Frage1_Punkte]]+Trainingsabschluss[[#This Row],[Quiz_Frage2_Punkte]]+Trainingsabschluss[[#This Row],[Quiz_Frage3_Punkte]]+Trainingsabschluss[[#This Row],[Quiz_Frage4_Punkte]]+Trainingsabschluss[[#This Row],[Quiz_Frage5_Punkte]]</f>
        <v>13.5</v>
      </c>
      <c r="Q184" s="8">
        <f>Trainingsabschluss[[#This Row],[Quizergebnis]]/Max_Quizergebnis</f>
        <v>0.61363636363636365</v>
      </c>
      <c r="R184" t="str" cm="1">
        <f t="array" ref="R184">_xlfn.IFS(Trainingsabschluss[[#This Row],[Quizergebnis_Prozent]]&lt;0.5, "Nicht bestanden",
Trainingsabschluss[[#This Row],[Quizergebnis_Prozent]]&lt;0.65, "Bestanden",
Trainingsabschluss[[#This Row],[Quizergebnis_Prozent]]&lt;0.8, "Gut bestanden",
TRUE, "Sehr gut bestanden")</f>
        <v>Bestanden</v>
      </c>
      <c r="S184" s="3">
        <v>8</v>
      </c>
      <c r="T184" s="3" t="str" cm="1">
        <f t="array" ref="T184">_xlfn.IFS(Trainingsabschluss[[#This Row],[Training_Bewertung]]&gt;=9, "Promotor", Trainingsabschluss[[#This Row],[Training_Bewertung]]
&lt;=6, "Detraktor",
TRUE, "Passiv")</f>
        <v>Passiv</v>
      </c>
      <c r="W184"/>
    </row>
    <row r="185" spans="1:23" x14ac:dyDescent="0.3">
      <c r="A185" s="13" t="s">
        <v>103</v>
      </c>
      <c r="B185" s="2">
        <v>5</v>
      </c>
      <c r="C185" s="2">
        <v>4.5</v>
      </c>
      <c r="D185" s="2">
        <v>4.5</v>
      </c>
      <c r="E185" s="2">
        <v>3.5</v>
      </c>
      <c r="F185" s="2">
        <v>1.5</v>
      </c>
      <c r="G185" s="2" t="str">
        <f>_xlfn.XLOOKUP(Trainingsabschluss[[#This Row],[UserID]], Teilnehmende[UserID], Teilnehmende[Branche], "UserID nicht gefunden")</f>
        <v>E-Commerce</v>
      </c>
      <c r="H185" t="str">
        <f>_xlfn.XLOOKUP(Trainingsabschluss[[#This Row],[UserID]], Teilnehmende[UserID], Teilnehmende[Bildungsabschluss], "UserID nicht gefunden")</f>
        <v>Bachelor</v>
      </c>
      <c r="I185" s="3">
        <f>_xlfn.XLOOKUP(Trainingsabschluss[[#This Row],[UserID]], Teilnehmende[UserID], Teilnehmende[Berufserfahrung])</f>
        <v>10</v>
      </c>
      <c r="J185" s="3" t="str" cm="1">
        <f t="array" ref="J18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85" s="11">
        <f>Trainingsabschluss[[#This Row],[Quiz_Frage1_Punkte]]/Max_Frage1</f>
        <v>1</v>
      </c>
      <c r="L185" s="11">
        <f>Trainingsabschluss[[#This Row],[Quiz_Frage2_Punkte]]/Max_Frage2</f>
        <v>0.9</v>
      </c>
      <c r="M185" s="11">
        <f>Trainingsabschluss[[#This Row],[Quiz_Frage3_Punkte]]/Max_Frage3</f>
        <v>0.9</v>
      </c>
      <c r="N185" s="11">
        <f>Trainingsabschluss[[#This Row],[Quiz_Frage4_Punkte]]/Max_Frage4</f>
        <v>0.875</v>
      </c>
      <c r="O185" s="11">
        <f>Trainingsabschluss[[#This Row],[Quiz_Frage5_Punkte]]/Max_Frage5</f>
        <v>0.5</v>
      </c>
      <c r="P185" s="2">
        <f>Trainingsabschluss[[#This Row],[Quiz_Frage1_Punkte]]+Trainingsabschluss[[#This Row],[Quiz_Frage2_Punkte]]+Trainingsabschluss[[#This Row],[Quiz_Frage3_Punkte]]+Trainingsabschluss[[#This Row],[Quiz_Frage4_Punkte]]+Trainingsabschluss[[#This Row],[Quiz_Frage5_Punkte]]</f>
        <v>19</v>
      </c>
      <c r="Q185" s="8">
        <f>Trainingsabschluss[[#This Row],[Quizergebnis]]/Max_Quizergebnis</f>
        <v>0.86363636363636365</v>
      </c>
      <c r="R185" t="str" cm="1">
        <f t="array" ref="R185">_xlfn.IFS(Trainingsabschluss[[#This Row],[Quizergebnis_Prozent]]&lt;0.5, "Nicht bestanden",
Trainingsabschluss[[#This Row],[Quizergebnis_Prozent]]&lt;0.65, "Bestanden",
Trainingsabschluss[[#This Row],[Quizergebnis_Prozent]]&lt;0.8, "Gut bestanden",
TRUE, "Sehr gut bestanden")</f>
        <v>Sehr gut bestanden</v>
      </c>
      <c r="S185" s="3">
        <v>8</v>
      </c>
      <c r="T185" s="3" t="str" cm="1">
        <f t="array" ref="T185">_xlfn.IFS(Trainingsabschluss[[#This Row],[Training_Bewertung]]&gt;=9, "Promotor", Trainingsabschluss[[#This Row],[Training_Bewertung]]
&lt;=6, "Detraktor",
TRUE, "Passiv")</f>
        <v>Passiv</v>
      </c>
      <c r="W185"/>
    </row>
    <row r="186" spans="1:23" x14ac:dyDescent="0.3">
      <c r="A186" s="13" t="s">
        <v>34</v>
      </c>
      <c r="B186" s="2">
        <v>4.5</v>
      </c>
      <c r="C186" s="2">
        <v>3.5</v>
      </c>
      <c r="D186" s="2">
        <v>4</v>
      </c>
      <c r="E186" s="2">
        <v>3.5</v>
      </c>
      <c r="F186" s="2">
        <v>2.5</v>
      </c>
      <c r="G186" s="2" t="str">
        <f>_xlfn.XLOOKUP(Trainingsabschluss[[#This Row],[UserID]], Teilnehmende[UserID], Teilnehmende[Branche], "UserID nicht gefunden")</f>
        <v>Großhandel</v>
      </c>
      <c r="H186" t="str">
        <f>_xlfn.XLOOKUP(Trainingsabschluss[[#This Row],[UserID]], Teilnehmende[UserID], Teilnehmende[Bildungsabschluss], "UserID nicht gefunden")</f>
        <v>Bachelor</v>
      </c>
      <c r="I186" s="3">
        <f>_xlfn.XLOOKUP(Trainingsabschluss[[#This Row],[UserID]], Teilnehmende[UserID], Teilnehmende[Berufserfahrung])</f>
        <v>20</v>
      </c>
      <c r="J186" s="3" t="str" cm="1">
        <f t="array" ref="J186">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186" s="11">
        <f>Trainingsabschluss[[#This Row],[Quiz_Frage1_Punkte]]/Max_Frage1</f>
        <v>0.9</v>
      </c>
      <c r="L186" s="11">
        <f>Trainingsabschluss[[#This Row],[Quiz_Frage2_Punkte]]/Max_Frage2</f>
        <v>0.7</v>
      </c>
      <c r="M186" s="11">
        <f>Trainingsabschluss[[#This Row],[Quiz_Frage3_Punkte]]/Max_Frage3</f>
        <v>0.8</v>
      </c>
      <c r="N186" s="11">
        <f>Trainingsabschluss[[#This Row],[Quiz_Frage4_Punkte]]/Max_Frage4</f>
        <v>0.875</v>
      </c>
      <c r="O186" s="11">
        <f>Trainingsabschluss[[#This Row],[Quiz_Frage5_Punkte]]/Max_Frage5</f>
        <v>0.83333333333333337</v>
      </c>
      <c r="P186" s="2">
        <f>Trainingsabschluss[[#This Row],[Quiz_Frage1_Punkte]]+Trainingsabschluss[[#This Row],[Quiz_Frage2_Punkte]]+Trainingsabschluss[[#This Row],[Quiz_Frage3_Punkte]]+Trainingsabschluss[[#This Row],[Quiz_Frage4_Punkte]]+Trainingsabschluss[[#This Row],[Quiz_Frage5_Punkte]]</f>
        <v>18</v>
      </c>
      <c r="Q186" s="8">
        <f>Trainingsabschluss[[#This Row],[Quizergebnis]]/Max_Quizergebnis</f>
        <v>0.81818181818181823</v>
      </c>
      <c r="R186" t="str" cm="1">
        <f t="array" ref="R186">_xlfn.IFS(Trainingsabschluss[[#This Row],[Quizergebnis_Prozent]]&lt;0.5, "Nicht bestanden",
Trainingsabschluss[[#This Row],[Quizergebnis_Prozent]]&lt;0.65, "Bestanden",
Trainingsabschluss[[#This Row],[Quizergebnis_Prozent]]&lt;0.8, "Gut bestanden",
TRUE, "Sehr gut bestanden")</f>
        <v>Sehr gut bestanden</v>
      </c>
      <c r="S186" s="3">
        <v>6</v>
      </c>
      <c r="T186" s="3" t="str" cm="1">
        <f t="array" ref="T186">_xlfn.IFS(Trainingsabschluss[[#This Row],[Training_Bewertung]]&gt;=9, "Promotor", Trainingsabschluss[[#This Row],[Training_Bewertung]]
&lt;=6, "Detraktor",
TRUE, "Passiv")</f>
        <v>Detraktor</v>
      </c>
      <c r="W186"/>
    </row>
    <row r="187" spans="1:23" x14ac:dyDescent="0.3">
      <c r="A187" s="13" t="s">
        <v>37</v>
      </c>
      <c r="B187" s="2">
        <v>5</v>
      </c>
      <c r="C187" s="2">
        <v>1.5</v>
      </c>
      <c r="D187" s="2">
        <v>1</v>
      </c>
      <c r="E187" s="2">
        <v>3</v>
      </c>
      <c r="F187" s="2">
        <v>1</v>
      </c>
      <c r="G187" s="2" t="str">
        <f>_xlfn.XLOOKUP(Trainingsabschluss[[#This Row],[UserID]], Teilnehmende[UserID], Teilnehmende[Branche], "UserID nicht gefunden")</f>
        <v>Einzelhandel</v>
      </c>
      <c r="H187" t="str">
        <f>_xlfn.XLOOKUP(Trainingsabschluss[[#This Row],[UserID]], Teilnehmende[UserID], Teilnehmende[Bildungsabschluss], "UserID nicht gefunden")</f>
        <v>Bachelor</v>
      </c>
      <c r="I187" s="3">
        <f>_xlfn.XLOOKUP(Trainingsabschluss[[#This Row],[UserID]], Teilnehmende[UserID], Teilnehmende[Berufserfahrung])</f>
        <v>5</v>
      </c>
      <c r="J187" s="3" t="str" cm="1">
        <f t="array" ref="J18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87" s="11">
        <f>Trainingsabschluss[[#This Row],[Quiz_Frage1_Punkte]]/Max_Frage1</f>
        <v>1</v>
      </c>
      <c r="L187" s="11">
        <f>Trainingsabschluss[[#This Row],[Quiz_Frage2_Punkte]]/Max_Frage2</f>
        <v>0.3</v>
      </c>
      <c r="M187" s="11">
        <f>Trainingsabschluss[[#This Row],[Quiz_Frage3_Punkte]]/Max_Frage3</f>
        <v>0.2</v>
      </c>
      <c r="N187" s="11">
        <f>Trainingsabschluss[[#This Row],[Quiz_Frage4_Punkte]]/Max_Frage4</f>
        <v>0.75</v>
      </c>
      <c r="O187" s="11">
        <f>Trainingsabschluss[[#This Row],[Quiz_Frage5_Punkte]]/Max_Frage5</f>
        <v>0.33333333333333331</v>
      </c>
      <c r="P187" s="2">
        <f>Trainingsabschluss[[#This Row],[Quiz_Frage1_Punkte]]+Trainingsabschluss[[#This Row],[Quiz_Frage2_Punkte]]+Trainingsabschluss[[#This Row],[Quiz_Frage3_Punkte]]+Trainingsabschluss[[#This Row],[Quiz_Frage4_Punkte]]+Trainingsabschluss[[#This Row],[Quiz_Frage5_Punkte]]</f>
        <v>11.5</v>
      </c>
      <c r="Q187" s="8">
        <f>Trainingsabschluss[[#This Row],[Quizergebnis]]/Max_Quizergebnis</f>
        <v>0.52272727272727271</v>
      </c>
      <c r="R187" t="str" cm="1">
        <f t="array" ref="R187">_xlfn.IFS(Trainingsabschluss[[#This Row],[Quizergebnis_Prozent]]&lt;0.5, "Nicht bestanden",
Trainingsabschluss[[#This Row],[Quizergebnis_Prozent]]&lt;0.65, "Bestanden",
Trainingsabschluss[[#This Row],[Quizergebnis_Prozent]]&lt;0.8, "Gut bestanden",
TRUE, "Sehr gut bestanden")</f>
        <v>Bestanden</v>
      </c>
      <c r="S187" s="3">
        <v>5</v>
      </c>
      <c r="T187" s="3" t="str" cm="1">
        <f t="array" ref="T187">_xlfn.IFS(Trainingsabschluss[[#This Row],[Training_Bewertung]]&gt;=9, "Promotor", Trainingsabschluss[[#This Row],[Training_Bewertung]]
&lt;=6, "Detraktor",
TRUE, "Passiv")</f>
        <v>Detraktor</v>
      </c>
      <c r="W187"/>
    </row>
    <row r="188" spans="1:23" x14ac:dyDescent="0.3">
      <c r="A188" s="13" t="s">
        <v>38</v>
      </c>
      <c r="B188" s="2">
        <v>4</v>
      </c>
      <c r="C188" s="2">
        <v>4.5</v>
      </c>
      <c r="D188" s="2">
        <v>1.5</v>
      </c>
      <c r="E188" s="2">
        <v>3.5</v>
      </c>
      <c r="F188" s="2">
        <v>1</v>
      </c>
      <c r="G188" s="2" t="str">
        <f>_xlfn.XLOOKUP(Trainingsabschluss[[#This Row],[UserID]], Teilnehmende[UserID], Teilnehmende[Branche], "UserID nicht gefunden")</f>
        <v>E-Commerce</v>
      </c>
      <c r="H188" t="str">
        <f>_xlfn.XLOOKUP(Trainingsabschluss[[#This Row],[UserID]], Teilnehmende[UserID], Teilnehmende[Bildungsabschluss], "UserID nicht gefunden")</f>
        <v>Bachelor</v>
      </c>
      <c r="I188" s="3">
        <f>_xlfn.XLOOKUP(Trainingsabschluss[[#This Row],[UserID]], Teilnehmende[UserID], Teilnehmende[Berufserfahrung])</f>
        <v>3</v>
      </c>
      <c r="J188" s="3" t="str" cm="1">
        <f t="array" ref="J18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88" s="11">
        <f>Trainingsabschluss[[#This Row],[Quiz_Frage1_Punkte]]/Max_Frage1</f>
        <v>0.8</v>
      </c>
      <c r="L188" s="11">
        <f>Trainingsabschluss[[#This Row],[Quiz_Frage2_Punkte]]/Max_Frage2</f>
        <v>0.9</v>
      </c>
      <c r="M188" s="11">
        <f>Trainingsabschluss[[#This Row],[Quiz_Frage3_Punkte]]/Max_Frage3</f>
        <v>0.3</v>
      </c>
      <c r="N188" s="11">
        <f>Trainingsabschluss[[#This Row],[Quiz_Frage4_Punkte]]/Max_Frage4</f>
        <v>0.875</v>
      </c>
      <c r="O188" s="11">
        <f>Trainingsabschluss[[#This Row],[Quiz_Frage5_Punkte]]/Max_Frage5</f>
        <v>0.33333333333333331</v>
      </c>
      <c r="P188" s="2">
        <f>Trainingsabschluss[[#This Row],[Quiz_Frage1_Punkte]]+Trainingsabschluss[[#This Row],[Quiz_Frage2_Punkte]]+Trainingsabschluss[[#This Row],[Quiz_Frage3_Punkte]]+Trainingsabschluss[[#This Row],[Quiz_Frage4_Punkte]]+Trainingsabschluss[[#This Row],[Quiz_Frage5_Punkte]]</f>
        <v>14.5</v>
      </c>
      <c r="Q188" s="8">
        <f>Trainingsabschluss[[#This Row],[Quizergebnis]]/Max_Quizergebnis</f>
        <v>0.65909090909090906</v>
      </c>
      <c r="R188" t="str" cm="1">
        <f t="array" ref="R188">_xlfn.IFS(Trainingsabschluss[[#This Row],[Quizergebnis_Prozent]]&lt;0.5, "Nicht bestanden",
Trainingsabschluss[[#This Row],[Quizergebnis_Prozent]]&lt;0.65, "Bestanden",
Trainingsabschluss[[#This Row],[Quizergebnis_Prozent]]&lt;0.8, "Gut bestanden",
TRUE, "Sehr gut bestanden")</f>
        <v>Gut bestanden</v>
      </c>
      <c r="S188" s="3">
        <v>5</v>
      </c>
      <c r="T188" s="3" t="str" cm="1">
        <f t="array" ref="T188">_xlfn.IFS(Trainingsabschluss[[#This Row],[Training_Bewertung]]&gt;=9, "Promotor", Trainingsabschluss[[#This Row],[Training_Bewertung]]
&lt;=6, "Detraktor",
TRUE, "Passiv")</f>
        <v>Detraktor</v>
      </c>
      <c r="W188"/>
    </row>
    <row r="189" spans="1:23" x14ac:dyDescent="0.3">
      <c r="A189" s="13" t="s">
        <v>42</v>
      </c>
      <c r="B189" s="2">
        <v>1</v>
      </c>
      <c r="C189" s="2">
        <v>2</v>
      </c>
      <c r="D189" s="2">
        <v>0</v>
      </c>
      <c r="E189" s="2">
        <v>0</v>
      </c>
      <c r="F189" s="2">
        <v>0.5</v>
      </c>
      <c r="G189" s="2" t="str">
        <f>_xlfn.XLOOKUP(Trainingsabschluss[[#This Row],[UserID]], Teilnehmende[UserID], Teilnehmende[Branche], "UserID nicht gefunden")</f>
        <v>Einzelhandel</v>
      </c>
      <c r="H189" t="str">
        <f>_xlfn.XLOOKUP(Trainingsabschluss[[#This Row],[UserID]], Teilnehmende[UserID], Teilnehmende[Bildungsabschluss], "UserID nicht gefunden")</f>
        <v>Bachelor</v>
      </c>
      <c r="I189" s="3">
        <f>_xlfn.XLOOKUP(Trainingsabschluss[[#This Row],[UserID]], Teilnehmende[UserID], Teilnehmende[Berufserfahrung])</f>
        <v>17</v>
      </c>
      <c r="J189" s="3" t="str" cm="1">
        <f t="array" ref="J189">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189" s="11">
        <f>Trainingsabschluss[[#This Row],[Quiz_Frage1_Punkte]]/Max_Frage1</f>
        <v>0.2</v>
      </c>
      <c r="L189" s="11">
        <f>Trainingsabschluss[[#This Row],[Quiz_Frage2_Punkte]]/Max_Frage2</f>
        <v>0.4</v>
      </c>
      <c r="M189" s="11">
        <f>Trainingsabschluss[[#This Row],[Quiz_Frage3_Punkte]]/Max_Frage3</f>
        <v>0</v>
      </c>
      <c r="N189" s="11">
        <f>Trainingsabschluss[[#This Row],[Quiz_Frage4_Punkte]]/Max_Frage4</f>
        <v>0</v>
      </c>
      <c r="O189" s="11">
        <f>Trainingsabschluss[[#This Row],[Quiz_Frage5_Punkte]]/Max_Frage5</f>
        <v>0.16666666666666666</v>
      </c>
      <c r="P189" s="2">
        <f>Trainingsabschluss[[#This Row],[Quiz_Frage1_Punkte]]+Trainingsabschluss[[#This Row],[Quiz_Frage2_Punkte]]+Trainingsabschluss[[#This Row],[Quiz_Frage3_Punkte]]+Trainingsabschluss[[#This Row],[Quiz_Frage4_Punkte]]+Trainingsabschluss[[#This Row],[Quiz_Frage5_Punkte]]</f>
        <v>3.5</v>
      </c>
      <c r="Q189" s="8">
        <f>Trainingsabschluss[[#This Row],[Quizergebnis]]/Max_Quizergebnis</f>
        <v>0.15909090909090909</v>
      </c>
      <c r="R189" t="str" cm="1">
        <f t="array" ref="R189">_xlfn.IFS(Trainingsabschluss[[#This Row],[Quizergebnis_Prozent]]&lt;0.5, "Nicht bestanden",
Trainingsabschluss[[#This Row],[Quizergebnis_Prozent]]&lt;0.65, "Bestanden",
Trainingsabschluss[[#This Row],[Quizergebnis_Prozent]]&lt;0.8, "Gut bestanden",
TRUE, "Sehr gut bestanden")</f>
        <v>Nicht bestanden</v>
      </c>
      <c r="S189" s="3">
        <v>5</v>
      </c>
      <c r="T189" s="3" t="str" cm="1">
        <f t="array" ref="T189">_xlfn.IFS(Trainingsabschluss[[#This Row],[Training_Bewertung]]&gt;=9, "Promotor", Trainingsabschluss[[#This Row],[Training_Bewertung]]
&lt;=6, "Detraktor",
TRUE, "Passiv")</f>
        <v>Detraktor</v>
      </c>
      <c r="W189"/>
    </row>
    <row r="190" spans="1:23" x14ac:dyDescent="0.3">
      <c r="A190" s="13" t="s">
        <v>43</v>
      </c>
      <c r="B190" s="2">
        <v>5</v>
      </c>
      <c r="C190" s="2">
        <v>3.5</v>
      </c>
      <c r="D190" s="2">
        <v>2.5</v>
      </c>
      <c r="E190" s="2">
        <v>4</v>
      </c>
      <c r="F190" s="2">
        <v>0</v>
      </c>
      <c r="G190" s="2" t="str">
        <f>_xlfn.XLOOKUP(Trainingsabschluss[[#This Row],[UserID]], Teilnehmende[UserID], Teilnehmende[Branche], "UserID nicht gefunden")</f>
        <v>Großhandel</v>
      </c>
      <c r="H190" t="str">
        <f>_xlfn.XLOOKUP(Trainingsabschluss[[#This Row],[UserID]], Teilnehmende[UserID], Teilnehmende[Bildungsabschluss], "UserID nicht gefunden")</f>
        <v>Bachelor</v>
      </c>
      <c r="I190" s="3">
        <f>_xlfn.XLOOKUP(Trainingsabschluss[[#This Row],[UserID]], Teilnehmende[UserID], Teilnehmende[Berufserfahrung])</f>
        <v>2</v>
      </c>
      <c r="J190" s="3" t="str" cm="1">
        <f t="array" ref="J19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90" s="11">
        <f>Trainingsabschluss[[#This Row],[Quiz_Frage1_Punkte]]/Max_Frage1</f>
        <v>1</v>
      </c>
      <c r="L190" s="11">
        <f>Trainingsabschluss[[#This Row],[Quiz_Frage2_Punkte]]/Max_Frage2</f>
        <v>0.7</v>
      </c>
      <c r="M190" s="11">
        <f>Trainingsabschluss[[#This Row],[Quiz_Frage3_Punkte]]/Max_Frage3</f>
        <v>0.5</v>
      </c>
      <c r="N190" s="11">
        <f>Trainingsabschluss[[#This Row],[Quiz_Frage4_Punkte]]/Max_Frage4</f>
        <v>1</v>
      </c>
      <c r="O190" s="11">
        <f>Trainingsabschluss[[#This Row],[Quiz_Frage5_Punkte]]/Max_Frage5</f>
        <v>0</v>
      </c>
      <c r="P190" s="2">
        <f>Trainingsabschluss[[#This Row],[Quiz_Frage1_Punkte]]+Trainingsabschluss[[#This Row],[Quiz_Frage2_Punkte]]+Trainingsabschluss[[#This Row],[Quiz_Frage3_Punkte]]+Trainingsabschluss[[#This Row],[Quiz_Frage4_Punkte]]+Trainingsabschluss[[#This Row],[Quiz_Frage5_Punkte]]</f>
        <v>15</v>
      </c>
      <c r="Q190" s="8">
        <f>Trainingsabschluss[[#This Row],[Quizergebnis]]/Max_Quizergebnis</f>
        <v>0.68181818181818177</v>
      </c>
      <c r="R190" t="str" cm="1">
        <f t="array" ref="R190">_xlfn.IFS(Trainingsabschluss[[#This Row],[Quizergebnis_Prozent]]&lt;0.5, "Nicht bestanden",
Trainingsabschluss[[#This Row],[Quizergebnis_Prozent]]&lt;0.65, "Bestanden",
Trainingsabschluss[[#This Row],[Quizergebnis_Prozent]]&lt;0.8, "Gut bestanden",
TRUE, "Sehr gut bestanden")</f>
        <v>Gut bestanden</v>
      </c>
      <c r="S190" s="3">
        <v>4</v>
      </c>
      <c r="T190" s="3" t="str" cm="1">
        <f t="array" ref="T190">_xlfn.IFS(Trainingsabschluss[[#This Row],[Training_Bewertung]]&gt;=9, "Promotor", Trainingsabschluss[[#This Row],[Training_Bewertung]]
&lt;=6, "Detraktor",
TRUE, "Passiv")</f>
        <v>Detraktor</v>
      </c>
      <c r="W190"/>
    </row>
    <row r="191" spans="1:23" x14ac:dyDescent="0.3">
      <c r="A191" s="13" t="s">
        <v>46</v>
      </c>
      <c r="B191" s="2">
        <v>5</v>
      </c>
      <c r="C191" s="2">
        <v>5</v>
      </c>
      <c r="D191" s="2">
        <v>2.5</v>
      </c>
      <c r="E191" s="2">
        <v>0</v>
      </c>
      <c r="F191" s="2">
        <v>1</v>
      </c>
      <c r="G191" s="2" t="str">
        <f>_xlfn.XLOOKUP(Trainingsabschluss[[#This Row],[UserID]], Teilnehmende[UserID], Teilnehmende[Branche], "UserID nicht gefunden")</f>
        <v>E-Commerce</v>
      </c>
      <c r="H191" t="str">
        <f>_xlfn.XLOOKUP(Trainingsabschluss[[#This Row],[UserID]], Teilnehmende[UserID], Teilnehmende[Bildungsabschluss], "UserID nicht gefunden")</f>
        <v>Bachelor</v>
      </c>
      <c r="I191" s="3">
        <f>_xlfn.XLOOKUP(Trainingsabschluss[[#This Row],[UserID]], Teilnehmende[UserID], Teilnehmende[Berufserfahrung])</f>
        <v>13</v>
      </c>
      <c r="J191" s="3" t="str" cm="1">
        <f t="array" ref="J19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91" s="11">
        <f>Trainingsabschluss[[#This Row],[Quiz_Frage1_Punkte]]/Max_Frage1</f>
        <v>1</v>
      </c>
      <c r="L191" s="11">
        <f>Trainingsabschluss[[#This Row],[Quiz_Frage2_Punkte]]/Max_Frage2</f>
        <v>1</v>
      </c>
      <c r="M191" s="11">
        <f>Trainingsabschluss[[#This Row],[Quiz_Frage3_Punkte]]/Max_Frage3</f>
        <v>0.5</v>
      </c>
      <c r="N191" s="11">
        <f>Trainingsabschluss[[#This Row],[Quiz_Frage4_Punkte]]/Max_Frage4</f>
        <v>0</v>
      </c>
      <c r="O191" s="11">
        <f>Trainingsabschluss[[#This Row],[Quiz_Frage5_Punkte]]/Max_Frage5</f>
        <v>0.33333333333333331</v>
      </c>
      <c r="P191" s="2">
        <f>Trainingsabschluss[[#This Row],[Quiz_Frage1_Punkte]]+Trainingsabschluss[[#This Row],[Quiz_Frage2_Punkte]]+Trainingsabschluss[[#This Row],[Quiz_Frage3_Punkte]]+Trainingsabschluss[[#This Row],[Quiz_Frage4_Punkte]]+Trainingsabschluss[[#This Row],[Quiz_Frage5_Punkte]]</f>
        <v>13.5</v>
      </c>
      <c r="Q191" s="8">
        <f>Trainingsabschluss[[#This Row],[Quizergebnis]]/Max_Quizergebnis</f>
        <v>0.61363636363636365</v>
      </c>
      <c r="R191" t="str" cm="1">
        <f t="array" ref="R191">_xlfn.IFS(Trainingsabschluss[[#This Row],[Quizergebnis_Prozent]]&lt;0.5, "Nicht bestanden",
Trainingsabschluss[[#This Row],[Quizergebnis_Prozent]]&lt;0.65, "Bestanden",
Trainingsabschluss[[#This Row],[Quizergebnis_Prozent]]&lt;0.8, "Gut bestanden",
TRUE, "Sehr gut bestanden")</f>
        <v>Bestanden</v>
      </c>
      <c r="S191" s="3">
        <v>3</v>
      </c>
      <c r="T191" s="3" t="str" cm="1">
        <f t="array" ref="T191">_xlfn.IFS(Trainingsabschluss[[#This Row],[Training_Bewertung]]&gt;=9, "Promotor", Trainingsabschluss[[#This Row],[Training_Bewertung]]
&lt;=6, "Detraktor",
TRUE, "Passiv")</f>
        <v>Detraktor</v>
      </c>
      <c r="W191"/>
    </row>
    <row r="192" spans="1:23" x14ac:dyDescent="0.3">
      <c r="A192" s="13" t="s">
        <v>47</v>
      </c>
      <c r="B192" s="2">
        <v>3.5</v>
      </c>
      <c r="C192" s="2">
        <v>4.5</v>
      </c>
      <c r="D192" s="2">
        <v>2</v>
      </c>
      <c r="E192" s="2">
        <v>3</v>
      </c>
      <c r="F192" s="2">
        <v>1</v>
      </c>
      <c r="G192" s="2" t="str">
        <f>_xlfn.XLOOKUP(Trainingsabschluss[[#This Row],[UserID]], Teilnehmende[UserID], Teilnehmende[Branche], "UserID nicht gefunden")</f>
        <v>Großhandel</v>
      </c>
      <c r="H192" t="str">
        <f>_xlfn.XLOOKUP(Trainingsabschluss[[#This Row],[UserID]], Teilnehmende[UserID], Teilnehmende[Bildungsabschluss], "UserID nicht gefunden")</f>
        <v>Bachelor</v>
      </c>
      <c r="I192" s="3">
        <f>_xlfn.XLOOKUP(Trainingsabschluss[[#This Row],[UserID]], Teilnehmende[UserID], Teilnehmende[Berufserfahrung])</f>
        <v>20</v>
      </c>
      <c r="J192" s="3" t="str" cm="1">
        <f t="array" ref="J192">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192" s="11">
        <f>Trainingsabschluss[[#This Row],[Quiz_Frage1_Punkte]]/Max_Frage1</f>
        <v>0.7</v>
      </c>
      <c r="L192" s="11">
        <f>Trainingsabschluss[[#This Row],[Quiz_Frage2_Punkte]]/Max_Frage2</f>
        <v>0.9</v>
      </c>
      <c r="M192" s="11">
        <f>Trainingsabschluss[[#This Row],[Quiz_Frage3_Punkte]]/Max_Frage3</f>
        <v>0.4</v>
      </c>
      <c r="N192" s="11">
        <f>Trainingsabschluss[[#This Row],[Quiz_Frage4_Punkte]]/Max_Frage4</f>
        <v>0.75</v>
      </c>
      <c r="O192" s="11">
        <f>Trainingsabschluss[[#This Row],[Quiz_Frage5_Punkte]]/Max_Frage5</f>
        <v>0.33333333333333331</v>
      </c>
      <c r="P192" s="2">
        <f>Trainingsabschluss[[#This Row],[Quiz_Frage1_Punkte]]+Trainingsabschluss[[#This Row],[Quiz_Frage2_Punkte]]+Trainingsabschluss[[#This Row],[Quiz_Frage3_Punkte]]+Trainingsabschluss[[#This Row],[Quiz_Frage4_Punkte]]+Trainingsabschluss[[#This Row],[Quiz_Frage5_Punkte]]</f>
        <v>14</v>
      </c>
      <c r="Q192" s="8">
        <f>Trainingsabschluss[[#This Row],[Quizergebnis]]/Max_Quizergebnis</f>
        <v>0.63636363636363635</v>
      </c>
      <c r="R192" t="str" cm="1">
        <f t="array" ref="R192">_xlfn.IFS(Trainingsabschluss[[#This Row],[Quizergebnis_Prozent]]&lt;0.5, "Nicht bestanden",
Trainingsabschluss[[#This Row],[Quizergebnis_Prozent]]&lt;0.65, "Bestanden",
Trainingsabschluss[[#This Row],[Quizergebnis_Prozent]]&lt;0.8, "Gut bestanden",
TRUE, "Sehr gut bestanden")</f>
        <v>Bestanden</v>
      </c>
      <c r="S192" s="3">
        <v>6</v>
      </c>
      <c r="T192" s="3" t="str" cm="1">
        <f t="array" ref="T192">_xlfn.IFS(Trainingsabschluss[[#This Row],[Training_Bewertung]]&gt;=9, "Promotor", Trainingsabschluss[[#This Row],[Training_Bewertung]]
&lt;=6, "Detraktor",
TRUE, "Passiv")</f>
        <v>Detraktor</v>
      </c>
      <c r="W192"/>
    </row>
    <row r="193" spans="1:23" x14ac:dyDescent="0.3">
      <c r="A193" s="13" t="s">
        <v>49</v>
      </c>
      <c r="B193" s="2">
        <v>5</v>
      </c>
      <c r="C193" s="2">
        <v>4</v>
      </c>
      <c r="D193" s="2">
        <v>3.5</v>
      </c>
      <c r="E193" s="2">
        <v>2</v>
      </c>
      <c r="F193" s="2">
        <v>2</v>
      </c>
      <c r="G193" s="2" t="str">
        <f>_xlfn.XLOOKUP(Trainingsabschluss[[#This Row],[UserID]], Teilnehmende[UserID], Teilnehmende[Branche], "UserID nicht gefunden")</f>
        <v>Einzelhandel</v>
      </c>
      <c r="H193" t="str">
        <f>_xlfn.XLOOKUP(Trainingsabschluss[[#This Row],[UserID]], Teilnehmende[UserID], Teilnehmende[Bildungsabschluss], "UserID nicht gefunden")</f>
        <v>Bachelor</v>
      </c>
      <c r="I193" s="3">
        <f>_xlfn.XLOOKUP(Trainingsabschluss[[#This Row],[UserID]], Teilnehmende[UserID], Teilnehmende[Berufserfahrung])</f>
        <v>5</v>
      </c>
      <c r="J193" s="3" t="str" cm="1">
        <f t="array" ref="J19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93" s="11">
        <f>Trainingsabschluss[[#This Row],[Quiz_Frage1_Punkte]]/Max_Frage1</f>
        <v>1</v>
      </c>
      <c r="L193" s="11">
        <f>Trainingsabschluss[[#This Row],[Quiz_Frage2_Punkte]]/Max_Frage2</f>
        <v>0.8</v>
      </c>
      <c r="M193" s="11">
        <f>Trainingsabschluss[[#This Row],[Quiz_Frage3_Punkte]]/Max_Frage3</f>
        <v>0.7</v>
      </c>
      <c r="N193" s="11">
        <f>Trainingsabschluss[[#This Row],[Quiz_Frage4_Punkte]]/Max_Frage4</f>
        <v>0.5</v>
      </c>
      <c r="O193" s="11">
        <f>Trainingsabschluss[[#This Row],[Quiz_Frage5_Punkte]]/Max_Frage5</f>
        <v>0.66666666666666663</v>
      </c>
      <c r="P193" s="2">
        <f>Trainingsabschluss[[#This Row],[Quiz_Frage1_Punkte]]+Trainingsabschluss[[#This Row],[Quiz_Frage2_Punkte]]+Trainingsabschluss[[#This Row],[Quiz_Frage3_Punkte]]+Trainingsabschluss[[#This Row],[Quiz_Frage4_Punkte]]+Trainingsabschluss[[#This Row],[Quiz_Frage5_Punkte]]</f>
        <v>16.5</v>
      </c>
      <c r="Q193" s="8">
        <f>Trainingsabschluss[[#This Row],[Quizergebnis]]/Max_Quizergebnis</f>
        <v>0.75</v>
      </c>
      <c r="R193" t="str" cm="1">
        <f t="array" ref="R193">_xlfn.IFS(Trainingsabschluss[[#This Row],[Quizergebnis_Prozent]]&lt;0.5, "Nicht bestanden",
Trainingsabschluss[[#This Row],[Quizergebnis_Prozent]]&lt;0.65, "Bestanden",
Trainingsabschluss[[#This Row],[Quizergebnis_Prozent]]&lt;0.8, "Gut bestanden",
TRUE, "Sehr gut bestanden")</f>
        <v>Gut bestanden</v>
      </c>
      <c r="S193" s="3">
        <v>6</v>
      </c>
      <c r="T193" s="3" t="str" cm="1">
        <f t="array" ref="T193">_xlfn.IFS(Trainingsabschluss[[#This Row],[Training_Bewertung]]&gt;=9, "Promotor", Trainingsabschluss[[#This Row],[Training_Bewertung]]
&lt;=6, "Detraktor",
TRUE, "Passiv")</f>
        <v>Detraktor</v>
      </c>
      <c r="W193"/>
    </row>
    <row r="194" spans="1:23" x14ac:dyDescent="0.3">
      <c r="A194" s="13" t="s">
        <v>50</v>
      </c>
      <c r="B194" s="2">
        <v>2</v>
      </c>
      <c r="C194" s="2">
        <v>0</v>
      </c>
      <c r="D194" s="2">
        <v>0</v>
      </c>
      <c r="E194" s="2">
        <v>0</v>
      </c>
      <c r="F194" s="2">
        <v>0.5</v>
      </c>
      <c r="G194" s="2" t="str">
        <f>_xlfn.XLOOKUP(Trainingsabschluss[[#This Row],[UserID]], Teilnehmende[UserID], Teilnehmende[Branche], "UserID nicht gefunden")</f>
        <v>E-Commerce</v>
      </c>
      <c r="H194" t="str">
        <f>_xlfn.XLOOKUP(Trainingsabschluss[[#This Row],[UserID]], Teilnehmende[UserID], Teilnehmende[Bildungsabschluss], "UserID nicht gefunden")</f>
        <v>Bachelor</v>
      </c>
      <c r="I194" s="3">
        <f>_xlfn.XLOOKUP(Trainingsabschluss[[#This Row],[UserID]], Teilnehmende[UserID], Teilnehmende[Berufserfahrung])</f>
        <v>11</v>
      </c>
      <c r="J194" s="3" t="str" cm="1">
        <f t="array" ref="J194">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94" s="11">
        <f>Trainingsabschluss[[#This Row],[Quiz_Frage1_Punkte]]/Max_Frage1</f>
        <v>0.4</v>
      </c>
      <c r="L194" s="11">
        <f>Trainingsabschluss[[#This Row],[Quiz_Frage2_Punkte]]/Max_Frage2</f>
        <v>0</v>
      </c>
      <c r="M194" s="11">
        <f>Trainingsabschluss[[#This Row],[Quiz_Frage3_Punkte]]/Max_Frage3</f>
        <v>0</v>
      </c>
      <c r="N194" s="11">
        <f>Trainingsabschluss[[#This Row],[Quiz_Frage4_Punkte]]/Max_Frage4</f>
        <v>0</v>
      </c>
      <c r="O194" s="11">
        <f>Trainingsabschluss[[#This Row],[Quiz_Frage5_Punkte]]/Max_Frage5</f>
        <v>0.16666666666666666</v>
      </c>
      <c r="P194" s="2">
        <f>Trainingsabschluss[[#This Row],[Quiz_Frage1_Punkte]]+Trainingsabschluss[[#This Row],[Quiz_Frage2_Punkte]]+Trainingsabschluss[[#This Row],[Quiz_Frage3_Punkte]]+Trainingsabschluss[[#This Row],[Quiz_Frage4_Punkte]]+Trainingsabschluss[[#This Row],[Quiz_Frage5_Punkte]]</f>
        <v>2.5</v>
      </c>
      <c r="Q194" s="8">
        <f>Trainingsabschluss[[#This Row],[Quizergebnis]]/Max_Quizergebnis</f>
        <v>0.11363636363636363</v>
      </c>
      <c r="R194" t="str" cm="1">
        <f t="array" ref="R194">_xlfn.IFS(Trainingsabschluss[[#This Row],[Quizergebnis_Prozent]]&lt;0.5, "Nicht bestanden",
Trainingsabschluss[[#This Row],[Quizergebnis_Prozent]]&lt;0.65, "Bestanden",
Trainingsabschluss[[#This Row],[Quizergebnis_Prozent]]&lt;0.8, "Gut bestanden",
TRUE, "Sehr gut bestanden")</f>
        <v>Nicht bestanden</v>
      </c>
      <c r="S194" s="3">
        <v>9</v>
      </c>
      <c r="T194" s="3" t="str" cm="1">
        <f t="array" ref="T194">_xlfn.IFS(Trainingsabschluss[[#This Row],[Training_Bewertung]]&gt;=9, "Promotor", Trainingsabschluss[[#This Row],[Training_Bewertung]]
&lt;=6, "Detraktor",
TRUE, "Passiv")</f>
        <v>Promotor</v>
      </c>
      <c r="W194"/>
    </row>
    <row r="195" spans="1:23" x14ac:dyDescent="0.3">
      <c r="A195" s="13" t="s">
        <v>51</v>
      </c>
      <c r="B195" s="2">
        <v>4.5</v>
      </c>
      <c r="C195" s="2">
        <v>4</v>
      </c>
      <c r="D195" s="2">
        <v>2.5</v>
      </c>
      <c r="E195" s="2">
        <v>2.5</v>
      </c>
      <c r="F195" s="2">
        <v>0.5</v>
      </c>
      <c r="G195" s="2" t="str">
        <f>_xlfn.XLOOKUP(Trainingsabschluss[[#This Row],[UserID]], Teilnehmende[UserID], Teilnehmende[Branche], "UserID nicht gefunden")</f>
        <v>Großhandel</v>
      </c>
      <c r="H195" t="str">
        <f>_xlfn.XLOOKUP(Trainingsabschluss[[#This Row],[UserID]], Teilnehmende[UserID], Teilnehmende[Bildungsabschluss], "UserID nicht gefunden")</f>
        <v>Bachelor</v>
      </c>
      <c r="I195" s="3">
        <f>_xlfn.XLOOKUP(Trainingsabschluss[[#This Row],[UserID]], Teilnehmende[UserID], Teilnehmende[Berufserfahrung])</f>
        <v>2</v>
      </c>
      <c r="J195" s="3" t="str" cm="1">
        <f t="array" ref="J19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195" s="11">
        <f>Trainingsabschluss[[#This Row],[Quiz_Frage1_Punkte]]/Max_Frage1</f>
        <v>0.9</v>
      </c>
      <c r="L195" s="11">
        <f>Trainingsabschluss[[#This Row],[Quiz_Frage2_Punkte]]/Max_Frage2</f>
        <v>0.8</v>
      </c>
      <c r="M195" s="11">
        <f>Trainingsabschluss[[#This Row],[Quiz_Frage3_Punkte]]/Max_Frage3</f>
        <v>0.5</v>
      </c>
      <c r="N195" s="11">
        <f>Trainingsabschluss[[#This Row],[Quiz_Frage4_Punkte]]/Max_Frage4</f>
        <v>0.625</v>
      </c>
      <c r="O195" s="11">
        <f>Trainingsabschluss[[#This Row],[Quiz_Frage5_Punkte]]/Max_Frage5</f>
        <v>0.16666666666666666</v>
      </c>
      <c r="P195" s="2">
        <f>Trainingsabschluss[[#This Row],[Quiz_Frage1_Punkte]]+Trainingsabschluss[[#This Row],[Quiz_Frage2_Punkte]]+Trainingsabschluss[[#This Row],[Quiz_Frage3_Punkte]]+Trainingsabschluss[[#This Row],[Quiz_Frage4_Punkte]]+Trainingsabschluss[[#This Row],[Quiz_Frage5_Punkte]]</f>
        <v>14</v>
      </c>
      <c r="Q195" s="8">
        <f>Trainingsabschluss[[#This Row],[Quizergebnis]]/Max_Quizergebnis</f>
        <v>0.63636363636363635</v>
      </c>
      <c r="R195" t="str" cm="1">
        <f t="array" ref="R195">_xlfn.IFS(Trainingsabschluss[[#This Row],[Quizergebnis_Prozent]]&lt;0.5, "Nicht bestanden",
Trainingsabschluss[[#This Row],[Quizergebnis_Prozent]]&lt;0.65, "Bestanden",
Trainingsabschluss[[#This Row],[Quizergebnis_Prozent]]&lt;0.8, "Gut bestanden",
TRUE, "Sehr gut bestanden")</f>
        <v>Bestanden</v>
      </c>
      <c r="S195" s="3">
        <v>9</v>
      </c>
      <c r="T195" s="3" t="str" cm="1">
        <f t="array" ref="T195">_xlfn.IFS(Trainingsabschluss[[#This Row],[Training_Bewertung]]&gt;=9, "Promotor", Trainingsabschluss[[#This Row],[Training_Bewertung]]
&lt;=6, "Detraktor",
TRUE, "Passiv")</f>
        <v>Promotor</v>
      </c>
      <c r="W195"/>
    </row>
    <row r="196" spans="1:23" x14ac:dyDescent="0.3">
      <c r="A196" s="13" t="s">
        <v>52</v>
      </c>
      <c r="B196" s="2">
        <v>4</v>
      </c>
      <c r="C196" s="2">
        <v>3</v>
      </c>
      <c r="D196" s="2">
        <v>3.5</v>
      </c>
      <c r="E196" s="2">
        <v>4</v>
      </c>
      <c r="F196" s="2">
        <v>2.5</v>
      </c>
      <c r="G196" s="2" t="str">
        <f>_xlfn.XLOOKUP(Trainingsabschluss[[#This Row],[UserID]], Teilnehmende[UserID], Teilnehmende[Branche], "UserID nicht gefunden")</f>
        <v>E-Commerce</v>
      </c>
      <c r="H196" t="str">
        <f>_xlfn.XLOOKUP(Trainingsabschluss[[#This Row],[UserID]], Teilnehmende[UserID], Teilnehmende[Bildungsabschluss], "UserID nicht gefunden")</f>
        <v>Bachelor</v>
      </c>
      <c r="I196" s="3">
        <f>_xlfn.XLOOKUP(Trainingsabschluss[[#This Row],[UserID]], Teilnehmende[UserID], Teilnehmende[Berufserfahrung])</f>
        <v>6</v>
      </c>
      <c r="J196" s="3" t="str" cm="1">
        <f t="array" ref="J19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96" s="11">
        <f>Trainingsabschluss[[#This Row],[Quiz_Frage1_Punkte]]/Max_Frage1</f>
        <v>0.8</v>
      </c>
      <c r="L196" s="11">
        <f>Trainingsabschluss[[#This Row],[Quiz_Frage2_Punkte]]/Max_Frage2</f>
        <v>0.6</v>
      </c>
      <c r="M196" s="11">
        <f>Trainingsabschluss[[#This Row],[Quiz_Frage3_Punkte]]/Max_Frage3</f>
        <v>0.7</v>
      </c>
      <c r="N196" s="11">
        <f>Trainingsabschluss[[#This Row],[Quiz_Frage4_Punkte]]/Max_Frage4</f>
        <v>1</v>
      </c>
      <c r="O196" s="11">
        <f>Trainingsabschluss[[#This Row],[Quiz_Frage5_Punkte]]/Max_Frage5</f>
        <v>0.83333333333333337</v>
      </c>
      <c r="P196" s="2">
        <f>Trainingsabschluss[[#This Row],[Quiz_Frage1_Punkte]]+Trainingsabschluss[[#This Row],[Quiz_Frage2_Punkte]]+Trainingsabschluss[[#This Row],[Quiz_Frage3_Punkte]]+Trainingsabschluss[[#This Row],[Quiz_Frage4_Punkte]]+Trainingsabschluss[[#This Row],[Quiz_Frage5_Punkte]]</f>
        <v>17</v>
      </c>
      <c r="Q196" s="8">
        <f>Trainingsabschluss[[#This Row],[Quizergebnis]]/Max_Quizergebnis</f>
        <v>0.77272727272727271</v>
      </c>
      <c r="R196" t="str" cm="1">
        <f t="array" ref="R196">_xlfn.IFS(Trainingsabschluss[[#This Row],[Quizergebnis_Prozent]]&lt;0.5, "Nicht bestanden",
Trainingsabschluss[[#This Row],[Quizergebnis_Prozent]]&lt;0.65, "Bestanden",
Trainingsabschluss[[#This Row],[Quizergebnis_Prozent]]&lt;0.8, "Gut bestanden",
TRUE, "Sehr gut bestanden")</f>
        <v>Gut bestanden</v>
      </c>
      <c r="S196" s="3">
        <v>9</v>
      </c>
      <c r="T196" s="3" t="str" cm="1">
        <f t="array" ref="T196">_xlfn.IFS(Trainingsabschluss[[#This Row],[Training_Bewertung]]&gt;=9, "Promotor", Trainingsabschluss[[#This Row],[Training_Bewertung]]
&lt;=6, "Detraktor",
TRUE, "Passiv")</f>
        <v>Promotor</v>
      </c>
      <c r="W196"/>
    </row>
    <row r="197" spans="1:23" x14ac:dyDescent="0.3">
      <c r="A197" s="13" t="s">
        <v>53</v>
      </c>
      <c r="B197" s="2">
        <v>4</v>
      </c>
      <c r="C197" s="2">
        <v>4</v>
      </c>
      <c r="D197" s="2">
        <v>3.5</v>
      </c>
      <c r="E197" s="2">
        <v>2</v>
      </c>
      <c r="F197" s="2">
        <v>1</v>
      </c>
      <c r="G197" s="2" t="str">
        <f>_xlfn.XLOOKUP(Trainingsabschluss[[#This Row],[UserID]], Teilnehmende[UserID], Teilnehmende[Branche], "UserID nicht gefunden")</f>
        <v>Einzelhandel</v>
      </c>
      <c r="H197" t="str">
        <f>_xlfn.XLOOKUP(Trainingsabschluss[[#This Row],[UserID]], Teilnehmende[UserID], Teilnehmende[Bildungsabschluss], "UserID nicht gefunden")</f>
        <v>Bachelor</v>
      </c>
      <c r="I197" s="3">
        <f>_xlfn.XLOOKUP(Trainingsabschluss[[#This Row],[UserID]], Teilnehmende[UserID], Teilnehmende[Berufserfahrung])</f>
        <v>12</v>
      </c>
      <c r="J197" s="3" t="str" cm="1">
        <f t="array" ref="J197">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97" s="11">
        <f>Trainingsabschluss[[#This Row],[Quiz_Frage1_Punkte]]/Max_Frage1</f>
        <v>0.8</v>
      </c>
      <c r="L197" s="11">
        <f>Trainingsabschluss[[#This Row],[Quiz_Frage2_Punkte]]/Max_Frage2</f>
        <v>0.8</v>
      </c>
      <c r="M197" s="11">
        <f>Trainingsabschluss[[#This Row],[Quiz_Frage3_Punkte]]/Max_Frage3</f>
        <v>0.7</v>
      </c>
      <c r="N197" s="11">
        <f>Trainingsabschluss[[#This Row],[Quiz_Frage4_Punkte]]/Max_Frage4</f>
        <v>0.5</v>
      </c>
      <c r="O197" s="11">
        <f>Trainingsabschluss[[#This Row],[Quiz_Frage5_Punkte]]/Max_Frage5</f>
        <v>0.33333333333333331</v>
      </c>
      <c r="P197" s="2">
        <f>Trainingsabschluss[[#This Row],[Quiz_Frage1_Punkte]]+Trainingsabschluss[[#This Row],[Quiz_Frage2_Punkte]]+Trainingsabschluss[[#This Row],[Quiz_Frage3_Punkte]]+Trainingsabschluss[[#This Row],[Quiz_Frage4_Punkte]]+Trainingsabschluss[[#This Row],[Quiz_Frage5_Punkte]]</f>
        <v>14.5</v>
      </c>
      <c r="Q197" s="8">
        <f>Trainingsabschluss[[#This Row],[Quizergebnis]]/Max_Quizergebnis</f>
        <v>0.65909090909090906</v>
      </c>
      <c r="R197" t="str" cm="1">
        <f t="array" ref="R197">_xlfn.IFS(Trainingsabschluss[[#This Row],[Quizergebnis_Prozent]]&lt;0.5, "Nicht bestanden",
Trainingsabschluss[[#This Row],[Quizergebnis_Prozent]]&lt;0.65, "Bestanden",
Trainingsabschluss[[#This Row],[Quizergebnis_Prozent]]&lt;0.8, "Gut bestanden",
TRUE, "Sehr gut bestanden")</f>
        <v>Gut bestanden</v>
      </c>
      <c r="S197" s="3">
        <v>9</v>
      </c>
      <c r="T197" s="3" t="str" cm="1">
        <f t="array" ref="T197">_xlfn.IFS(Trainingsabschluss[[#This Row],[Training_Bewertung]]&gt;=9, "Promotor", Trainingsabschluss[[#This Row],[Training_Bewertung]]
&lt;=6, "Detraktor",
TRUE, "Passiv")</f>
        <v>Promotor</v>
      </c>
      <c r="W197"/>
    </row>
    <row r="198" spans="1:23" x14ac:dyDescent="0.3">
      <c r="A198" s="13" t="s">
        <v>54</v>
      </c>
      <c r="B198" s="2">
        <v>5</v>
      </c>
      <c r="C198" s="2">
        <v>4</v>
      </c>
      <c r="D198" s="2">
        <v>3</v>
      </c>
      <c r="E198" s="2">
        <v>3</v>
      </c>
      <c r="F198" s="2">
        <v>0</v>
      </c>
      <c r="G198" s="2" t="str">
        <f>_xlfn.XLOOKUP(Trainingsabschluss[[#This Row],[UserID]], Teilnehmende[UserID], Teilnehmende[Branche], "UserID nicht gefunden")</f>
        <v>Großhandel</v>
      </c>
      <c r="H198" t="str">
        <f>_xlfn.XLOOKUP(Trainingsabschluss[[#This Row],[UserID]], Teilnehmende[UserID], Teilnehmende[Bildungsabschluss], "UserID nicht gefunden")</f>
        <v>Bachelor</v>
      </c>
      <c r="I198" s="3">
        <f>_xlfn.XLOOKUP(Trainingsabschluss[[#This Row],[UserID]], Teilnehmende[UserID], Teilnehmende[Berufserfahrung])</f>
        <v>8</v>
      </c>
      <c r="J198" s="3" t="str" cm="1">
        <f t="array" ref="J19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198" s="11">
        <f>Trainingsabschluss[[#This Row],[Quiz_Frage1_Punkte]]/Max_Frage1</f>
        <v>1</v>
      </c>
      <c r="L198" s="11">
        <f>Trainingsabschluss[[#This Row],[Quiz_Frage2_Punkte]]/Max_Frage2</f>
        <v>0.8</v>
      </c>
      <c r="M198" s="11">
        <f>Trainingsabschluss[[#This Row],[Quiz_Frage3_Punkte]]/Max_Frage3</f>
        <v>0.6</v>
      </c>
      <c r="N198" s="11">
        <f>Trainingsabschluss[[#This Row],[Quiz_Frage4_Punkte]]/Max_Frage4</f>
        <v>0.75</v>
      </c>
      <c r="O198" s="11">
        <f>Trainingsabschluss[[#This Row],[Quiz_Frage5_Punkte]]/Max_Frage5</f>
        <v>0</v>
      </c>
      <c r="P198" s="2">
        <f>Trainingsabschluss[[#This Row],[Quiz_Frage1_Punkte]]+Trainingsabschluss[[#This Row],[Quiz_Frage2_Punkte]]+Trainingsabschluss[[#This Row],[Quiz_Frage3_Punkte]]+Trainingsabschluss[[#This Row],[Quiz_Frage4_Punkte]]+Trainingsabschluss[[#This Row],[Quiz_Frage5_Punkte]]</f>
        <v>15</v>
      </c>
      <c r="Q198" s="8">
        <f>Trainingsabschluss[[#This Row],[Quizergebnis]]/Max_Quizergebnis</f>
        <v>0.68181818181818177</v>
      </c>
      <c r="R198" t="str" cm="1">
        <f t="array" ref="R198">_xlfn.IFS(Trainingsabschluss[[#This Row],[Quizergebnis_Prozent]]&lt;0.5, "Nicht bestanden",
Trainingsabschluss[[#This Row],[Quizergebnis_Prozent]]&lt;0.65, "Bestanden",
Trainingsabschluss[[#This Row],[Quizergebnis_Prozent]]&lt;0.8, "Gut bestanden",
TRUE, "Sehr gut bestanden")</f>
        <v>Gut bestanden</v>
      </c>
      <c r="S198" s="3">
        <v>9</v>
      </c>
      <c r="T198" s="3" t="str" cm="1">
        <f t="array" ref="T198">_xlfn.IFS(Trainingsabschluss[[#This Row],[Training_Bewertung]]&gt;=9, "Promotor", Trainingsabschluss[[#This Row],[Training_Bewertung]]
&lt;=6, "Detraktor",
TRUE, "Passiv")</f>
        <v>Promotor</v>
      </c>
      <c r="W198"/>
    </row>
    <row r="199" spans="1:23" x14ac:dyDescent="0.3">
      <c r="A199" s="13" t="s">
        <v>105</v>
      </c>
      <c r="B199" s="2">
        <v>4.5</v>
      </c>
      <c r="C199" s="2">
        <v>3.5</v>
      </c>
      <c r="D199" s="2">
        <v>2.5</v>
      </c>
      <c r="E199" s="2">
        <v>4</v>
      </c>
      <c r="F199" s="2">
        <v>3</v>
      </c>
      <c r="G199" s="2" t="str">
        <f>_xlfn.XLOOKUP(Trainingsabschluss[[#This Row],[UserID]], Teilnehmende[UserID], Teilnehmende[Branche], "UserID nicht gefunden")</f>
        <v>Großhandel</v>
      </c>
      <c r="H199" t="str">
        <f>_xlfn.XLOOKUP(Trainingsabschluss[[#This Row],[UserID]], Teilnehmende[UserID], Teilnehmende[Bildungsabschluss], "UserID nicht gefunden")</f>
        <v>Bachelor</v>
      </c>
      <c r="I199" s="3">
        <f>_xlfn.XLOOKUP(Trainingsabschluss[[#This Row],[UserID]], Teilnehmende[UserID], Teilnehmende[Berufserfahrung])</f>
        <v>10</v>
      </c>
      <c r="J199" s="3" t="str" cm="1">
        <f t="array" ref="J19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199" s="11">
        <f>Trainingsabschluss[[#This Row],[Quiz_Frage1_Punkte]]/Max_Frage1</f>
        <v>0.9</v>
      </c>
      <c r="L199" s="11">
        <f>Trainingsabschluss[[#This Row],[Quiz_Frage2_Punkte]]/Max_Frage2</f>
        <v>0.7</v>
      </c>
      <c r="M199" s="11">
        <f>Trainingsabschluss[[#This Row],[Quiz_Frage3_Punkte]]/Max_Frage3</f>
        <v>0.5</v>
      </c>
      <c r="N199" s="11">
        <f>Trainingsabschluss[[#This Row],[Quiz_Frage4_Punkte]]/Max_Frage4</f>
        <v>1</v>
      </c>
      <c r="O199" s="11">
        <f>Trainingsabschluss[[#This Row],[Quiz_Frage5_Punkte]]/Max_Frage5</f>
        <v>1</v>
      </c>
      <c r="P199" s="2">
        <f>Trainingsabschluss[[#This Row],[Quiz_Frage1_Punkte]]+Trainingsabschluss[[#This Row],[Quiz_Frage2_Punkte]]+Trainingsabschluss[[#This Row],[Quiz_Frage3_Punkte]]+Trainingsabschluss[[#This Row],[Quiz_Frage4_Punkte]]+Trainingsabschluss[[#This Row],[Quiz_Frage5_Punkte]]</f>
        <v>17.5</v>
      </c>
      <c r="Q199" s="8">
        <f>Trainingsabschluss[[#This Row],[Quizergebnis]]/Max_Quizergebnis</f>
        <v>0.79545454545454541</v>
      </c>
      <c r="R199" t="str" cm="1">
        <f t="array" ref="R199">_xlfn.IFS(Trainingsabschluss[[#This Row],[Quizergebnis_Prozent]]&lt;0.5, "Nicht bestanden",
Trainingsabschluss[[#This Row],[Quizergebnis_Prozent]]&lt;0.65, "Bestanden",
Trainingsabschluss[[#This Row],[Quizergebnis_Prozent]]&lt;0.8, "Gut bestanden",
TRUE, "Sehr gut bestanden")</f>
        <v>Gut bestanden</v>
      </c>
      <c r="S199" s="3">
        <v>9</v>
      </c>
      <c r="T199" s="3" t="str" cm="1">
        <f t="array" ref="T199">_xlfn.IFS(Trainingsabschluss[[#This Row],[Training_Bewertung]]&gt;=9, "Promotor", Trainingsabschluss[[#This Row],[Training_Bewertung]]
&lt;=6, "Detraktor",
TRUE, "Passiv")</f>
        <v>Promotor</v>
      </c>
      <c r="W199"/>
    </row>
    <row r="200" spans="1:23" x14ac:dyDescent="0.3">
      <c r="A200" s="13" t="s">
        <v>108</v>
      </c>
      <c r="B200" s="2">
        <v>4.5</v>
      </c>
      <c r="C200" s="2">
        <v>4</v>
      </c>
      <c r="D200" s="2">
        <v>3.5</v>
      </c>
      <c r="E200" s="2">
        <v>3.5</v>
      </c>
      <c r="F200" s="2">
        <v>2.5</v>
      </c>
      <c r="G200" s="2" t="str">
        <f>_xlfn.XLOOKUP(Trainingsabschluss[[#This Row],[UserID]], Teilnehmende[UserID], Teilnehmende[Branche], "UserID nicht gefunden")</f>
        <v>Großhandel</v>
      </c>
      <c r="H200" t="str">
        <f>_xlfn.XLOOKUP(Trainingsabschluss[[#This Row],[UserID]], Teilnehmende[UserID], Teilnehmende[Bildungsabschluss], "UserID nicht gefunden")</f>
        <v>Bachelor</v>
      </c>
      <c r="I200" s="3">
        <f>_xlfn.XLOOKUP(Trainingsabschluss[[#This Row],[UserID]], Teilnehmende[UserID], Teilnehmende[Berufserfahrung])</f>
        <v>19</v>
      </c>
      <c r="J200" s="3" t="str" cm="1">
        <f t="array" ref="J200">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00" s="11">
        <f>Trainingsabschluss[[#This Row],[Quiz_Frage1_Punkte]]/Max_Frage1</f>
        <v>0.9</v>
      </c>
      <c r="L200" s="11">
        <f>Trainingsabschluss[[#This Row],[Quiz_Frage2_Punkte]]/Max_Frage2</f>
        <v>0.8</v>
      </c>
      <c r="M200" s="11">
        <f>Trainingsabschluss[[#This Row],[Quiz_Frage3_Punkte]]/Max_Frage3</f>
        <v>0.7</v>
      </c>
      <c r="N200" s="11">
        <f>Trainingsabschluss[[#This Row],[Quiz_Frage4_Punkte]]/Max_Frage4</f>
        <v>0.875</v>
      </c>
      <c r="O200" s="11">
        <f>Trainingsabschluss[[#This Row],[Quiz_Frage5_Punkte]]/Max_Frage5</f>
        <v>0.83333333333333337</v>
      </c>
      <c r="P200" s="2">
        <f>Trainingsabschluss[[#This Row],[Quiz_Frage1_Punkte]]+Trainingsabschluss[[#This Row],[Quiz_Frage2_Punkte]]+Trainingsabschluss[[#This Row],[Quiz_Frage3_Punkte]]+Trainingsabschluss[[#This Row],[Quiz_Frage4_Punkte]]+Trainingsabschluss[[#This Row],[Quiz_Frage5_Punkte]]</f>
        <v>18</v>
      </c>
      <c r="Q200" s="8">
        <f>Trainingsabschluss[[#This Row],[Quizergebnis]]/Max_Quizergebnis</f>
        <v>0.81818181818181823</v>
      </c>
      <c r="R200" t="str" cm="1">
        <f t="array" ref="R200">_xlfn.IFS(Trainingsabschluss[[#This Row],[Quizergebnis_Prozent]]&lt;0.5, "Nicht bestanden",
Trainingsabschluss[[#This Row],[Quizergebnis_Prozent]]&lt;0.65, "Bestanden",
Trainingsabschluss[[#This Row],[Quizergebnis_Prozent]]&lt;0.8, "Gut bestanden",
TRUE, "Sehr gut bestanden")</f>
        <v>Sehr gut bestanden</v>
      </c>
      <c r="S200" s="3">
        <v>9</v>
      </c>
      <c r="T200" s="3" t="str" cm="1">
        <f t="array" ref="T200">_xlfn.IFS(Trainingsabschluss[[#This Row],[Training_Bewertung]]&gt;=9, "Promotor", Trainingsabschluss[[#This Row],[Training_Bewertung]]
&lt;=6, "Detraktor",
TRUE, "Passiv")</f>
        <v>Promotor</v>
      </c>
      <c r="W200"/>
    </row>
    <row r="201" spans="1:23" x14ac:dyDescent="0.3">
      <c r="A201" s="13" t="s">
        <v>111</v>
      </c>
      <c r="B201" s="2">
        <v>4.5</v>
      </c>
      <c r="C201" s="2">
        <v>5</v>
      </c>
      <c r="D201" s="2">
        <v>2.5</v>
      </c>
      <c r="E201" s="2">
        <v>4</v>
      </c>
      <c r="F201" s="2">
        <v>1.5</v>
      </c>
      <c r="G201" s="2" t="str">
        <f>_xlfn.XLOOKUP(Trainingsabschluss[[#This Row],[UserID]], Teilnehmende[UserID], Teilnehmende[Branche], "UserID nicht gefunden")</f>
        <v>E-Commerce</v>
      </c>
      <c r="H201" t="str">
        <f>_xlfn.XLOOKUP(Trainingsabschluss[[#This Row],[UserID]], Teilnehmende[UserID], Teilnehmende[Bildungsabschluss], "UserID nicht gefunden")</f>
        <v>Bachelor</v>
      </c>
      <c r="I201" s="3">
        <f>_xlfn.XLOOKUP(Trainingsabschluss[[#This Row],[UserID]], Teilnehmende[UserID], Teilnehmende[Berufserfahrung])</f>
        <v>4</v>
      </c>
      <c r="J201" s="3" t="str" cm="1">
        <f t="array" ref="J20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01" s="11">
        <f>Trainingsabschluss[[#This Row],[Quiz_Frage1_Punkte]]/Max_Frage1</f>
        <v>0.9</v>
      </c>
      <c r="L201" s="11">
        <f>Trainingsabschluss[[#This Row],[Quiz_Frage2_Punkte]]/Max_Frage2</f>
        <v>1</v>
      </c>
      <c r="M201" s="11">
        <f>Trainingsabschluss[[#This Row],[Quiz_Frage3_Punkte]]/Max_Frage3</f>
        <v>0.5</v>
      </c>
      <c r="N201" s="11">
        <f>Trainingsabschluss[[#This Row],[Quiz_Frage4_Punkte]]/Max_Frage4</f>
        <v>1</v>
      </c>
      <c r="O201" s="11">
        <f>Trainingsabschluss[[#This Row],[Quiz_Frage5_Punkte]]/Max_Frage5</f>
        <v>0.5</v>
      </c>
      <c r="P201" s="2">
        <f>Trainingsabschluss[[#This Row],[Quiz_Frage1_Punkte]]+Trainingsabschluss[[#This Row],[Quiz_Frage2_Punkte]]+Trainingsabschluss[[#This Row],[Quiz_Frage3_Punkte]]+Trainingsabschluss[[#This Row],[Quiz_Frage4_Punkte]]+Trainingsabschluss[[#This Row],[Quiz_Frage5_Punkte]]</f>
        <v>17.5</v>
      </c>
      <c r="Q201" s="8">
        <f>Trainingsabschluss[[#This Row],[Quizergebnis]]/Max_Quizergebnis</f>
        <v>0.79545454545454541</v>
      </c>
      <c r="R201" t="str" cm="1">
        <f t="array" ref="R201">_xlfn.IFS(Trainingsabschluss[[#This Row],[Quizergebnis_Prozent]]&lt;0.5, "Nicht bestanden",
Trainingsabschluss[[#This Row],[Quizergebnis_Prozent]]&lt;0.65, "Bestanden",
Trainingsabschluss[[#This Row],[Quizergebnis_Prozent]]&lt;0.8, "Gut bestanden",
TRUE, "Sehr gut bestanden")</f>
        <v>Gut bestanden</v>
      </c>
      <c r="S201" s="3">
        <v>9</v>
      </c>
      <c r="T201" s="3" t="str" cm="1">
        <f t="array" ref="T201">_xlfn.IFS(Trainingsabschluss[[#This Row],[Training_Bewertung]]&gt;=9, "Promotor", Trainingsabschluss[[#This Row],[Training_Bewertung]]
&lt;=6, "Detraktor",
TRUE, "Passiv")</f>
        <v>Promotor</v>
      </c>
      <c r="W201"/>
    </row>
    <row r="202" spans="1:23" x14ac:dyDescent="0.3">
      <c r="A202" s="13" t="s">
        <v>112</v>
      </c>
      <c r="B202" s="2">
        <v>5</v>
      </c>
      <c r="C202" s="2">
        <v>3.5</v>
      </c>
      <c r="D202" s="2">
        <v>2</v>
      </c>
      <c r="E202" s="2">
        <v>3</v>
      </c>
      <c r="F202" s="2">
        <v>1.5</v>
      </c>
      <c r="G202" s="2" t="str">
        <f>_xlfn.XLOOKUP(Trainingsabschluss[[#This Row],[UserID]], Teilnehmende[UserID], Teilnehmende[Branche], "UserID nicht gefunden")</f>
        <v>Einzelhandel</v>
      </c>
      <c r="H202" t="str">
        <f>_xlfn.XLOOKUP(Trainingsabschluss[[#This Row],[UserID]], Teilnehmende[UserID], Teilnehmende[Bildungsabschluss], "UserID nicht gefunden")</f>
        <v>Bachelor</v>
      </c>
      <c r="I202" s="3">
        <f>_xlfn.XLOOKUP(Trainingsabschluss[[#This Row],[UserID]], Teilnehmende[UserID], Teilnehmende[Berufserfahrung])</f>
        <v>6</v>
      </c>
      <c r="J202" s="3" t="str" cm="1">
        <f t="array" ref="J20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02" s="11">
        <f>Trainingsabschluss[[#This Row],[Quiz_Frage1_Punkte]]/Max_Frage1</f>
        <v>1</v>
      </c>
      <c r="L202" s="11">
        <f>Trainingsabschluss[[#This Row],[Quiz_Frage2_Punkte]]/Max_Frage2</f>
        <v>0.7</v>
      </c>
      <c r="M202" s="11">
        <f>Trainingsabschluss[[#This Row],[Quiz_Frage3_Punkte]]/Max_Frage3</f>
        <v>0.4</v>
      </c>
      <c r="N202" s="11">
        <f>Trainingsabschluss[[#This Row],[Quiz_Frage4_Punkte]]/Max_Frage4</f>
        <v>0.75</v>
      </c>
      <c r="O202" s="11">
        <f>Trainingsabschluss[[#This Row],[Quiz_Frage5_Punkte]]/Max_Frage5</f>
        <v>0.5</v>
      </c>
      <c r="P202" s="2">
        <f>Trainingsabschluss[[#This Row],[Quiz_Frage1_Punkte]]+Trainingsabschluss[[#This Row],[Quiz_Frage2_Punkte]]+Trainingsabschluss[[#This Row],[Quiz_Frage3_Punkte]]+Trainingsabschluss[[#This Row],[Quiz_Frage4_Punkte]]+Trainingsabschluss[[#This Row],[Quiz_Frage5_Punkte]]</f>
        <v>15</v>
      </c>
      <c r="Q202" s="8">
        <f>Trainingsabschluss[[#This Row],[Quizergebnis]]/Max_Quizergebnis</f>
        <v>0.68181818181818177</v>
      </c>
      <c r="R202" t="str" cm="1">
        <f t="array" ref="R202">_xlfn.IFS(Trainingsabschluss[[#This Row],[Quizergebnis_Prozent]]&lt;0.5, "Nicht bestanden",
Trainingsabschluss[[#This Row],[Quizergebnis_Prozent]]&lt;0.65, "Bestanden",
Trainingsabschluss[[#This Row],[Quizergebnis_Prozent]]&lt;0.8, "Gut bestanden",
TRUE, "Sehr gut bestanden")</f>
        <v>Gut bestanden</v>
      </c>
      <c r="S202" s="3">
        <v>9</v>
      </c>
      <c r="T202" s="3" t="str" cm="1">
        <f t="array" ref="T202">_xlfn.IFS(Trainingsabschluss[[#This Row],[Training_Bewertung]]&gt;=9, "Promotor", Trainingsabschluss[[#This Row],[Training_Bewertung]]
&lt;=6, "Detraktor",
TRUE, "Passiv")</f>
        <v>Promotor</v>
      </c>
      <c r="W202"/>
    </row>
    <row r="203" spans="1:23" x14ac:dyDescent="0.3">
      <c r="A203" s="13" t="s">
        <v>113</v>
      </c>
      <c r="B203" s="2">
        <v>4</v>
      </c>
      <c r="C203" s="2">
        <v>4</v>
      </c>
      <c r="D203" s="2">
        <v>3</v>
      </c>
      <c r="E203" s="2">
        <v>2.5</v>
      </c>
      <c r="F203" s="2">
        <v>1</v>
      </c>
      <c r="G203" s="2" t="str">
        <f>_xlfn.XLOOKUP(Trainingsabschluss[[#This Row],[UserID]], Teilnehmende[UserID], Teilnehmende[Branche], "UserID nicht gefunden")</f>
        <v>E-Commerce</v>
      </c>
      <c r="H203" t="str">
        <f>_xlfn.XLOOKUP(Trainingsabschluss[[#This Row],[UserID]], Teilnehmende[UserID], Teilnehmende[Bildungsabschluss], "UserID nicht gefunden")</f>
        <v>Bachelor</v>
      </c>
      <c r="I203" s="3">
        <f>_xlfn.XLOOKUP(Trainingsabschluss[[#This Row],[UserID]], Teilnehmende[UserID], Teilnehmende[Berufserfahrung])</f>
        <v>15</v>
      </c>
      <c r="J203" s="3" t="str" cm="1">
        <f t="array" ref="J203">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03" s="11">
        <f>Trainingsabschluss[[#This Row],[Quiz_Frage1_Punkte]]/Max_Frage1</f>
        <v>0.8</v>
      </c>
      <c r="L203" s="11">
        <f>Trainingsabschluss[[#This Row],[Quiz_Frage2_Punkte]]/Max_Frage2</f>
        <v>0.8</v>
      </c>
      <c r="M203" s="11">
        <f>Trainingsabschluss[[#This Row],[Quiz_Frage3_Punkte]]/Max_Frage3</f>
        <v>0.6</v>
      </c>
      <c r="N203" s="11">
        <f>Trainingsabschluss[[#This Row],[Quiz_Frage4_Punkte]]/Max_Frage4</f>
        <v>0.625</v>
      </c>
      <c r="O203" s="11">
        <f>Trainingsabschluss[[#This Row],[Quiz_Frage5_Punkte]]/Max_Frage5</f>
        <v>0.33333333333333331</v>
      </c>
      <c r="P203" s="2">
        <f>Trainingsabschluss[[#This Row],[Quiz_Frage1_Punkte]]+Trainingsabschluss[[#This Row],[Quiz_Frage2_Punkte]]+Trainingsabschluss[[#This Row],[Quiz_Frage3_Punkte]]+Trainingsabschluss[[#This Row],[Quiz_Frage4_Punkte]]+Trainingsabschluss[[#This Row],[Quiz_Frage5_Punkte]]</f>
        <v>14.5</v>
      </c>
      <c r="Q203" s="8">
        <f>Trainingsabschluss[[#This Row],[Quizergebnis]]/Max_Quizergebnis</f>
        <v>0.65909090909090906</v>
      </c>
      <c r="R203" t="str" cm="1">
        <f t="array" ref="R203">_xlfn.IFS(Trainingsabschluss[[#This Row],[Quizergebnis_Prozent]]&lt;0.5, "Nicht bestanden",
Trainingsabschluss[[#This Row],[Quizergebnis_Prozent]]&lt;0.65, "Bestanden",
Trainingsabschluss[[#This Row],[Quizergebnis_Prozent]]&lt;0.8, "Gut bestanden",
TRUE, "Sehr gut bestanden")</f>
        <v>Gut bestanden</v>
      </c>
      <c r="S203" s="3">
        <v>9</v>
      </c>
      <c r="T203" s="3" t="str" cm="1">
        <f t="array" ref="T203">_xlfn.IFS(Trainingsabschluss[[#This Row],[Training_Bewertung]]&gt;=9, "Promotor", Trainingsabschluss[[#This Row],[Training_Bewertung]]
&lt;=6, "Detraktor",
TRUE, "Passiv")</f>
        <v>Promotor</v>
      </c>
      <c r="W203"/>
    </row>
    <row r="204" spans="1:23" x14ac:dyDescent="0.3">
      <c r="A204" s="13" t="s">
        <v>117</v>
      </c>
      <c r="B204" s="2">
        <v>2</v>
      </c>
      <c r="C204" s="2">
        <v>4.5</v>
      </c>
      <c r="D204" s="2">
        <v>2.5</v>
      </c>
      <c r="E204" s="2">
        <v>3.5</v>
      </c>
      <c r="F204" s="2">
        <v>1</v>
      </c>
      <c r="G204" s="2" t="str">
        <f>_xlfn.XLOOKUP(Trainingsabschluss[[#This Row],[UserID]], Teilnehmende[UserID], Teilnehmende[Branche], "UserID nicht gefunden")</f>
        <v>Einzelhandel</v>
      </c>
      <c r="H204" t="str">
        <f>_xlfn.XLOOKUP(Trainingsabschluss[[#This Row],[UserID]], Teilnehmende[UserID], Teilnehmende[Bildungsabschluss], "UserID nicht gefunden")</f>
        <v>Bachelor</v>
      </c>
      <c r="I204" s="3">
        <f>_xlfn.XLOOKUP(Trainingsabschluss[[#This Row],[UserID]], Teilnehmende[UserID], Teilnehmende[Berufserfahrung])</f>
        <v>18</v>
      </c>
      <c r="J204" s="3" t="str" cm="1">
        <f t="array" ref="J204">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04" s="11">
        <f>Trainingsabschluss[[#This Row],[Quiz_Frage1_Punkte]]/Max_Frage1</f>
        <v>0.4</v>
      </c>
      <c r="L204" s="11">
        <f>Trainingsabschluss[[#This Row],[Quiz_Frage2_Punkte]]/Max_Frage2</f>
        <v>0.9</v>
      </c>
      <c r="M204" s="11">
        <f>Trainingsabschluss[[#This Row],[Quiz_Frage3_Punkte]]/Max_Frage3</f>
        <v>0.5</v>
      </c>
      <c r="N204" s="11">
        <f>Trainingsabschluss[[#This Row],[Quiz_Frage4_Punkte]]/Max_Frage4</f>
        <v>0.875</v>
      </c>
      <c r="O204" s="11">
        <f>Trainingsabschluss[[#This Row],[Quiz_Frage5_Punkte]]/Max_Frage5</f>
        <v>0.33333333333333331</v>
      </c>
      <c r="P204" s="2">
        <f>Trainingsabschluss[[#This Row],[Quiz_Frage1_Punkte]]+Trainingsabschluss[[#This Row],[Quiz_Frage2_Punkte]]+Trainingsabschluss[[#This Row],[Quiz_Frage3_Punkte]]+Trainingsabschluss[[#This Row],[Quiz_Frage4_Punkte]]+Trainingsabschluss[[#This Row],[Quiz_Frage5_Punkte]]</f>
        <v>13.5</v>
      </c>
      <c r="Q204" s="8">
        <f>Trainingsabschluss[[#This Row],[Quizergebnis]]/Max_Quizergebnis</f>
        <v>0.61363636363636365</v>
      </c>
      <c r="R204" t="str" cm="1">
        <f t="array" ref="R204">_xlfn.IFS(Trainingsabschluss[[#This Row],[Quizergebnis_Prozent]]&lt;0.5, "Nicht bestanden",
Trainingsabschluss[[#This Row],[Quizergebnis_Prozent]]&lt;0.65, "Bestanden",
Trainingsabschluss[[#This Row],[Quizergebnis_Prozent]]&lt;0.8, "Gut bestanden",
TRUE, "Sehr gut bestanden")</f>
        <v>Bestanden</v>
      </c>
      <c r="S204" s="3">
        <v>9</v>
      </c>
      <c r="T204" s="3" t="str" cm="1">
        <f t="array" ref="T204">_xlfn.IFS(Trainingsabschluss[[#This Row],[Training_Bewertung]]&gt;=9, "Promotor", Trainingsabschluss[[#This Row],[Training_Bewertung]]
&lt;=6, "Detraktor",
TRUE, "Passiv")</f>
        <v>Promotor</v>
      </c>
      <c r="W204"/>
    </row>
    <row r="205" spans="1:23" x14ac:dyDescent="0.3">
      <c r="A205" s="13" t="s">
        <v>120</v>
      </c>
      <c r="B205" s="2">
        <v>5</v>
      </c>
      <c r="C205" s="2">
        <v>0.5</v>
      </c>
      <c r="D205" s="2">
        <v>3.5</v>
      </c>
      <c r="E205" s="2">
        <v>0</v>
      </c>
      <c r="F205" s="2">
        <v>2.5</v>
      </c>
      <c r="G205" s="2" t="str">
        <f>_xlfn.XLOOKUP(Trainingsabschluss[[#This Row],[UserID]], Teilnehmende[UserID], Teilnehmende[Branche], "UserID nicht gefunden")</f>
        <v>Großhandel</v>
      </c>
      <c r="H205" t="str">
        <f>_xlfn.XLOOKUP(Trainingsabschluss[[#This Row],[UserID]], Teilnehmende[UserID], Teilnehmende[Bildungsabschluss], "UserID nicht gefunden")</f>
        <v>Bachelor</v>
      </c>
      <c r="I205" s="3">
        <f>_xlfn.XLOOKUP(Trainingsabschluss[[#This Row],[UserID]], Teilnehmende[UserID], Teilnehmende[Berufserfahrung])</f>
        <v>4</v>
      </c>
      <c r="J205" s="3" t="str" cm="1">
        <f t="array" ref="J20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05" s="11">
        <f>Trainingsabschluss[[#This Row],[Quiz_Frage1_Punkte]]/Max_Frage1</f>
        <v>1</v>
      </c>
      <c r="L205" s="11">
        <f>Trainingsabschluss[[#This Row],[Quiz_Frage2_Punkte]]/Max_Frage2</f>
        <v>0.1</v>
      </c>
      <c r="M205" s="11">
        <f>Trainingsabschluss[[#This Row],[Quiz_Frage3_Punkte]]/Max_Frage3</f>
        <v>0.7</v>
      </c>
      <c r="N205" s="11">
        <f>Trainingsabschluss[[#This Row],[Quiz_Frage4_Punkte]]/Max_Frage4</f>
        <v>0</v>
      </c>
      <c r="O205" s="11">
        <f>Trainingsabschluss[[#This Row],[Quiz_Frage5_Punkte]]/Max_Frage5</f>
        <v>0.83333333333333337</v>
      </c>
      <c r="P205" s="2">
        <f>Trainingsabschluss[[#This Row],[Quiz_Frage1_Punkte]]+Trainingsabschluss[[#This Row],[Quiz_Frage2_Punkte]]+Trainingsabschluss[[#This Row],[Quiz_Frage3_Punkte]]+Trainingsabschluss[[#This Row],[Quiz_Frage4_Punkte]]+Trainingsabschluss[[#This Row],[Quiz_Frage5_Punkte]]</f>
        <v>11.5</v>
      </c>
      <c r="Q205" s="8">
        <f>Trainingsabschluss[[#This Row],[Quizergebnis]]/Max_Quizergebnis</f>
        <v>0.52272727272727271</v>
      </c>
      <c r="R205" t="str" cm="1">
        <f t="array" ref="R205">_xlfn.IFS(Trainingsabschluss[[#This Row],[Quizergebnis_Prozent]]&lt;0.5, "Nicht bestanden",
Trainingsabschluss[[#This Row],[Quizergebnis_Prozent]]&lt;0.65, "Bestanden",
Trainingsabschluss[[#This Row],[Quizergebnis_Prozent]]&lt;0.8, "Gut bestanden",
TRUE, "Sehr gut bestanden")</f>
        <v>Bestanden</v>
      </c>
      <c r="S205" s="3">
        <v>9</v>
      </c>
      <c r="T205" s="3" t="str" cm="1">
        <f t="array" ref="T205">_xlfn.IFS(Trainingsabschluss[[#This Row],[Training_Bewertung]]&gt;=9, "Promotor", Trainingsabschluss[[#This Row],[Training_Bewertung]]
&lt;=6, "Detraktor",
TRUE, "Passiv")</f>
        <v>Promotor</v>
      </c>
      <c r="W205"/>
    </row>
    <row r="206" spans="1:23" x14ac:dyDescent="0.3">
      <c r="A206" s="13" t="s">
        <v>124</v>
      </c>
      <c r="B206" s="2">
        <v>4</v>
      </c>
      <c r="C206" s="2">
        <v>2.5</v>
      </c>
      <c r="D206" s="2">
        <v>2.5</v>
      </c>
      <c r="E206" s="2">
        <v>2.5</v>
      </c>
      <c r="F206" s="2">
        <v>0</v>
      </c>
      <c r="G206" s="2" t="str">
        <f>_xlfn.XLOOKUP(Trainingsabschluss[[#This Row],[UserID]], Teilnehmende[UserID], Teilnehmende[Branche], "UserID nicht gefunden")</f>
        <v>Großhandel</v>
      </c>
      <c r="H206" t="str">
        <f>_xlfn.XLOOKUP(Trainingsabschluss[[#This Row],[UserID]], Teilnehmende[UserID], Teilnehmende[Bildungsabschluss], "UserID nicht gefunden")</f>
        <v>Bachelor</v>
      </c>
      <c r="I206" s="3">
        <f>_xlfn.XLOOKUP(Trainingsabschluss[[#This Row],[UserID]], Teilnehmende[UserID], Teilnehmende[Berufserfahrung])</f>
        <v>10</v>
      </c>
      <c r="J206" s="3" t="str" cm="1">
        <f t="array" ref="J20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06" s="11">
        <f>Trainingsabschluss[[#This Row],[Quiz_Frage1_Punkte]]/Max_Frage1</f>
        <v>0.8</v>
      </c>
      <c r="L206" s="11">
        <f>Trainingsabschluss[[#This Row],[Quiz_Frage2_Punkte]]/Max_Frage2</f>
        <v>0.5</v>
      </c>
      <c r="M206" s="11">
        <f>Trainingsabschluss[[#This Row],[Quiz_Frage3_Punkte]]/Max_Frage3</f>
        <v>0.5</v>
      </c>
      <c r="N206" s="11">
        <f>Trainingsabschluss[[#This Row],[Quiz_Frage4_Punkte]]/Max_Frage4</f>
        <v>0.625</v>
      </c>
      <c r="O206" s="11">
        <f>Trainingsabschluss[[#This Row],[Quiz_Frage5_Punkte]]/Max_Frage5</f>
        <v>0</v>
      </c>
      <c r="P206" s="2">
        <f>Trainingsabschluss[[#This Row],[Quiz_Frage1_Punkte]]+Trainingsabschluss[[#This Row],[Quiz_Frage2_Punkte]]+Trainingsabschluss[[#This Row],[Quiz_Frage3_Punkte]]+Trainingsabschluss[[#This Row],[Quiz_Frage4_Punkte]]+Trainingsabschluss[[#This Row],[Quiz_Frage5_Punkte]]</f>
        <v>11.5</v>
      </c>
      <c r="Q206" s="8">
        <f>Trainingsabschluss[[#This Row],[Quizergebnis]]/Max_Quizergebnis</f>
        <v>0.52272727272727271</v>
      </c>
      <c r="R206" t="str" cm="1">
        <f t="array" ref="R206">_xlfn.IFS(Trainingsabschluss[[#This Row],[Quizergebnis_Prozent]]&lt;0.5, "Nicht bestanden",
Trainingsabschluss[[#This Row],[Quizergebnis_Prozent]]&lt;0.65, "Bestanden",
Trainingsabschluss[[#This Row],[Quizergebnis_Prozent]]&lt;0.8, "Gut bestanden",
TRUE, "Sehr gut bestanden")</f>
        <v>Bestanden</v>
      </c>
      <c r="S206" s="3">
        <v>9</v>
      </c>
      <c r="T206" s="3" t="str" cm="1">
        <f t="array" ref="T206">_xlfn.IFS(Trainingsabschluss[[#This Row],[Training_Bewertung]]&gt;=9, "Promotor", Trainingsabschluss[[#This Row],[Training_Bewertung]]
&lt;=6, "Detraktor",
TRUE, "Passiv")</f>
        <v>Promotor</v>
      </c>
      <c r="W206"/>
    </row>
    <row r="207" spans="1:23" x14ac:dyDescent="0.3">
      <c r="A207" s="13" t="s">
        <v>125</v>
      </c>
      <c r="B207" s="2">
        <v>5</v>
      </c>
      <c r="C207" s="2">
        <v>3</v>
      </c>
      <c r="D207" s="2">
        <v>3</v>
      </c>
      <c r="E207" s="2">
        <v>3</v>
      </c>
      <c r="F207" s="2">
        <v>2.5</v>
      </c>
      <c r="G207" s="2" t="str">
        <f>_xlfn.XLOOKUP(Trainingsabschluss[[#This Row],[UserID]], Teilnehmende[UserID], Teilnehmende[Branche], "UserID nicht gefunden")</f>
        <v>Großhandel</v>
      </c>
      <c r="H207" t="str">
        <f>_xlfn.XLOOKUP(Trainingsabschluss[[#This Row],[UserID]], Teilnehmende[UserID], Teilnehmende[Bildungsabschluss], "UserID nicht gefunden")</f>
        <v>Bachelor</v>
      </c>
      <c r="I207" s="3">
        <f>_xlfn.XLOOKUP(Trainingsabschluss[[#This Row],[UserID]], Teilnehmende[UserID], Teilnehmende[Berufserfahrung])</f>
        <v>7</v>
      </c>
      <c r="J207" s="3" t="str" cm="1">
        <f t="array" ref="J20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07" s="11">
        <f>Trainingsabschluss[[#This Row],[Quiz_Frage1_Punkte]]/Max_Frage1</f>
        <v>1</v>
      </c>
      <c r="L207" s="11">
        <f>Trainingsabschluss[[#This Row],[Quiz_Frage2_Punkte]]/Max_Frage2</f>
        <v>0.6</v>
      </c>
      <c r="M207" s="11">
        <f>Trainingsabschluss[[#This Row],[Quiz_Frage3_Punkte]]/Max_Frage3</f>
        <v>0.6</v>
      </c>
      <c r="N207" s="11">
        <f>Trainingsabschluss[[#This Row],[Quiz_Frage4_Punkte]]/Max_Frage4</f>
        <v>0.75</v>
      </c>
      <c r="O207" s="11">
        <f>Trainingsabschluss[[#This Row],[Quiz_Frage5_Punkte]]/Max_Frage5</f>
        <v>0.83333333333333337</v>
      </c>
      <c r="P207" s="2">
        <f>Trainingsabschluss[[#This Row],[Quiz_Frage1_Punkte]]+Trainingsabschluss[[#This Row],[Quiz_Frage2_Punkte]]+Trainingsabschluss[[#This Row],[Quiz_Frage3_Punkte]]+Trainingsabschluss[[#This Row],[Quiz_Frage4_Punkte]]+Trainingsabschluss[[#This Row],[Quiz_Frage5_Punkte]]</f>
        <v>16.5</v>
      </c>
      <c r="Q207" s="8">
        <f>Trainingsabschluss[[#This Row],[Quizergebnis]]/Max_Quizergebnis</f>
        <v>0.75</v>
      </c>
      <c r="R207" t="str" cm="1">
        <f t="array" ref="R207">_xlfn.IFS(Trainingsabschluss[[#This Row],[Quizergebnis_Prozent]]&lt;0.5, "Nicht bestanden",
Trainingsabschluss[[#This Row],[Quizergebnis_Prozent]]&lt;0.65, "Bestanden",
Trainingsabschluss[[#This Row],[Quizergebnis_Prozent]]&lt;0.8, "Gut bestanden",
TRUE, "Sehr gut bestanden")</f>
        <v>Gut bestanden</v>
      </c>
      <c r="S207" s="3">
        <v>9</v>
      </c>
      <c r="T207" s="3" t="str" cm="1">
        <f t="array" ref="T207">_xlfn.IFS(Trainingsabschluss[[#This Row],[Training_Bewertung]]&gt;=9, "Promotor", Trainingsabschluss[[#This Row],[Training_Bewertung]]
&lt;=6, "Detraktor",
TRUE, "Passiv")</f>
        <v>Promotor</v>
      </c>
      <c r="W207"/>
    </row>
    <row r="208" spans="1:23" x14ac:dyDescent="0.3">
      <c r="A208" s="13" t="s">
        <v>127</v>
      </c>
      <c r="B208" s="2">
        <v>5</v>
      </c>
      <c r="C208" s="2">
        <v>4</v>
      </c>
      <c r="D208" s="2">
        <v>2.5</v>
      </c>
      <c r="E208" s="2">
        <v>0.5</v>
      </c>
      <c r="F208" s="2">
        <v>0.5</v>
      </c>
      <c r="G208" s="2" t="str">
        <f>_xlfn.XLOOKUP(Trainingsabschluss[[#This Row],[UserID]], Teilnehmende[UserID], Teilnehmende[Branche], "UserID nicht gefunden")</f>
        <v>E-Commerce</v>
      </c>
      <c r="H208" t="str">
        <f>_xlfn.XLOOKUP(Trainingsabschluss[[#This Row],[UserID]], Teilnehmende[UserID], Teilnehmende[Bildungsabschluss], "UserID nicht gefunden")</f>
        <v>Bachelor</v>
      </c>
      <c r="I208" s="3">
        <f>_xlfn.XLOOKUP(Trainingsabschluss[[#This Row],[UserID]], Teilnehmende[UserID], Teilnehmende[Berufserfahrung])</f>
        <v>9</v>
      </c>
      <c r="J208" s="3" t="str" cm="1">
        <f t="array" ref="J20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08" s="11">
        <f>Trainingsabschluss[[#This Row],[Quiz_Frage1_Punkte]]/Max_Frage1</f>
        <v>1</v>
      </c>
      <c r="L208" s="11">
        <f>Trainingsabschluss[[#This Row],[Quiz_Frage2_Punkte]]/Max_Frage2</f>
        <v>0.8</v>
      </c>
      <c r="M208" s="11">
        <f>Trainingsabschluss[[#This Row],[Quiz_Frage3_Punkte]]/Max_Frage3</f>
        <v>0.5</v>
      </c>
      <c r="N208" s="11">
        <f>Trainingsabschluss[[#This Row],[Quiz_Frage4_Punkte]]/Max_Frage4</f>
        <v>0.125</v>
      </c>
      <c r="O208" s="11">
        <f>Trainingsabschluss[[#This Row],[Quiz_Frage5_Punkte]]/Max_Frage5</f>
        <v>0.16666666666666666</v>
      </c>
      <c r="P208" s="2">
        <f>Trainingsabschluss[[#This Row],[Quiz_Frage1_Punkte]]+Trainingsabschluss[[#This Row],[Quiz_Frage2_Punkte]]+Trainingsabschluss[[#This Row],[Quiz_Frage3_Punkte]]+Trainingsabschluss[[#This Row],[Quiz_Frage4_Punkte]]+Trainingsabschluss[[#This Row],[Quiz_Frage5_Punkte]]</f>
        <v>12.5</v>
      </c>
      <c r="Q208" s="8">
        <f>Trainingsabschluss[[#This Row],[Quizergebnis]]/Max_Quizergebnis</f>
        <v>0.56818181818181823</v>
      </c>
      <c r="R208" t="str" cm="1">
        <f t="array" ref="R208">_xlfn.IFS(Trainingsabschluss[[#This Row],[Quizergebnis_Prozent]]&lt;0.5, "Nicht bestanden",
Trainingsabschluss[[#This Row],[Quizergebnis_Prozent]]&lt;0.65, "Bestanden",
Trainingsabschluss[[#This Row],[Quizergebnis_Prozent]]&lt;0.8, "Gut bestanden",
TRUE, "Sehr gut bestanden")</f>
        <v>Bestanden</v>
      </c>
      <c r="S208" s="3">
        <v>9</v>
      </c>
      <c r="T208" s="3" t="str" cm="1">
        <f t="array" ref="T208">_xlfn.IFS(Trainingsabschluss[[#This Row],[Training_Bewertung]]&gt;=9, "Promotor", Trainingsabschluss[[#This Row],[Training_Bewertung]]
&lt;=6, "Detraktor",
TRUE, "Passiv")</f>
        <v>Promotor</v>
      </c>
      <c r="W208"/>
    </row>
    <row r="209" spans="1:23" x14ac:dyDescent="0.3">
      <c r="A209" s="13" t="s">
        <v>130</v>
      </c>
      <c r="B209" s="2">
        <v>5</v>
      </c>
      <c r="C209" s="2">
        <v>3.5</v>
      </c>
      <c r="D209" s="2">
        <v>4</v>
      </c>
      <c r="E209" s="2">
        <v>4</v>
      </c>
      <c r="F209" s="2">
        <v>0.5</v>
      </c>
      <c r="G209" s="2" t="str">
        <f>_xlfn.XLOOKUP(Trainingsabschluss[[#This Row],[UserID]], Teilnehmende[UserID], Teilnehmende[Branche], "UserID nicht gefunden")</f>
        <v>Großhandel</v>
      </c>
      <c r="H209" t="str">
        <f>_xlfn.XLOOKUP(Trainingsabschluss[[#This Row],[UserID]], Teilnehmende[UserID], Teilnehmende[Bildungsabschluss], "UserID nicht gefunden")</f>
        <v>Bachelor</v>
      </c>
      <c r="I209" s="3">
        <f>_xlfn.XLOOKUP(Trainingsabschluss[[#This Row],[UserID]], Teilnehmende[UserID], Teilnehmende[Berufserfahrung])</f>
        <v>7</v>
      </c>
      <c r="J209" s="3" t="str" cm="1">
        <f t="array" ref="J20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09" s="11">
        <f>Trainingsabschluss[[#This Row],[Quiz_Frage1_Punkte]]/Max_Frage1</f>
        <v>1</v>
      </c>
      <c r="L209" s="11">
        <f>Trainingsabschluss[[#This Row],[Quiz_Frage2_Punkte]]/Max_Frage2</f>
        <v>0.7</v>
      </c>
      <c r="M209" s="11">
        <f>Trainingsabschluss[[#This Row],[Quiz_Frage3_Punkte]]/Max_Frage3</f>
        <v>0.8</v>
      </c>
      <c r="N209" s="11">
        <f>Trainingsabschluss[[#This Row],[Quiz_Frage4_Punkte]]/Max_Frage4</f>
        <v>1</v>
      </c>
      <c r="O209" s="11">
        <f>Trainingsabschluss[[#This Row],[Quiz_Frage5_Punkte]]/Max_Frage5</f>
        <v>0.16666666666666666</v>
      </c>
      <c r="P209" s="2">
        <f>Trainingsabschluss[[#This Row],[Quiz_Frage1_Punkte]]+Trainingsabschluss[[#This Row],[Quiz_Frage2_Punkte]]+Trainingsabschluss[[#This Row],[Quiz_Frage3_Punkte]]+Trainingsabschluss[[#This Row],[Quiz_Frage4_Punkte]]+Trainingsabschluss[[#This Row],[Quiz_Frage5_Punkte]]</f>
        <v>17</v>
      </c>
      <c r="Q209" s="8">
        <f>Trainingsabschluss[[#This Row],[Quizergebnis]]/Max_Quizergebnis</f>
        <v>0.77272727272727271</v>
      </c>
      <c r="R209" t="str" cm="1">
        <f t="array" ref="R209">_xlfn.IFS(Trainingsabschluss[[#This Row],[Quizergebnis_Prozent]]&lt;0.5, "Nicht bestanden",
Trainingsabschluss[[#This Row],[Quizergebnis_Prozent]]&lt;0.65, "Bestanden",
Trainingsabschluss[[#This Row],[Quizergebnis_Prozent]]&lt;0.8, "Gut bestanden",
TRUE, "Sehr gut bestanden")</f>
        <v>Gut bestanden</v>
      </c>
      <c r="S209" s="3">
        <v>9</v>
      </c>
      <c r="T209" s="3" t="str" cm="1">
        <f t="array" ref="T209">_xlfn.IFS(Trainingsabschluss[[#This Row],[Training_Bewertung]]&gt;=9, "Promotor", Trainingsabschluss[[#This Row],[Training_Bewertung]]
&lt;=6, "Detraktor",
TRUE, "Passiv")</f>
        <v>Promotor</v>
      </c>
      <c r="W209"/>
    </row>
    <row r="210" spans="1:23" x14ac:dyDescent="0.3">
      <c r="A210" s="13" t="s">
        <v>57</v>
      </c>
      <c r="B210" s="2">
        <v>5</v>
      </c>
      <c r="C210" s="2">
        <v>5</v>
      </c>
      <c r="D210" s="2">
        <v>1.5</v>
      </c>
      <c r="E210" s="2">
        <v>0.5</v>
      </c>
      <c r="F210" s="2">
        <v>2</v>
      </c>
      <c r="G210" s="2" t="str">
        <f>_xlfn.XLOOKUP(Trainingsabschluss[[#This Row],[UserID]], Teilnehmende[UserID], Teilnehmende[Branche], "UserID nicht gefunden")</f>
        <v>Großhandel</v>
      </c>
      <c r="H210" t="str">
        <f>_xlfn.XLOOKUP(Trainingsabschluss[[#This Row],[UserID]], Teilnehmende[UserID], Teilnehmende[Bildungsabschluss], "UserID nicht gefunden")</f>
        <v>Bachelor</v>
      </c>
      <c r="I210" s="3">
        <f>_xlfn.XLOOKUP(Trainingsabschluss[[#This Row],[UserID]], Teilnehmende[UserID], Teilnehmende[Berufserfahrung])</f>
        <v>22</v>
      </c>
      <c r="J210" s="3" t="str" cm="1">
        <f t="array" ref="J210">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210" s="11">
        <f>Trainingsabschluss[[#This Row],[Quiz_Frage1_Punkte]]/Max_Frage1</f>
        <v>1</v>
      </c>
      <c r="L210" s="11">
        <f>Trainingsabschluss[[#This Row],[Quiz_Frage2_Punkte]]/Max_Frage2</f>
        <v>1</v>
      </c>
      <c r="M210" s="11">
        <f>Trainingsabschluss[[#This Row],[Quiz_Frage3_Punkte]]/Max_Frage3</f>
        <v>0.3</v>
      </c>
      <c r="N210" s="11">
        <f>Trainingsabschluss[[#This Row],[Quiz_Frage4_Punkte]]/Max_Frage4</f>
        <v>0.125</v>
      </c>
      <c r="O210" s="11">
        <f>Trainingsabschluss[[#This Row],[Quiz_Frage5_Punkte]]/Max_Frage5</f>
        <v>0.66666666666666663</v>
      </c>
      <c r="P210" s="2">
        <f>Trainingsabschluss[[#This Row],[Quiz_Frage1_Punkte]]+Trainingsabschluss[[#This Row],[Quiz_Frage2_Punkte]]+Trainingsabschluss[[#This Row],[Quiz_Frage3_Punkte]]+Trainingsabschluss[[#This Row],[Quiz_Frage4_Punkte]]+Trainingsabschluss[[#This Row],[Quiz_Frage5_Punkte]]</f>
        <v>14</v>
      </c>
      <c r="Q210" s="8">
        <f>Trainingsabschluss[[#This Row],[Quizergebnis]]/Max_Quizergebnis</f>
        <v>0.63636363636363635</v>
      </c>
      <c r="R210" t="str" cm="1">
        <f t="array" ref="R210">_xlfn.IFS(Trainingsabschluss[[#This Row],[Quizergebnis_Prozent]]&lt;0.5, "Nicht bestanden",
Trainingsabschluss[[#This Row],[Quizergebnis_Prozent]]&lt;0.65, "Bestanden",
Trainingsabschluss[[#This Row],[Quizergebnis_Prozent]]&lt;0.8, "Gut bestanden",
TRUE, "Sehr gut bestanden")</f>
        <v>Bestanden</v>
      </c>
      <c r="S210" s="3">
        <v>6</v>
      </c>
      <c r="T210" s="3" t="str" cm="1">
        <f t="array" ref="T210">_xlfn.IFS(Trainingsabschluss[[#This Row],[Training_Bewertung]]&gt;=9, "Promotor", Trainingsabschluss[[#This Row],[Training_Bewertung]]
&lt;=6, "Detraktor",
TRUE, "Passiv")</f>
        <v>Detraktor</v>
      </c>
      <c r="W210"/>
    </row>
    <row r="211" spans="1:23" x14ac:dyDescent="0.3">
      <c r="A211" s="13" t="s">
        <v>59</v>
      </c>
      <c r="B211" s="2">
        <v>5</v>
      </c>
      <c r="C211" s="2">
        <v>4</v>
      </c>
      <c r="D211" s="2">
        <v>1</v>
      </c>
      <c r="E211" s="2">
        <v>2</v>
      </c>
      <c r="F211" s="2">
        <v>2.5</v>
      </c>
      <c r="G211" s="2" t="str">
        <f>_xlfn.XLOOKUP(Trainingsabschluss[[#This Row],[UserID]], Teilnehmende[UserID], Teilnehmende[Branche], "UserID nicht gefunden")</f>
        <v>Einzelhandel</v>
      </c>
      <c r="H211" t="str">
        <f>_xlfn.XLOOKUP(Trainingsabschluss[[#This Row],[UserID]], Teilnehmende[UserID], Teilnehmende[Bildungsabschluss], "UserID nicht gefunden")</f>
        <v>Bachelor</v>
      </c>
      <c r="I211" s="3">
        <f>_xlfn.XLOOKUP(Trainingsabschluss[[#This Row],[UserID]], Teilnehmende[UserID], Teilnehmende[Berufserfahrung])</f>
        <v>9</v>
      </c>
      <c r="J211" s="3" t="str" cm="1">
        <f t="array" ref="J21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11" s="11">
        <f>Trainingsabschluss[[#This Row],[Quiz_Frage1_Punkte]]/Max_Frage1</f>
        <v>1</v>
      </c>
      <c r="L211" s="11">
        <f>Trainingsabschluss[[#This Row],[Quiz_Frage2_Punkte]]/Max_Frage2</f>
        <v>0.8</v>
      </c>
      <c r="M211" s="11">
        <f>Trainingsabschluss[[#This Row],[Quiz_Frage3_Punkte]]/Max_Frage3</f>
        <v>0.2</v>
      </c>
      <c r="N211" s="11">
        <f>Trainingsabschluss[[#This Row],[Quiz_Frage4_Punkte]]/Max_Frage4</f>
        <v>0.5</v>
      </c>
      <c r="O211" s="11">
        <f>Trainingsabschluss[[#This Row],[Quiz_Frage5_Punkte]]/Max_Frage5</f>
        <v>0.83333333333333337</v>
      </c>
      <c r="P211" s="2">
        <f>Trainingsabschluss[[#This Row],[Quiz_Frage1_Punkte]]+Trainingsabschluss[[#This Row],[Quiz_Frage2_Punkte]]+Trainingsabschluss[[#This Row],[Quiz_Frage3_Punkte]]+Trainingsabschluss[[#This Row],[Quiz_Frage4_Punkte]]+Trainingsabschluss[[#This Row],[Quiz_Frage5_Punkte]]</f>
        <v>14.5</v>
      </c>
      <c r="Q211" s="8">
        <f>Trainingsabschluss[[#This Row],[Quizergebnis]]/Max_Quizergebnis</f>
        <v>0.65909090909090906</v>
      </c>
      <c r="R211" t="str" cm="1">
        <f t="array" ref="R211">_xlfn.IFS(Trainingsabschluss[[#This Row],[Quizergebnis_Prozent]]&lt;0.5, "Nicht bestanden",
Trainingsabschluss[[#This Row],[Quizergebnis_Prozent]]&lt;0.65, "Bestanden",
Trainingsabschluss[[#This Row],[Quizergebnis_Prozent]]&lt;0.8, "Gut bestanden",
TRUE, "Sehr gut bestanden")</f>
        <v>Gut bestanden</v>
      </c>
      <c r="S211" s="3">
        <v>5</v>
      </c>
      <c r="T211" s="3" t="str" cm="1">
        <f t="array" ref="T211">_xlfn.IFS(Trainingsabschluss[[#This Row],[Training_Bewertung]]&gt;=9, "Promotor", Trainingsabschluss[[#This Row],[Training_Bewertung]]
&lt;=6, "Detraktor",
TRUE, "Passiv")</f>
        <v>Detraktor</v>
      </c>
      <c r="W211"/>
    </row>
    <row r="212" spans="1:23" x14ac:dyDescent="0.3">
      <c r="A212" s="13" t="s">
        <v>67</v>
      </c>
      <c r="B212" s="2">
        <v>4.5</v>
      </c>
      <c r="C212" s="2">
        <v>3</v>
      </c>
      <c r="D212" s="2">
        <v>4.5</v>
      </c>
      <c r="E212" s="2">
        <v>3</v>
      </c>
      <c r="F212" s="2">
        <v>0.5</v>
      </c>
      <c r="G212" s="2" t="str">
        <f>_xlfn.XLOOKUP(Trainingsabschluss[[#This Row],[UserID]], Teilnehmende[UserID], Teilnehmende[Branche], "UserID nicht gefunden")</f>
        <v>Einzelhandel</v>
      </c>
      <c r="H212" t="str">
        <f>_xlfn.XLOOKUP(Trainingsabschluss[[#This Row],[UserID]], Teilnehmende[UserID], Teilnehmende[Bildungsabschluss], "UserID nicht gefunden")</f>
        <v>Bachelor</v>
      </c>
      <c r="I212" s="3">
        <f>_xlfn.XLOOKUP(Trainingsabschluss[[#This Row],[UserID]], Teilnehmende[UserID], Teilnehmende[Berufserfahrung])</f>
        <v>12</v>
      </c>
      <c r="J212" s="3" t="str" cm="1">
        <f t="array" ref="J21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12" s="11">
        <f>Trainingsabschluss[[#This Row],[Quiz_Frage1_Punkte]]/Max_Frage1</f>
        <v>0.9</v>
      </c>
      <c r="L212" s="11">
        <f>Trainingsabschluss[[#This Row],[Quiz_Frage2_Punkte]]/Max_Frage2</f>
        <v>0.6</v>
      </c>
      <c r="M212" s="11">
        <f>Trainingsabschluss[[#This Row],[Quiz_Frage3_Punkte]]/Max_Frage3</f>
        <v>0.9</v>
      </c>
      <c r="N212" s="11">
        <f>Trainingsabschluss[[#This Row],[Quiz_Frage4_Punkte]]/Max_Frage4</f>
        <v>0.75</v>
      </c>
      <c r="O212" s="11">
        <f>Trainingsabschluss[[#This Row],[Quiz_Frage5_Punkte]]/Max_Frage5</f>
        <v>0.16666666666666666</v>
      </c>
      <c r="P212" s="2">
        <f>Trainingsabschluss[[#This Row],[Quiz_Frage1_Punkte]]+Trainingsabschluss[[#This Row],[Quiz_Frage2_Punkte]]+Trainingsabschluss[[#This Row],[Quiz_Frage3_Punkte]]+Trainingsabschluss[[#This Row],[Quiz_Frage4_Punkte]]+Trainingsabschluss[[#This Row],[Quiz_Frage5_Punkte]]</f>
        <v>15.5</v>
      </c>
      <c r="Q212" s="8">
        <f>Trainingsabschluss[[#This Row],[Quizergebnis]]/Max_Quizergebnis</f>
        <v>0.70454545454545459</v>
      </c>
      <c r="R212" t="str" cm="1">
        <f t="array" ref="R212">_xlfn.IFS(Trainingsabschluss[[#This Row],[Quizergebnis_Prozent]]&lt;0.5, "Nicht bestanden",
Trainingsabschluss[[#This Row],[Quizergebnis_Prozent]]&lt;0.65, "Bestanden",
Trainingsabschluss[[#This Row],[Quizergebnis_Prozent]]&lt;0.8, "Gut bestanden",
TRUE, "Sehr gut bestanden")</f>
        <v>Gut bestanden</v>
      </c>
      <c r="S212" s="3">
        <v>9</v>
      </c>
      <c r="T212" s="3" t="str" cm="1">
        <f t="array" ref="T212">_xlfn.IFS(Trainingsabschluss[[#This Row],[Training_Bewertung]]&gt;=9, "Promotor", Trainingsabschluss[[#This Row],[Training_Bewertung]]
&lt;=6, "Detraktor",
TRUE, "Passiv")</f>
        <v>Promotor</v>
      </c>
      <c r="W212"/>
    </row>
    <row r="213" spans="1:23" x14ac:dyDescent="0.3">
      <c r="A213" s="13" t="s">
        <v>68</v>
      </c>
      <c r="B213" s="2">
        <v>4</v>
      </c>
      <c r="C213" s="2">
        <v>3.5</v>
      </c>
      <c r="D213" s="2">
        <v>2.5</v>
      </c>
      <c r="E213" s="2">
        <v>4</v>
      </c>
      <c r="F213" s="2">
        <v>3</v>
      </c>
      <c r="G213" s="2" t="str">
        <f>_xlfn.XLOOKUP(Trainingsabschluss[[#This Row],[UserID]], Teilnehmende[UserID], Teilnehmende[Branche], "UserID nicht gefunden")</f>
        <v>Großhandel</v>
      </c>
      <c r="H213" t="str">
        <f>_xlfn.XLOOKUP(Trainingsabschluss[[#This Row],[UserID]], Teilnehmende[UserID], Teilnehmende[Bildungsabschluss], "UserID nicht gefunden")</f>
        <v>Bachelor</v>
      </c>
      <c r="I213" s="3">
        <f>_xlfn.XLOOKUP(Trainingsabschluss[[#This Row],[UserID]], Teilnehmende[UserID], Teilnehmende[Berufserfahrung])</f>
        <v>15</v>
      </c>
      <c r="J213" s="3" t="str" cm="1">
        <f t="array" ref="J213">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13" s="11">
        <f>Trainingsabschluss[[#This Row],[Quiz_Frage1_Punkte]]/Max_Frage1</f>
        <v>0.8</v>
      </c>
      <c r="L213" s="11">
        <f>Trainingsabschluss[[#This Row],[Quiz_Frage2_Punkte]]/Max_Frage2</f>
        <v>0.7</v>
      </c>
      <c r="M213" s="11">
        <f>Trainingsabschluss[[#This Row],[Quiz_Frage3_Punkte]]/Max_Frage3</f>
        <v>0.5</v>
      </c>
      <c r="N213" s="11">
        <f>Trainingsabschluss[[#This Row],[Quiz_Frage4_Punkte]]/Max_Frage4</f>
        <v>1</v>
      </c>
      <c r="O213" s="11">
        <f>Trainingsabschluss[[#This Row],[Quiz_Frage5_Punkte]]/Max_Frage5</f>
        <v>1</v>
      </c>
      <c r="P213" s="2">
        <f>Trainingsabschluss[[#This Row],[Quiz_Frage1_Punkte]]+Trainingsabschluss[[#This Row],[Quiz_Frage2_Punkte]]+Trainingsabschluss[[#This Row],[Quiz_Frage3_Punkte]]+Trainingsabschluss[[#This Row],[Quiz_Frage4_Punkte]]+Trainingsabschluss[[#This Row],[Quiz_Frage5_Punkte]]</f>
        <v>17</v>
      </c>
      <c r="Q213" s="8">
        <f>Trainingsabschluss[[#This Row],[Quizergebnis]]/Max_Quizergebnis</f>
        <v>0.77272727272727271</v>
      </c>
      <c r="R213" t="str" cm="1">
        <f t="array" ref="R213">_xlfn.IFS(Trainingsabschluss[[#This Row],[Quizergebnis_Prozent]]&lt;0.5, "Nicht bestanden",
Trainingsabschluss[[#This Row],[Quizergebnis_Prozent]]&lt;0.65, "Bestanden",
Trainingsabschluss[[#This Row],[Quizergebnis_Prozent]]&lt;0.8, "Gut bestanden",
TRUE, "Sehr gut bestanden")</f>
        <v>Gut bestanden</v>
      </c>
      <c r="S213" s="3">
        <v>9</v>
      </c>
      <c r="T213" s="3" t="str" cm="1">
        <f t="array" ref="T213">_xlfn.IFS(Trainingsabschluss[[#This Row],[Training_Bewertung]]&gt;=9, "Promotor", Trainingsabschluss[[#This Row],[Training_Bewertung]]
&lt;=6, "Detraktor",
TRUE, "Passiv")</f>
        <v>Promotor</v>
      </c>
      <c r="W213"/>
    </row>
    <row r="214" spans="1:23" x14ac:dyDescent="0.3">
      <c r="A214" s="13" t="s">
        <v>134</v>
      </c>
      <c r="B214" s="2">
        <v>5</v>
      </c>
      <c r="C214" s="2">
        <v>4</v>
      </c>
      <c r="D214" s="2">
        <v>3</v>
      </c>
      <c r="E214" s="2">
        <v>2</v>
      </c>
      <c r="F214" s="2">
        <v>1.5</v>
      </c>
      <c r="G214" s="2" t="str">
        <f>_xlfn.XLOOKUP(Trainingsabschluss[[#This Row],[UserID]], Teilnehmende[UserID], Teilnehmende[Branche], "UserID nicht gefunden")</f>
        <v>Einzelhandel</v>
      </c>
      <c r="H214" t="str">
        <f>_xlfn.XLOOKUP(Trainingsabschluss[[#This Row],[UserID]], Teilnehmende[UserID], Teilnehmende[Bildungsabschluss], "UserID nicht gefunden")</f>
        <v>Bachelor</v>
      </c>
      <c r="I214" s="3">
        <f>_xlfn.XLOOKUP(Trainingsabschluss[[#This Row],[UserID]], Teilnehmende[UserID], Teilnehmende[Berufserfahrung])</f>
        <v>3</v>
      </c>
      <c r="J214" s="3" t="str" cm="1">
        <f t="array" ref="J21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14" s="11">
        <f>Trainingsabschluss[[#This Row],[Quiz_Frage1_Punkte]]/Max_Frage1</f>
        <v>1</v>
      </c>
      <c r="L214" s="11">
        <f>Trainingsabschluss[[#This Row],[Quiz_Frage2_Punkte]]/Max_Frage2</f>
        <v>0.8</v>
      </c>
      <c r="M214" s="11">
        <f>Trainingsabschluss[[#This Row],[Quiz_Frage3_Punkte]]/Max_Frage3</f>
        <v>0.6</v>
      </c>
      <c r="N214" s="11">
        <f>Trainingsabschluss[[#This Row],[Quiz_Frage4_Punkte]]/Max_Frage4</f>
        <v>0.5</v>
      </c>
      <c r="O214" s="11">
        <f>Trainingsabschluss[[#This Row],[Quiz_Frage5_Punkte]]/Max_Frage5</f>
        <v>0.5</v>
      </c>
      <c r="P214" s="2">
        <f>Trainingsabschluss[[#This Row],[Quiz_Frage1_Punkte]]+Trainingsabschluss[[#This Row],[Quiz_Frage2_Punkte]]+Trainingsabschluss[[#This Row],[Quiz_Frage3_Punkte]]+Trainingsabschluss[[#This Row],[Quiz_Frage4_Punkte]]+Trainingsabschluss[[#This Row],[Quiz_Frage5_Punkte]]</f>
        <v>15.5</v>
      </c>
      <c r="Q214" s="8">
        <f>Trainingsabschluss[[#This Row],[Quizergebnis]]/Max_Quizergebnis</f>
        <v>0.70454545454545459</v>
      </c>
      <c r="R214" t="str" cm="1">
        <f t="array" ref="R214">_xlfn.IFS(Trainingsabschluss[[#This Row],[Quizergebnis_Prozent]]&lt;0.5, "Nicht bestanden",
Trainingsabschluss[[#This Row],[Quizergebnis_Prozent]]&lt;0.65, "Bestanden",
Trainingsabschluss[[#This Row],[Quizergebnis_Prozent]]&lt;0.8, "Gut bestanden",
TRUE, "Sehr gut bestanden")</f>
        <v>Gut bestanden</v>
      </c>
      <c r="S214" s="3">
        <v>10</v>
      </c>
      <c r="T214" s="3" t="str" cm="1">
        <f t="array" ref="T214">_xlfn.IFS(Trainingsabschluss[[#This Row],[Training_Bewertung]]&gt;=9, "Promotor", Trainingsabschluss[[#This Row],[Training_Bewertung]]
&lt;=6, "Detraktor",
TRUE, "Passiv")</f>
        <v>Promotor</v>
      </c>
      <c r="W214"/>
    </row>
    <row r="215" spans="1:23" x14ac:dyDescent="0.3">
      <c r="A215" s="13" t="s">
        <v>135</v>
      </c>
      <c r="B215" s="2">
        <v>5</v>
      </c>
      <c r="C215" s="2">
        <v>4.5</v>
      </c>
      <c r="D215" s="2">
        <v>3.5</v>
      </c>
      <c r="E215" s="2">
        <v>4</v>
      </c>
      <c r="F215" s="2">
        <v>1</v>
      </c>
      <c r="G215" s="2" t="str">
        <f>_xlfn.XLOOKUP(Trainingsabschluss[[#This Row],[UserID]], Teilnehmende[UserID], Teilnehmende[Branche], "UserID nicht gefunden")</f>
        <v>Großhandel</v>
      </c>
      <c r="H215" t="str">
        <f>_xlfn.XLOOKUP(Trainingsabschluss[[#This Row],[UserID]], Teilnehmende[UserID], Teilnehmende[Bildungsabschluss], "UserID nicht gefunden")</f>
        <v>Bachelor</v>
      </c>
      <c r="I215" s="3">
        <f>_xlfn.XLOOKUP(Trainingsabschluss[[#This Row],[UserID]], Teilnehmende[UserID], Teilnehmende[Berufserfahrung])</f>
        <v>2</v>
      </c>
      <c r="J215" s="3" t="str" cm="1">
        <f t="array" ref="J21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15" s="11">
        <f>Trainingsabschluss[[#This Row],[Quiz_Frage1_Punkte]]/Max_Frage1</f>
        <v>1</v>
      </c>
      <c r="L215" s="11">
        <f>Trainingsabschluss[[#This Row],[Quiz_Frage2_Punkte]]/Max_Frage2</f>
        <v>0.9</v>
      </c>
      <c r="M215" s="11">
        <f>Trainingsabschluss[[#This Row],[Quiz_Frage3_Punkte]]/Max_Frage3</f>
        <v>0.7</v>
      </c>
      <c r="N215" s="11">
        <f>Trainingsabschluss[[#This Row],[Quiz_Frage4_Punkte]]/Max_Frage4</f>
        <v>1</v>
      </c>
      <c r="O215" s="11">
        <f>Trainingsabschluss[[#This Row],[Quiz_Frage5_Punkte]]/Max_Frage5</f>
        <v>0.33333333333333331</v>
      </c>
      <c r="P215" s="2">
        <f>Trainingsabschluss[[#This Row],[Quiz_Frage1_Punkte]]+Trainingsabschluss[[#This Row],[Quiz_Frage2_Punkte]]+Trainingsabschluss[[#This Row],[Quiz_Frage3_Punkte]]+Trainingsabschluss[[#This Row],[Quiz_Frage4_Punkte]]+Trainingsabschluss[[#This Row],[Quiz_Frage5_Punkte]]</f>
        <v>18</v>
      </c>
      <c r="Q215" s="8">
        <f>Trainingsabschluss[[#This Row],[Quizergebnis]]/Max_Quizergebnis</f>
        <v>0.81818181818181823</v>
      </c>
      <c r="R215" t="str" cm="1">
        <f t="array" ref="R215">_xlfn.IFS(Trainingsabschluss[[#This Row],[Quizergebnis_Prozent]]&lt;0.5, "Nicht bestanden",
Trainingsabschluss[[#This Row],[Quizergebnis_Prozent]]&lt;0.65, "Bestanden",
Trainingsabschluss[[#This Row],[Quizergebnis_Prozent]]&lt;0.8, "Gut bestanden",
TRUE, "Sehr gut bestanden")</f>
        <v>Sehr gut bestanden</v>
      </c>
      <c r="S215" s="3">
        <v>10</v>
      </c>
      <c r="T215" s="3" t="str" cm="1">
        <f t="array" ref="T215">_xlfn.IFS(Trainingsabschluss[[#This Row],[Training_Bewertung]]&gt;=9, "Promotor", Trainingsabschluss[[#This Row],[Training_Bewertung]]
&lt;=6, "Detraktor",
TRUE, "Passiv")</f>
        <v>Promotor</v>
      </c>
      <c r="W215"/>
    </row>
    <row r="216" spans="1:23" x14ac:dyDescent="0.3">
      <c r="A216" s="13" t="s">
        <v>136</v>
      </c>
      <c r="B216" s="2">
        <v>5</v>
      </c>
      <c r="C216" s="2">
        <v>5</v>
      </c>
      <c r="D216" s="2">
        <v>3</v>
      </c>
      <c r="E216" s="2">
        <v>1.5</v>
      </c>
      <c r="F216" s="2">
        <v>2.5</v>
      </c>
      <c r="G216" s="2" t="str">
        <f>_xlfn.XLOOKUP(Trainingsabschluss[[#This Row],[UserID]], Teilnehmende[UserID], Teilnehmende[Branche], "UserID nicht gefunden")</f>
        <v>Großhandel</v>
      </c>
      <c r="H216" t="str">
        <f>_xlfn.XLOOKUP(Trainingsabschluss[[#This Row],[UserID]], Teilnehmende[UserID], Teilnehmende[Bildungsabschluss], "UserID nicht gefunden")</f>
        <v>Bachelor</v>
      </c>
      <c r="I216" s="3">
        <f>_xlfn.XLOOKUP(Trainingsabschluss[[#This Row],[UserID]], Teilnehmende[UserID], Teilnehmende[Berufserfahrung])</f>
        <v>7</v>
      </c>
      <c r="J216" s="3" t="str" cm="1">
        <f t="array" ref="J21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16" s="11">
        <f>Trainingsabschluss[[#This Row],[Quiz_Frage1_Punkte]]/Max_Frage1</f>
        <v>1</v>
      </c>
      <c r="L216" s="11">
        <f>Trainingsabschluss[[#This Row],[Quiz_Frage2_Punkte]]/Max_Frage2</f>
        <v>1</v>
      </c>
      <c r="M216" s="11">
        <f>Trainingsabschluss[[#This Row],[Quiz_Frage3_Punkte]]/Max_Frage3</f>
        <v>0.6</v>
      </c>
      <c r="N216" s="11">
        <f>Trainingsabschluss[[#This Row],[Quiz_Frage4_Punkte]]/Max_Frage4</f>
        <v>0.375</v>
      </c>
      <c r="O216" s="11">
        <f>Trainingsabschluss[[#This Row],[Quiz_Frage5_Punkte]]/Max_Frage5</f>
        <v>0.83333333333333337</v>
      </c>
      <c r="P216" s="2">
        <f>Trainingsabschluss[[#This Row],[Quiz_Frage1_Punkte]]+Trainingsabschluss[[#This Row],[Quiz_Frage2_Punkte]]+Trainingsabschluss[[#This Row],[Quiz_Frage3_Punkte]]+Trainingsabschluss[[#This Row],[Quiz_Frage4_Punkte]]+Trainingsabschluss[[#This Row],[Quiz_Frage5_Punkte]]</f>
        <v>17</v>
      </c>
      <c r="Q216" s="8">
        <f>Trainingsabschluss[[#This Row],[Quizergebnis]]/Max_Quizergebnis</f>
        <v>0.77272727272727271</v>
      </c>
      <c r="R216" t="str" cm="1">
        <f t="array" ref="R216">_xlfn.IFS(Trainingsabschluss[[#This Row],[Quizergebnis_Prozent]]&lt;0.5, "Nicht bestanden",
Trainingsabschluss[[#This Row],[Quizergebnis_Prozent]]&lt;0.65, "Bestanden",
Trainingsabschluss[[#This Row],[Quizergebnis_Prozent]]&lt;0.8, "Gut bestanden",
TRUE, "Sehr gut bestanden")</f>
        <v>Gut bestanden</v>
      </c>
      <c r="S216" s="3">
        <v>10</v>
      </c>
      <c r="T216" s="3" t="str" cm="1">
        <f t="array" ref="T216">_xlfn.IFS(Trainingsabschluss[[#This Row],[Training_Bewertung]]&gt;=9, "Promotor", Trainingsabschluss[[#This Row],[Training_Bewertung]]
&lt;=6, "Detraktor",
TRUE, "Passiv")</f>
        <v>Promotor</v>
      </c>
      <c r="W216"/>
    </row>
    <row r="217" spans="1:23" x14ac:dyDescent="0.3">
      <c r="A217" s="13" t="s">
        <v>365</v>
      </c>
      <c r="B217" s="2">
        <v>5</v>
      </c>
      <c r="C217" s="2">
        <v>2.5</v>
      </c>
      <c r="D217" s="2">
        <v>4</v>
      </c>
      <c r="E217" s="2">
        <v>4</v>
      </c>
      <c r="F217" s="2">
        <v>2</v>
      </c>
      <c r="G217" s="2" t="str">
        <f>_xlfn.XLOOKUP(Trainingsabschluss[[#This Row],[UserID]], Teilnehmende[UserID], Teilnehmende[Branche], "UserID nicht gefunden")</f>
        <v>IT und Technologie</v>
      </c>
      <c r="H217" t="str">
        <f>_xlfn.XLOOKUP(Trainingsabschluss[[#This Row],[UserID]], Teilnehmende[UserID], Teilnehmende[Bildungsabschluss], "UserID nicht gefunden")</f>
        <v>Bachelor</v>
      </c>
      <c r="I217" s="3">
        <f>_xlfn.XLOOKUP(Trainingsabschluss[[#This Row],[UserID]], Teilnehmende[UserID], Teilnehmende[Berufserfahrung])</f>
        <v>7</v>
      </c>
      <c r="J217" s="3" t="str" cm="1">
        <f t="array" ref="J21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17" s="11">
        <f>Trainingsabschluss[[#This Row],[Quiz_Frage1_Punkte]]/Max_Frage1</f>
        <v>1</v>
      </c>
      <c r="L217" s="11">
        <f>Trainingsabschluss[[#This Row],[Quiz_Frage2_Punkte]]/Max_Frage2</f>
        <v>0.5</v>
      </c>
      <c r="M217" s="11">
        <f>Trainingsabschluss[[#This Row],[Quiz_Frage3_Punkte]]/Max_Frage3</f>
        <v>0.8</v>
      </c>
      <c r="N217" s="11">
        <f>Trainingsabschluss[[#This Row],[Quiz_Frage4_Punkte]]/Max_Frage4</f>
        <v>1</v>
      </c>
      <c r="O217" s="11">
        <f>Trainingsabschluss[[#This Row],[Quiz_Frage5_Punkte]]/Max_Frage5</f>
        <v>0.66666666666666663</v>
      </c>
      <c r="P217" s="2">
        <f>Trainingsabschluss[[#This Row],[Quiz_Frage1_Punkte]]+Trainingsabschluss[[#This Row],[Quiz_Frage2_Punkte]]+Trainingsabschluss[[#This Row],[Quiz_Frage3_Punkte]]+Trainingsabschluss[[#This Row],[Quiz_Frage4_Punkte]]+Trainingsabschluss[[#This Row],[Quiz_Frage5_Punkte]]</f>
        <v>17.5</v>
      </c>
      <c r="Q217" s="8">
        <f>Trainingsabschluss[[#This Row],[Quizergebnis]]/Max_Quizergebnis</f>
        <v>0.79545454545454541</v>
      </c>
      <c r="R217" t="str" cm="1">
        <f t="array" ref="R217">_xlfn.IFS(Trainingsabschluss[[#This Row],[Quizergebnis_Prozent]]&lt;0.5, "Nicht bestanden",
Trainingsabschluss[[#This Row],[Quizergebnis_Prozent]]&lt;0.65, "Bestanden",
Trainingsabschluss[[#This Row],[Quizergebnis_Prozent]]&lt;0.8, "Gut bestanden",
TRUE, "Sehr gut bestanden")</f>
        <v>Gut bestanden</v>
      </c>
      <c r="S217" s="3">
        <v>2</v>
      </c>
      <c r="T217" s="3" t="str" cm="1">
        <f t="array" ref="T217">_xlfn.IFS(Trainingsabschluss[[#This Row],[Training_Bewertung]]&gt;=9, "Promotor", Trainingsabschluss[[#This Row],[Training_Bewertung]]
&lt;=6, "Detraktor",
TRUE, "Passiv")</f>
        <v>Detraktor</v>
      </c>
      <c r="W217"/>
    </row>
    <row r="218" spans="1:23" x14ac:dyDescent="0.3">
      <c r="A218" s="13" t="s">
        <v>371</v>
      </c>
      <c r="B218" s="2">
        <v>3</v>
      </c>
      <c r="C218" s="2">
        <v>5</v>
      </c>
      <c r="D218" s="2">
        <v>4.5</v>
      </c>
      <c r="E218" s="2">
        <v>3</v>
      </c>
      <c r="F218" s="2">
        <v>2</v>
      </c>
      <c r="G218" s="2" t="str">
        <f>_xlfn.XLOOKUP(Trainingsabschluss[[#This Row],[UserID]], Teilnehmende[UserID], Teilnehmende[Branche], "UserID nicht gefunden")</f>
        <v>IT und Technologie</v>
      </c>
      <c r="H218" t="str">
        <f>_xlfn.XLOOKUP(Trainingsabschluss[[#This Row],[UserID]], Teilnehmende[UserID], Teilnehmende[Bildungsabschluss], "UserID nicht gefunden")</f>
        <v>Bachelor</v>
      </c>
      <c r="I218" s="3">
        <f>_xlfn.XLOOKUP(Trainingsabschluss[[#This Row],[UserID]], Teilnehmende[UserID], Teilnehmende[Berufserfahrung])</f>
        <v>6</v>
      </c>
      <c r="J218" s="3" t="str" cm="1">
        <f t="array" ref="J21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18" s="11">
        <f>Trainingsabschluss[[#This Row],[Quiz_Frage1_Punkte]]/Max_Frage1</f>
        <v>0.6</v>
      </c>
      <c r="L218" s="11">
        <f>Trainingsabschluss[[#This Row],[Quiz_Frage2_Punkte]]/Max_Frage2</f>
        <v>1</v>
      </c>
      <c r="M218" s="11">
        <f>Trainingsabschluss[[#This Row],[Quiz_Frage3_Punkte]]/Max_Frage3</f>
        <v>0.9</v>
      </c>
      <c r="N218" s="11">
        <f>Trainingsabschluss[[#This Row],[Quiz_Frage4_Punkte]]/Max_Frage4</f>
        <v>0.75</v>
      </c>
      <c r="O218" s="11">
        <f>Trainingsabschluss[[#This Row],[Quiz_Frage5_Punkte]]/Max_Frage5</f>
        <v>0.66666666666666663</v>
      </c>
      <c r="P218" s="2">
        <f>Trainingsabschluss[[#This Row],[Quiz_Frage1_Punkte]]+Trainingsabschluss[[#This Row],[Quiz_Frage2_Punkte]]+Trainingsabschluss[[#This Row],[Quiz_Frage3_Punkte]]+Trainingsabschluss[[#This Row],[Quiz_Frage4_Punkte]]+Trainingsabschluss[[#This Row],[Quiz_Frage5_Punkte]]</f>
        <v>17.5</v>
      </c>
      <c r="Q218" s="8">
        <f>Trainingsabschluss[[#This Row],[Quizergebnis]]/Max_Quizergebnis</f>
        <v>0.79545454545454541</v>
      </c>
      <c r="R218" t="str" cm="1">
        <f t="array" ref="R218">_xlfn.IFS(Trainingsabschluss[[#This Row],[Quizergebnis_Prozent]]&lt;0.5, "Nicht bestanden",
Trainingsabschluss[[#This Row],[Quizergebnis_Prozent]]&lt;0.65, "Bestanden",
Trainingsabschluss[[#This Row],[Quizergebnis_Prozent]]&lt;0.8, "Gut bestanden",
TRUE, "Sehr gut bestanden")</f>
        <v>Gut bestanden</v>
      </c>
      <c r="S218" s="3">
        <v>6</v>
      </c>
      <c r="T218" s="3" t="str" cm="1">
        <f t="array" ref="T218">_xlfn.IFS(Trainingsabschluss[[#This Row],[Training_Bewertung]]&gt;=9, "Promotor", Trainingsabschluss[[#This Row],[Training_Bewertung]]
&lt;=6, "Detraktor",
TRUE, "Passiv")</f>
        <v>Detraktor</v>
      </c>
      <c r="W218"/>
    </row>
    <row r="219" spans="1:23" x14ac:dyDescent="0.3">
      <c r="A219" s="13" t="s">
        <v>372</v>
      </c>
      <c r="B219" s="2">
        <v>5</v>
      </c>
      <c r="C219" s="2">
        <v>1.5</v>
      </c>
      <c r="D219" s="2">
        <v>1.5</v>
      </c>
      <c r="E219" s="2">
        <v>3.5</v>
      </c>
      <c r="F219" s="2">
        <v>1.5</v>
      </c>
      <c r="G219" s="2" t="str">
        <f>_xlfn.XLOOKUP(Trainingsabschluss[[#This Row],[UserID]], Teilnehmende[UserID], Teilnehmende[Branche], "UserID nicht gefunden")</f>
        <v>IT und Technologie</v>
      </c>
      <c r="H219" t="str">
        <f>_xlfn.XLOOKUP(Trainingsabschluss[[#This Row],[UserID]], Teilnehmende[UserID], Teilnehmende[Bildungsabschluss], "UserID nicht gefunden")</f>
        <v>Bachelor</v>
      </c>
      <c r="I219" s="3">
        <f>_xlfn.XLOOKUP(Trainingsabschluss[[#This Row],[UserID]], Teilnehmende[UserID], Teilnehmende[Berufserfahrung])</f>
        <v>14</v>
      </c>
      <c r="J219" s="3" t="str" cm="1">
        <f t="array" ref="J21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19" s="11">
        <f>Trainingsabschluss[[#This Row],[Quiz_Frage1_Punkte]]/Max_Frage1</f>
        <v>1</v>
      </c>
      <c r="L219" s="11">
        <f>Trainingsabschluss[[#This Row],[Quiz_Frage2_Punkte]]/Max_Frage2</f>
        <v>0.3</v>
      </c>
      <c r="M219" s="11">
        <f>Trainingsabschluss[[#This Row],[Quiz_Frage3_Punkte]]/Max_Frage3</f>
        <v>0.3</v>
      </c>
      <c r="N219" s="11">
        <f>Trainingsabschluss[[#This Row],[Quiz_Frage4_Punkte]]/Max_Frage4</f>
        <v>0.875</v>
      </c>
      <c r="O219" s="11">
        <f>Trainingsabschluss[[#This Row],[Quiz_Frage5_Punkte]]/Max_Frage5</f>
        <v>0.5</v>
      </c>
      <c r="P219" s="2">
        <f>Trainingsabschluss[[#This Row],[Quiz_Frage1_Punkte]]+Trainingsabschluss[[#This Row],[Quiz_Frage2_Punkte]]+Trainingsabschluss[[#This Row],[Quiz_Frage3_Punkte]]+Trainingsabschluss[[#This Row],[Quiz_Frage4_Punkte]]+Trainingsabschluss[[#This Row],[Quiz_Frage5_Punkte]]</f>
        <v>13</v>
      </c>
      <c r="Q219" s="8">
        <f>Trainingsabschluss[[#This Row],[Quizergebnis]]/Max_Quizergebnis</f>
        <v>0.59090909090909094</v>
      </c>
      <c r="R219" t="str" cm="1">
        <f t="array" ref="R219">_xlfn.IFS(Trainingsabschluss[[#This Row],[Quizergebnis_Prozent]]&lt;0.5, "Nicht bestanden",
Trainingsabschluss[[#This Row],[Quizergebnis_Prozent]]&lt;0.65, "Bestanden",
Trainingsabschluss[[#This Row],[Quizergebnis_Prozent]]&lt;0.8, "Gut bestanden",
TRUE, "Sehr gut bestanden")</f>
        <v>Bestanden</v>
      </c>
      <c r="S219" s="3">
        <v>7</v>
      </c>
      <c r="T219" s="3" t="str" cm="1">
        <f t="array" ref="T219">_xlfn.IFS(Trainingsabschluss[[#This Row],[Training_Bewertung]]&gt;=9, "Promotor", Trainingsabschluss[[#This Row],[Training_Bewertung]]
&lt;=6, "Detraktor",
TRUE, "Passiv")</f>
        <v>Passiv</v>
      </c>
      <c r="W219"/>
    </row>
    <row r="220" spans="1:23" x14ac:dyDescent="0.3">
      <c r="A220" s="13" t="s">
        <v>373</v>
      </c>
      <c r="B220" s="2">
        <v>4</v>
      </c>
      <c r="C220" s="2">
        <v>2.5</v>
      </c>
      <c r="D220" s="2">
        <v>2</v>
      </c>
      <c r="E220" s="2">
        <v>3.5</v>
      </c>
      <c r="F220" s="2">
        <v>0.5</v>
      </c>
      <c r="G220" s="2" t="str">
        <f>_xlfn.XLOOKUP(Trainingsabschluss[[#This Row],[UserID]], Teilnehmende[UserID], Teilnehmende[Branche], "UserID nicht gefunden")</f>
        <v>IT und Technologie</v>
      </c>
      <c r="H220" t="str">
        <f>_xlfn.XLOOKUP(Trainingsabschluss[[#This Row],[UserID]], Teilnehmende[UserID], Teilnehmende[Bildungsabschluss], "UserID nicht gefunden")</f>
        <v>Bachelor</v>
      </c>
      <c r="I220" s="3">
        <f>_xlfn.XLOOKUP(Trainingsabschluss[[#This Row],[UserID]], Teilnehmende[UserID], Teilnehmende[Berufserfahrung])</f>
        <v>9</v>
      </c>
      <c r="J220" s="3" t="str" cm="1">
        <f t="array" ref="J22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20" s="11">
        <f>Trainingsabschluss[[#This Row],[Quiz_Frage1_Punkte]]/Max_Frage1</f>
        <v>0.8</v>
      </c>
      <c r="L220" s="11">
        <f>Trainingsabschluss[[#This Row],[Quiz_Frage2_Punkte]]/Max_Frage2</f>
        <v>0.5</v>
      </c>
      <c r="M220" s="11">
        <f>Trainingsabschluss[[#This Row],[Quiz_Frage3_Punkte]]/Max_Frage3</f>
        <v>0.4</v>
      </c>
      <c r="N220" s="11">
        <f>Trainingsabschluss[[#This Row],[Quiz_Frage4_Punkte]]/Max_Frage4</f>
        <v>0.875</v>
      </c>
      <c r="O220" s="11">
        <f>Trainingsabschluss[[#This Row],[Quiz_Frage5_Punkte]]/Max_Frage5</f>
        <v>0.16666666666666666</v>
      </c>
      <c r="P220" s="2">
        <f>Trainingsabschluss[[#This Row],[Quiz_Frage1_Punkte]]+Trainingsabschluss[[#This Row],[Quiz_Frage2_Punkte]]+Trainingsabschluss[[#This Row],[Quiz_Frage3_Punkte]]+Trainingsabschluss[[#This Row],[Quiz_Frage4_Punkte]]+Trainingsabschluss[[#This Row],[Quiz_Frage5_Punkte]]</f>
        <v>12.5</v>
      </c>
      <c r="Q220" s="8">
        <f>Trainingsabschluss[[#This Row],[Quizergebnis]]/Max_Quizergebnis</f>
        <v>0.56818181818181823</v>
      </c>
      <c r="R220" t="str" cm="1">
        <f t="array" ref="R220">_xlfn.IFS(Trainingsabschluss[[#This Row],[Quizergebnis_Prozent]]&lt;0.5, "Nicht bestanden",
Trainingsabschluss[[#This Row],[Quizergebnis_Prozent]]&lt;0.65, "Bestanden",
Trainingsabschluss[[#This Row],[Quizergebnis_Prozent]]&lt;0.8, "Gut bestanden",
TRUE, "Sehr gut bestanden")</f>
        <v>Bestanden</v>
      </c>
      <c r="S220" s="3">
        <v>7</v>
      </c>
      <c r="T220" s="3" t="str" cm="1">
        <f t="array" ref="T220">_xlfn.IFS(Trainingsabschluss[[#This Row],[Training_Bewertung]]&gt;=9, "Promotor", Trainingsabschluss[[#This Row],[Training_Bewertung]]
&lt;=6, "Detraktor",
TRUE, "Passiv")</f>
        <v>Passiv</v>
      </c>
      <c r="W220"/>
    </row>
    <row r="221" spans="1:23" x14ac:dyDescent="0.3">
      <c r="A221" s="13" t="s">
        <v>374</v>
      </c>
      <c r="B221" s="2">
        <v>5</v>
      </c>
      <c r="C221" s="2">
        <v>1.5</v>
      </c>
      <c r="D221" s="2">
        <v>2.5</v>
      </c>
      <c r="E221" s="2">
        <v>1.5</v>
      </c>
      <c r="F221" s="2">
        <v>2.5</v>
      </c>
      <c r="G221" s="2" t="str">
        <f>_xlfn.XLOOKUP(Trainingsabschluss[[#This Row],[UserID]], Teilnehmende[UserID], Teilnehmende[Branche], "UserID nicht gefunden")</f>
        <v>IT und Technologie</v>
      </c>
      <c r="H221" t="str">
        <f>_xlfn.XLOOKUP(Trainingsabschluss[[#This Row],[UserID]], Teilnehmende[UserID], Teilnehmende[Bildungsabschluss], "UserID nicht gefunden")</f>
        <v>Bachelor</v>
      </c>
      <c r="I221" s="3">
        <f>_xlfn.XLOOKUP(Trainingsabschluss[[#This Row],[UserID]], Teilnehmende[UserID], Teilnehmende[Berufserfahrung])</f>
        <v>4</v>
      </c>
      <c r="J221" s="3" t="str" cm="1">
        <f t="array" ref="J22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21" s="11">
        <f>Trainingsabschluss[[#This Row],[Quiz_Frage1_Punkte]]/Max_Frage1</f>
        <v>1</v>
      </c>
      <c r="L221" s="11">
        <f>Trainingsabschluss[[#This Row],[Quiz_Frage2_Punkte]]/Max_Frage2</f>
        <v>0.3</v>
      </c>
      <c r="M221" s="11">
        <f>Trainingsabschluss[[#This Row],[Quiz_Frage3_Punkte]]/Max_Frage3</f>
        <v>0.5</v>
      </c>
      <c r="N221" s="11">
        <f>Trainingsabschluss[[#This Row],[Quiz_Frage4_Punkte]]/Max_Frage4</f>
        <v>0.375</v>
      </c>
      <c r="O221" s="11">
        <f>Trainingsabschluss[[#This Row],[Quiz_Frage5_Punkte]]/Max_Frage5</f>
        <v>0.83333333333333337</v>
      </c>
      <c r="P221" s="2">
        <f>Trainingsabschluss[[#This Row],[Quiz_Frage1_Punkte]]+Trainingsabschluss[[#This Row],[Quiz_Frage2_Punkte]]+Trainingsabschluss[[#This Row],[Quiz_Frage3_Punkte]]+Trainingsabschluss[[#This Row],[Quiz_Frage4_Punkte]]+Trainingsabschluss[[#This Row],[Quiz_Frage5_Punkte]]</f>
        <v>13</v>
      </c>
      <c r="Q221" s="8">
        <f>Trainingsabschluss[[#This Row],[Quizergebnis]]/Max_Quizergebnis</f>
        <v>0.59090909090909094</v>
      </c>
      <c r="R221" t="str" cm="1">
        <f t="array" ref="R221">_xlfn.IFS(Trainingsabschluss[[#This Row],[Quizergebnis_Prozent]]&lt;0.5, "Nicht bestanden",
Trainingsabschluss[[#This Row],[Quizergebnis_Prozent]]&lt;0.65, "Bestanden",
Trainingsabschluss[[#This Row],[Quizergebnis_Prozent]]&lt;0.8, "Gut bestanden",
TRUE, "Sehr gut bestanden")</f>
        <v>Bestanden</v>
      </c>
      <c r="S221" s="3">
        <v>7</v>
      </c>
      <c r="T221" s="3" t="str" cm="1">
        <f t="array" ref="T221">_xlfn.IFS(Trainingsabschluss[[#This Row],[Training_Bewertung]]&gt;=9, "Promotor", Trainingsabschluss[[#This Row],[Training_Bewertung]]
&lt;=6, "Detraktor",
TRUE, "Passiv")</f>
        <v>Passiv</v>
      </c>
      <c r="W221"/>
    </row>
    <row r="222" spans="1:23" x14ac:dyDescent="0.3">
      <c r="A222" s="13" t="s">
        <v>375</v>
      </c>
      <c r="B222" s="2">
        <v>5</v>
      </c>
      <c r="C222" s="2">
        <v>3.5</v>
      </c>
      <c r="D222" s="2">
        <v>4.5</v>
      </c>
      <c r="E222" s="2">
        <v>3.5</v>
      </c>
      <c r="F222" s="2">
        <v>1.5</v>
      </c>
      <c r="G222" s="2" t="str">
        <f>_xlfn.XLOOKUP(Trainingsabschluss[[#This Row],[UserID]], Teilnehmende[UserID], Teilnehmende[Branche], "UserID nicht gefunden")</f>
        <v>IT und Technologie</v>
      </c>
      <c r="H222" t="str">
        <f>_xlfn.XLOOKUP(Trainingsabschluss[[#This Row],[UserID]], Teilnehmende[UserID], Teilnehmende[Bildungsabschluss], "UserID nicht gefunden")</f>
        <v>Bachelor</v>
      </c>
      <c r="I222" s="3">
        <f>_xlfn.XLOOKUP(Trainingsabschluss[[#This Row],[UserID]], Teilnehmende[UserID], Teilnehmende[Berufserfahrung])</f>
        <v>10</v>
      </c>
      <c r="J222" s="3" t="str" cm="1">
        <f t="array" ref="J22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22" s="11">
        <f>Trainingsabschluss[[#This Row],[Quiz_Frage1_Punkte]]/Max_Frage1</f>
        <v>1</v>
      </c>
      <c r="L222" s="11">
        <f>Trainingsabschluss[[#This Row],[Quiz_Frage2_Punkte]]/Max_Frage2</f>
        <v>0.7</v>
      </c>
      <c r="M222" s="11">
        <f>Trainingsabschluss[[#This Row],[Quiz_Frage3_Punkte]]/Max_Frage3</f>
        <v>0.9</v>
      </c>
      <c r="N222" s="11">
        <f>Trainingsabschluss[[#This Row],[Quiz_Frage4_Punkte]]/Max_Frage4</f>
        <v>0.875</v>
      </c>
      <c r="O222" s="11">
        <f>Trainingsabschluss[[#This Row],[Quiz_Frage5_Punkte]]/Max_Frage5</f>
        <v>0.5</v>
      </c>
      <c r="P222" s="2">
        <f>Trainingsabschluss[[#This Row],[Quiz_Frage1_Punkte]]+Trainingsabschluss[[#This Row],[Quiz_Frage2_Punkte]]+Trainingsabschluss[[#This Row],[Quiz_Frage3_Punkte]]+Trainingsabschluss[[#This Row],[Quiz_Frage4_Punkte]]+Trainingsabschluss[[#This Row],[Quiz_Frage5_Punkte]]</f>
        <v>18</v>
      </c>
      <c r="Q222" s="8">
        <f>Trainingsabschluss[[#This Row],[Quizergebnis]]/Max_Quizergebnis</f>
        <v>0.81818181818181823</v>
      </c>
      <c r="R222" t="str" cm="1">
        <f t="array" ref="R222">_xlfn.IFS(Trainingsabschluss[[#This Row],[Quizergebnis_Prozent]]&lt;0.5, "Nicht bestanden",
Trainingsabschluss[[#This Row],[Quizergebnis_Prozent]]&lt;0.65, "Bestanden",
Trainingsabschluss[[#This Row],[Quizergebnis_Prozent]]&lt;0.8, "Gut bestanden",
TRUE, "Sehr gut bestanden")</f>
        <v>Sehr gut bestanden</v>
      </c>
      <c r="S222" s="3">
        <v>7</v>
      </c>
      <c r="T222" s="3" t="str" cm="1">
        <f t="array" ref="T222">_xlfn.IFS(Trainingsabschluss[[#This Row],[Training_Bewertung]]&gt;=9, "Promotor", Trainingsabschluss[[#This Row],[Training_Bewertung]]
&lt;=6, "Detraktor",
TRUE, "Passiv")</f>
        <v>Passiv</v>
      </c>
      <c r="W222"/>
    </row>
    <row r="223" spans="1:23" x14ac:dyDescent="0.3">
      <c r="A223" s="13" t="s">
        <v>376</v>
      </c>
      <c r="B223" s="2">
        <v>4.5</v>
      </c>
      <c r="C223" s="2">
        <v>3.5</v>
      </c>
      <c r="D223" s="2">
        <v>1.5</v>
      </c>
      <c r="E223" s="2">
        <v>3.5</v>
      </c>
      <c r="F223" s="2">
        <v>1</v>
      </c>
      <c r="G223" s="2" t="str">
        <f>_xlfn.XLOOKUP(Trainingsabschluss[[#This Row],[UserID]], Teilnehmende[UserID], Teilnehmende[Branche], "UserID nicht gefunden")</f>
        <v>IT und Technologie</v>
      </c>
      <c r="H223" t="str">
        <f>_xlfn.XLOOKUP(Trainingsabschluss[[#This Row],[UserID]], Teilnehmende[UserID], Teilnehmende[Bildungsabschluss], "UserID nicht gefunden")</f>
        <v>Bachelor</v>
      </c>
      <c r="I223" s="3">
        <f>_xlfn.XLOOKUP(Trainingsabschluss[[#This Row],[UserID]], Teilnehmende[UserID], Teilnehmende[Berufserfahrung])</f>
        <v>10</v>
      </c>
      <c r="J223" s="3" t="str" cm="1">
        <f t="array" ref="J22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23" s="11">
        <f>Trainingsabschluss[[#This Row],[Quiz_Frage1_Punkte]]/Max_Frage1</f>
        <v>0.9</v>
      </c>
      <c r="L223" s="11">
        <f>Trainingsabschluss[[#This Row],[Quiz_Frage2_Punkte]]/Max_Frage2</f>
        <v>0.7</v>
      </c>
      <c r="M223" s="11">
        <f>Trainingsabschluss[[#This Row],[Quiz_Frage3_Punkte]]/Max_Frage3</f>
        <v>0.3</v>
      </c>
      <c r="N223" s="11">
        <f>Trainingsabschluss[[#This Row],[Quiz_Frage4_Punkte]]/Max_Frage4</f>
        <v>0.875</v>
      </c>
      <c r="O223" s="11">
        <f>Trainingsabschluss[[#This Row],[Quiz_Frage5_Punkte]]/Max_Frage5</f>
        <v>0.33333333333333331</v>
      </c>
      <c r="P223" s="2">
        <f>Trainingsabschluss[[#This Row],[Quiz_Frage1_Punkte]]+Trainingsabschluss[[#This Row],[Quiz_Frage2_Punkte]]+Trainingsabschluss[[#This Row],[Quiz_Frage3_Punkte]]+Trainingsabschluss[[#This Row],[Quiz_Frage4_Punkte]]+Trainingsabschluss[[#This Row],[Quiz_Frage5_Punkte]]</f>
        <v>14</v>
      </c>
      <c r="Q223" s="8">
        <f>Trainingsabschluss[[#This Row],[Quizergebnis]]/Max_Quizergebnis</f>
        <v>0.63636363636363635</v>
      </c>
      <c r="R223" t="str" cm="1">
        <f t="array" ref="R223">_xlfn.IFS(Trainingsabschluss[[#This Row],[Quizergebnis_Prozent]]&lt;0.5, "Nicht bestanden",
Trainingsabschluss[[#This Row],[Quizergebnis_Prozent]]&lt;0.65, "Bestanden",
Trainingsabschluss[[#This Row],[Quizergebnis_Prozent]]&lt;0.8, "Gut bestanden",
TRUE, "Sehr gut bestanden")</f>
        <v>Bestanden</v>
      </c>
      <c r="S223" s="3">
        <v>8</v>
      </c>
      <c r="T223" s="3" t="str" cm="1">
        <f t="array" ref="T223">_xlfn.IFS(Trainingsabschluss[[#This Row],[Training_Bewertung]]&gt;=9, "Promotor", Trainingsabschluss[[#This Row],[Training_Bewertung]]
&lt;=6, "Detraktor",
TRUE, "Passiv")</f>
        <v>Passiv</v>
      </c>
      <c r="W223"/>
    </row>
    <row r="224" spans="1:23" x14ac:dyDescent="0.3">
      <c r="A224" s="13" t="s">
        <v>377</v>
      </c>
      <c r="B224" s="2">
        <v>5</v>
      </c>
      <c r="C224" s="2">
        <v>3.5</v>
      </c>
      <c r="D224" s="2">
        <v>4</v>
      </c>
      <c r="E224" s="2">
        <v>2</v>
      </c>
      <c r="F224" s="2">
        <v>1.5</v>
      </c>
      <c r="G224" s="2" t="str">
        <f>_xlfn.XLOOKUP(Trainingsabschluss[[#This Row],[UserID]], Teilnehmende[UserID], Teilnehmende[Branche], "UserID nicht gefunden")</f>
        <v>IT und Technologie</v>
      </c>
      <c r="H224" t="str">
        <f>_xlfn.XLOOKUP(Trainingsabschluss[[#This Row],[UserID]], Teilnehmende[UserID], Teilnehmende[Bildungsabschluss], "UserID nicht gefunden")</f>
        <v>Bachelor</v>
      </c>
      <c r="I224" s="3">
        <f>_xlfn.XLOOKUP(Trainingsabschluss[[#This Row],[UserID]], Teilnehmende[UserID], Teilnehmende[Berufserfahrung])</f>
        <v>6</v>
      </c>
      <c r="J224" s="3" t="str" cm="1">
        <f t="array" ref="J22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24" s="11">
        <f>Trainingsabschluss[[#This Row],[Quiz_Frage1_Punkte]]/Max_Frage1</f>
        <v>1</v>
      </c>
      <c r="L224" s="11">
        <f>Trainingsabschluss[[#This Row],[Quiz_Frage2_Punkte]]/Max_Frage2</f>
        <v>0.7</v>
      </c>
      <c r="M224" s="11">
        <f>Trainingsabschluss[[#This Row],[Quiz_Frage3_Punkte]]/Max_Frage3</f>
        <v>0.8</v>
      </c>
      <c r="N224" s="11">
        <f>Trainingsabschluss[[#This Row],[Quiz_Frage4_Punkte]]/Max_Frage4</f>
        <v>0.5</v>
      </c>
      <c r="O224" s="11">
        <f>Trainingsabschluss[[#This Row],[Quiz_Frage5_Punkte]]/Max_Frage5</f>
        <v>0.5</v>
      </c>
      <c r="P224" s="2">
        <f>Trainingsabschluss[[#This Row],[Quiz_Frage1_Punkte]]+Trainingsabschluss[[#This Row],[Quiz_Frage2_Punkte]]+Trainingsabschluss[[#This Row],[Quiz_Frage3_Punkte]]+Trainingsabschluss[[#This Row],[Quiz_Frage4_Punkte]]+Trainingsabschluss[[#This Row],[Quiz_Frage5_Punkte]]</f>
        <v>16</v>
      </c>
      <c r="Q224" s="8">
        <f>Trainingsabschluss[[#This Row],[Quizergebnis]]/Max_Quizergebnis</f>
        <v>0.72727272727272729</v>
      </c>
      <c r="R224" t="str" cm="1">
        <f t="array" ref="R224">_xlfn.IFS(Trainingsabschluss[[#This Row],[Quizergebnis_Prozent]]&lt;0.5, "Nicht bestanden",
Trainingsabschluss[[#This Row],[Quizergebnis_Prozent]]&lt;0.65, "Bestanden",
Trainingsabschluss[[#This Row],[Quizergebnis_Prozent]]&lt;0.8, "Gut bestanden",
TRUE, "Sehr gut bestanden")</f>
        <v>Gut bestanden</v>
      </c>
      <c r="S224" s="3">
        <v>8</v>
      </c>
      <c r="T224" s="3" t="str" cm="1">
        <f t="array" ref="T224">_xlfn.IFS(Trainingsabschluss[[#This Row],[Training_Bewertung]]&gt;=9, "Promotor", Trainingsabschluss[[#This Row],[Training_Bewertung]]
&lt;=6, "Detraktor",
TRUE, "Passiv")</f>
        <v>Passiv</v>
      </c>
      <c r="W224"/>
    </row>
    <row r="225" spans="1:23" x14ac:dyDescent="0.3">
      <c r="A225" s="13" t="s">
        <v>379</v>
      </c>
      <c r="B225" s="2">
        <v>4</v>
      </c>
      <c r="C225" s="2">
        <v>5</v>
      </c>
      <c r="D225" s="2">
        <v>3</v>
      </c>
      <c r="E225" s="2">
        <v>3.5</v>
      </c>
      <c r="F225" s="2">
        <v>3</v>
      </c>
      <c r="G225" s="2" t="str">
        <f>_xlfn.XLOOKUP(Trainingsabschluss[[#This Row],[UserID]], Teilnehmende[UserID], Teilnehmende[Branche], "UserID nicht gefunden")</f>
        <v>IT und Technologie</v>
      </c>
      <c r="H225" t="str">
        <f>_xlfn.XLOOKUP(Trainingsabschluss[[#This Row],[UserID]], Teilnehmende[UserID], Teilnehmende[Bildungsabschluss], "UserID nicht gefunden")</f>
        <v>Bachelor</v>
      </c>
      <c r="I225" s="3">
        <f>_xlfn.XLOOKUP(Trainingsabschluss[[#This Row],[UserID]], Teilnehmende[UserID], Teilnehmende[Berufserfahrung])</f>
        <v>14</v>
      </c>
      <c r="J225" s="3" t="str" cm="1">
        <f t="array" ref="J22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25" s="11">
        <f>Trainingsabschluss[[#This Row],[Quiz_Frage1_Punkte]]/Max_Frage1</f>
        <v>0.8</v>
      </c>
      <c r="L225" s="11">
        <f>Trainingsabschluss[[#This Row],[Quiz_Frage2_Punkte]]/Max_Frage2</f>
        <v>1</v>
      </c>
      <c r="M225" s="11">
        <f>Trainingsabschluss[[#This Row],[Quiz_Frage3_Punkte]]/Max_Frage3</f>
        <v>0.6</v>
      </c>
      <c r="N225" s="11">
        <f>Trainingsabschluss[[#This Row],[Quiz_Frage4_Punkte]]/Max_Frage4</f>
        <v>0.875</v>
      </c>
      <c r="O225" s="11">
        <f>Trainingsabschluss[[#This Row],[Quiz_Frage5_Punkte]]/Max_Frage5</f>
        <v>1</v>
      </c>
      <c r="P225" s="2">
        <f>Trainingsabschluss[[#This Row],[Quiz_Frage1_Punkte]]+Trainingsabschluss[[#This Row],[Quiz_Frage2_Punkte]]+Trainingsabschluss[[#This Row],[Quiz_Frage3_Punkte]]+Trainingsabschluss[[#This Row],[Quiz_Frage4_Punkte]]+Trainingsabschluss[[#This Row],[Quiz_Frage5_Punkte]]</f>
        <v>18.5</v>
      </c>
      <c r="Q225" s="8">
        <f>Trainingsabschluss[[#This Row],[Quizergebnis]]/Max_Quizergebnis</f>
        <v>0.84090909090909094</v>
      </c>
      <c r="R225" t="str" cm="1">
        <f t="array" ref="R225">_xlfn.IFS(Trainingsabschluss[[#This Row],[Quizergebnis_Prozent]]&lt;0.5, "Nicht bestanden",
Trainingsabschluss[[#This Row],[Quizergebnis_Prozent]]&lt;0.65, "Bestanden",
Trainingsabschluss[[#This Row],[Quizergebnis_Prozent]]&lt;0.8, "Gut bestanden",
TRUE, "Sehr gut bestanden")</f>
        <v>Sehr gut bestanden</v>
      </c>
      <c r="S225" s="3">
        <v>8</v>
      </c>
      <c r="T225" s="3" t="str" cm="1">
        <f t="array" ref="T225">_xlfn.IFS(Trainingsabschluss[[#This Row],[Training_Bewertung]]&gt;=9, "Promotor", Trainingsabschluss[[#This Row],[Training_Bewertung]]
&lt;=6, "Detraktor",
TRUE, "Passiv")</f>
        <v>Passiv</v>
      </c>
      <c r="W225"/>
    </row>
    <row r="226" spans="1:23" x14ac:dyDescent="0.3">
      <c r="A226" s="13" t="s">
        <v>383</v>
      </c>
      <c r="B226" s="2">
        <v>2.5</v>
      </c>
      <c r="C226" s="2">
        <v>3.5</v>
      </c>
      <c r="D226" s="2">
        <v>1.5</v>
      </c>
      <c r="E226" s="2">
        <v>3</v>
      </c>
      <c r="F226" s="2">
        <v>3</v>
      </c>
      <c r="G226" s="2" t="str">
        <f>_xlfn.XLOOKUP(Trainingsabschluss[[#This Row],[UserID]], Teilnehmende[UserID], Teilnehmende[Branche], "UserID nicht gefunden")</f>
        <v>IT und Technologie</v>
      </c>
      <c r="H226" t="str">
        <f>_xlfn.XLOOKUP(Trainingsabschluss[[#This Row],[UserID]], Teilnehmende[UserID], Teilnehmende[Bildungsabschluss], "UserID nicht gefunden")</f>
        <v>Bachelor</v>
      </c>
      <c r="I226" s="3">
        <f>_xlfn.XLOOKUP(Trainingsabschluss[[#This Row],[UserID]], Teilnehmende[UserID], Teilnehmende[Berufserfahrung])</f>
        <v>9</v>
      </c>
      <c r="J226" s="3" t="str" cm="1">
        <f t="array" ref="J22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26" s="11">
        <f>Trainingsabschluss[[#This Row],[Quiz_Frage1_Punkte]]/Max_Frage1</f>
        <v>0.5</v>
      </c>
      <c r="L226" s="11">
        <f>Trainingsabschluss[[#This Row],[Quiz_Frage2_Punkte]]/Max_Frage2</f>
        <v>0.7</v>
      </c>
      <c r="M226" s="11">
        <f>Trainingsabschluss[[#This Row],[Quiz_Frage3_Punkte]]/Max_Frage3</f>
        <v>0.3</v>
      </c>
      <c r="N226" s="11">
        <f>Trainingsabschluss[[#This Row],[Quiz_Frage4_Punkte]]/Max_Frage4</f>
        <v>0.75</v>
      </c>
      <c r="O226" s="11">
        <f>Trainingsabschluss[[#This Row],[Quiz_Frage5_Punkte]]/Max_Frage5</f>
        <v>1</v>
      </c>
      <c r="P226" s="2">
        <f>Trainingsabschluss[[#This Row],[Quiz_Frage1_Punkte]]+Trainingsabschluss[[#This Row],[Quiz_Frage2_Punkte]]+Trainingsabschluss[[#This Row],[Quiz_Frage3_Punkte]]+Trainingsabschluss[[#This Row],[Quiz_Frage4_Punkte]]+Trainingsabschluss[[#This Row],[Quiz_Frage5_Punkte]]</f>
        <v>13.5</v>
      </c>
      <c r="Q226" s="8">
        <f>Trainingsabschluss[[#This Row],[Quizergebnis]]/Max_Quizergebnis</f>
        <v>0.61363636363636365</v>
      </c>
      <c r="R226" t="str" cm="1">
        <f t="array" ref="R226">_xlfn.IFS(Trainingsabschluss[[#This Row],[Quizergebnis_Prozent]]&lt;0.5, "Nicht bestanden",
Trainingsabschluss[[#This Row],[Quizergebnis_Prozent]]&lt;0.65, "Bestanden",
Trainingsabschluss[[#This Row],[Quizergebnis_Prozent]]&lt;0.8, "Gut bestanden",
TRUE, "Sehr gut bestanden")</f>
        <v>Bestanden</v>
      </c>
      <c r="S226" s="3">
        <v>8</v>
      </c>
      <c r="T226" s="3" t="str" cm="1">
        <f t="array" ref="T226">_xlfn.IFS(Trainingsabschluss[[#This Row],[Training_Bewertung]]&gt;=9, "Promotor", Trainingsabschluss[[#This Row],[Training_Bewertung]]
&lt;=6, "Detraktor",
TRUE, "Passiv")</f>
        <v>Passiv</v>
      </c>
      <c r="W226"/>
    </row>
    <row r="227" spans="1:23" x14ac:dyDescent="0.3">
      <c r="A227" s="13" t="s">
        <v>384</v>
      </c>
      <c r="B227" s="2">
        <v>5</v>
      </c>
      <c r="C227" s="2">
        <v>1</v>
      </c>
      <c r="D227" s="2">
        <v>1.5</v>
      </c>
      <c r="E227" s="2">
        <v>3</v>
      </c>
      <c r="F227" s="2">
        <v>1.5</v>
      </c>
      <c r="G227" s="2" t="str">
        <f>_xlfn.XLOOKUP(Trainingsabschluss[[#This Row],[UserID]], Teilnehmende[UserID], Teilnehmende[Branche], "UserID nicht gefunden")</f>
        <v>IT und Technologie</v>
      </c>
      <c r="H227" t="str">
        <f>_xlfn.XLOOKUP(Trainingsabschluss[[#This Row],[UserID]], Teilnehmende[UserID], Teilnehmende[Bildungsabschluss], "UserID nicht gefunden")</f>
        <v>Bachelor</v>
      </c>
      <c r="I227" s="3">
        <f>_xlfn.XLOOKUP(Trainingsabschluss[[#This Row],[UserID]], Teilnehmende[UserID], Teilnehmende[Berufserfahrung])</f>
        <v>12</v>
      </c>
      <c r="J227" s="3" t="str" cm="1">
        <f t="array" ref="J227">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27" s="11">
        <f>Trainingsabschluss[[#This Row],[Quiz_Frage1_Punkte]]/Max_Frage1</f>
        <v>1</v>
      </c>
      <c r="L227" s="11">
        <f>Trainingsabschluss[[#This Row],[Quiz_Frage2_Punkte]]/Max_Frage2</f>
        <v>0.2</v>
      </c>
      <c r="M227" s="11">
        <f>Trainingsabschluss[[#This Row],[Quiz_Frage3_Punkte]]/Max_Frage3</f>
        <v>0.3</v>
      </c>
      <c r="N227" s="11">
        <f>Trainingsabschluss[[#This Row],[Quiz_Frage4_Punkte]]/Max_Frage4</f>
        <v>0.75</v>
      </c>
      <c r="O227" s="11">
        <f>Trainingsabschluss[[#This Row],[Quiz_Frage5_Punkte]]/Max_Frage5</f>
        <v>0.5</v>
      </c>
      <c r="P227" s="2">
        <f>Trainingsabschluss[[#This Row],[Quiz_Frage1_Punkte]]+Trainingsabschluss[[#This Row],[Quiz_Frage2_Punkte]]+Trainingsabschluss[[#This Row],[Quiz_Frage3_Punkte]]+Trainingsabschluss[[#This Row],[Quiz_Frage4_Punkte]]+Trainingsabschluss[[#This Row],[Quiz_Frage5_Punkte]]</f>
        <v>12</v>
      </c>
      <c r="Q227" s="8">
        <f>Trainingsabschluss[[#This Row],[Quizergebnis]]/Max_Quizergebnis</f>
        <v>0.54545454545454541</v>
      </c>
      <c r="R227" t="str" cm="1">
        <f t="array" ref="R227">_xlfn.IFS(Trainingsabschluss[[#This Row],[Quizergebnis_Prozent]]&lt;0.5, "Nicht bestanden",
Trainingsabschluss[[#This Row],[Quizergebnis_Prozent]]&lt;0.65, "Bestanden",
Trainingsabschluss[[#This Row],[Quizergebnis_Prozent]]&lt;0.8, "Gut bestanden",
TRUE, "Sehr gut bestanden")</f>
        <v>Bestanden</v>
      </c>
      <c r="S227" s="3">
        <v>8</v>
      </c>
      <c r="T227" s="3" t="str" cm="1">
        <f t="array" ref="T227">_xlfn.IFS(Trainingsabschluss[[#This Row],[Training_Bewertung]]&gt;=9, "Promotor", Trainingsabschluss[[#This Row],[Training_Bewertung]]
&lt;=6, "Detraktor",
TRUE, "Passiv")</f>
        <v>Passiv</v>
      </c>
      <c r="W227"/>
    </row>
    <row r="228" spans="1:23" x14ac:dyDescent="0.3">
      <c r="A228" s="13" t="s">
        <v>385</v>
      </c>
      <c r="B228" s="2">
        <v>5</v>
      </c>
      <c r="C228" s="2">
        <v>3</v>
      </c>
      <c r="D228" s="2">
        <v>0.5</v>
      </c>
      <c r="E228" s="2">
        <v>3.5</v>
      </c>
      <c r="F228" s="2">
        <v>1.5</v>
      </c>
      <c r="G228" s="2" t="str">
        <f>_xlfn.XLOOKUP(Trainingsabschluss[[#This Row],[UserID]], Teilnehmende[UserID], Teilnehmende[Branche], "UserID nicht gefunden")</f>
        <v>IT und Technologie</v>
      </c>
      <c r="H228" t="str">
        <f>_xlfn.XLOOKUP(Trainingsabschluss[[#This Row],[UserID]], Teilnehmende[UserID], Teilnehmende[Bildungsabschluss], "UserID nicht gefunden")</f>
        <v>Bachelor</v>
      </c>
      <c r="I228" s="3">
        <f>_xlfn.XLOOKUP(Trainingsabschluss[[#This Row],[UserID]], Teilnehmende[UserID], Teilnehmende[Berufserfahrung])</f>
        <v>8</v>
      </c>
      <c r="J228" s="3" t="str" cm="1">
        <f t="array" ref="J22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28" s="11">
        <f>Trainingsabschluss[[#This Row],[Quiz_Frage1_Punkte]]/Max_Frage1</f>
        <v>1</v>
      </c>
      <c r="L228" s="11">
        <f>Trainingsabschluss[[#This Row],[Quiz_Frage2_Punkte]]/Max_Frage2</f>
        <v>0.6</v>
      </c>
      <c r="M228" s="11">
        <f>Trainingsabschluss[[#This Row],[Quiz_Frage3_Punkte]]/Max_Frage3</f>
        <v>0.1</v>
      </c>
      <c r="N228" s="11">
        <f>Trainingsabschluss[[#This Row],[Quiz_Frage4_Punkte]]/Max_Frage4</f>
        <v>0.875</v>
      </c>
      <c r="O228" s="11">
        <f>Trainingsabschluss[[#This Row],[Quiz_Frage5_Punkte]]/Max_Frage5</f>
        <v>0.5</v>
      </c>
      <c r="P228" s="2">
        <f>Trainingsabschluss[[#This Row],[Quiz_Frage1_Punkte]]+Trainingsabschluss[[#This Row],[Quiz_Frage2_Punkte]]+Trainingsabschluss[[#This Row],[Quiz_Frage3_Punkte]]+Trainingsabschluss[[#This Row],[Quiz_Frage4_Punkte]]+Trainingsabschluss[[#This Row],[Quiz_Frage5_Punkte]]</f>
        <v>13.5</v>
      </c>
      <c r="Q228" s="8">
        <f>Trainingsabschluss[[#This Row],[Quizergebnis]]/Max_Quizergebnis</f>
        <v>0.61363636363636365</v>
      </c>
      <c r="R228" t="str" cm="1">
        <f t="array" ref="R228">_xlfn.IFS(Trainingsabschluss[[#This Row],[Quizergebnis_Prozent]]&lt;0.5, "Nicht bestanden",
Trainingsabschluss[[#This Row],[Quizergebnis_Prozent]]&lt;0.65, "Bestanden",
Trainingsabschluss[[#This Row],[Quizergebnis_Prozent]]&lt;0.8, "Gut bestanden",
TRUE, "Sehr gut bestanden")</f>
        <v>Bestanden</v>
      </c>
      <c r="S228" s="3">
        <v>6</v>
      </c>
      <c r="T228" s="3" t="str" cm="1">
        <f t="array" ref="T228">_xlfn.IFS(Trainingsabschluss[[#This Row],[Training_Bewertung]]&gt;=9, "Promotor", Trainingsabschluss[[#This Row],[Training_Bewertung]]
&lt;=6, "Detraktor",
TRUE, "Passiv")</f>
        <v>Detraktor</v>
      </c>
      <c r="W228"/>
    </row>
    <row r="229" spans="1:23" x14ac:dyDescent="0.3">
      <c r="A229" s="13" t="s">
        <v>386</v>
      </c>
      <c r="B229" s="2">
        <v>3.5</v>
      </c>
      <c r="C229" s="2">
        <v>1</v>
      </c>
      <c r="D229" s="2">
        <v>1</v>
      </c>
      <c r="E229" s="2">
        <v>3</v>
      </c>
      <c r="F229" s="2">
        <v>2</v>
      </c>
      <c r="G229" s="2" t="str">
        <f>_xlfn.XLOOKUP(Trainingsabschluss[[#This Row],[UserID]], Teilnehmende[UserID], Teilnehmende[Branche], "UserID nicht gefunden")</f>
        <v>IT und Technologie</v>
      </c>
      <c r="H229" t="str">
        <f>_xlfn.XLOOKUP(Trainingsabschluss[[#This Row],[UserID]], Teilnehmende[UserID], Teilnehmende[Bildungsabschluss], "UserID nicht gefunden")</f>
        <v>Bachelor</v>
      </c>
      <c r="I229" s="3">
        <f>_xlfn.XLOOKUP(Trainingsabschluss[[#This Row],[UserID]], Teilnehmende[UserID], Teilnehmende[Berufserfahrung])</f>
        <v>3</v>
      </c>
      <c r="J229" s="3" t="str" cm="1">
        <f t="array" ref="J22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29" s="11">
        <f>Trainingsabschluss[[#This Row],[Quiz_Frage1_Punkte]]/Max_Frage1</f>
        <v>0.7</v>
      </c>
      <c r="L229" s="11">
        <f>Trainingsabschluss[[#This Row],[Quiz_Frage2_Punkte]]/Max_Frage2</f>
        <v>0.2</v>
      </c>
      <c r="M229" s="11">
        <f>Trainingsabschluss[[#This Row],[Quiz_Frage3_Punkte]]/Max_Frage3</f>
        <v>0.2</v>
      </c>
      <c r="N229" s="11">
        <f>Trainingsabschluss[[#This Row],[Quiz_Frage4_Punkte]]/Max_Frage4</f>
        <v>0.75</v>
      </c>
      <c r="O229" s="11">
        <f>Trainingsabschluss[[#This Row],[Quiz_Frage5_Punkte]]/Max_Frage5</f>
        <v>0.66666666666666663</v>
      </c>
      <c r="P229" s="2">
        <f>Trainingsabschluss[[#This Row],[Quiz_Frage1_Punkte]]+Trainingsabschluss[[#This Row],[Quiz_Frage2_Punkte]]+Trainingsabschluss[[#This Row],[Quiz_Frage3_Punkte]]+Trainingsabschluss[[#This Row],[Quiz_Frage4_Punkte]]+Trainingsabschluss[[#This Row],[Quiz_Frage5_Punkte]]</f>
        <v>10.5</v>
      </c>
      <c r="Q229" s="8">
        <f>Trainingsabschluss[[#This Row],[Quizergebnis]]/Max_Quizergebnis</f>
        <v>0.47727272727272729</v>
      </c>
      <c r="R229" t="str" cm="1">
        <f t="array" ref="R229">_xlfn.IFS(Trainingsabschluss[[#This Row],[Quizergebnis_Prozent]]&lt;0.5, "Nicht bestanden",
Trainingsabschluss[[#This Row],[Quizergebnis_Prozent]]&lt;0.65, "Bestanden",
Trainingsabschluss[[#This Row],[Quizergebnis_Prozent]]&lt;0.8, "Gut bestanden",
TRUE, "Sehr gut bestanden")</f>
        <v>Nicht bestanden</v>
      </c>
      <c r="S229" s="3">
        <v>4</v>
      </c>
      <c r="T229" s="3" t="str" cm="1">
        <f t="array" ref="T229">_xlfn.IFS(Trainingsabschluss[[#This Row],[Training_Bewertung]]&gt;=9, "Promotor", Trainingsabschluss[[#This Row],[Training_Bewertung]]
&lt;=6, "Detraktor",
TRUE, "Passiv")</f>
        <v>Detraktor</v>
      </c>
      <c r="W229"/>
    </row>
    <row r="230" spans="1:23" x14ac:dyDescent="0.3">
      <c r="A230" s="13" t="s">
        <v>387</v>
      </c>
      <c r="B230" s="2">
        <v>5</v>
      </c>
      <c r="C230" s="2">
        <v>3</v>
      </c>
      <c r="D230" s="2">
        <v>0</v>
      </c>
      <c r="E230" s="2">
        <v>1</v>
      </c>
      <c r="F230" s="2">
        <v>2</v>
      </c>
      <c r="G230" s="2" t="str">
        <f>_xlfn.XLOOKUP(Trainingsabschluss[[#This Row],[UserID]], Teilnehmende[UserID], Teilnehmende[Branche], "UserID nicht gefunden")</f>
        <v>IT und Technologie</v>
      </c>
      <c r="H230" t="str">
        <f>_xlfn.XLOOKUP(Trainingsabschluss[[#This Row],[UserID]], Teilnehmende[UserID], Teilnehmende[Bildungsabschluss], "UserID nicht gefunden")</f>
        <v>Bachelor</v>
      </c>
      <c r="I230" s="3">
        <f>_xlfn.XLOOKUP(Trainingsabschluss[[#This Row],[UserID]], Teilnehmende[UserID], Teilnehmende[Berufserfahrung])</f>
        <v>15</v>
      </c>
      <c r="J230" s="3" t="str" cm="1">
        <f t="array" ref="J230">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30" s="11">
        <f>Trainingsabschluss[[#This Row],[Quiz_Frage1_Punkte]]/Max_Frage1</f>
        <v>1</v>
      </c>
      <c r="L230" s="11">
        <f>Trainingsabschluss[[#This Row],[Quiz_Frage2_Punkte]]/Max_Frage2</f>
        <v>0.6</v>
      </c>
      <c r="M230" s="11">
        <f>Trainingsabschluss[[#This Row],[Quiz_Frage3_Punkte]]/Max_Frage3</f>
        <v>0</v>
      </c>
      <c r="N230" s="11">
        <f>Trainingsabschluss[[#This Row],[Quiz_Frage4_Punkte]]/Max_Frage4</f>
        <v>0.25</v>
      </c>
      <c r="O230" s="11">
        <f>Trainingsabschluss[[#This Row],[Quiz_Frage5_Punkte]]/Max_Frage5</f>
        <v>0.66666666666666663</v>
      </c>
      <c r="P230" s="2">
        <f>Trainingsabschluss[[#This Row],[Quiz_Frage1_Punkte]]+Trainingsabschluss[[#This Row],[Quiz_Frage2_Punkte]]+Trainingsabschluss[[#This Row],[Quiz_Frage3_Punkte]]+Trainingsabschluss[[#This Row],[Quiz_Frage4_Punkte]]+Trainingsabschluss[[#This Row],[Quiz_Frage5_Punkte]]</f>
        <v>11</v>
      </c>
      <c r="Q230" s="8">
        <f>Trainingsabschluss[[#This Row],[Quizergebnis]]/Max_Quizergebnis</f>
        <v>0.5</v>
      </c>
      <c r="R230" t="str" cm="1">
        <f t="array" ref="R230">_xlfn.IFS(Trainingsabschluss[[#This Row],[Quizergebnis_Prozent]]&lt;0.5, "Nicht bestanden",
Trainingsabschluss[[#This Row],[Quizergebnis_Prozent]]&lt;0.65, "Bestanden",
Trainingsabschluss[[#This Row],[Quizergebnis_Prozent]]&lt;0.8, "Gut bestanden",
TRUE, "Sehr gut bestanden")</f>
        <v>Bestanden</v>
      </c>
      <c r="S230" s="3">
        <v>6</v>
      </c>
      <c r="T230" s="3" t="str" cm="1">
        <f t="array" ref="T230">_xlfn.IFS(Trainingsabschluss[[#This Row],[Training_Bewertung]]&gt;=9, "Promotor", Trainingsabschluss[[#This Row],[Training_Bewertung]]
&lt;=6, "Detraktor",
TRUE, "Passiv")</f>
        <v>Detraktor</v>
      </c>
      <c r="W230"/>
    </row>
    <row r="231" spans="1:23" x14ac:dyDescent="0.3">
      <c r="A231" s="13" t="s">
        <v>389</v>
      </c>
      <c r="B231" s="2">
        <v>5</v>
      </c>
      <c r="C231" s="2">
        <v>3</v>
      </c>
      <c r="D231" s="2">
        <v>1.5</v>
      </c>
      <c r="E231" s="2">
        <v>2.5</v>
      </c>
      <c r="F231" s="2">
        <v>0</v>
      </c>
      <c r="G231" s="2" t="str">
        <f>_xlfn.XLOOKUP(Trainingsabschluss[[#This Row],[UserID]], Teilnehmende[UserID], Teilnehmende[Branche], "UserID nicht gefunden")</f>
        <v>IT und Technologie</v>
      </c>
      <c r="H231" t="str">
        <f>_xlfn.XLOOKUP(Trainingsabschluss[[#This Row],[UserID]], Teilnehmende[UserID], Teilnehmende[Bildungsabschluss], "UserID nicht gefunden")</f>
        <v>Bachelor</v>
      </c>
      <c r="I231" s="3">
        <f>_xlfn.XLOOKUP(Trainingsabschluss[[#This Row],[UserID]], Teilnehmende[UserID], Teilnehmende[Berufserfahrung])</f>
        <v>13</v>
      </c>
      <c r="J231" s="3" t="str" cm="1">
        <f t="array" ref="J23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31" s="11">
        <f>Trainingsabschluss[[#This Row],[Quiz_Frage1_Punkte]]/Max_Frage1</f>
        <v>1</v>
      </c>
      <c r="L231" s="11">
        <f>Trainingsabschluss[[#This Row],[Quiz_Frage2_Punkte]]/Max_Frage2</f>
        <v>0.6</v>
      </c>
      <c r="M231" s="11">
        <f>Trainingsabschluss[[#This Row],[Quiz_Frage3_Punkte]]/Max_Frage3</f>
        <v>0.3</v>
      </c>
      <c r="N231" s="11">
        <f>Trainingsabschluss[[#This Row],[Quiz_Frage4_Punkte]]/Max_Frage4</f>
        <v>0.625</v>
      </c>
      <c r="O231" s="11">
        <f>Trainingsabschluss[[#This Row],[Quiz_Frage5_Punkte]]/Max_Frage5</f>
        <v>0</v>
      </c>
      <c r="P231" s="2">
        <f>Trainingsabschluss[[#This Row],[Quiz_Frage1_Punkte]]+Trainingsabschluss[[#This Row],[Quiz_Frage2_Punkte]]+Trainingsabschluss[[#This Row],[Quiz_Frage3_Punkte]]+Trainingsabschluss[[#This Row],[Quiz_Frage4_Punkte]]+Trainingsabschluss[[#This Row],[Quiz_Frage5_Punkte]]</f>
        <v>12</v>
      </c>
      <c r="Q231" s="8">
        <f>Trainingsabschluss[[#This Row],[Quizergebnis]]/Max_Quizergebnis</f>
        <v>0.54545454545454541</v>
      </c>
      <c r="R231" t="str" cm="1">
        <f t="array" ref="R231">_xlfn.IFS(Trainingsabschluss[[#This Row],[Quizergebnis_Prozent]]&lt;0.5, "Nicht bestanden",
Trainingsabschluss[[#This Row],[Quizergebnis_Prozent]]&lt;0.65, "Bestanden",
Trainingsabschluss[[#This Row],[Quizergebnis_Prozent]]&lt;0.8, "Gut bestanden",
TRUE, "Sehr gut bestanden")</f>
        <v>Bestanden</v>
      </c>
      <c r="S231" s="3">
        <v>2</v>
      </c>
      <c r="T231" s="3" t="str" cm="1">
        <f t="array" ref="T231">_xlfn.IFS(Trainingsabschluss[[#This Row],[Training_Bewertung]]&gt;=9, "Promotor", Trainingsabschluss[[#This Row],[Training_Bewertung]]
&lt;=6, "Detraktor",
TRUE, "Passiv")</f>
        <v>Detraktor</v>
      </c>
      <c r="W231"/>
    </row>
    <row r="232" spans="1:23" x14ac:dyDescent="0.3">
      <c r="A232" s="13" t="s">
        <v>390</v>
      </c>
      <c r="B232" s="2">
        <v>5</v>
      </c>
      <c r="C232" s="2">
        <v>4</v>
      </c>
      <c r="D232" s="2">
        <v>1</v>
      </c>
      <c r="E232" s="2">
        <v>3.5</v>
      </c>
      <c r="F232" s="2">
        <v>0.5</v>
      </c>
      <c r="G232" s="2" t="str">
        <f>_xlfn.XLOOKUP(Trainingsabschluss[[#This Row],[UserID]], Teilnehmende[UserID], Teilnehmende[Branche], "UserID nicht gefunden")</f>
        <v>IT und Technologie</v>
      </c>
      <c r="H232" t="str">
        <f>_xlfn.XLOOKUP(Trainingsabschluss[[#This Row],[UserID]], Teilnehmende[UserID], Teilnehmende[Bildungsabschluss], "UserID nicht gefunden")</f>
        <v>Bachelor</v>
      </c>
      <c r="I232" s="3">
        <f>_xlfn.XLOOKUP(Trainingsabschluss[[#This Row],[UserID]], Teilnehmende[UserID], Teilnehmende[Berufserfahrung])</f>
        <v>12</v>
      </c>
      <c r="J232" s="3" t="str" cm="1">
        <f t="array" ref="J23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32" s="11">
        <f>Trainingsabschluss[[#This Row],[Quiz_Frage1_Punkte]]/Max_Frage1</f>
        <v>1</v>
      </c>
      <c r="L232" s="11">
        <f>Trainingsabschluss[[#This Row],[Quiz_Frage2_Punkte]]/Max_Frage2</f>
        <v>0.8</v>
      </c>
      <c r="M232" s="11">
        <f>Trainingsabschluss[[#This Row],[Quiz_Frage3_Punkte]]/Max_Frage3</f>
        <v>0.2</v>
      </c>
      <c r="N232" s="11">
        <f>Trainingsabschluss[[#This Row],[Quiz_Frage4_Punkte]]/Max_Frage4</f>
        <v>0.875</v>
      </c>
      <c r="O232" s="11">
        <f>Trainingsabschluss[[#This Row],[Quiz_Frage5_Punkte]]/Max_Frage5</f>
        <v>0.16666666666666666</v>
      </c>
      <c r="P232" s="2">
        <f>Trainingsabschluss[[#This Row],[Quiz_Frage1_Punkte]]+Trainingsabschluss[[#This Row],[Quiz_Frage2_Punkte]]+Trainingsabschluss[[#This Row],[Quiz_Frage3_Punkte]]+Trainingsabschluss[[#This Row],[Quiz_Frage4_Punkte]]+Trainingsabschluss[[#This Row],[Quiz_Frage5_Punkte]]</f>
        <v>14</v>
      </c>
      <c r="Q232" s="8">
        <f>Trainingsabschluss[[#This Row],[Quizergebnis]]/Max_Quizergebnis</f>
        <v>0.63636363636363635</v>
      </c>
      <c r="R232" t="str" cm="1">
        <f t="array" ref="R232">_xlfn.IFS(Trainingsabschluss[[#This Row],[Quizergebnis_Prozent]]&lt;0.5, "Nicht bestanden",
Trainingsabschluss[[#This Row],[Quizergebnis_Prozent]]&lt;0.65, "Bestanden",
Trainingsabschluss[[#This Row],[Quizergebnis_Prozent]]&lt;0.8, "Gut bestanden",
TRUE, "Sehr gut bestanden")</f>
        <v>Bestanden</v>
      </c>
      <c r="S232" s="3">
        <v>3</v>
      </c>
      <c r="T232" s="3" t="str" cm="1">
        <f t="array" ref="T232">_xlfn.IFS(Trainingsabschluss[[#This Row],[Training_Bewertung]]&gt;=9, "Promotor", Trainingsabschluss[[#This Row],[Training_Bewertung]]
&lt;=6, "Detraktor",
TRUE, "Passiv")</f>
        <v>Detraktor</v>
      </c>
      <c r="W232"/>
    </row>
    <row r="233" spans="1:23" x14ac:dyDescent="0.3">
      <c r="A233" s="13" t="s">
        <v>394</v>
      </c>
      <c r="B233" s="2">
        <v>5</v>
      </c>
      <c r="C233" s="2">
        <v>4</v>
      </c>
      <c r="D233" s="2">
        <v>1.5</v>
      </c>
      <c r="E233" s="2">
        <v>3.5</v>
      </c>
      <c r="F233" s="2">
        <v>1</v>
      </c>
      <c r="G233" s="2" t="str">
        <f>_xlfn.XLOOKUP(Trainingsabschluss[[#This Row],[UserID]], Teilnehmende[UserID], Teilnehmende[Branche], "UserID nicht gefunden")</f>
        <v>IT und Technologie</v>
      </c>
      <c r="H233" t="str">
        <f>_xlfn.XLOOKUP(Trainingsabschluss[[#This Row],[UserID]], Teilnehmende[UserID], Teilnehmende[Bildungsabschluss], "UserID nicht gefunden")</f>
        <v>Bachelor</v>
      </c>
      <c r="I233" s="3">
        <f>_xlfn.XLOOKUP(Trainingsabschluss[[#This Row],[UserID]], Teilnehmende[UserID], Teilnehmende[Berufserfahrung])</f>
        <v>11</v>
      </c>
      <c r="J233" s="3" t="str" cm="1">
        <f t="array" ref="J23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33" s="11">
        <f>Trainingsabschluss[[#This Row],[Quiz_Frage1_Punkte]]/Max_Frage1</f>
        <v>1</v>
      </c>
      <c r="L233" s="11">
        <f>Trainingsabschluss[[#This Row],[Quiz_Frage2_Punkte]]/Max_Frage2</f>
        <v>0.8</v>
      </c>
      <c r="M233" s="11">
        <f>Trainingsabschluss[[#This Row],[Quiz_Frage3_Punkte]]/Max_Frage3</f>
        <v>0.3</v>
      </c>
      <c r="N233" s="11">
        <f>Trainingsabschluss[[#This Row],[Quiz_Frage4_Punkte]]/Max_Frage4</f>
        <v>0.875</v>
      </c>
      <c r="O233" s="11">
        <f>Trainingsabschluss[[#This Row],[Quiz_Frage5_Punkte]]/Max_Frage5</f>
        <v>0.33333333333333331</v>
      </c>
      <c r="P233" s="2">
        <f>Trainingsabschluss[[#This Row],[Quiz_Frage1_Punkte]]+Trainingsabschluss[[#This Row],[Quiz_Frage2_Punkte]]+Trainingsabschluss[[#This Row],[Quiz_Frage3_Punkte]]+Trainingsabschluss[[#This Row],[Quiz_Frage4_Punkte]]+Trainingsabschluss[[#This Row],[Quiz_Frage5_Punkte]]</f>
        <v>15</v>
      </c>
      <c r="Q233" s="8">
        <f>Trainingsabschluss[[#This Row],[Quizergebnis]]/Max_Quizergebnis</f>
        <v>0.68181818181818177</v>
      </c>
      <c r="R233" t="str" cm="1">
        <f t="array" ref="R233">_xlfn.IFS(Trainingsabschluss[[#This Row],[Quizergebnis_Prozent]]&lt;0.5, "Nicht bestanden",
Trainingsabschluss[[#This Row],[Quizergebnis_Prozent]]&lt;0.65, "Bestanden",
Trainingsabschluss[[#This Row],[Quizergebnis_Prozent]]&lt;0.8, "Gut bestanden",
TRUE, "Sehr gut bestanden")</f>
        <v>Gut bestanden</v>
      </c>
      <c r="S233" s="3">
        <v>6</v>
      </c>
      <c r="T233" s="3" t="str" cm="1">
        <f t="array" ref="T233">_xlfn.IFS(Trainingsabschluss[[#This Row],[Training_Bewertung]]&gt;=9, "Promotor", Trainingsabschluss[[#This Row],[Training_Bewertung]]
&lt;=6, "Detraktor",
TRUE, "Passiv")</f>
        <v>Detraktor</v>
      </c>
      <c r="W233"/>
    </row>
    <row r="234" spans="1:23" x14ac:dyDescent="0.3">
      <c r="A234" s="13" t="s">
        <v>398</v>
      </c>
      <c r="B234" s="2">
        <v>5</v>
      </c>
      <c r="C234" s="2">
        <v>5</v>
      </c>
      <c r="D234" s="2">
        <v>2.5</v>
      </c>
      <c r="E234" s="2">
        <v>1.5</v>
      </c>
      <c r="F234" s="2">
        <v>0</v>
      </c>
      <c r="G234" s="2" t="str">
        <f>_xlfn.XLOOKUP(Trainingsabschluss[[#This Row],[UserID]], Teilnehmende[UserID], Teilnehmende[Branche], "UserID nicht gefunden")</f>
        <v>IT und Technologie</v>
      </c>
      <c r="H234" t="str">
        <f>_xlfn.XLOOKUP(Trainingsabschluss[[#This Row],[UserID]], Teilnehmende[UserID], Teilnehmende[Bildungsabschluss], "UserID nicht gefunden")</f>
        <v>Bachelor</v>
      </c>
      <c r="I234" s="3">
        <f>_xlfn.XLOOKUP(Trainingsabschluss[[#This Row],[UserID]], Teilnehmende[UserID], Teilnehmende[Berufserfahrung])</f>
        <v>3</v>
      </c>
      <c r="J234" s="3" t="str" cm="1">
        <f t="array" ref="J23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34" s="11">
        <f>Trainingsabschluss[[#This Row],[Quiz_Frage1_Punkte]]/Max_Frage1</f>
        <v>1</v>
      </c>
      <c r="L234" s="11">
        <f>Trainingsabschluss[[#This Row],[Quiz_Frage2_Punkte]]/Max_Frage2</f>
        <v>1</v>
      </c>
      <c r="M234" s="11">
        <f>Trainingsabschluss[[#This Row],[Quiz_Frage3_Punkte]]/Max_Frage3</f>
        <v>0.5</v>
      </c>
      <c r="N234" s="11">
        <f>Trainingsabschluss[[#This Row],[Quiz_Frage4_Punkte]]/Max_Frage4</f>
        <v>0.375</v>
      </c>
      <c r="O234" s="11">
        <f>Trainingsabschluss[[#This Row],[Quiz_Frage5_Punkte]]/Max_Frage5</f>
        <v>0</v>
      </c>
      <c r="P234" s="2">
        <f>Trainingsabschluss[[#This Row],[Quiz_Frage1_Punkte]]+Trainingsabschluss[[#This Row],[Quiz_Frage2_Punkte]]+Trainingsabschluss[[#This Row],[Quiz_Frage3_Punkte]]+Trainingsabschluss[[#This Row],[Quiz_Frage4_Punkte]]+Trainingsabschluss[[#This Row],[Quiz_Frage5_Punkte]]</f>
        <v>14</v>
      </c>
      <c r="Q234" s="8">
        <f>Trainingsabschluss[[#This Row],[Quizergebnis]]/Max_Quizergebnis</f>
        <v>0.63636363636363635</v>
      </c>
      <c r="R234" t="str" cm="1">
        <f t="array" ref="R234">_xlfn.IFS(Trainingsabschluss[[#This Row],[Quizergebnis_Prozent]]&lt;0.5, "Nicht bestanden",
Trainingsabschluss[[#This Row],[Quizergebnis_Prozent]]&lt;0.65, "Bestanden",
Trainingsabschluss[[#This Row],[Quizergebnis_Prozent]]&lt;0.8, "Gut bestanden",
TRUE, "Sehr gut bestanden")</f>
        <v>Bestanden</v>
      </c>
      <c r="S234" s="3">
        <v>7</v>
      </c>
      <c r="T234" s="3" t="str" cm="1">
        <f t="array" ref="T234">_xlfn.IFS(Trainingsabschluss[[#This Row],[Training_Bewertung]]&gt;=9, "Promotor", Trainingsabschluss[[#This Row],[Training_Bewertung]]
&lt;=6, "Detraktor",
TRUE, "Passiv")</f>
        <v>Passiv</v>
      </c>
      <c r="W234"/>
    </row>
    <row r="235" spans="1:23" x14ac:dyDescent="0.3">
      <c r="A235" s="13" t="s">
        <v>399</v>
      </c>
      <c r="B235" s="2">
        <v>5</v>
      </c>
      <c r="C235" s="2">
        <v>5</v>
      </c>
      <c r="D235" s="2">
        <v>5</v>
      </c>
      <c r="E235" s="2">
        <v>1</v>
      </c>
      <c r="F235" s="2">
        <v>0.5</v>
      </c>
      <c r="G235" s="2" t="str">
        <f>_xlfn.XLOOKUP(Trainingsabschluss[[#This Row],[UserID]], Teilnehmende[UserID], Teilnehmende[Branche], "UserID nicht gefunden")</f>
        <v>IT und Technologie</v>
      </c>
      <c r="H235" t="str">
        <f>_xlfn.XLOOKUP(Trainingsabschluss[[#This Row],[UserID]], Teilnehmende[UserID], Teilnehmende[Bildungsabschluss], "UserID nicht gefunden")</f>
        <v>Bachelor</v>
      </c>
      <c r="I235" s="3">
        <f>_xlfn.XLOOKUP(Trainingsabschluss[[#This Row],[UserID]], Teilnehmende[UserID], Teilnehmende[Berufserfahrung])</f>
        <v>8</v>
      </c>
      <c r="J235" s="3" t="str" cm="1">
        <f t="array" ref="J23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35" s="11">
        <f>Trainingsabschluss[[#This Row],[Quiz_Frage1_Punkte]]/Max_Frage1</f>
        <v>1</v>
      </c>
      <c r="L235" s="11">
        <f>Trainingsabschluss[[#This Row],[Quiz_Frage2_Punkte]]/Max_Frage2</f>
        <v>1</v>
      </c>
      <c r="M235" s="11">
        <f>Trainingsabschluss[[#This Row],[Quiz_Frage3_Punkte]]/Max_Frage3</f>
        <v>1</v>
      </c>
      <c r="N235" s="11">
        <f>Trainingsabschluss[[#This Row],[Quiz_Frage4_Punkte]]/Max_Frage4</f>
        <v>0.25</v>
      </c>
      <c r="O235" s="11">
        <f>Trainingsabschluss[[#This Row],[Quiz_Frage5_Punkte]]/Max_Frage5</f>
        <v>0.16666666666666666</v>
      </c>
      <c r="P235" s="2">
        <f>Trainingsabschluss[[#This Row],[Quiz_Frage1_Punkte]]+Trainingsabschluss[[#This Row],[Quiz_Frage2_Punkte]]+Trainingsabschluss[[#This Row],[Quiz_Frage3_Punkte]]+Trainingsabschluss[[#This Row],[Quiz_Frage4_Punkte]]+Trainingsabschluss[[#This Row],[Quiz_Frage5_Punkte]]</f>
        <v>16.5</v>
      </c>
      <c r="Q235" s="8">
        <f>Trainingsabschluss[[#This Row],[Quizergebnis]]/Max_Quizergebnis</f>
        <v>0.75</v>
      </c>
      <c r="R235" t="str" cm="1">
        <f t="array" ref="R235">_xlfn.IFS(Trainingsabschluss[[#This Row],[Quizergebnis_Prozent]]&lt;0.5, "Nicht bestanden",
Trainingsabschluss[[#This Row],[Quizergebnis_Prozent]]&lt;0.65, "Bestanden",
Trainingsabschluss[[#This Row],[Quizergebnis_Prozent]]&lt;0.8, "Gut bestanden",
TRUE, "Sehr gut bestanden")</f>
        <v>Gut bestanden</v>
      </c>
      <c r="S235" s="3">
        <v>7</v>
      </c>
      <c r="T235" s="3" t="str" cm="1">
        <f t="array" ref="T235">_xlfn.IFS(Trainingsabschluss[[#This Row],[Training_Bewertung]]&gt;=9, "Promotor", Trainingsabschluss[[#This Row],[Training_Bewertung]]
&lt;=6, "Detraktor",
TRUE, "Passiv")</f>
        <v>Passiv</v>
      </c>
      <c r="W235"/>
    </row>
    <row r="236" spans="1:23" x14ac:dyDescent="0.3">
      <c r="A236" s="13" t="s">
        <v>400</v>
      </c>
      <c r="B236" s="2">
        <v>4.5</v>
      </c>
      <c r="C236" s="2">
        <v>4.5</v>
      </c>
      <c r="D236" s="2">
        <v>3</v>
      </c>
      <c r="E236" s="2">
        <v>4</v>
      </c>
      <c r="F236" s="2">
        <v>3</v>
      </c>
      <c r="G236" s="2" t="str">
        <f>_xlfn.XLOOKUP(Trainingsabschluss[[#This Row],[UserID]], Teilnehmende[UserID], Teilnehmende[Branche], "UserID nicht gefunden")</f>
        <v>IT und Technologie</v>
      </c>
      <c r="H236" t="str">
        <f>_xlfn.XLOOKUP(Trainingsabschluss[[#This Row],[UserID]], Teilnehmende[UserID], Teilnehmende[Bildungsabschluss], "UserID nicht gefunden")</f>
        <v>Bachelor</v>
      </c>
      <c r="I236" s="3">
        <f>_xlfn.XLOOKUP(Trainingsabschluss[[#This Row],[UserID]], Teilnehmende[UserID], Teilnehmende[Berufserfahrung])</f>
        <v>8</v>
      </c>
      <c r="J236" s="3" t="str" cm="1">
        <f t="array" ref="J23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36" s="11">
        <f>Trainingsabschluss[[#This Row],[Quiz_Frage1_Punkte]]/Max_Frage1</f>
        <v>0.9</v>
      </c>
      <c r="L236" s="11">
        <f>Trainingsabschluss[[#This Row],[Quiz_Frage2_Punkte]]/Max_Frage2</f>
        <v>0.9</v>
      </c>
      <c r="M236" s="11">
        <f>Trainingsabschluss[[#This Row],[Quiz_Frage3_Punkte]]/Max_Frage3</f>
        <v>0.6</v>
      </c>
      <c r="N236" s="11">
        <f>Trainingsabschluss[[#This Row],[Quiz_Frage4_Punkte]]/Max_Frage4</f>
        <v>1</v>
      </c>
      <c r="O236" s="11">
        <f>Trainingsabschluss[[#This Row],[Quiz_Frage5_Punkte]]/Max_Frage5</f>
        <v>1</v>
      </c>
      <c r="P236" s="2">
        <f>Trainingsabschluss[[#This Row],[Quiz_Frage1_Punkte]]+Trainingsabschluss[[#This Row],[Quiz_Frage2_Punkte]]+Trainingsabschluss[[#This Row],[Quiz_Frage3_Punkte]]+Trainingsabschluss[[#This Row],[Quiz_Frage4_Punkte]]+Trainingsabschluss[[#This Row],[Quiz_Frage5_Punkte]]</f>
        <v>19</v>
      </c>
      <c r="Q236" s="8">
        <f>Trainingsabschluss[[#This Row],[Quizergebnis]]/Max_Quizergebnis</f>
        <v>0.86363636363636365</v>
      </c>
      <c r="R236" t="str" cm="1">
        <f t="array" ref="R236">_xlfn.IFS(Trainingsabschluss[[#This Row],[Quizergebnis_Prozent]]&lt;0.5, "Nicht bestanden",
Trainingsabschluss[[#This Row],[Quizergebnis_Prozent]]&lt;0.65, "Bestanden",
Trainingsabschluss[[#This Row],[Quizergebnis_Prozent]]&lt;0.8, "Gut bestanden",
TRUE, "Sehr gut bestanden")</f>
        <v>Sehr gut bestanden</v>
      </c>
      <c r="S236" s="3">
        <v>8</v>
      </c>
      <c r="T236" s="3" t="str" cm="1">
        <f t="array" ref="T236">_xlfn.IFS(Trainingsabschluss[[#This Row],[Training_Bewertung]]&gt;=9, "Promotor", Trainingsabschluss[[#This Row],[Training_Bewertung]]
&lt;=6, "Detraktor",
TRUE, "Passiv")</f>
        <v>Passiv</v>
      </c>
      <c r="W236"/>
    </row>
    <row r="237" spans="1:23" x14ac:dyDescent="0.3">
      <c r="A237" s="13" t="s">
        <v>403</v>
      </c>
      <c r="B237" s="2">
        <v>5</v>
      </c>
      <c r="C237" s="2">
        <v>4.5</v>
      </c>
      <c r="D237" s="2">
        <v>1.5</v>
      </c>
      <c r="E237" s="2">
        <v>4</v>
      </c>
      <c r="F237" s="2">
        <v>2</v>
      </c>
      <c r="G237" s="2" t="str">
        <f>_xlfn.XLOOKUP(Trainingsabschluss[[#This Row],[UserID]], Teilnehmende[UserID], Teilnehmende[Branche], "UserID nicht gefunden")</f>
        <v>IT und Technologie</v>
      </c>
      <c r="H237" t="str">
        <f>_xlfn.XLOOKUP(Trainingsabschluss[[#This Row],[UserID]], Teilnehmende[UserID], Teilnehmende[Bildungsabschluss], "UserID nicht gefunden")</f>
        <v>Bachelor</v>
      </c>
      <c r="I237" s="3">
        <f>_xlfn.XLOOKUP(Trainingsabschluss[[#This Row],[UserID]], Teilnehmende[UserID], Teilnehmende[Berufserfahrung])</f>
        <v>7</v>
      </c>
      <c r="J237" s="3" t="str" cm="1">
        <f t="array" ref="J23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37" s="11">
        <f>Trainingsabschluss[[#This Row],[Quiz_Frage1_Punkte]]/Max_Frage1</f>
        <v>1</v>
      </c>
      <c r="L237" s="11">
        <f>Trainingsabschluss[[#This Row],[Quiz_Frage2_Punkte]]/Max_Frage2</f>
        <v>0.9</v>
      </c>
      <c r="M237" s="11">
        <f>Trainingsabschluss[[#This Row],[Quiz_Frage3_Punkte]]/Max_Frage3</f>
        <v>0.3</v>
      </c>
      <c r="N237" s="11">
        <f>Trainingsabschluss[[#This Row],[Quiz_Frage4_Punkte]]/Max_Frage4</f>
        <v>1</v>
      </c>
      <c r="O237" s="11">
        <f>Trainingsabschluss[[#This Row],[Quiz_Frage5_Punkte]]/Max_Frage5</f>
        <v>0.66666666666666663</v>
      </c>
      <c r="P237" s="2">
        <f>Trainingsabschluss[[#This Row],[Quiz_Frage1_Punkte]]+Trainingsabschluss[[#This Row],[Quiz_Frage2_Punkte]]+Trainingsabschluss[[#This Row],[Quiz_Frage3_Punkte]]+Trainingsabschluss[[#This Row],[Quiz_Frage4_Punkte]]+Trainingsabschluss[[#This Row],[Quiz_Frage5_Punkte]]</f>
        <v>17</v>
      </c>
      <c r="Q237" s="8">
        <f>Trainingsabschluss[[#This Row],[Quizergebnis]]/Max_Quizergebnis</f>
        <v>0.77272727272727271</v>
      </c>
      <c r="R237" t="str" cm="1">
        <f t="array" ref="R237">_xlfn.IFS(Trainingsabschluss[[#This Row],[Quizergebnis_Prozent]]&lt;0.5, "Nicht bestanden",
Trainingsabschluss[[#This Row],[Quizergebnis_Prozent]]&lt;0.65, "Bestanden",
Trainingsabschluss[[#This Row],[Quizergebnis_Prozent]]&lt;0.8, "Gut bestanden",
TRUE, "Sehr gut bestanden")</f>
        <v>Gut bestanden</v>
      </c>
      <c r="S237" s="3">
        <v>8</v>
      </c>
      <c r="T237" s="3" t="str" cm="1">
        <f t="array" ref="T237">_xlfn.IFS(Trainingsabschluss[[#This Row],[Training_Bewertung]]&gt;=9, "Promotor", Trainingsabschluss[[#This Row],[Training_Bewertung]]
&lt;=6, "Detraktor",
TRUE, "Passiv")</f>
        <v>Passiv</v>
      </c>
      <c r="W237"/>
    </row>
    <row r="238" spans="1:23" x14ac:dyDescent="0.3">
      <c r="A238" s="13" t="s">
        <v>405</v>
      </c>
      <c r="B238" s="2">
        <v>4.5</v>
      </c>
      <c r="C238" s="2">
        <v>4</v>
      </c>
      <c r="D238" s="2">
        <v>2.5</v>
      </c>
      <c r="E238" s="2">
        <v>0</v>
      </c>
      <c r="F238" s="2">
        <v>1</v>
      </c>
      <c r="G238" s="2" t="str">
        <f>_xlfn.XLOOKUP(Trainingsabschluss[[#This Row],[UserID]], Teilnehmende[UserID], Teilnehmende[Branche], "UserID nicht gefunden")</f>
        <v>IT und Technologie</v>
      </c>
      <c r="H238" t="str">
        <f>_xlfn.XLOOKUP(Trainingsabschluss[[#This Row],[UserID]], Teilnehmende[UserID], Teilnehmende[Bildungsabschluss], "UserID nicht gefunden")</f>
        <v>Bachelor</v>
      </c>
      <c r="I238" s="3">
        <f>_xlfn.XLOOKUP(Trainingsabschluss[[#This Row],[UserID]], Teilnehmende[UserID], Teilnehmende[Berufserfahrung])</f>
        <v>2</v>
      </c>
      <c r="J238" s="3" t="str" cm="1">
        <f t="array" ref="J23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38" s="11">
        <f>Trainingsabschluss[[#This Row],[Quiz_Frage1_Punkte]]/Max_Frage1</f>
        <v>0.9</v>
      </c>
      <c r="L238" s="11">
        <f>Trainingsabschluss[[#This Row],[Quiz_Frage2_Punkte]]/Max_Frage2</f>
        <v>0.8</v>
      </c>
      <c r="M238" s="11">
        <f>Trainingsabschluss[[#This Row],[Quiz_Frage3_Punkte]]/Max_Frage3</f>
        <v>0.5</v>
      </c>
      <c r="N238" s="11">
        <f>Trainingsabschluss[[#This Row],[Quiz_Frage4_Punkte]]/Max_Frage4</f>
        <v>0</v>
      </c>
      <c r="O238" s="11">
        <f>Trainingsabschluss[[#This Row],[Quiz_Frage5_Punkte]]/Max_Frage5</f>
        <v>0.33333333333333331</v>
      </c>
      <c r="P238" s="2">
        <f>Trainingsabschluss[[#This Row],[Quiz_Frage1_Punkte]]+Trainingsabschluss[[#This Row],[Quiz_Frage2_Punkte]]+Trainingsabschluss[[#This Row],[Quiz_Frage3_Punkte]]+Trainingsabschluss[[#This Row],[Quiz_Frage4_Punkte]]+Trainingsabschluss[[#This Row],[Quiz_Frage5_Punkte]]</f>
        <v>12</v>
      </c>
      <c r="Q238" s="8">
        <f>Trainingsabschluss[[#This Row],[Quizergebnis]]/Max_Quizergebnis</f>
        <v>0.54545454545454541</v>
      </c>
      <c r="R238" t="str" cm="1">
        <f t="array" ref="R238">_xlfn.IFS(Trainingsabschluss[[#This Row],[Quizergebnis_Prozent]]&lt;0.5, "Nicht bestanden",
Trainingsabschluss[[#This Row],[Quizergebnis_Prozent]]&lt;0.65, "Bestanden",
Trainingsabschluss[[#This Row],[Quizergebnis_Prozent]]&lt;0.8, "Gut bestanden",
TRUE, "Sehr gut bestanden")</f>
        <v>Bestanden</v>
      </c>
      <c r="S238" s="3">
        <v>8</v>
      </c>
      <c r="T238" s="3" t="str" cm="1">
        <f t="array" ref="T238">_xlfn.IFS(Trainingsabschluss[[#This Row],[Training_Bewertung]]&gt;=9, "Promotor", Trainingsabschluss[[#This Row],[Training_Bewertung]]
&lt;=6, "Detraktor",
TRUE, "Passiv")</f>
        <v>Passiv</v>
      </c>
      <c r="W238"/>
    </row>
    <row r="239" spans="1:23" x14ac:dyDescent="0.3">
      <c r="A239" s="13" t="s">
        <v>406</v>
      </c>
      <c r="B239" s="2">
        <v>5</v>
      </c>
      <c r="C239" s="2">
        <v>4.5</v>
      </c>
      <c r="D239" s="2">
        <v>3</v>
      </c>
      <c r="E239" s="2">
        <v>3</v>
      </c>
      <c r="F239" s="2">
        <v>0</v>
      </c>
      <c r="G239" s="2" t="str">
        <f>_xlfn.XLOOKUP(Trainingsabschluss[[#This Row],[UserID]], Teilnehmende[UserID], Teilnehmende[Branche], "UserID nicht gefunden")</f>
        <v>IT und Technologie</v>
      </c>
      <c r="H239" t="str">
        <f>_xlfn.XLOOKUP(Trainingsabschluss[[#This Row],[UserID]], Teilnehmende[UserID], Teilnehmende[Bildungsabschluss], "UserID nicht gefunden")</f>
        <v>Bachelor</v>
      </c>
      <c r="I239" s="3">
        <f>_xlfn.XLOOKUP(Trainingsabschluss[[#This Row],[UserID]], Teilnehmende[UserID], Teilnehmende[Berufserfahrung])</f>
        <v>2</v>
      </c>
      <c r="J239" s="3" t="str" cm="1">
        <f t="array" ref="J23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39" s="11">
        <f>Trainingsabschluss[[#This Row],[Quiz_Frage1_Punkte]]/Max_Frage1</f>
        <v>1</v>
      </c>
      <c r="L239" s="11">
        <f>Trainingsabschluss[[#This Row],[Quiz_Frage2_Punkte]]/Max_Frage2</f>
        <v>0.9</v>
      </c>
      <c r="M239" s="11">
        <f>Trainingsabschluss[[#This Row],[Quiz_Frage3_Punkte]]/Max_Frage3</f>
        <v>0.6</v>
      </c>
      <c r="N239" s="11">
        <f>Trainingsabschluss[[#This Row],[Quiz_Frage4_Punkte]]/Max_Frage4</f>
        <v>0.75</v>
      </c>
      <c r="O239" s="11">
        <f>Trainingsabschluss[[#This Row],[Quiz_Frage5_Punkte]]/Max_Frage5</f>
        <v>0</v>
      </c>
      <c r="P239" s="2">
        <f>Trainingsabschluss[[#This Row],[Quiz_Frage1_Punkte]]+Trainingsabschluss[[#This Row],[Quiz_Frage2_Punkte]]+Trainingsabschluss[[#This Row],[Quiz_Frage3_Punkte]]+Trainingsabschluss[[#This Row],[Quiz_Frage4_Punkte]]+Trainingsabschluss[[#This Row],[Quiz_Frage5_Punkte]]</f>
        <v>15.5</v>
      </c>
      <c r="Q239" s="8">
        <f>Trainingsabschluss[[#This Row],[Quizergebnis]]/Max_Quizergebnis</f>
        <v>0.70454545454545459</v>
      </c>
      <c r="R239" t="str" cm="1">
        <f t="array" ref="R239">_xlfn.IFS(Trainingsabschluss[[#This Row],[Quizergebnis_Prozent]]&lt;0.5, "Nicht bestanden",
Trainingsabschluss[[#This Row],[Quizergebnis_Prozent]]&lt;0.65, "Bestanden",
Trainingsabschluss[[#This Row],[Quizergebnis_Prozent]]&lt;0.8, "Gut bestanden",
TRUE, "Sehr gut bestanden")</f>
        <v>Gut bestanden</v>
      </c>
      <c r="S239" s="3">
        <v>7</v>
      </c>
      <c r="T239" s="3" t="str" cm="1">
        <f t="array" ref="T239">_xlfn.IFS(Trainingsabschluss[[#This Row],[Training_Bewertung]]&gt;=9, "Promotor", Trainingsabschluss[[#This Row],[Training_Bewertung]]
&lt;=6, "Detraktor",
TRUE, "Passiv")</f>
        <v>Passiv</v>
      </c>
      <c r="W239"/>
    </row>
    <row r="240" spans="1:23" x14ac:dyDescent="0.3">
      <c r="A240" s="13" t="s">
        <v>408</v>
      </c>
      <c r="B240" s="2">
        <v>4.5</v>
      </c>
      <c r="C240" s="2">
        <v>4</v>
      </c>
      <c r="D240" s="2">
        <v>3.5</v>
      </c>
      <c r="E240" s="2">
        <v>4</v>
      </c>
      <c r="F240" s="2">
        <v>0.5</v>
      </c>
      <c r="G240" s="2" t="str">
        <f>_xlfn.XLOOKUP(Trainingsabschluss[[#This Row],[UserID]], Teilnehmende[UserID], Teilnehmende[Branche], "UserID nicht gefunden")</f>
        <v>IT und Technologie</v>
      </c>
      <c r="H240" t="str">
        <f>_xlfn.XLOOKUP(Trainingsabschluss[[#This Row],[UserID]], Teilnehmende[UserID], Teilnehmende[Bildungsabschluss], "UserID nicht gefunden")</f>
        <v>Bachelor</v>
      </c>
      <c r="I240" s="3">
        <f>_xlfn.XLOOKUP(Trainingsabschluss[[#This Row],[UserID]], Teilnehmende[UserID], Teilnehmende[Berufserfahrung])</f>
        <v>10</v>
      </c>
      <c r="J240" s="3" t="str" cm="1">
        <f t="array" ref="J240">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40" s="11">
        <f>Trainingsabschluss[[#This Row],[Quiz_Frage1_Punkte]]/Max_Frage1</f>
        <v>0.9</v>
      </c>
      <c r="L240" s="11">
        <f>Trainingsabschluss[[#This Row],[Quiz_Frage2_Punkte]]/Max_Frage2</f>
        <v>0.8</v>
      </c>
      <c r="M240" s="11">
        <f>Trainingsabschluss[[#This Row],[Quiz_Frage3_Punkte]]/Max_Frage3</f>
        <v>0.7</v>
      </c>
      <c r="N240" s="11">
        <f>Trainingsabschluss[[#This Row],[Quiz_Frage4_Punkte]]/Max_Frage4</f>
        <v>1</v>
      </c>
      <c r="O240" s="11">
        <f>Trainingsabschluss[[#This Row],[Quiz_Frage5_Punkte]]/Max_Frage5</f>
        <v>0.16666666666666666</v>
      </c>
      <c r="P240" s="2">
        <f>Trainingsabschluss[[#This Row],[Quiz_Frage1_Punkte]]+Trainingsabschluss[[#This Row],[Quiz_Frage2_Punkte]]+Trainingsabschluss[[#This Row],[Quiz_Frage3_Punkte]]+Trainingsabschluss[[#This Row],[Quiz_Frage4_Punkte]]+Trainingsabschluss[[#This Row],[Quiz_Frage5_Punkte]]</f>
        <v>16.5</v>
      </c>
      <c r="Q240" s="8">
        <f>Trainingsabschluss[[#This Row],[Quizergebnis]]/Max_Quizergebnis</f>
        <v>0.75</v>
      </c>
      <c r="R240" t="str" cm="1">
        <f t="array" ref="R240">_xlfn.IFS(Trainingsabschluss[[#This Row],[Quizergebnis_Prozent]]&lt;0.5, "Nicht bestanden",
Trainingsabschluss[[#This Row],[Quizergebnis_Prozent]]&lt;0.65, "Bestanden",
Trainingsabschluss[[#This Row],[Quizergebnis_Prozent]]&lt;0.8, "Gut bestanden",
TRUE, "Sehr gut bestanden")</f>
        <v>Gut bestanden</v>
      </c>
      <c r="S240" s="3">
        <v>7</v>
      </c>
      <c r="T240" s="3" t="str" cm="1">
        <f t="array" ref="T240">_xlfn.IFS(Trainingsabschluss[[#This Row],[Training_Bewertung]]&gt;=9, "Promotor", Trainingsabschluss[[#This Row],[Training_Bewertung]]
&lt;=6, "Detraktor",
TRUE, "Passiv")</f>
        <v>Passiv</v>
      </c>
      <c r="W240"/>
    </row>
    <row r="241" spans="1:23" x14ac:dyDescent="0.3">
      <c r="A241" s="13" t="s">
        <v>409</v>
      </c>
      <c r="B241" s="2">
        <v>5</v>
      </c>
      <c r="C241" s="2">
        <v>2.5</v>
      </c>
      <c r="D241" s="2">
        <v>2</v>
      </c>
      <c r="E241" s="2">
        <v>4</v>
      </c>
      <c r="F241" s="2">
        <v>1</v>
      </c>
      <c r="G241" s="2" t="str">
        <f>_xlfn.XLOOKUP(Trainingsabschluss[[#This Row],[UserID]], Teilnehmende[UserID], Teilnehmende[Branche], "UserID nicht gefunden")</f>
        <v>IT und Technologie</v>
      </c>
      <c r="H241" t="str">
        <f>_xlfn.XLOOKUP(Trainingsabschluss[[#This Row],[UserID]], Teilnehmende[UserID], Teilnehmende[Bildungsabschluss], "UserID nicht gefunden")</f>
        <v>Bachelor</v>
      </c>
      <c r="I241" s="3">
        <f>_xlfn.XLOOKUP(Trainingsabschluss[[#This Row],[UserID]], Teilnehmende[UserID], Teilnehmende[Berufserfahrung])</f>
        <v>6</v>
      </c>
      <c r="J241" s="3" t="str" cm="1">
        <f t="array" ref="J24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41" s="11">
        <f>Trainingsabschluss[[#This Row],[Quiz_Frage1_Punkte]]/Max_Frage1</f>
        <v>1</v>
      </c>
      <c r="L241" s="11">
        <f>Trainingsabschluss[[#This Row],[Quiz_Frage2_Punkte]]/Max_Frage2</f>
        <v>0.5</v>
      </c>
      <c r="M241" s="11">
        <f>Trainingsabschluss[[#This Row],[Quiz_Frage3_Punkte]]/Max_Frage3</f>
        <v>0.4</v>
      </c>
      <c r="N241" s="11">
        <f>Trainingsabschluss[[#This Row],[Quiz_Frage4_Punkte]]/Max_Frage4</f>
        <v>1</v>
      </c>
      <c r="O241" s="11">
        <f>Trainingsabschluss[[#This Row],[Quiz_Frage5_Punkte]]/Max_Frage5</f>
        <v>0.33333333333333331</v>
      </c>
      <c r="P241" s="2">
        <f>Trainingsabschluss[[#This Row],[Quiz_Frage1_Punkte]]+Trainingsabschluss[[#This Row],[Quiz_Frage2_Punkte]]+Trainingsabschluss[[#This Row],[Quiz_Frage3_Punkte]]+Trainingsabschluss[[#This Row],[Quiz_Frage4_Punkte]]+Trainingsabschluss[[#This Row],[Quiz_Frage5_Punkte]]</f>
        <v>14.5</v>
      </c>
      <c r="Q241" s="8">
        <f>Trainingsabschluss[[#This Row],[Quizergebnis]]/Max_Quizergebnis</f>
        <v>0.65909090909090906</v>
      </c>
      <c r="R241" t="str" cm="1">
        <f t="array" ref="R241">_xlfn.IFS(Trainingsabschluss[[#This Row],[Quizergebnis_Prozent]]&lt;0.5, "Nicht bestanden",
Trainingsabschluss[[#This Row],[Quizergebnis_Prozent]]&lt;0.65, "Bestanden",
Trainingsabschluss[[#This Row],[Quizergebnis_Prozent]]&lt;0.8, "Gut bestanden",
TRUE, "Sehr gut bestanden")</f>
        <v>Gut bestanden</v>
      </c>
      <c r="S241" s="3">
        <v>7</v>
      </c>
      <c r="T241" s="3" t="str" cm="1">
        <f t="array" ref="T241">_xlfn.IFS(Trainingsabschluss[[#This Row],[Training_Bewertung]]&gt;=9, "Promotor", Trainingsabschluss[[#This Row],[Training_Bewertung]]
&lt;=6, "Detraktor",
TRUE, "Passiv")</f>
        <v>Passiv</v>
      </c>
      <c r="W241"/>
    </row>
    <row r="242" spans="1:23" x14ac:dyDescent="0.3">
      <c r="A242" s="13" t="s">
        <v>415</v>
      </c>
      <c r="B242" s="2">
        <v>3.5</v>
      </c>
      <c r="C242" s="2">
        <v>4.5</v>
      </c>
      <c r="D242" s="2">
        <v>2.5</v>
      </c>
      <c r="E242" s="2">
        <v>4</v>
      </c>
      <c r="F242" s="2">
        <v>2</v>
      </c>
      <c r="G242" s="2" t="str">
        <f>_xlfn.XLOOKUP(Trainingsabschluss[[#This Row],[UserID]], Teilnehmende[UserID], Teilnehmende[Branche], "UserID nicht gefunden")</f>
        <v>IT und Technologie</v>
      </c>
      <c r="H242" t="str">
        <f>_xlfn.XLOOKUP(Trainingsabschluss[[#This Row],[UserID]], Teilnehmende[UserID], Teilnehmende[Bildungsabschluss], "UserID nicht gefunden")</f>
        <v>Bachelor</v>
      </c>
      <c r="I242" s="3">
        <f>_xlfn.XLOOKUP(Trainingsabschluss[[#This Row],[UserID]], Teilnehmende[UserID], Teilnehmende[Berufserfahrung])</f>
        <v>17</v>
      </c>
      <c r="J242" s="3" t="str" cm="1">
        <f t="array" ref="J242">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42" s="11">
        <f>Trainingsabschluss[[#This Row],[Quiz_Frage1_Punkte]]/Max_Frage1</f>
        <v>0.7</v>
      </c>
      <c r="L242" s="11">
        <f>Trainingsabschluss[[#This Row],[Quiz_Frage2_Punkte]]/Max_Frage2</f>
        <v>0.9</v>
      </c>
      <c r="M242" s="11">
        <f>Trainingsabschluss[[#This Row],[Quiz_Frage3_Punkte]]/Max_Frage3</f>
        <v>0.5</v>
      </c>
      <c r="N242" s="11">
        <f>Trainingsabschluss[[#This Row],[Quiz_Frage4_Punkte]]/Max_Frage4</f>
        <v>1</v>
      </c>
      <c r="O242" s="11">
        <f>Trainingsabschluss[[#This Row],[Quiz_Frage5_Punkte]]/Max_Frage5</f>
        <v>0.66666666666666663</v>
      </c>
      <c r="P242" s="2">
        <f>Trainingsabschluss[[#This Row],[Quiz_Frage1_Punkte]]+Trainingsabschluss[[#This Row],[Quiz_Frage2_Punkte]]+Trainingsabschluss[[#This Row],[Quiz_Frage3_Punkte]]+Trainingsabschluss[[#This Row],[Quiz_Frage4_Punkte]]+Trainingsabschluss[[#This Row],[Quiz_Frage5_Punkte]]</f>
        <v>16.5</v>
      </c>
      <c r="Q242" s="8">
        <f>Trainingsabschluss[[#This Row],[Quizergebnis]]/Max_Quizergebnis</f>
        <v>0.75</v>
      </c>
      <c r="R242" t="str" cm="1">
        <f t="array" ref="R242">_xlfn.IFS(Trainingsabschluss[[#This Row],[Quizergebnis_Prozent]]&lt;0.5, "Nicht bestanden",
Trainingsabschluss[[#This Row],[Quizergebnis_Prozent]]&lt;0.65, "Bestanden",
Trainingsabschluss[[#This Row],[Quizergebnis_Prozent]]&lt;0.8, "Gut bestanden",
TRUE, "Sehr gut bestanden")</f>
        <v>Gut bestanden</v>
      </c>
      <c r="S242" s="3">
        <v>8</v>
      </c>
      <c r="T242" s="3" t="str" cm="1">
        <f t="array" ref="T242">_xlfn.IFS(Trainingsabschluss[[#This Row],[Training_Bewertung]]&gt;=9, "Promotor", Trainingsabschluss[[#This Row],[Training_Bewertung]]
&lt;=6, "Detraktor",
TRUE, "Passiv")</f>
        <v>Passiv</v>
      </c>
      <c r="W242"/>
    </row>
    <row r="243" spans="1:23" x14ac:dyDescent="0.3">
      <c r="A243" s="13" t="s">
        <v>417</v>
      </c>
      <c r="B243" s="2">
        <v>4</v>
      </c>
      <c r="C243" s="2">
        <v>3</v>
      </c>
      <c r="D243" s="2">
        <v>4</v>
      </c>
      <c r="E243" s="2">
        <v>2.5</v>
      </c>
      <c r="F243" s="2">
        <v>2.5</v>
      </c>
      <c r="G243" s="2" t="str">
        <f>_xlfn.XLOOKUP(Trainingsabschluss[[#This Row],[UserID]], Teilnehmende[UserID], Teilnehmende[Branche], "UserID nicht gefunden")</f>
        <v>IT und Technologie</v>
      </c>
      <c r="H243" t="str">
        <f>_xlfn.XLOOKUP(Trainingsabschluss[[#This Row],[UserID]], Teilnehmende[UserID], Teilnehmende[Bildungsabschluss], "UserID nicht gefunden")</f>
        <v>Bachelor</v>
      </c>
      <c r="I243" s="3">
        <f>_xlfn.XLOOKUP(Trainingsabschluss[[#This Row],[UserID]], Teilnehmende[UserID], Teilnehmende[Berufserfahrung])</f>
        <v>10</v>
      </c>
      <c r="J243" s="3" t="str" cm="1">
        <f t="array" ref="J24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43" s="11">
        <f>Trainingsabschluss[[#This Row],[Quiz_Frage1_Punkte]]/Max_Frage1</f>
        <v>0.8</v>
      </c>
      <c r="L243" s="11">
        <f>Trainingsabschluss[[#This Row],[Quiz_Frage2_Punkte]]/Max_Frage2</f>
        <v>0.6</v>
      </c>
      <c r="M243" s="11">
        <f>Trainingsabschluss[[#This Row],[Quiz_Frage3_Punkte]]/Max_Frage3</f>
        <v>0.8</v>
      </c>
      <c r="N243" s="11">
        <f>Trainingsabschluss[[#This Row],[Quiz_Frage4_Punkte]]/Max_Frage4</f>
        <v>0.625</v>
      </c>
      <c r="O243" s="11">
        <f>Trainingsabschluss[[#This Row],[Quiz_Frage5_Punkte]]/Max_Frage5</f>
        <v>0.83333333333333337</v>
      </c>
      <c r="P243" s="2">
        <f>Trainingsabschluss[[#This Row],[Quiz_Frage1_Punkte]]+Trainingsabschluss[[#This Row],[Quiz_Frage2_Punkte]]+Trainingsabschluss[[#This Row],[Quiz_Frage3_Punkte]]+Trainingsabschluss[[#This Row],[Quiz_Frage4_Punkte]]+Trainingsabschluss[[#This Row],[Quiz_Frage5_Punkte]]</f>
        <v>16</v>
      </c>
      <c r="Q243" s="8">
        <f>Trainingsabschluss[[#This Row],[Quizergebnis]]/Max_Quizergebnis</f>
        <v>0.72727272727272729</v>
      </c>
      <c r="R243" t="str" cm="1">
        <f t="array" ref="R243">_xlfn.IFS(Trainingsabschluss[[#This Row],[Quizergebnis_Prozent]]&lt;0.5, "Nicht bestanden",
Trainingsabschluss[[#This Row],[Quizergebnis_Prozent]]&lt;0.65, "Bestanden",
Trainingsabschluss[[#This Row],[Quizergebnis_Prozent]]&lt;0.8, "Gut bestanden",
TRUE, "Sehr gut bestanden")</f>
        <v>Gut bestanden</v>
      </c>
      <c r="S243" s="3">
        <v>9</v>
      </c>
      <c r="T243" s="3" t="str" cm="1">
        <f t="array" ref="T243">_xlfn.IFS(Trainingsabschluss[[#This Row],[Training_Bewertung]]&gt;=9, "Promotor", Trainingsabschluss[[#This Row],[Training_Bewertung]]
&lt;=6, "Detraktor",
TRUE, "Passiv")</f>
        <v>Promotor</v>
      </c>
      <c r="W243"/>
    </row>
    <row r="244" spans="1:23" x14ac:dyDescent="0.3">
      <c r="A244" s="13" t="s">
        <v>418</v>
      </c>
      <c r="B244" s="2">
        <v>5</v>
      </c>
      <c r="C244" s="2">
        <v>3.5</v>
      </c>
      <c r="D244" s="2">
        <v>3</v>
      </c>
      <c r="E244" s="2">
        <v>0</v>
      </c>
      <c r="F244" s="2">
        <v>2.5</v>
      </c>
      <c r="G244" s="2" t="str">
        <f>_xlfn.XLOOKUP(Trainingsabschluss[[#This Row],[UserID]], Teilnehmende[UserID], Teilnehmende[Branche], "UserID nicht gefunden")</f>
        <v>IT und Technologie</v>
      </c>
      <c r="H244" t="str">
        <f>_xlfn.XLOOKUP(Trainingsabschluss[[#This Row],[UserID]], Teilnehmende[UserID], Teilnehmende[Bildungsabschluss], "UserID nicht gefunden")</f>
        <v>Bachelor</v>
      </c>
      <c r="I244" s="3">
        <f>_xlfn.XLOOKUP(Trainingsabschluss[[#This Row],[UserID]], Teilnehmende[UserID], Teilnehmende[Berufserfahrung])</f>
        <v>9</v>
      </c>
      <c r="J244" s="3" t="str" cm="1">
        <f t="array" ref="J24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44" s="11">
        <f>Trainingsabschluss[[#This Row],[Quiz_Frage1_Punkte]]/Max_Frage1</f>
        <v>1</v>
      </c>
      <c r="L244" s="11">
        <f>Trainingsabschluss[[#This Row],[Quiz_Frage2_Punkte]]/Max_Frage2</f>
        <v>0.7</v>
      </c>
      <c r="M244" s="11">
        <f>Trainingsabschluss[[#This Row],[Quiz_Frage3_Punkte]]/Max_Frage3</f>
        <v>0.6</v>
      </c>
      <c r="N244" s="11">
        <f>Trainingsabschluss[[#This Row],[Quiz_Frage4_Punkte]]/Max_Frage4</f>
        <v>0</v>
      </c>
      <c r="O244" s="11">
        <f>Trainingsabschluss[[#This Row],[Quiz_Frage5_Punkte]]/Max_Frage5</f>
        <v>0.83333333333333337</v>
      </c>
      <c r="P244" s="2">
        <f>Trainingsabschluss[[#This Row],[Quiz_Frage1_Punkte]]+Trainingsabschluss[[#This Row],[Quiz_Frage2_Punkte]]+Trainingsabschluss[[#This Row],[Quiz_Frage3_Punkte]]+Trainingsabschluss[[#This Row],[Quiz_Frage4_Punkte]]+Trainingsabschluss[[#This Row],[Quiz_Frage5_Punkte]]</f>
        <v>14</v>
      </c>
      <c r="Q244" s="8">
        <f>Trainingsabschluss[[#This Row],[Quizergebnis]]/Max_Quizergebnis</f>
        <v>0.63636363636363635</v>
      </c>
      <c r="R244" t="str" cm="1">
        <f t="array" ref="R244">_xlfn.IFS(Trainingsabschluss[[#This Row],[Quizergebnis_Prozent]]&lt;0.5, "Nicht bestanden",
Trainingsabschluss[[#This Row],[Quizergebnis_Prozent]]&lt;0.65, "Bestanden",
Trainingsabschluss[[#This Row],[Quizergebnis_Prozent]]&lt;0.8, "Gut bestanden",
TRUE, "Sehr gut bestanden")</f>
        <v>Bestanden</v>
      </c>
      <c r="S244" s="3">
        <v>9</v>
      </c>
      <c r="T244" s="3" t="str" cm="1">
        <f t="array" ref="T244">_xlfn.IFS(Trainingsabschluss[[#This Row],[Training_Bewertung]]&gt;=9, "Promotor", Trainingsabschluss[[#This Row],[Training_Bewertung]]
&lt;=6, "Detraktor",
TRUE, "Passiv")</f>
        <v>Promotor</v>
      </c>
      <c r="W244"/>
    </row>
    <row r="245" spans="1:23" x14ac:dyDescent="0.3">
      <c r="A245" s="13" t="s">
        <v>419</v>
      </c>
      <c r="B245" s="2">
        <v>0</v>
      </c>
      <c r="C245" s="2">
        <v>2</v>
      </c>
      <c r="D245" s="2">
        <v>0</v>
      </c>
      <c r="E245" s="2">
        <v>0</v>
      </c>
      <c r="F245" s="2">
        <v>0.5</v>
      </c>
      <c r="G245" s="2" t="str">
        <f>_xlfn.XLOOKUP(Trainingsabschluss[[#This Row],[UserID]], Teilnehmende[UserID], Teilnehmende[Branche], "UserID nicht gefunden")</f>
        <v>IT und Technologie</v>
      </c>
      <c r="H245" t="str">
        <f>_xlfn.XLOOKUP(Trainingsabschluss[[#This Row],[UserID]], Teilnehmende[UserID], Teilnehmende[Bildungsabschluss], "UserID nicht gefunden")</f>
        <v>Bachelor</v>
      </c>
      <c r="I245" s="3">
        <f>_xlfn.XLOOKUP(Trainingsabschluss[[#This Row],[UserID]], Teilnehmende[UserID], Teilnehmende[Berufserfahrung])</f>
        <v>9</v>
      </c>
      <c r="J245" s="3" t="str" cm="1">
        <f t="array" ref="J24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45" s="11">
        <f>Trainingsabschluss[[#This Row],[Quiz_Frage1_Punkte]]/Max_Frage1</f>
        <v>0</v>
      </c>
      <c r="L245" s="11">
        <f>Trainingsabschluss[[#This Row],[Quiz_Frage2_Punkte]]/Max_Frage2</f>
        <v>0.4</v>
      </c>
      <c r="M245" s="11">
        <f>Trainingsabschluss[[#This Row],[Quiz_Frage3_Punkte]]/Max_Frage3</f>
        <v>0</v>
      </c>
      <c r="N245" s="11">
        <f>Trainingsabschluss[[#This Row],[Quiz_Frage4_Punkte]]/Max_Frage4</f>
        <v>0</v>
      </c>
      <c r="O245" s="11">
        <f>Trainingsabschluss[[#This Row],[Quiz_Frage5_Punkte]]/Max_Frage5</f>
        <v>0.16666666666666666</v>
      </c>
      <c r="P245" s="2">
        <f>Trainingsabschluss[[#This Row],[Quiz_Frage1_Punkte]]+Trainingsabschluss[[#This Row],[Quiz_Frage2_Punkte]]+Trainingsabschluss[[#This Row],[Quiz_Frage3_Punkte]]+Trainingsabschluss[[#This Row],[Quiz_Frage4_Punkte]]+Trainingsabschluss[[#This Row],[Quiz_Frage5_Punkte]]</f>
        <v>2.5</v>
      </c>
      <c r="Q245" s="8">
        <f>Trainingsabschluss[[#This Row],[Quizergebnis]]/Max_Quizergebnis</f>
        <v>0.11363636363636363</v>
      </c>
      <c r="R245" t="str" cm="1">
        <f t="array" ref="R245">_xlfn.IFS(Trainingsabschluss[[#This Row],[Quizergebnis_Prozent]]&lt;0.5, "Nicht bestanden",
Trainingsabschluss[[#This Row],[Quizergebnis_Prozent]]&lt;0.65, "Bestanden",
Trainingsabschluss[[#This Row],[Quizergebnis_Prozent]]&lt;0.8, "Gut bestanden",
TRUE, "Sehr gut bestanden")</f>
        <v>Nicht bestanden</v>
      </c>
      <c r="S245" s="3">
        <v>9</v>
      </c>
      <c r="T245" s="3" t="str" cm="1">
        <f t="array" ref="T245">_xlfn.IFS(Trainingsabschluss[[#This Row],[Training_Bewertung]]&gt;=9, "Promotor", Trainingsabschluss[[#This Row],[Training_Bewertung]]
&lt;=6, "Detraktor",
TRUE, "Passiv")</f>
        <v>Promotor</v>
      </c>
      <c r="W245"/>
    </row>
    <row r="246" spans="1:23" x14ac:dyDescent="0.3">
      <c r="A246" s="13" t="s">
        <v>422</v>
      </c>
      <c r="B246" s="2">
        <v>5</v>
      </c>
      <c r="C246" s="2">
        <v>3.5</v>
      </c>
      <c r="D246" s="2">
        <v>2</v>
      </c>
      <c r="E246" s="2">
        <v>3</v>
      </c>
      <c r="F246" s="2">
        <v>0.5</v>
      </c>
      <c r="G246" s="2" t="str">
        <f>_xlfn.XLOOKUP(Trainingsabschluss[[#This Row],[UserID]], Teilnehmende[UserID], Teilnehmende[Branche], "UserID nicht gefunden")</f>
        <v>IT und Technologie</v>
      </c>
      <c r="H246" t="str">
        <f>_xlfn.XLOOKUP(Trainingsabschluss[[#This Row],[UserID]], Teilnehmende[UserID], Teilnehmende[Bildungsabschluss], "UserID nicht gefunden")</f>
        <v>Bachelor</v>
      </c>
      <c r="I246" s="3">
        <f>_xlfn.XLOOKUP(Trainingsabschluss[[#This Row],[UserID]], Teilnehmende[UserID], Teilnehmende[Berufserfahrung])</f>
        <v>8</v>
      </c>
      <c r="J246" s="3" t="str" cm="1">
        <f t="array" ref="J24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46" s="11">
        <f>Trainingsabschluss[[#This Row],[Quiz_Frage1_Punkte]]/Max_Frage1</f>
        <v>1</v>
      </c>
      <c r="L246" s="11">
        <f>Trainingsabschluss[[#This Row],[Quiz_Frage2_Punkte]]/Max_Frage2</f>
        <v>0.7</v>
      </c>
      <c r="M246" s="11">
        <f>Trainingsabschluss[[#This Row],[Quiz_Frage3_Punkte]]/Max_Frage3</f>
        <v>0.4</v>
      </c>
      <c r="N246" s="11">
        <f>Trainingsabschluss[[#This Row],[Quiz_Frage4_Punkte]]/Max_Frage4</f>
        <v>0.75</v>
      </c>
      <c r="O246" s="11">
        <f>Trainingsabschluss[[#This Row],[Quiz_Frage5_Punkte]]/Max_Frage5</f>
        <v>0.16666666666666666</v>
      </c>
      <c r="P246" s="2">
        <f>Trainingsabschluss[[#This Row],[Quiz_Frage1_Punkte]]+Trainingsabschluss[[#This Row],[Quiz_Frage2_Punkte]]+Trainingsabschluss[[#This Row],[Quiz_Frage3_Punkte]]+Trainingsabschluss[[#This Row],[Quiz_Frage4_Punkte]]+Trainingsabschluss[[#This Row],[Quiz_Frage5_Punkte]]</f>
        <v>14</v>
      </c>
      <c r="Q246" s="8">
        <f>Trainingsabschluss[[#This Row],[Quizergebnis]]/Max_Quizergebnis</f>
        <v>0.63636363636363635</v>
      </c>
      <c r="R246" t="str" cm="1">
        <f t="array" ref="R246">_xlfn.IFS(Trainingsabschluss[[#This Row],[Quizergebnis_Prozent]]&lt;0.5, "Nicht bestanden",
Trainingsabschluss[[#This Row],[Quizergebnis_Prozent]]&lt;0.65, "Bestanden",
Trainingsabschluss[[#This Row],[Quizergebnis_Prozent]]&lt;0.8, "Gut bestanden",
TRUE, "Sehr gut bestanden")</f>
        <v>Bestanden</v>
      </c>
      <c r="S246" s="3">
        <v>9</v>
      </c>
      <c r="T246" s="3" t="str" cm="1">
        <f t="array" ref="T246">_xlfn.IFS(Trainingsabschluss[[#This Row],[Training_Bewertung]]&gt;=9, "Promotor", Trainingsabschluss[[#This Row],[Training_Bewertung]]
&lt;=6, "Detraktor",
TRUE, "Passiv")</f>
        <v>Promotor</v>
      </c>
      <c r="W246"/>
    </row>
    <row r="247" spans="1:23" x14ac:dyDescent="0.3">
      <c r="A247" s="13" t="s">
        <v>423</v>
      </c>
      <c r="B247" s="2">
        <v>5</v>
      </c>
      <c r="C247" s="2">
        <v>5</v>
      </c>
      <c r="D247" s="2">
        <v>4.5</v>
      </c>
      <c r="E247" s="2">
        <v>4</v>
      </c>
      <c r="F247" s="2">
        <v>0.5</v>
      </c>
      <c r="G247" s="2" t="str">
        <f>_xlfn.XLOOKUP(Trainingsabschluss[[#This Row],[UserID]], Teilnehmende[UserID], Teilnehmende[Branche], "UserID nicht gefunden")</f>
        <v>IT und Technologie</v>
      </c>
      <c r="H247" t="str">
        <f>_xlfn.XLOOKUP(Trainingsabschluss[[#This Row],[UserID]], Teilnehmende[UserID], Teilnehmende[Bildungsabschluss], "UserID nicht gefunden")</f>
        <v>Bachelor</v>
      </c>
      <c r="I247" s="3">
        <f>_xlfn.XLOOKUP(Trainingsabschluss[[#This Row],[UserID]], Teilnehmende[UserID], Teilnehmende[Berufserfahrung])</f>
        <v>4</v>
      </c>
      <c r="J247" s="3" t="str" cm="1">
        <f t="array" ref="J24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47" s="11">
        <f>Trainingsabschluss[[#This Row],[Quiz_Frage1_Punkte]]/Max_Frage1</f>
        <v>1</v>
      </c>
      <c r="L247" s="11">
        <f>Trainingsabschluss[[#This Row],[Quiz_Frage2_Punkte]]/Max_Frage2</f>
        <v>1</v>
      </c>
      <c r="M247" s="11">
        <f>Trainingsabschluss[[#This Row],[Quiz_Frage3_Punkte]]/Max_Frage3</f>
        <v>0.9</v>
      </c>
      <c r="N247" s="11">
        <f>Trainingsabschluss[[#This Row],[Quiz_Frage4_Punkte]]/Max_Frage4</f>
        <v>1</v>
      </c>
      <c r="O247" s="11">
        <f>Trainingsabschluss[[#This Row],[Quiz_Frage5_Punkte]]/Max_Frage5</f>
        <v>0.16666666666666666</v>
      </c>
      <c r="P247" s="2">
        <f>Trainingsabschluss[[#This Row],[Quiz_Frage1_Punkte]]+Trainingsabschluss[[#This Row],[Quiz_Frage2_Punkte]]+Trainingsabschluss[[#This Row],[Quiz_Frage3_Punkte]]+Trainingsabschluss[[#This Row],[Quiz_Frage4_Punkte]]+Trainingsabschluss[[#This Row],[Quiz_Frage5_Punkte]]</f>
        <v>19</v>
      </c>
      <c r="Q247" s="8">
        <f>Trainingsabschluss[[#This Row],[Quizergebnis]]/Max_Quizergebnis</f>
        <v>0.86363636363636365</v>
      </c>
      <c r="R247" t="str" cm="1">
        <f t="array" ref="R247">_xlfn.IFS(Trainingsabschluss[[#This Row],[Quizergebnis_Prozent]]&lt;0.5, "Nicht bestanden",
Trainingsabschluss[[#This Row],[Quizergebnis_Prozent]]&lt;0.65, "Bestanden",
Trainingsabschluss[[#This Row],[Quizergebnis_Prozent]]&lt;0.8, "Gut bestanden",
TRUE, "Sehr gut bestanden")</f>
        <v>Sehr gut bestanden</v>
      </c>
      <c r="S247" s="3">
        <v>9</v>
      </c>
      <c r="T247" s="3" t="str" cm="1">
        <f t="array" ref="T247">_xlfn.IFS(Trainingsabschluss[[#This Row],[Training_Bewertung]]&gt;=9, "Promotor", Trainingsabschluss[[#This Row],[Training_Bewertung]]
&lt;=6, "Detraktor",
TRUE, "Passiv")</f>
        <v>Promotor</v>
      </c>
      <c r="W247"/>
    </row>
    <row r="248" spans="1:23" x14ac:dyDescent="0.3">
      <c r="A248" s="13" t="s">
        <v>426</v>
      </c>
      <c r="B248" s="2">
        <v>5</v>
      </c>
      <c r="C248" s="2">
        <v>4</v>
      </c>
      <c r="D248" s="2">
        <v>3</v>
      </c>
      <c r="E248" s="2">
        <v>0.5</v>
      </c>
      <c r="F248" s="2">
        <v>1.5</v>
      </c>
      <c r="G248" s="2" t="str">
        <f>_xlfn.XLOOKUP(Trainingsabschluss[[#This Row],[UserID]], Teilnehmende[UserID], Teilnehmende[Branche], "UserID nicht gefunden")</f>
        <v>IT und Technologie</v>
      </c>
      <c r="H248" t="str">
        <f>_xlfn.XLOOKUP(Trainingsabschluss[[#This Row],[UserID]], Teilnehmende[UserID], Teilnehmende[Bildungsabschluss], "UserID nicht gefunden")</f>
        <v>Bachelor</v>
      </c>
      <c r="I248" s="3">
        <f>_xlfn.XLOOKUP(Trainingsabschluss[[#This Row],[UserID]], Teilnehmende[UserID], Teilnehmende[Berufserfahrung])</f>
        <v>17</v>
      </c>
      <c r="J248" s="3" t="str" cm="1">
        <f t="array" ref="J248">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48" s="11">
        <f>Trainingsabschluss[[#This Row],[Quiz_Frage1_Punkte]]/Max_Frage1</f>
        <v>1</v>
      </c>
      <c r="L248" s="11">
        <f>Trainingsabschluss[[#This Row],[Quiz_Frage2_Punkte]]/Max_Frage2</f>
        <v>0.8</v>
      </c>
      <c r="M248" s="11">
        <f>Trainingsabschluss[[#This Row],[Quiz_Frage3_Punkte]]/Max_Frage3</f>
        <v>0.6</v>
      </c>
      <c r="N248" s="11">
        <f>Trainingsabschluss[[#This Row],[Quiz_Frage4_Punkte]]/Max_Frage4</f>
        <v>0.125</v>
      </c>
      <c r="O248" s="11">
        <f>Trainingsabschluss[[#This Row],[Quiz_Frage5_Punkte]]/Max_Frage5</f>
        <v>0.5</v>
      </c>
      <c r="P248" s="2">
        <f>Trainingsabschluss[[#This Row],[Quiz_Frage1_Punkte]]+Trainingsabschluss[[#This Row],[Quiz_Frage2_Punkte]]+Trainingsabschluss[[#This Row],[Quiz_Frage3_Punkte]]+Trainingsabschluss[[#This Row],[Quiz_Frage4_Punkte]]+Trainingsabschluss[[#This Row],[Quiz_Frage5_Punkte]]</f>
        <v>14</v>
      </c>
      <c r="Q248" s="8">
        <f>Trainingsabschluss[[#This Row],[Quizergebnis]]/Max_Quizergebnis</f>
        <v>0.63636363636363635</v>
      </c>
      <c r="R248" t="str" cm="1">
        <f t="array" ref="R248">_xlfn.IFS(Trainingsabschluss[[#This Row],[Quizergebnis_Prozent]]&lt;0.5, "Nicht bestanden",
Trainingsabschluss[[#This Row],[Quizergebnis_Prozent]]&lt;0.65, "Bestanden",
Trainingsabschluss[[#This Row],[Quizergebnis_Prozent]]&lt;0.8, "Gut bestanden",
TRUE, "Sehr gut bestanden")</f>
        <v>Bestanden</v>
      </c>
      <c r="S248" s="3">
        <v>9</v>
      </c>
      <c r="T248" s="3" t="str" cm="1">
        <f t="array" ref="T248">_xlfn.IFS(Trainingsabschluss[[#This Row],[Training_Bewertung]]&gt;=9, "Promotor", Trainingsabschluss[[#This Row],[Training_Bewertung]]
&lt;=6, "Detraktor",
TRUE, "Passiv")</f>
        <v>Promotor</v>
      </c>
      <c r="W248"/>
    </row>
    <row r="249" spans="1:23" x14ac:dyDescent="0.3">
      <c r="A249" s="13" t="s">
        <v>428</v>
      </c>
      <c r="B249" s="2">
        <v>5</v>
      </c>
      <c r="C249" s="2">
        <v>3</v>
      </c>
      <c r="D249" s="2">
        <v>2.5</v>
      </c>
      <c r="E249" s="2">
        <v>1.5</v>
      </c>
      <c r="F249" s="2">
        <v>0.5</v>
      </c>
      <c r="G249" s="2" t="str">
        <f>_xlfn.XLOOKUP(Trainingsabschluss[[#This Row],[UserID]], Teilnehmende[UserID], Teilnehmende[Branche], "UserID nicht gefunden")</f>
        <v>IT und Technologie</v>
      </c>
      <c r="H249" t="str">
        <f>_xlfn.XLOOKUP(Trainingsabschluss[[#This Row],[UserID]], Teilnehmende[UserID], Teilnehmende[Bildungsabschluss], "UserID nicht gefunden")</f>
        <v>Bachelor</v>
      </c>
      <c r="I249" s="3">
        <f>_xlfn.XLOOKUP(Trainingsabschluss[[#This Row],[UserID]], Teilnehmende[UserID], Teilnehmende[Berufserfahrung])</f>
        <v>13</v>
      </c>
      <c r="J249" s="3" t="str" cm="1">
        <f t="array" ref="J24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49" s="11">
        <f>Trainingsabschluss[[#This Row],[Quiz_Frage1_Punkte]]/Max_Frage1</f>
        <v>1</v>
      </c>
      <c r="L249" s="11">
        <f>Trainingsabschluss[[#This Row],[Quiz_Frage2_Punkte]]/Max_Frage2</f>
        <v>0.6</v>
      </c>
      <c r="M249" s="11">
        <f>Trainingsabschluss[[#This Row],[Quiz_Frage3_Punkte]]/Max_Frage3</f>
        <v>0.5</v>
      </c>
      <c r="N249" s="11">
        <f>Trainingsabschluss[[#This Row],[Quiz_Frage4_Punkte]]/Max_Frage4</f>
        <v>0.375</v>
      </c>
      <c r="O249" s="11">
        <f>Trainingsabschluss[[#This Row],[Quiz_Frage5_Punkte]]/Max_Frage5</f>
        <v>0.16666666666666666</v>
      </c>
      <c r="P249" s="2">
        <f>Trainingsabschluss[[#This Row],[Quiz_Frage1_Punkte]]+Trainingsabschluss[[#This Row],[Quiz_Frage2_Punkte]]+Trainingsabschluss[[#This Row],[Quiz_Frage3_Punkte]]+Trainingsabschluss[[#This Row],[Quiz_Frage4_Punkte]]+Trainingsabschluss[[#This Row],[Quiz_Frage5_Punkte]]</f>
        <v>12.5</v>
      </c>
      <c r="Q249" s="8">
        <f>Trainingsabschluss[[#This Row],[Quizergebnis]]/Max_Quizergebnis</f>
        <v>0.56818181818181823</v>
      </c>
      <c r="R249" t="str" cm="1">
        <f t="array" ref="R249">_xlfn.IFS(Trainingsabschluss[[#This Row],[Quizergebnis_Prozent]]&lt;0.5, "Nicht bestanden",
Trainingsabschluss[[#This Row],[Quizergebnis_Prozent]]&lt;0.65, "Bestanden",
Trainingsabschluss[[#This Row],[Quizergebnis_Prozent]]&lt;0.8, "Gut bestanden",
TRUE, "Sehr gut bestanden")</f>
        <v>Bestanden</v>
      </c>
      <c r="S249" s="3">
        <v>9</v>
      </c>
      <c r="T249" s="3" t="str" cm="1">
        <f t="array" ref="T249">_xlfn.IFS(Trainingsabschluss[[#This Row],[Training_Bewertung]]&gt;=9, "Promotor", Trainingsabschluss[[#This Row],[Training_Bewertung]]
&lt;=6, "Detraktor",
TRUE, "Passiv")</f>
        <v>Promotor</v>
      </c>
      <c r="W249"/>
    </row>
    <row r="250" spans="1:23" x14ac:dyDescent="0.3">
      <c r="A250" s="13" t="s">
        <v>431</v>
      </c>
      <c r="B250" s="2">
        <v>5</v>
      </c>
      <c r="C250" s="2">
        <v>4</v>
      </c>
      <c r="D250" s="2">
        <v>2</v>
      </c>
      <c r="E250" s="2">
        <v>2</v>
      </c>
      <c r="F250" s="2">
        <v>1.5</v>
      </c>
      <c r="G250" s="2" t="str">
        <f>_xlfn.XLOOKUP(Trainingsabschluss[[#This Row],[UserID]], Teilnehmende[UserID], Teilnehmende[Branche], "UserID nicht gefunden")</f>
        <v>IT und Technologie</v>
      </c>
      <c r="H250" t="str">
        <f>_xlfn.XLOOKUP(Trainingsabschluss[[#This Row],[UserID]], Teilnehmende[UserID], Teilnehmende[Bildungsabschluss], "UserID nicht gefunden")</f>
        <v>Bachelor</v>
      </c>
      <c r="I250" s="3">
        <f>_xlfn.XLOOKUP(Trainingsabschluss[[#This Row],[UserID]], Teilnehmende[UserID], Teilnehmende[Berufserfahrung])</f>
        <v>2</v>
      </c>
      <c r="J250" s="3" t="str" cm="1">
        <f t="array" ref="J25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50" s="11">
        <f>Trainingsabschluss[[#This Row],[Quiz_Frage1_Punkte]]/Max_Frage1</f>
        <v>1</v>
      </c>
      <c r="L250" s="11">
        <f>Trainingsabschluss[[#This Row],[Quiz_Frage2_Punkte]]/Max_Frage2</f>
        <v>0.8</v>
      </c>
      <c r="M250" s="11">
        <f>Trainingsabschluss[[#This Row],[Quiz_Frage3_Punkte]]/Max_Frage3</f>
        <v>0.4</v>
      </c>
      <c r="N250" s="11">
        <f>Trainingsabschluss[[#This Row],[Quiz_Frage4_Punkte]]/Max_Frage4</f>
        <v>0.5</v>
      </c>
      <c r="O250" s="11">
        <f>Trainingsabschluss[[#This Row],[Quiz_Frage5_Punkte]]/Max_Frage5</f>
        <v>0.5</v>
      </c>
      <c r="P250" s="2">
        <f>Trainingsabschluss[[#This Row],[Quiz_Frage1_Punkte]]+Trainingsabschluss[[#This Row],[Quiz_Frage2_Punkte]]+Trainingsabschluss[[#This Row],[Quiz_Frage3_Punkte]]+Trainingsabschluss[[#This Row],[Quiz_Frage4_Punkte]]+Trainingsabschluss[[#This Row],[Quiz_Frage5_Punkte]]</f>
        <v>14.5</v>
      </c>
      <c r="Q250" s="8">
        <f>Trainingsabschluss[[#This Row],[Quizergebnis]]/Max_Quizergebnis</f>
        <v>0.65909090909090906</v>
      </c>
      <c r="R250" t="str" cm="1">
        <f t="array" ref="R250">_xlfn.IFS(Trainingsabschluss[[#This Row],[Quizergebnis_Prozent]]&lt;0.5, "Nicht bestanden",
Trainingsabschluss[[#This Row],[Quizergebnis_Prozent]]&lt;0.65, "Bestanden",
Trainingsabschluss[[#This Row],[Quizergebnis_Prozent]]&lt;0.8, "Gut bestanden",
TRUE, "Sehr gut bestanden")</f>
        <v>Gut bestanden</v>
      </c>
      <c r="S250" s="3">
        <v>9</v>
      </c>
      <c r="T250" s="3" t="str" cm="1">
        <f t="array" ref="T250">_xlfn.IFS(Trainingsabschluss[[#This Row],[Training_Bewertung]]&gt;=9, "Promotor", Trainingsabschluss[[#This Row],[Training_Bewertung]]
&lt;=6, "Detraktor",
TRUE, "Passiv")</f>
        <v>Promotor</v>
      </c>
      <c r="W250"/>
    </row>
    <row r="251" spans="1:23" x14ac:dyDescent="0.3">
      <c r="A251" s="13" t="s">
        <v>432</v>
      </c>
      <c r="B251" s="2">
        <v>4.5</v>
      </c>
      <c r="C251" s="2">
        <v>4.5</v>
      </c>
      <c r="D251" s="2">
        <v>0.5</v>
      </c>
      <c r="E251" s="2">
        <v>3.5</v>
      </c>
      <c r="F251" s="2">
        <v>2.5</v>
      </c>
      <c r="G251" s="2" t="str">
        <f>_xlfn.XLOOKUP(Trainingsabschluss[[#This Row],[UserID]], Teilnehmende[UserID], Teilnehmende[Branche], "UserID nicht gefunden")</f>
        <v>IT und Technologie</v>
      </c>
      <c r="H251" t="str">
        <f>_xlfn.XLOOKUP(Trainingsabschluss[[#This Row],[UserID]], Teilnehmende[UserID], Teilnehmende[Bildungsabschluss], "UserID nicht gefunden")</f>
        <v>Bachelor</v>
      </c>
      <c r="I251" s="3">
        <f>_xlfn.XLOOKUP(Trainingsabschluss[[#This Row],[UserID]], Teilnehmende[UserID], Teilnehmende[Berufserfahrung])</f>
        <v>16</v>
      </c>
      <c r="J251" s="3" t="str" cm="1">
        <f t="array" ref="J251">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51" s="11">
        <f>Trainingsabschluss[[#This Row],[Quiz_Frage1_Punkte]]/Max_Frage1</f>
        <v>0.9</v>
      </c>
      <c r="L251" s="11">
        <f>Trainingsabschluss[[#This Row],[Quiz_Frage2_Punkte]]/Max_Frage2</f>
        <v>0.9</v>
      </c>
      <c r="M251" s="11">
        <f>Trainingsabschluss[[#This Row],[Quiz_Frage3_Punkte]]/Max_Frage3</f>
        <v>0.1</v>
      </c>
      <c r="N251" s="11">
        <f>Trainingsabschluss[[#This Row],[Quiz_Frage4_Punkte]]/Max_Frage4</f>
        <v>0.875</v>
      </c>
      <c r="O251" s="11">
        <f>Trainingsabschluss[[#This Row],[Quiz_Frage5_Punkte]]/Max_Frage5</f>
        <v>0.83333333333333337</v>
      </c>
      <c r="P251" s="2">
        <f>Trainingsabschluss[[#This Row],[Quiz_Frage1_Punkte]]+Trainingsabschluss[[#This Row],[Quiz_Frage2_Punkte]]+Trainingsabschluss[[#This Row],[Quiz_Frage3_Punkte]]+Trainingsabschluss[[#This Row],[Quiz_Frage4_Punkte]]+Trainingsabschluss[[#This Row],[Quiz_Frage5_Punkte]]</f>
        <v>15.5</v>
      </c>
      <c r="Q251" s="8">
        <f>Trainingsabschluss[[#This Row],[Quizergebnis]]/Max_Quizergebnis</f>
        <v>0.70454545454545459</v>
      </c>
      <c r="R251" t="str" cm="1">
        <f t="array" ref="R251">_xlfn.IFS(Trainingsabschluss[[#This Row],[Quizergebnis_Prozent]]&lt;0.5, "Nicht bestanden",
Trainingsabschluss[[#This Row],[Quizergebnis_Prozent]]&lt;0.65, "Bestanden",
Trainingsabschluss[[#This Row],[Quizergebnis_Prozent]]&lt;0.8, "Gut bestanden",
TRUE, "Sehr gut bestanden")</f>
        <v>Gut bestanden</v>
      </c>
      <c r="S251" s="3">
        <v>9</v>
      </c>
      <c r="T251" s="3" t="str" cm="1">
        <f t="array" ref="T251">_xlfn.IFS(Trainingsabschluss[[#This Row],[Training_Bewertung]]&gt;=9, "Promotor", Trainingsabschluss[[#This Row],[Training_Bewertung]]
&lt;=6, "Detraktor",
TRUE, "Passiv")</f>
        <v>Promotor</v>
      </c>
      <c r="W251"/>
    </row>
    <row r="252" spans="1:23" x14ac:dyDescent="0.3">
      <c r="A252" s="13" t="s">
        <v>433</v>
      </c>
      <c r="B252" s="2">
        <v>4.5</v>
      </c>
      <c r="C252" s="2">
        <v>4.5</v>
      </c>
      <c r="D252" s="2">
        <v>4.5</v>
      </c>
      <c r="E252" s="2">
        <v>2</v>
      </c>
      <c r="F252" s="2">
        <v>3</v>
      </c>
      <c r="G252" s="2" t="str">
        <f>_xlfn.XLOOKUP(Trainingsabschluss[[#This Row],[UserID]], Teilnehmende[UserID], Teilnehmende[Branche], "UserID nicht gefunden")</f>
        <v>IT und Technologie</v>
      </c>
      <c r="H252" t="str">
        <f>_xlfn.XLOOKUP(Trainingsabschluss[[#This Row],[UserID]], Teilnehmende[UserID], Teilnehmende[Bildungsabschluss], "UserID nicht gefunden")</f>
        <v>Bachelor</v>
      </c>
      <c r="I252" s="3">
        <f>_xlfn.XLOOKUP(Trainingsabschluss[[#This Row],[UserID]], Teilnehmende[UserID], Teilnehmende[Berufserfahrung])</f>
        <v>8</v>
      </c>
      <c r="J252" s="3" t="str" cm="1">
        <f t="array" ref="J25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52" s="11">
        <f>Trainingsabschluss[[#This Row],[Quiz_Frage1_Punkte]]/Max_Frage1</f>
        <v>0.9</v>
      </c>
      <c r="L252" s="11">
        <f>Trainingsabschluss[[#This Row],[Quiz_Frage2_Punkte]]/Max_Frage2</f>
        <v>0.9</v>
      </c>
      <c r="M252" s="11">
        <f>Trainingsabschluss[[#This Row],[Quiz_Frage3_Punkte]]/Max_Frage3</f>
        <v>0.9</v>
      </c>
      <c r="N252" s="11">
        <f>Trainingsabschluss[[#This Row],[Quiz_Frage4_Punkte]]/Max_Frage4</f>
        <v>0.5</v>
      </c>
      <c r="O252" s="11">
        <f>Trainingsabschluss[[#This Row],[Quiz_Frage5_Punkte]]/Max_Frage5</f>
        <v>1</v>
      </c>
      <c r="P252" s="2">
        <f>Trainingsabschluss[[#This Row],[Quiz_Frage1_Punkte]]+Trainingsabschluss[[#This Row],[Quiz_Frage2_Punkte]]+Trainingsabschluss[[#This Row],[Quiz_Frage3_Punkte]]+Trainingsabschluss[[#This Row],[Quiz_Frage4_Punkte]]+Trainingsabschluss[[#This Row],[Quiz_Frage5_Punkte]]</f>
        <v>18.5</v>
      </c>
      <c r="Q252" s="8">
        <f>Trainingsabschluss[[#This Row],[Quizergebnis]]/Max_Quizergebnis</f>
        <v>0.84090909090909094</v>
      </c>
      <c r="R252" t="str" cm="1">
        <f t="array" ref="R252">_xlfn.IFS(Trainingsabschluss[[#This Row],[Quizergebnis_Prozent]]&lt;0.5, "Nicht bestanden",
Trainingsabschluss[[#This Row],[Quizergebnis_Prozent]]&lt;0.65, "Bestanden",
Trainingsabschluss[[#This Row],[Quizergebnis_Prozent]]&lt;0.8, "Gut bestanden",
TRUE, "Sehr gut bestanden")</f>
        <v>Sehr gut bestanden</v>
      </c>
      <c r="S252" s="3">
        <v>9</v>
      </c>
      <c r="T252" s="3" t="str" cm="1">
        <f t="array" ref="T252">_xlfn.IFS(Trainingsabschluss[[#This Row],[Training_Bewertung]]&gt;=9, "Promotor", Trainingsabschluss[[#This Row],[Training_Bewertung]]
&lt;=6, "Detraktor",
TRUE, "Passiv")</f>
        <v>Promotor</v>
      </c>
      <c r="W252"/>
    </row>
    <row r="253" spans="1:23" x14ac:dyDescent="0.3">
      <c r="A253" s="13" t="s">
        <v>436</v>
      </c>
      <c r="B253" s="2">
        <v>4</v>
      </c>
      <c r="C253" s="2">
        <v>5</v>
      </c>
      <c r="D253" s="2">
        <v>2.5</v>
      </c>
      <c r="E253" s="2">
        <v>3.5</v>
      </c>
      <c r="F253" s="2">
        <v>2</v>
      </c>
      <c r="G253" s="2" t="str">
        <f>_xlfn.XLOOKUP(Trainingsabschluss[[#This Row],[UserID]], Teilnehmende[UserID], Teilnehmende[Branche], "UserID nicht gefunden")</f>
        <v>IT und Technologie</v>
      </c>
      <c r="H253" t="str">
        <f>_xlfn.XLOOKUP(Trainingsabschluss[[#This Row],[UserID]], Teilnehmende[UserID], Teilnehmende[Bildungsabschluss], "UserID nicht gefunden")</f>
        <v>Bachelor</v>
      </c>
      <c r="I253" s="3">
        <f>_xlfn.XLOOKUP(Trainingsabschluss[[#This Row],[UserID]], Teilnehmende[UserID], Teilnehmende[Berufserfahrung])</f>
        <v>14</v>
      </c>
      <c r="J253" s="3" t="str" cm="1">
        <f t="array" ref="J25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53" s="11">
        <f>Trainingsabschluss[[#This Row],[Quiz_Frage1_Punkte]]/Max_Frage1</f>
        <v>0.8</v>
      </c>
      <c r="L253" s="11">
        <f>Trainingsabschluss[[#This Row],[Quiz_Frage2_Punkte]]/Max_Frage2</f>
        <v>1</v>
      </c>
      <c r="M253" s="11">
        <f>Trainingsabschluss[[#This Row],[Quiz_Frage3_Punkte]]/Max_Frage3</f>
        <v>0.5</v>
      </c>
      <c r="N253" s="11">
        <f>Trainingsabschluss[[#This Row],[Quiz_Frage4_Punkte]]/Max_Frage4</f>
        <v>0.875</v>
      </c>
      <c r="O253" s="11">
        <f>Trainingsabschluss[[#This Row],[Quiz_Frage5_Punkte]]/Max_Frage5</f>
        <v>0.66666666666666663</v>
      </c>
      <c r="P253" s="2">
        <f>Trainingsabschluss[[#This Row],[Quiz_Frage1_Punkte]]+Trainingsabschluss[[#This Row],[Quiz_Frage2_Punkte]]+Trainingsabschluss[[#This Row],[Quiz_Frage3_Punkte]]+Trainingsabschluss[[#This Row],[Quiz_Frage4_Punkte]]+Trainingsabschluss[[#This Row],[Quiz_Frage5_Punkte]]</f>
        <v>17</v>
      </c>
      <c r="Q253" s="8">
        <f>Trainingsabschluss[[#This Row],[Quizergebnis]]/Max_Quizergebnis</f>
        <v>0.77272727272727271</v>
      </c>
      <c r="R253" t="str" cm="1">
        <f t="array" ref="R253">_xlfn.IFS(Trainingsabschluss[[#This Row],[Quizergebnis_Prozent]]&lt;0.5, "Nicht bestanden",
Trainingsabschluss[[#This Row],[Quizergebnis_Prozent]]&lt;0.65, "Bestanden",
Trainingsabschluss[[#This Row],[Quizergebnis_Prozent]]&lt;0.8, "Gut bestanden",
TRUE, "Sehr gut bestanden")</f>
        <v>Gut bestanden</v>
      </c>
      <c r="S253" s="3">
        <v>9</v>
      </c>
      <c r="T253" s="3" t="str" cm="1">
        <f t="array" ref="T253">_xlfn.IFS(Trainingsabschluss[[#This Row],[Training_Bewertung]]&gt;=9, "Promotor", Trainingsabschluss[[#This Row],[Training_Bewertung]]
&lt;=6, "Detraktor",
TRUE, "Passiv")</f>
        <v>Promotor</v>
      </c>
      <c r="W253"/>
    </row>
    <row r="254" spans="1:23" x14ac:dyDescent="0.3">
      <c r="A254" s="13" t="s">
        <v>437</v>
      </c>
      <c r="B254" s="2">
        <v>3.5</v>
      </c>
      <c r="C254" s="2">
        <v>2.5</v>
      </c>
      <c r="D254" s="2">
        <v>1</v>
      </c>
      <c r="E254" s="2">
        <v>1.5</v>
      </c>
      <c r="F254" s="2">
        <v>2</v>
      </c>
      <c r="G254" s="2" t="str">
        <f>_xlfn.XLOOKUP(Trainingsabschluss[[#This Row],[UserID]], Teilnehmende[UserID], Teilnehmende[Branche], "UserID nicht gefunden")</f>
        <v>IT und Technologie</v>
      </c>
      <c r="H254" t="str">
        <f>_xlfn.XLOOKUP(Trainingsabschluss[[#This Row],[UserID]], Teilnehmende[UserID], Teilnehmende[Bildungsabschluss], "UserID nicht gefunden")</f>
        <v>Bachelor</v>
      </c>
      <c r="I254" s="3">
        <f>_xlfn.XLOOKUP(Trainingsabschluss[[#This Row],[UserID]], Teilnehmende[UserID], Teilnehmende[Berufserfahrung])</f>
        <v>11</v>
      </c>
      <c r="J254" s="3" t="str" cm="1">
        <f t="array" ref="J254">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54" s="11">
        <f>Trainingsabschluss[[#This Row],[Quiz_Frage1_Punkte]]/Max_Frage1</f>
        <v>0.7</v>
      </c>
      <c r="L254" s="11">
        <f>Trainingsabschluss[[#This Row],[Quiz_Frage2_Punkte]]/Max_Frage2</f>
        <v>0.5</v>
      </c>
      <c r="M254" s="11">
        <f>Trainingsabschluss[[#This Row],[Quiz_Frage3_Punkte]]/Max_Frage3</f>
        <v>0.2</v>
      </c>
      <c r="N254" s="11">
        <f>Trainingsabschluss[[#This Row],[Quiz_Frage4_Punkte]]/Max_Frage4</f>
        <v>0.375</v>
      </c>
      <c r="O254" s="11">
        <f>Trainingsabschluss[[#This Row],[Quiz_Frage5_Punkte]]/Max_Frage5</f>
        <v>0.66666666666666663</v>
      </c>
      <c r="P254" s="2">
        <f>Trainingsabschluss[[#This Row],[Quiz_Frage1_Punkte]]+Trainingsabschluss[[#This Row],[Quiz_Frage2_Punkte]]+Trainingsabschluss[[#This Row],[Quiz_Frage3_Punkte]]+Trainingsabschluss[[#This Row],[Quiz_Frage4_Punkte]]+Trainingsabschluss[[#This Row],[Quiz_Frage5_Punkte]]</f>
        <v>10.5</v>
      </c>
      <c r="Q254" s="8">
        <f>Trainingsabschluss[[#This Row],[Quizergebnis]]/Max_Quizergebnis</f>
        <v>0.47727272727272729</v>
      </c>
      <c r="R254" t="str" cm="1">
        <f t="array" ref="R254">_xlfn.IFS(Trainingsabschluss[[#This Row],[Quizergebnis_Prozent]]&lt;0.5, "Nicht bestanden",
Trainingsabschluss[[#This Row],[Quizergebnis_Prozent]]&lt;0.65, "Bestanden",
Trainingsabschluss[[#This Row],[Quizergebnis_Prozent]]&lt;0.8, "Gut bestanden",
TRUE, "Sehr gut bestanden")</f>
        <v>Nicht bestanden</v>
      </c>
      <c r="S254" s="3">
        <v>9</v>
      </c>
      <c r="T254" s="3" t="str" cm="1">
        <f t="array" ref="T254">_xlfn.IFS(Trainingsabschluss[[#This Row],[Training_Bewertung]]&gt;=9, "Promotor", Trainingsabschluss[[#This Row],[Training_Bewertung]]
&lt;=6, "Detraktor",
TRUE, "Passiv")</f>
        <v>Promotor</v>
      </c>
      <c r="W254"/>
    </row>
    <row r="255" spans="1:23" x14ac:dyDescent="0.3">
      <c r="A255" s="13" t="s">
        <v>438</v>
      </c>
      <c r="B255" s="2">
        <v>5</v>
      </c>
      <c r="C255" s="2">
        <v>5</v>
      </c>
      <c r="D255" s="2">
        <v>1.5</v>
      </c>
      <c r="E255" s="2">
        <v>1.5</v>
      </c>
      <c r="F255" s="2">
        <v>2</v>
      </c>
      <c r="G255" s="2" t="str">
        <f>_xlfn.XLOOKUP(Trainingsabschluss[[#This Row],[UserID]], Teilnehmende[UserID], Teilnehmende[Branche], "UserID nicht gefunden")</f>
        <v>IT und Technologie</v>
      </c>
      <c r="H255" t="str">
        <f>_xlfn.XLOOKUP(Trainingsabschluss[[#This Row],[UserID]], Teilnehmende[UserID], Teilnehmende[Bildungsabschluss], "UserID nicht gefunden")</f>
        <v>Bachelor</v>
      </c>
      <c r="I255" s="3">
        <f>_xlfn.XLOOKUP(Trainingsabschluss[[#This Row],[UserID]], Teilnehmende[UserID], Teilnehmende[Berufserfahrung])</f>
        <v>8</v>
      </c>
      <c r="J255" s="3" t="str" cm="1">
        <f t="array" ref="J25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55" s="11">
        <f>Trainingsabschluss[[#This Row],[Quiz_Frage1_Punkte]]/Max_Frage1</f>
        <v>1</v>
      </c>
      <c r="L255" s="11">
        <f>Trainingsabschluss[[#This Row],[Quiz_Frage2_Punkte]]/Max_Frage2</f>
        <v>1</v>
      </c>
      <c r="M255" s="11">
        <f>Trainingsabschluss[[#This Row],[Quiz_Frage3_Punkte]]/Max_Frage3</f>
        <v>0.3</v>
      </c>
      <c r="N255" s="11">
        <f>Trainingsabschluss[[#This Row],[Quiz_Frage4_Punkte]]/Max_Frage4</f>
        <v>0.375</v>
      </c>
      <c r="O255" s="11">
        <f>Trainingsabschluss[[#This Row],[Quiz_Frage5_Punkte]]/Max_Frage5</f>
        <v>0.66666666666666663</v>
      </c>
      <c r="P255" s="2">
        <f>Trainingsabschluss[[#This Row],[Quiz_Frage1_Punkte]]+Trainingsabschluss[[#This Row],[Quiz_Frage2_Punkte]]+Trainingsabschluss[[#This Row],[Quiz_Frage3_Punkte]]+Trainingsabschluss[[#This Row],[Quiz_Frage4_Punkte]]+Trainingsabschluss[[#This Row],[Quiz_Frage5_Punkte]]</f>
        <v>15</v>
      </c>
      <c r="Q255" s="8">
        <f>Trainingsabschluss[[#This Row],[Quizergebnis]]/Max_Quizergebnis</f>
        <v>0.68181818181818177</v>
      </c>
      <c r="R255" t="str" cm="1">
        <f t="array" ref="R255">_xlfn.IFS(Trainingsabschluss[[#This Row],[Quizergebnis_Prozent]]&lt;0.5, "Nicht bestanden",
Trainingsabschluss[[#This Row],[Quizergebnis_Prozent]]&lt;0.65, "Bestanden",
Trainingsabschluss[[#This Row],[Quizergebnis_Prozent]]&lt;0.8, "Gut bestanden",
TRUE, "Sehr gut bestanden")</f>
        <v>Gut bestanden</v>
      </c>
      <c r="S255" s="3">
        <v>9</v>
      </c>
      <c r="T255" s="3" t="str" cm="1">
        <f t="array" ref="T255">_xlfn.IFS(Trainingsabschluss[[#This Row],[Training_Bewertung]]&gt;=9, "Promotor", Trainingsabschluss[[#This Row],[Training_Bewertung]]
&lt;=6, "Detraktor",
TRUE, "Passiv")</f>
        <v>Promotor</v>
      </c>
      <c r="W255"/>
    </row>
    <row r="256" spans="1:23" x14ac:dyDescent="0.3">
      <c r="A256" s="13" t="s">
        <v>439</v>
      </c>
      <c r="B256" s="2">
        <v>4</v>
      </c>
      <c r="C256" s="2">
        <v>3</v>
      </c>
      <c r="D256" s="2">
        <v>1.5</v>
      </c>
      <c r="E256" s="2">
        <v>3</v>
      </c>
      <c r="F256" s="2">
        <v>2</v>
      </c>
      <c r="G256" s="2" t="str">
        <f>_xlfn.XLOOKUP(Trainingsabschluss[[#This Row],[UserID]], Teilnehmende[UserID], Teilnehmende[Branche], "UserID nicht gefunden")</f>
        <v>IT und Technologie</v>
      </c>
      <c r="H256" t="str">
        <f>_xlfn.XLOOKUP(Trainingsabschluss[[#This Row],[UserID]], Teilnehmende[UserID], Teilnehmende[Bildungsabschluss], "UserID nicht gefunden")</f>
        <v>Bachelor</v>
      </c>
      <c r="I256" s="3">
        <f>_xlfn.XLOOKUP(Trainingsabschluss[[#This Row],[UserID]], Teilnehmende[UserID], Teilnehmende[Berufserfahrung])</f>
        <v>7</v>
      </c>
      <c r="J256" s="3" t="str" cm="1">
        <f t="array" ref="J25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56" s="11">
        <f>Trainingsabschluss[[#This Row],[Quiz_Frage1_Punkte]]/Max_Frage1</f>
        <v>0.8</v>
      </c>
      <c r="L256" s="11">
        <f>Trainingsabschluss[[#This Row],[Quiz_Frage2_Punkte]]/Max_Frage2</f>
        <v>0.6</v>
      </c>
      <c r="M256" s="11">
        <f>Trainingsabschluss[[#This Row],[Quiz_Frage3_Punkte]]/Max_Frage3</f>
        <v>0.3</v>
      </c>
      <c r="N256" s="11">
        <f>Trainingsabschluss[[#This Row],[Quiz_Frage4_Punkte]]/Max_Frage4</f>
        <v>0.75</v>
      </c>
      <c r="O256" s="11">
        <f>Trainingsabschluss[[#This Row],[Quiz_Frage5_Punkte]]/Max_Frage5</f>
        <v>0.66666666666666663</v>
      </c>
      <c r="P256" s="2">
        <f>Trainingsabschluss[[#This Row],[Quiz_Frage1_Punkte]]+Trainingsabschluss[[#This Row],[Quiz_Frage2_Punkte]]+Trainingsabschluss[[#This Row],[Quiz_Frage3_Punkte]]+Trainingsabschluss[[#This Row],[Quiz_Frage4_Punkte]]+Trainingsabschluss[[#This Row],[Quiz_Frage5_Punkte]]</f>
        <v>13.5</v>
      </c>
      <c r="Q256" s="8">
        <f>Trainingsabschluss[[#This Row],[Quizergebnis]]/Max_Quizergebnis</f>
        <v>0.61363636363636365</v>
      </c>
      <c r="R256" t="str" cm="1">
        <f t="array" ref="R256">_xlfn.IFS(Trainingsabschluss[[#This Row],[Quizergebnis_Prozent]]&lt;0.5, "Nicht bestanden",
Trainingsabschluss[[#This Row],[Quizergebnis_Prozent]]&lt;0.65, "Bestanden",
Trainingsabschluss[[#This Row],[Quizergebnis_Prozent]]&lt;0.8, "Gut bestanden",
TRUE, "Sehr gut bestanden")</f>
        <v>Bestanden</v>
      </c>
      <c r="S256" s="3">
        <v>9</v>
      </c>
      <c r="T256" s="3" t="str" cm="1">
        <f t="array" ref="T256">_xlfn.IFS(Trainingsabschluss[[#This Row],[Training_Bewertung]]&gt;=9, "Promotor", Trainingsabschluss[[#This Row],[Training_Bewertung]]
&lt;=6, "Detraktor",
TRUE, "Passiv")</f>
        <v>Promotor</v>
      </c>
      <c r="W256"/>
    </row>
    <row r="257" spans="1:23" x14ac:dyDescent="0.3">
      <c r="A257" s="13" t="s">
        <v>440</v>
      </c>
      <c r="B257" s="2">
        <v>5</v>
      </c>
      <c r="C257" s="2">
        <v>4</v>
      </c>
      <c r="D257" s="2">
        <v>4</v>
      </c>
      <c r="E257" s="2">
        <v>3.5</v>
      </c>
      <c r="F257" s="2">
        <v>2</v>
      </c>
      <c r="G257" s="2" t="str">
        <f>_xlfn.XLOOKUP(Trainingsabschluss[[#This Row],[UserID]], Teilnehmende[UserID], Teilnehmende[Branche], "UserID nicht gefunden")</f>
        <v>IT und Technologie</v>
      </c>
      <c r="H257" t="str">
        <f>_xlfn.XLOOKUP(Trainingsabschluss[[#This Row],[UserID]], Teilnehmende[UserID], Teilnehmende[Bildungsabschluss], "UserID nicht gefunden")</f>
        <v>Bachelor</v>
      </c>
      <c r="I257" s="3">
        <f>_xlfn.XLOOKUP(Trainingsabschluss[[#This Row],[UserID]], Teilnehmende[UserID], Teilnehmende[Berufserfahrung])</f>
        <v>18</v>
      </c>
      <c r="J257" s="3" t="str" cm="1">
        <f t="array" ref="J257">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57" s="11">
        <f>Trainingsabschluss[[#This Row],[Quiz_Frage1_Punkte]]/Max_Frage1</f>
        <v>1</v>
      </c>
      <c r="L257" s="11">
        <f>Trainingsabschluss[[#This Row],[Quiz_Frage2_Punkte]]/Max_Frage2</f>
        <v>0.8</v>
      </c>
      <c r="M257" s="11">
        <f>Trainingsabschluss[[#This Row],[Quiz_Frage3_Punkte]]/Max_Frage3</f>
        <v>0.8</v>
      </c>
      <c r="N257" s="11">
        <f>Trainingsabschluss[[#This Row],[Quiz_Frage4_Punkte]]/Max_Frage4</f>
        <v>0.875</v>
      </c>
      <c r="O257" s="11">
        <f>Trainingsabschluss[[#This Row],[Quiz_Frage5_Punkte]]/Max_Frage5</f>
        <v>0.66666666666666663</v>
      </c>
      <c r="P257" s="2">
        <f>Trainingsabschluss[[#This Row],[Quiz_Frage1_Punkte]]+Trainingsabschluss[[#This Row],[Quiz_Frage2_Punkte]]+Trainingsabschluss[[#This Row],[Quiz_Frage3_Punkte]]+Trainingsabschluss[[#This Row],[Quiz_Frage4_Punkte]]+Trainingsabschluss[[#This Row],[Quiz_Frage5_Punkte]]</f>
        <v>18.5</v>
      </c>
      <c r="Q257" s="8">
        <f>Trainingsabschluss[[#This Row],[Quizergebnis]]/Max_Quizergebnis</f>
        <v>0.84090909090909094</v>
      </c>
      <c r="R257" t="str" cm="1">
        <f t="array" ref="R257">_xlfn.IFS(Trainingsabschluss[[#This Row],[Quizergebnis_Prozent]]&lt;0.5, "Nicht bestanden",
Trainingsabschluss[[#This Row],[Quizergebnis_Prozent]]&lt;0.65, "Bestanden",
Trainingsabschluss[[#This Row],[Quizergebnis_Prozent]]&lt;0.8, "Gut bestanden",
TRUE, "Sehr gut bestanden")</f>
        <v>Sehr gut bestanden</v>
      </c>
      <c r="S257" s="3">
        <v>9</v>
      </c>
      <c r="T257" s="3" t="str" cm="1">
        <f t="array" ref="T257">_xlfn.IFS(Trainingsabschluss[[#This Row],[Training_Bewertung]]&gt;=9, "Promotor", Trainingsabschluss[[#This Row],[Training_Bewertung]]
&lt;=6, "Detraktor",
TRUE, "Passiv")</f>
        <v>Promotor</v>
      </c>
      <c r="W257"/>
    </row>
    <row r="258" spans="1:23" x14ac:dyDescent="0.3">
      <c r="A258" s="13" t="s">
        <v>441</v>
      </c>
      <c r="B258" s="2">
        <v>4.5</v>
      </c>
      <c r="C258" s="2">
        <v>2</v>
      </c>
      <c r="D258" s="2">
        <v>4</v>
      </c>
      <c r="E258" s="2">
        <v>2.5</v>
      </c>
      <c r="F258" s="2">
        <v>1.5</v>
      </c>
      <c r="G258" s="2" t="str">
        <f>_xlfn.XLOOKUP(Trainingsabschluss[[#This Row],[UserID]], Teilnehmende[UserID], Teilnehmende[Branche], "UserID nicht gefunden")</f>
        <v>IT und Technologie</v>
      </c>
      <c r="H258" t="str">
        <f>_xlfn.XLOOKUP(Trainingsabschluss[[#This Row],[UserID]], Teilnehmende[UserID], Teilnehmende[Bildungsabschluss], "UserID nicht gefunden")</f>
        <v>Bachelor</v>
      </c>
      <c r="I258" s="3">
        <f>_xlfn.XLOOKUP(Trainingsabschluss[[#This Row],[UserID]], Teilnehmende[UserID], Teilnehmende[Berufserfahrung])</f>
        <v>21</v>
      </c>
      <c r="J258" s="3" t="str" cm="1">
        <f t="array" ref="J258">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258" s="11">
        <f>Trainingsabschluss[[#This Row],[Quiz_Frage1_Punkte]]/Max_Frage1</f>
        <v>0.9</v>
      </c>
      <c r="L258" s="11">
        <f>Trainingsabschluss[[#This Row],[Quiz_Frage2_Punkte]]/Max_Frage2</f>
        <v>0.4</v>
      </c>
      <c r="M258" s="11">
        <f>Trainingsabschluss[[#This Row],[Quiz_Frage3_Punkte]]/Max_Frage3</f>
        <v>0.8</v>
      </c>
      <c r="N258" s="11">
        <f>Trainingsabschluss[[#This Row],[Quiz_Frage4_Punkte]]/Max_Frage4</f>
        <v>0.625</v>
      </c>
      <c r="O258" s="11">
        <f>Trainingsabschluss[[#This Row],[Quiz_Frage5_Punkte]]/Max_Frage5</f>
        <v>0.5</v>
      </c>
      <c r="P258" s="2">
        <f>Trainingsabschluss[[#This Row],[Quiz_Frage1_Punkte]]+Trainingsabschluss[[#This Row],[Quiz_Frage2_Punkte]]+Trainingsabschluss[[#This Row],[Quiz_Frage3_Punkte]]+Trainingsabschluss[[#This Row],[Quiz_Frage4_Punkte]]+Trainingsabschluss[[#This Row],[Quiz_Frage5_Punkte]]</f>
        <v>14.5</v>
      </c>
      <c r="Q258" s="8">
        <f>Trainingsabschluss[[#This Row],[Quizergebnis]]/Max_Quizergebnis</f>
        <v>0.65909090909090906</v>
      </c>
      <c r="R258" t="str" cm="1">
        <f t="array" ref="R258">_xlfn.IFS(Trainingsabschluss[[#This Row],[Quizergebnis_Prozent]]&lt;0.5, "Nicht bestanden",
Trainingsabschluss[[#This Row],[Quizergebnis_Prozent]]&lt;0.65, "Bestanden",
Trainingsabschluss[[#This Row],[Quizergebnis_Prozent]]&lt;0.8, "Gut bestanden",
TRUE, "Sehr gut bestanden")</f>
        <v>Gut bestanden</v>
      </c>
      <c r="S258" s="3">
        <v>9</v>
      </c>
      <c r="T258" s="3" t="str" cm="1">
        <f t="array" ref="T258">_xlfn.IFS(Trainingsabschluss[[#This Row],[Training_Bewertung]]&gt;=9, "Promotor", Trainingsabschluss[[#This Row],[Training_Bewertung]]
&lt;=6, "Detraktor",
TRUE, "Passiv")</f>
        <v>Promotor</v>
      </c>
      <c r="W258"/>
    </row>
    <row r="259" spans="1:23" x14ac:dyDescent="0.3">
      <c r="A259" s="13" t="s">
        <v>444</v>
      </c>
      <c r="B259" s="2">
        <v>4</v>
      </c>
      <c r="C259" s="2">
        <v>4</v>
      </c>
      <c r="D259" s="2">
        <v>3.5</v>
      </c>
      <c r="E259" s="2">
        <v>4</v>
      </c>
      <c r="F259" s="2">
        <v>1</v>
      </c>
      <c r="G259" s="2" t="str">
        <f>_xlfn.XLOOKUP(Trainingsabschluss[[#This Row],[UserID]], Teilnehmende[UserID], Teilnehmende[Branche], "UserID nicht gefunden")</f>
        <v>IT und Technologie</v>
      </c>
      <c r="H259" t="str">
        <f>_xlfn.XLOOKUP(Trainingsabschluss[[#This Row],[UserID]], Teilnehmende[UserID], Teilnehmende[Bildungsabschluss], "UserID nicht gefunden")</f>
        <v>Bachelor</v>
      </c>
      <c r="I259" s="3">
        <f>_xlfn.XLOOKUP(Trainingsabschluss[[#This Row],[UserID]], Teilnehmende[UserID], Teilnehmende[Berufserfahrung])</f>
        <v>11</v>
      </c>
      <c r="J259" s="3" t="str" cm="1">
        <f t="array" ref="J25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59" s="11">
        <f>Trainingsabschluss[[#This Row],[Quiz_Frage1_Punkte]]/Max_Frage1</f>
        <v>0.8</v>
      </c>
      <c r="L259" s="11">
        <f>Trainingsabschluss[[#This Row],[Quiz_Frage2_Punkte]]/Max_Frage2</f>
        <v>0.8</v>
      </c>
      <c r="M259" s="11">
        <f>Trainingsabschluss[[#This Row],[Quiz_Frage3_Punkte]]/Max_Frage3</f>
        <v>0.7</v>
      </c>
      <c r="N259" s="11">
        <f>Trainingsabschluss[[#This Row],[Quiz_Frage4_Punkte]]/Max_Frage4</f>
        <v>1</v>
      </c>
      <c r="O259" s="11">
        <f>Trainingsabschluss[[#This Row],[Quiz_Frage5_Punkte]]/Max_Frage5</f>
        <v>0.33333333333333331</v>
      </c>
      <c r="P259" s="2">
        <f>Trainingsabschluss[[#This Row],[Quiz_Frage1_Punkte]]+Trainingsabschluss[[#This Row],[Quiz_Frage2_Punkte]]+Trainingsabschluss[[#This Row],[Quiz_Frage3_Punkte]]+Trainingsabschluss[[#This Row],[Quiz_Frage4_Punkte]]+Trainingsabschluss[[#This Row],[Quiz_Frage5_Punkte]]</f>
        <v>16.5</v>
      </c>
      <c r="Q259" s="8">
        <f>Trainingsabschluss[[#This Row],[Quizergebnis]]/Max_Quizergebnis</f>
        <v>0.75</v>
      </c>
      <c r="R259" t="str" cm="1">
        <f t="array" ref="R259">_xlfn.IFS(Trainingsabschluss[[#This Row],[Quizergebnis_Prozent]]&lt;0.5, "Nicht bestanden",
Trainingsabschluss[[#This Row],[Quizergebnis_Prozent]]&lt;0.65, "Bestanden",
Trainingsabschluss[[#This Row],[Quizergebnis_Prozent]]&lt;0.8, "Gut bestanden",
TRUE, "Sehr gut bestanden")</f>
        <v>Gut bestanden</v>
      </c>
      <c r="S259" s="3">
        <v>9</v>
      </c>
      <c r="T259" s="3" t="str" cm="1">
        <f t="array" ref="T259">_xlfn.IFS(Trainingsabschluss[[#This Row],[Training_Bewertung]]&gt;=9, "Promotor", Trainingsabschluss[[#This Row],[Training_Bewertung]]
&lt;=6, "Detraktor",
TRUE, "Passiv")</f>
        <v>Promotor</v>
      </c>
      <c r="W259"/>
    </row>
    <row r="260" spans="1:23" x14ac:dyDescent="0.3">
      <c r="A260" s="13" t="s">
        <v>445</v>
      </c>
      <c r="B260" s="2">
        <v>4.5</v>
      </c>
      <c r="C260" s="2">
        <v>5</v>
      </c>
      <c r="D260" s="2">
        <v>0.5</v>
      </c>
      <c r="E260" s="2">
        <v>2.5</v>
      </c>
      <c r="F260" s="2">
        <v>2.5</v>
      </c>
      <c r="G260" s="2" t="str">
        <f>_xlfn.XLOOKUP(Trainingsabschluss[[#This Row],[UserID]], Teilnehmende[UserID], Teilnehmende[Branche], "UserID nicht gefunden")</f>
        <v>IT und Technologie</v>
      </c>
      <c r="H260" t="str">
        <f>_xlfn.XLOOKUP(Trainingsabschluss[[#This Row],[UserID]], Teilnehmende[UserID], Teilnehmende[Bildungsabschluss], "UserID nicht gefunden")</f>
        <v>Bachelor</v>
      </c>
      <c r="I260" s="3">
        <f>_xlfn.XLOOKUP(Trainingsabschluss[[#This Row],[UserID]], Teilnehmende[UserID], Teilnehmende[Berufserfahrung])</f>
        <v>6</v>
      </c>
      <c r="J260" s="3" t="str" cm="1">
        <f t="array" ref="J26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60" s="11">
        <f>Trainingsabschluss[[#This Row],[Quiz_Frage1_Punkte]]/Max_Frage1</f>
        <v>0.9</v>
      </c>
      <c r="L260" s="11">
        <f>Trainingsabschluss[[#This Row],[Quiz_Frage2_Punkte]]/Max_Frage2</f>
        <v>1</v>
      </c>
      <c r="M260" s="11">
        <f>Trainingsabschluss[[#This Row],[Quiz_Frage3_Punkte]]/Max_Frage3</f>
        <v>0.1</v>
      </c>
      <c r="N260" s="11">
        <f>Trainingsabschluss[[#This Row],[Quiz_Frage4_Punkte]]/Max_Frage4</f>
        <v>0.625</v>
      </c>
      <c r="O260" s="11">
        <f>Trainingsabschluss[[#This Row],[Quiz_Frage5_Punkte]]/Max_Frage5</f>
        <v>0.83333333333333337</v>
      </c>
      <c r="P260" s="2">
        <f>Trainingsabschluss[[#This Row],[Quiz_Frage1_Punkte]]+Trainingsabschluss[[#This Row],[Quiz_Frage2_Punkte]]+Trainingsabschluss[[#This Row],[Quiz_Frage3_Punkte]]+Trainingsabschluss[[#This Row],[Quiz_Frage4_Punkte]]+Trainingsabschluss[[#This Row],[Quiz_Frage5_Punkte]]</f>
        <v>15</v>
      </c>
      <c r="Q260" s="8">
        <f>Trainingsabschluss[[#This Row],[Quizergebnis]]/Max_Quizergebnis</f>
        <v>0.68181818181818177</v>
      </c>
      <c r="R260" t="str" cm="1">
        <f t="array" ref="R260">_xlfn.IFS(Trainingsabschluss[[#This Row],[Quizergebnis_Prozent]]&lt;0.5, "Nicht bestanden",
Trainingsabschluss[[#This Row],[Quizergebnis_Prozent]]&lt;0.65, "Bestanden",
Trainingsabschluss[[#This Row],[Quizergebnis_Prozent]]&lt;0.8, "Gut bestanden",
TRUE, "Sehr gut bestanden")</f>
        <v>Gut bestanden</v>
      </c>
      <c r="S260" s="3">
        <v>9</v>
      </c>
      <c r="T260" s="3" t="str" cm="1">
        <f t="array" ref="T260">_xlfn.IFS(Trainingsabschluss[[#This Row],[Training_Bewertung]]&gt;=9, "Promotor", Trainingsabschluss[[#This Row],[Training_Bewertung]]
&lt;=6, "Detraktor",
TRUE, "Passiv")</f>
        <v>Promotor</v>
      </c>
      <c r="W260"/>
    </row>
    <row r="261" spans="1:23" x14ac:dyDescent="0.3">
      <c r="A261" s="13" t="s">
        <v>451</v>
      </c>
      <c r="B261" s="2">
        <v>4</v>
      </c>
      <c r="C261" s="2">
        <v>2.5</v>
      </c>
      <c r="D261" s="2">
        <v>0.5</v>
      </c>
      <c r="E261" s="2">
        <v>3</v>
      </c>
      <c r="F261" s="2">
        <v>3</v>
      </c>
      <c r="G261" s="2" t="str">
        <f>_xlfn.XLOOKUP(Trainingsabschluss[[#This Row],[UserID]], Teilnehmende[UserID], Teilnehmende[Branche], "UserID nicht gefunden")</f>
        <v>IT und Technologie</v>
      </c>
      <c r="H261" t="str">
        <f>_xlfn.XLOOKUP(Trainingsabschluss[[#This Row],[UserID]], Teilnehmende[UserID], Teilnehmende[Bildungsabschluss], "UserID nicht gefunden")</f>
        <v>Bachelor</v>
      </c>
      <c r="I261" s="3">
        <f>_xlfn.XLOOKUP(Trainingsabschluss[[#This Row],[UserID]], Teilnehmende[UserID], Teilnehmende[Berufserfahrung])</f>
        <v>6</v>
      </c>
      <c r="J261" s="3" t="str" cm="1">
        <f t="array" ref="J26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61" s="11">
        <f>Trainingsabschluss[[#This Row],[Quiz_Frage1_Punkte]]/Max_Frage1</f>
        <v>0.8</v>
      </c>
      <c r="L261" s="11">
        <f>Trainingsabschluss[[#This Row],[Quiz_Frage2_Punkte]]/Max_Frage2</f>
        <v>0.5</v>
      </c>
      <c r="M261" s="11">
        <f>Trainingsabschluss[[#This Row],[Quiz_Frage3_Punkte]]/Max_Frage3</f>
        <v>0.1</v>
      </c>
      <c r="N261" s="11">
        <f>Trainingsabschluss[[#This Row],[Quiz_Frage4_Punkte]]/Max_Frage4</f>
        <v>0.75</v>
      </c>
      <c r="O261" s="11">
        <f>Trainingsabschluss[[#This Row],[Quiz_Frage5_Punkte]]/Max_Frage5</f>
        <v>1</v>
      </c>
      <c r="P261" s="2">
        <f>Trainingsabschluss[[#This Row],[Quiz_Frage1_Punkte]]+Trainingsabschluss[[#This Row],[Quiz_Frage2_Punkte]]+Trainingsabschluss[[#This Row],[Quiz_Frage3_Punkte]]+Trainingsabschluss[[#This Row],[Quiz_Frage4_Punkte]]+Trainingsabschluss[[#This Row],[Quiz_Frage5_Punkte]]</f>
        <v>13</v>
      </c>
      <c r="Q261" s="8">
        <f>Trainingsabschluss[[#This Row],[Quizergebnis]]/Max_Quizergebnis</f>
        <v>0.59090909090909094</v>
      </c>
      <c r="R261" t="str" cm="1">
        <f t="array" ref="R261">_xlfn.IFS(Trainingsabschluss[[#This Row],[Quizergebnis_Prozent]]&lt;0.5, "Nicht bestanden",
Trainingsabschluss[[#This Row],[Quizergebnis_Prozent]]&lt;0.65, "Bestanden",
Trainingsabschluss[[#This Row],[Quizergebnis_Prozent]]&lt;0.8, "Gut bestanden",
TRUE, "Sehr gut bestanden")</f>
        <v>Bestanden</v>
      </c>
      <c r="S261" s="3">
        <v>9</v>
      </c>
      <c r="T261" s="3" t="str" cm="1">
        <f t="array" ref="T261">_xlfn.IFS(Trainingsabschluss[[#This Row],[Training_Bewertung]]&gt;=9, "Promotor", Trainingsabschluss[[#This Row],[Training_Bewertung]]
&lt;=6, "Detraktor",
TRUE, "Passiv")</f>
        <v>Promotor</v>
      </c>
      <c r="W261"/>
    </row>
    <row r="262" spans="1:23" x14ac:dyDescent="0.3">
      <c r="A262" s="13" t="s">
        <v>452</v>
      </c>
      <c r="B262" s="2">
        <v>4.5</v>
      </c>
      <c r="C262" s="2">
        <v>4</v>
      </c>
      <c r="D262" s="2">
        <v>2</v>
      </c>
      <c r="E262" s="2">
        <v>2.5</v>
      </c>
      <c r="F262" s="2">
        <v>0</v>
      </c>
      <c r="G262" s="2" t="str">
        <f>_xlfn.XLOOKUP(Trainingsabschluss[[#This Row],[UserID]], Teilnehmende[UserID], Teilnehmende[Branche], "UserID nicht gefunden")</f>
        <v>IT und Technologie</v>
      </c>
      <c r="H262" t="str">
        <f>_xlfn.XLOOKUP(Trainingsabschluss[[#This Row],[UserID]], Teilnehmende[UserID], Teilnehmende[Bildungsabschluss], "UserID nicht gefunden")</f>
        <v>Bachelor</v>
      </c>
      <c r="I262" s="3">
        <f>_xlfn.XLOOKUP(Trainingsabschluss[[#This Row],[UserID]], Teilnehmende[UserID], Teilnehmende[Berufserfahrung])</f>
        <v>13</v>
      </c>
      <c r="J262" s="3" t="str" cm="1">
        <f t="array" ref="J26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62" s="11">
        <f>Trainingsabschluss[[#This Row],[Quiz_Frage1_Punkte]]/Max_Frage1</f>
        <v>0.9</v>
      </c>
      <c r="L262" s="11">
        <f>Trainingsabschluss[[#This Row],[Quiz_Frage2_Punkte]]/Max_Frage2</f>
        <v>0.8</v>
      </c>
      <c r="M262" s="11">
        <f>Trainingsabschluss[[#This Row],[Quiz_Frage3_Punkte]]/Max_Frage3</f>
        <v>0.4</v>
      </c>
      <c r="N262" s="11">
        <f>Trainingsabschluss[[#This Row],[Quiz_Frage4_Punkte]]/Max_Frage4</f>
        <v>0.625</v>
      </c>
      <c r="O262" s="11">
        <f>Trainingsabschluss[[#This Row],[Quiz_Frage5_Punkte]]/Max_Frage5</f>
        <v>0</v>
      </c>
      <c r="P262" s="2">
        <f>Trainingsabschluss[[#This Row],[Quiz_Frage1_Punkte]]+Trainingsabschluss[[#This Row],[Quiz_Frage2_Punkte]]+Trainingsabschluss[[#This Row],[Quiz_Frage3_Punkte]]+Trainingsabschluss[[#This Row],[Quiz_Frage4_Punkte]]+Trainingsabschluss[[#This Row],[Quiz_Frage5_Punkte]]</f>
        <v>13</v>
      </c>
      <c r="Q262" s="8">
        <f>Trainingsabschluss[[#This Row],[Quizergebnis]]/Max_Quizergebnis</f>
        <v>0.59090909090909094</v>
      </c>
      <c r="R262" t="str" cm="1">
        <f t="array" ref="R262">_xlfn.IFS(Trainingsabschluss[[#This Row],[Quizergebnis_Prozent]]&lt;0.5, "Nicht bestanden",
Trainingsabschluss[[#This Row],[Quizergebnis_Prozent]]&lt;0.65, "Bestanden",
Trainingsabschluss[[#This Row],[Quizergebnis_Prozent]]&lt;0.8, "Gut bestanden",
TRUE, "Sehr gut bestanden")</f>
        <v>Bestanden</v>
      </c>
      <c r="S262" s="3">
        <v>10</v>
      </c>
      <c r="T262" s="3" t="str" cm="1">
        <f t="array" ref="T262">_xlfn.IFS(Trainingsabschluss[[#This Row],[Training_Bewertung]]&gt;=9, "Promotor", Trainingsabschluss[[#This Row],[Training_Bewertung]]
&lt;=6, "Detraktor",
TRUE, "Passiv")</f>
        <v>Promotor</v>
      </c>
      <c r="W262"/>
    </row>
    <row r="263" spans="1:23" x14ac:dyDescent="0.3">
      <c r="A263" s="13" t="s">
        <v>453</v>
      </c>
      <c r="B263" s="2">
        <v>5</v>
      </c>
      <c r="C263" s="2">
        <v>3.5</v>
      </c>
      <c r="D263" s="2">
        <v>0.5</v>
      </c>
      <c r="E263" s="2">
        <v>2</v>
      </c>
      <c r="F263" s="2">
        <v>1</v>
      </c>
      <c r="G263" s="2" t="str">
        <f>_xlfn.XLOOKUP(Trainingsabschluss[[#This Row],[UserID]], Teilnehmende[UserID], Teilnehmende[Branche], "UserID nicht gefunden")</f>
        <v>IT und Technologie</v>
      </c>
      <c r="H263" t="str">
        <f>_xlfn.XLOOKUP(Trainingsabschluss[[#This Row],[UserID]], Teilnehmende[UserID], Teilnehmende[Bildungsabschluss], "UserID nicht gefunden")</f>
        <v>Bachelor</v>
      </c>
      <c r="I263" s="3">
        <f>_xlfn.XLOOKUP(Trainingsabschluss[[#This Row],[UserID]], Teilnehmende[UserID], Teilnehmende[Berufserfahrung])</f>
        <v>2</v>
      </c>
      <c r="J263" s="3" t="str" cm="1">
        <f t="array" ref="J263">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63" s="11">
        <f>Trainingsabschluss[[#This Row],[Quiz_Frage1_Punkte]]/Max_Frage1</f>
        <v>1</v>
      </c>
      <c r="L263" s="11">
        <f>Trainingsabschluss[[#This Row],[Quiz_Frage2_Punkte]]/Max_Frage2</f>
        <v>0.7</v>
      </c>
      <c r="M263" s="11">
        <f>Trainingsabschluss[[#This Row],[Quiz_Frage3_Punkte]]/Max_Frage3</f>
        <v>0.1</v>
      </c>
      <c r="N263" s="11">
        <f>Trainingsabschluss[[#This Row],[Quiz_Frage4_Punkte]]/Max_Frage4</f>
        <v>0.5</v>
      </c>
      <c r="O263" s="11">
        <f>Trainingsabschluss[[#This Row],[Quiz_Frage5_Punkte]]/Max_Frage5</f>
        <v>0.33333333333333331</v>
      </c>
      <c r="P263" s="2">
        <f>Trainingsabschluss[[#This Row],[Quiz_Frage1_Punkte]]+Trainingsabschluss[[#This Row],[Quiz_Frage2_Punkte]]+Trainingsabschluss[[#This Row],[Quiz_Frage3_Punkte]]+Trainingsabschluss[[#This Row],[Quiz_Frage4_Punkte]]+Trainingsabschluss[[#This Row],[Quiz_Frage5_Punkte]]</f>
        <v>12</v>
      </c>
      <c r="Q263" s="8">
        <f>Trainingsabschluss[[#This Row],[Quizergebnis]]/Max_Quizergebnis</f>
        <v>0.54545454545454541</v>
      </c>
      <c r="R263" t="str" cm="1">
        <f t="array" ref="R263">_xlfn.IFS(Trainingsabschluss[[#This Row],[Quizergebnis_Prozent]]&lt;0.5, "Nicht bestanden",
Trainingsabschluss[[#This Row],[Quizergebnis_Prozent]]&lt;0.65, "Bestanden",
Trainingsabschluss[[#This Row],[Quizergebnis_Prozent]]&lt;0.8, "Gut bestanden",
TRUE, "Sehr gut bestanden")</f>
        <v>Bestanden</v>
      </c>
      <c r="S263" s="3">
        <v>10</v>
      </c>
      <c r="T263" s="3" t="str" cm="1">
        <f t="array" ref="T263">_xlfn.IFS(Trainingsabschluss[[#This Row],[Training_Bewertung]]&gt;=9, "Promotor", Trainingsabschluss[[#This Row],[Training_Bewertung]]
&lt;=6, "Detraktor",
TRUE, "Passiv")</f>
        <v>Promotor</v>
      </c>
      <c r="W263"/>
    </row>
    <row r="264" spans="1:23" x14ac:dyDescent="0.3">
      <c r="A264" s="13" t="s">
        <v>459</v>
      </c>
      <c r="B264" s="2">
        <v>5</v>
      </c>
      <c r="C264" s="2">
        <v>5</v>
      </c>
      <c r="D264" s="2">
        <v>1.5</v>
      </c>
      <c r="E264" s="2">
        <v>0.5</v>
      </c>
      <c r="F264" s="2">
        <v>3</v>
      </c>
      <c r="G264" s="2" t="str">
        <f>_xlfn.XLOOKUP(Trainingsabschluss[[#This Row],[UserID]], Teilnehmende[UserID], Teilnehmende[Branche], "UserID nicht gefunden")</f>
        <v>IT und Technologie</v>
      </c>
      <c r="H264" t="str">
        <f>_xlfn.XLOOKUP(Trainingsabschluss[[#This Row],[UserID]], Teilnehmende[UserID], Teilnehmende[Bildungsabschluss], "UserID nicht gefunden")</f>
        <v>Bachelor</v>
      </c>
      <c r="I264" s="3">
        <f>_xlfn.XLOOKUP(Trainingsabschluss[[#This Row],[UserID]], Teilnehmende[UserID], Teilnehmende[Berufserfahrung])</f>
        <v>3</v>
      </c>
      <c r="J264" s="3" t="str" cm="1">
        <f t="array" ref="J26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64" s="11">
        <f>Trainingsabschluss[[#This Row],[Quiz_Frage1_Punkte]]/Max_Frage1</f>
        <v>1</v>
      </c>
      <c r="L264" s="11">
        <f>Trainingsabschluss[[#This Row],[Quiz_Frage2_Punkte]]/Max_Frage2</f>
        <v>1</v>
      </c>
      <c r="M264" s="11">
        <f>Trainingsabschluss[[#This Row],[Quiz_Frage3_Punkte]]/Max_Frage3</f>
        <v>0.3</v>
      </c>
      <c r="N264" s="11">
        <f>Trainingsabschluss[[#This Row],[Quiz_Frage4_Punkte]]/Max_Frage4</f>
        <v>0.125</v>
      </c>
      <c r="O264" s="11">
        <f>Trainingsabschluss[[#This Row],[Quiz_Frage5_Punkte]]/Max_Frage5</f>
        <v>1</v>
      </c>
      <c r="P264" s="2">
        <f>Trainingsabschluss[[#This Row],[Quiz_Frage1_Punkte]]+Trainingsabschluss[[#This Row],[Quiz_Frage2_Punkte]]+Trainingsabschluss[[#This Row],[Quiz_Frage3_Punkte]]+Trainingsabschluss[[#This Row],[Quiz_Frage4_Punkte]]+Trainingsabschluss[[#This Row],[Quiz_Frage5_Punkte]]</f>
        <v>15</v>
      </c>
      <c r="Q264" s="8">
        <f>Trainingsabschluss[[#This Row],[Quizergebnis]]/Max_Quizergebnis</f>
        <v>0.68181818181818177</v>
      </c>
      <c r="R264" t="str" cm="1">
        <f t="array" ref="R264">_xlfn.IFS(Trainingsabschluss[[#This Row],[Quizergebnis_Prozent]]&lt;0.5, "Nicht bestanden",
Trainingsabschluss[[#This Row],[Quizergebnis_Prozent]]&lt;0.65, "Bestanden",
Trainingsabschluss[[#This Row],[Quizergebnis_Prozent]]&lt;0.8, "Gut bestanden",
TRUE, "Sehr gut bestanden")</f>
        <v>Gut bestanden</v>
      </c>
      <c r="S264" s="3">
        <v>10</v>
      </c>
      <c r="T264" s="3" t="str" cm="1">
        <f t="array" ref="T264">_xlfn.IFS(Trainingsabschluss[[#This Row],[Training_Bewertung]]&gt;=9, "Promotor", Trainingsabschluss[[#This Row],[Training_Bewertung]]
&lt;=6, "Detraktor",
TRUE, "Passiv")</f>
        <v>Promotor</v>
      </c>
      <c r="W264"/>
    </row>
    <row r="265" spans="1:23" x14ac:dyDescent="0.3">
      <c r="A265" s="13" t="s">
        <v>460</v>
      </c>
      <c r="B265" s="2">
        <v>5</v>
      </c>
      <c r="C265" s="2">
        <v>2.5</v>
      </c>
      <c r="D265" s="2">
        <v>3</v>
      </c>
      <c r="E265" s="2">
        <v>2.5</v>
      </c>
      <c r="F265" s="2">
        <v>0.5</v>
      </c>
      <c r="G265" s="2" t="str">
        <f>_xlfn.XLOOKUP(Trainingsabschluss[[#This Row],[UserID]], Teilnehmende[UserID], Teilnehmende[Branche], "UserID nicht gefunden")</f>
        <v>IT und Technologie</v>
      </c>
      <c r="H265" t="str">
        <f>_xlfn.XLOOKUP(Trainingsabschluss[[#This Row],[UserID]], Teilnehmende[UserID], Teilnehmende[Bildungsabschluss], "UserID nicht gefunden")</f>
        <v>Bachelor</v>
      </c>
      <c r="I265" s="3">
        <f>_xlfn.XLOOKUP(Trainingsabschluss[[#This Row],[UserID]], Teilnehmende[UserID], Teilnehmende[Berufserfahrung])</f>
        <v>9</v>
      </c>
      <c r="J265" s="3" t="str" cm="1">
        <f t="array" ref="J26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65" s="11">
        <f>Trainingsabschluss[[#This Row],[Quiz_Frage1_Punkte]]/Max_Frage1</f>
        <v>1</v>
      </c>
      <c r="L265" s="11">
        <f>Trainingsabschluss[[#This Row],[Quiz_Frage2_Punkte]]/Max_Frage2</f>
        <v>0.5</v>
      </c>
      <c r="M265" s="11">
        <f>Trainingsabschluss[[#This Row],[Quiz_Frage3_Punkte]]/Max_Frage3</f>
        <v>0.6</v>
      </c>
      <c r="N265" s="11">
        <f>Trainingsabschluss[[#This Row],[Quiz_Frage4_Punkte]]/Max_Frage4</f>
        <v>0.625</v>
      </c>
      <c r="O265" s="11">
        <f>Trainingsabschluss[[#This Row],[Quiz_Frage5_Punkte]]/Max_Frage5</f>
        <v>0.16666666666666666</v>
      </c>
      <c r="P265" s="2">
        <f>Trainingsabschluss[[#This Row],[Quiz_Frage1_Punkte]]+Trainingsabschluss[[#This Row],[Quiz_Frage2_Punkte]]+Trainingsabschluss[[#This Row],[Quiz_Frage3_Punkte]]+Trainingsabschluss[[#This Row],[Quiz_Frage4_Punkte]]+Trainingsabschluss[[#This Row],[Quiz_Frage5_Punkte]]</f>
        <v>13.5</v>
      </c>
      <c r="Q265" s="8">
        <f>Trainingsabschluss[[#This Row],[Quizergebnis]]/Max_Quizergebnis</f>
        <v>0.61363636363636365</v>
      </c>
      <c r="R265" t="str" cm="1">
        <f t="array" ref="R265">_xlfn.IFS(Trainingsabschluss[[#This Row],[Quizergebnis_Prozent]]&lt;0.5, "Nicht bestanden",
Trainingsabschluss[[#This Row],[Quizergebnis_Prozent]]&lt;0.65, "Bestanden",
Trainingsabschluss[[#This Row],[Quizergebnis_Prozent]]&lt;0.8, "Gut bestanden",
TRUE, "Sehr gut bestanden")</f>
        <v>Bestanden</v>
      </c>
      <c r="S265" s="3">
        <v>10</v>
      </c>
      <c r="T265" s="3" t="str" cm="1">
        <f t="array" ref="T265">_xlfn.IFS(Trainingsabschluss[[#This Row],[Training_Bewertung]]&gt;=9, "Promotor", Trainingsabschluss[[#This Row],[Training_Bewertung]]
&lt;=6, "Detraktor",
TRUE, "Passiv")</f>
        <v>Promotor</v>
      </c>
      <c r="W265"/>
    </row>
    <row r="266" spans="1:23" x14ac:dyDescent="0.3">
      <c r="A266" s="13" t="s">
        <v>464</v>
      </c>
      <c r="B266" s="2">
        <v>5</v>
      </c>
      <c r="C266" s="2">
        <v>4</v>
      </c>
      <c r="D266" s="2">
        <v>3.5</v>
      </c>
      <c r="E266" s="2">
        <v>1.5</v>
      </c>
      <c r="F266" s="2">
        <v>1.5</v>
      </c>
      <c r="G266" s="2" t="str">
        <f>_xlfn.XLOOKUP(Trainingsabschluss[[#This Row],[UserID]], Teilnehmende[UserID], Teilnehmende[Branche], "UserID nicht gefunden")</f>
        <v>IT und Technologie</v>
      </c>
      <c r="H266" t="str">
        <f>_xlfn.XLOOKUP(Trainingsabschluss[[#This Row],[UserID]], Teilnehmende[UserID], Teilnehmende[Bildungsabschluss], "UserID nicht gefunden")</f>
        <v>Bachelor</v>
      </c>
      <c r="I266" s="3">
        <f>_xlfn.XLOOKUP(Trainingsabschluss[[#This Row],[UserID]], Teilnehmende[UserID], Teilnehmende[Berufserfahrung])</f>
        <v>13</v>
      </c>
      <c r="J266" s="3" t="str" cm="1">
        <f t="array" ref="J26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66" s="11">
        <f>Trainingsabschluss[[#This Row],[Quiz_Frage1_Punkte]]/Max_Frage1</f>
        <v>1</v>
      </c>
      <c r="L266" s="11">
        <f>Trainingsabschluss[[#This Row],[Quiz_Frage2_Punkte]]/Max_Frage2</f>
        <v>0.8</v>
      </c>
      <c r="M266" s="11">
        <f>Trainingsabschluss[[#This Row],[Quiz_Frage3_Punkte]]/Max_Frage3</f>
        <v>0.7</v>
      </c>
      <c r="N266" s="11">
        <f>Trainingsabschluss[[#This Row],[Quiz_Frage4_Punkte]]/Max_Frage4</f>
        <v>0.375</v>
      </c>
      <c r="O266" s="11">
        <f>Trainingsabschluss[[#This Row],[Quiz_Frage5_Punkte]]/Max_Frage5</f>
        <v>0.5</v>
      </c>
      <c r="P266" s="2">
        <f>Trainingsabschluss[[#This Row],[Quiz_Frage1_Punkte]]+Trainingsabschluss[[#This Row],[Quiz_Frage2_Punkte]]+Trainingsabschluss[[#This Row],[Quiz_Frage3_Punkte]]+Trainingsabschluss[[#This Row],[Quiz_Frage4_Punkte]]+Trainingsabschluss[[#This Row],[Quiz_Frage5_Punkte]]</f>
        <v>15.5</v>
      </c>
      <c r="Q266" s="8">
        <f>Trainingsabschluss[[#This Row],[Quizergebnis]]/Max_Quizergebnis</f>
        <v>0.70454545454545459</v>
      </c>
      <c r="R266" t="str" cm="1">
        <f t="array" ref="R266">_xlfn.IFS(Trainingsabschluss[[#This Row],[Quizergebnis_Prozent]]&lt;0.5, "Nicht bestanden",
Trainingsabschluss[[#This Row],[Quizergebnis_Prozent]]&lt;0.65, "Bestanden",
Trainingsabschluss[[#This Row],[Quizergebnis_Prozent]]&lt;0.8, "Gut bestanden",
TRUE, "Sehr gut bestanden")</f>
        <v>Gut bestanden</v>
      </c>
      <c r="S266" s="3">
        <v>10</v>
      </c>
      <c r="T266" s="3" t="str" cm="1">
        <f t="array" ref="T266">_xlfn.IFS(Trainingsabschluss[[#This Row],[Training_Bewertung]]&gt;=9, "Promotor", Trainingsabschluss[[#This Row],[Training_Bewertung]]
&lt;=6, "Detraktor",
TRUE, "Passiv")</f>
        <v>Promotor</v>
      </c>
      <c r="W266"/>
    </row>
    <row r="267" spans="1:23" x14ac:dyDescent="0.3">
      <c r="A267" s="13" t="s">
        <v>465</v>
      </c>
      <c r="B267" s="2">
        <v>2.5</v>
      </c>
      <c r="C267" s="2">
        <v>5</v>
      </c>
      <c r="D267" s="2">
        <v>3</v>
      </c>
      <c r="E267" s="2">
        <v>0</v>
      </c>
      <c r="F267" s="2">
        <v>2.5</v>
      </c>
      <c r="G267" s="2" t="str">
        <f>_xlfn.XLOOKUP(Trainingsabschluss[[#This Row],[UserID]], Teilnehmende[UserID], Teilnehmende[Branche], "UserID nicht gefunden")</f>
        <v>IT und Technologie</v>
      </c>
      <c r="H267" t="str">
        <f>_xlfn.XLOOKUP(Trainingsabschluss[[#This Row],[UserID]], Teilnehmende[UserID], Teilnehmende[Bildungsabschluss], "UserID nicht gefunden")</f>
        <v>Bachelor</v>
      </c>
      <c r="I267" s="3">
        <f>_xlfn.XLOOKUP(Trainingsabschluss[[#This Row],[UserID]], Teilnehmende[UserID], Teilnehmende[Berufserfahrung])</f>
        <v>17</v>
      </c>
      <c r="J267" s="3" t="str" cm="1">
        <f t="array" ref="J267">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67" s="11">
        <f>Trainingsabschluss[[#This Row],[Quiz_Frage1_Punkte]]/Max_Frage1</f>
        <v>0.5</v>
      </c>
      <c r="L267" s="11">
        <f>Trainingsabschluss[[#This Row],[Quiz_Frage2_Punkte]]/Max_Frage2</f>
        <v>1</v>
      </c>
      <c r="M267" s="11">
        <f>Trainingsabschluss[[#This Row],[Quiz_Frage3_Punkte]]/Max_Frage3</f>
        <v>0.6</v>
      </c>
      <c r="N267" s="11">
        <f>Trainingsabschluss[[#This Row],[Quiz_Frage4_Punkte]]/Max_Frage4</f>
        <v>0</v>
      </c>
      <c r="O267" s="11">
        <f>Trainingsabschluss[[#This Row],[Quiz_Frage5_Punkte]]/Max_Frage5</f>
        <v>0.83333333333333337</v>
      </c>
      <c r="P267" s="2">
        <f>Trainingsabschluss[[#This Row],[Quiz_Frage1_Punkte]]+Trainingsabschluss[[#This Row],[Quiz_Frage2_Punkte]]+Trainingsabschluss[[#This Row],[Quiz_Frage3_Punkte]]+Trainingsabschluss[[#This Row],[Quiz_Frage4_Punkte]]+Trainingsabschluss[[#This Row],[Quiz_Frage5_Punkte]]</f>
        <v>13</v>
      </c>
      <c r="Q267" s="8">
        <f>Trainingsabschluss[[#This Row],[Quizergebnis]]/Max_Quizergebnis</f>
        <v>0.59090909090909094</v>
      </c>
      <c r="R267" t="str" cm="1">
        <f t="array" ref="R267">_xlfn.IFS(Trainingsabschluss[[#This Row],[Quizergebnis_Prozent]]&lt;0.5, "Nicht bestanden",
Trainingsabschluss[[#This Row],[Quizergebnis_Prozent]]&lt;0.65, "Bestanden",
Trainingsabschluss[[#This Row],[Quizergebnis_Prozent]]&lt;0.8, "Gut bestanden",
TRUE, "Sehr gut bestanden")</f>
        <v>Bestanden</v>
      </c>
      <c r="S267" s="3">
        <v>10</v>
      </c>
      <c r="T267" s="3" t="str" cm="1">
        <f t="array" ref="T267">_xlfn.IFS(Trainingsabschluss[[#This Row],[Training_Bewertung]]&gt;=9, "Promotor", Trainingsabschluss[[#This Row],[Training_Bewertung]]
&lt;=6, "Detraktor",
TRUE, "Passiv")</f>
        <v>Promotor</v>
      </c>
      <c r="W267"/>
    </row>
    <row r="268" spans="1:23" x14ac:dyDescent="0.3">
      <c r="A268" s="13" t="s">
        <v>466</v>
      </c>
      <c r="B268" s="2">
        <v>5</v>
      </c>
      <c r="C268" s="2">
        <v>3.5</v>
      </c>
      <c r="D268" s="2">
        <v>2.5</v>
      </c>
      <c r="E268" s="2">
        <v>4</v>
      </c>
      <c r="F268" s="2">
        <v>2.5</v>
      </c>
      <c r="G268" s="2" t="str">
        <f>_xlfn.XLOOKUP(Trainingsabschluss[[#This Row],[UserID]], Teilnehmende[UserID], Teilnehmende[Branche], "UserID nicht gefunden")</f>
        <v>IT und Technologie</v>
      </c>
      <c r="H268" t="str">
        <f>_xlfn.XLOOKUP(Trainingsabschluss[[#This Row],[UserID]], Teilnehmende[UserID], Teilnehmende[Bildungsabschluss], "UserID nicht gefunden")</f>
        <v>Bachelor</v>
      </c>
      <c r="I268" s="3">
        <f>_xlfn.XLOOKUP(Trainingsabschluss[[#This Row],[UserID]], Teilnehmende[UserID], Teilnehmende[Berufserfahrung])</f>
        <v>5</v>
      </c>
      <c r="J268" s="3" t="str" cm="1">
        <f t="array" ref="J26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68" s="11">
        <f>Trainingsabschluss[[#This Row],[Quiz_Frage1_Punkte]]/Max_Frage1</f>
        <v>1</v>
      </c>
      <c r="L268" s="11">
        <f>Trainingsabschluss[[#This Row],[Quiz_Frage2_Punkte]]/Max_Frage2</f>
        <v>0.7</v>
      </c>
      <c r="M268" s="11">
        <f>Trainingsabschluss[[#This Row],[Quiz_Frage3_Punkte]]/Max_Frage3</f>
        <v>0.5</v>
      </c>
      <c r="N268" s="11">
        <f>Trainingsabschluss[[#This Row],[Quiz_Frage4_Punkte]]/Max_Frage4</f>
        <v>1</v>
      </c>
      <c r="O268" s="11">
        <f>Trainingsabschluss[[#This Row],[Quiz_Frage5_Punkte]]/Max_Frage5</f>
        <v>0.83333333333333337</v>
      </c>
      <c r="P268" s="2">
        <f>Trainingsabschluss[[#This Row],[Quiz_Frage1_Punkte]]+Trainingsabschluss[[#This Row],[Quiz_Frage2_Punkte]]+Trainingsabschluss[[#This Row],[Quiz_Frage3_Punkte]]+Trainingsabschluss[[#This Row],[Quiz_Frage4_Punkte]]+Trainingsabschluss[[#This Row],[Quiz_Frage5_Punkte]]</f>
        <v>17.5</v>
      </c>
      <c r="Q268" s="8">
        <f>Trainingsabschluss[[#This Row],[Quizergebnis]]/Max_Quizergebnis</f>
        <v>0.79545454545454541</v>
      </c>
      <c r="R268" t="str" cm="1">
        <f t="array" ref="R268">_xlfn.IFS(Trainingsabschluss[[#This Row],[Quizergebnis_Prozent]]&lt;0.5, "Nicht bestanden",
Trainingsabschluss[[#This Row],[Quizergebnis_Prozent]]&lt;0.65, "Bestanden",
Trainingsabschluss[[#This Row],[Quizergebnis_Prozent]]&lt;0.8, "Gut bestanden",
TRUE, "Sehr gut bestanden")</f>
        <v>Gut bestanden</v>
      </c>
      <c r="S268" s="3">
        <v>10</v>
      </c>
      <c r="T268" s="3" t="str" cm="1">
        <f t="array" ref="T268">_xlfn.IFS(Trainingsabschluss[[#This Row],[Training_Bewertung]]&gt;=9, "Promotor", Trainingsabschluss[[#This Row],[Training_Bewertung]]
&lt;=6, "Detraktor",
TRUE, "Passiv")</f>
        <v>Promotor</v>
      </c>
      <c r="W268"/>
    </row>
    <row r="269" spans="1:23" x14ac:dyDescent="0.3">
      <c r="A269" s="13" t="s">
        <v>467</v>
      </c>
      <c r="B269" s="2">
        <v>5</v>
      </c>
      <c r="C269" s="2">
        <v>4</v>
      </c>
      <c r="D269" s="2">
        <v>1.5</v>
      </c>
      <c r="E269" s="2">
        <v>1</v>
      </c>
      <c r="F269" s="2">
        <v>3</v>
      </c>
      <c r="G269" s="2" t="str">
        <f>_xlfn.XLOOKUP(Trainingsabschluss[[#This Row],[UserID]], Teilnehmende[UserID], Teilnehmende[Branche], "UserID nicht gefunden")</f>
        <v>IT und Technologie</v>
      </c>
      <c r="H269" t="str">
        <f>_xlfn.XLOOKUP(Trainingsabschluss[[#This Row],[UserID]], Teilnehmende[UserID], Teilnehmende[Bildungsabschluss], "UserID nicht gefunden")</f>
        <v>Bachelor</v>
      </c>
      <c r="I269" s="3">
        <f>_xlfn.XLOOKUP(Trainingsabschluss[[#This Row],[UserID]], Teilnehmende[UserID], Teilnehmende[Berufserfahrung])</f>
        <v>10</v>
      </c>
      <c r="J269" s="3" t="str" cm="1">
        <f t="array" ref="J26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69" s="11">
        <f>Trainingsabschluss[[#This Row],[Quiz_Frage1_Punkte]]/Max_Frage1</f>
        <v>1</v>
      </c>
      <c r="L269" s="11">
        <f>Trainingsabschluss[[#This Row],[Quiz_Frage2_Punkte]]/Max_Frage2</f>
        <v>0.8</v>
      </c>
      <c r="M269" s="11">
        <f>Trainingsabschluss[[#This Row],[Quiz_Frage3_Punkte]]/Max_Frage3</f>
        <v>0.3</v>
      </c>
      <c r="N269" s="11">
        <f>Trainingsabschluss[[#This Row],[Quiz_Frage4_Punkte]]/Max_Frage4</f>
        <v>0.25</v>
      </c>
      <c r="O269" s="11">
        <f>Trainingsabschluss[[#This Row],[Quiz_Frage5_Punkte]]/Max_Frage5</f>
        <v>1</v>
      </c>
      <c r="P269" s="2">
        <f>Trainingsabschluss[[#This Row],[Quiz_Frage1_Punkte]]+Trainingsabschluss[[#This Row],[Quiz_Frage2_Punkte]]+Trainingsabschluss[[#This Row],[Quiz_Frage3_Punkte]]+Trainingsabschluss[[#This Row],[Quiz_Frage4_Punkte]]+Trainingsabschluss[[#This Row],[Quiz_Frage5_Punkte]]</f>
        <v>14.5</v>
      </c>
      <c r="Q269" s="8">
        <f>Trainingsabschluss[[#This Row],[Quizergebnis]]/Max_Quizergebnis</f>
        <v>0.65909090909090906</v>
      </c>
      <c r="R269" t="str" cm="1">
        <f t="array" ref="R269">_xlfn.IFS(Trainingsabschluss[[#This Row],[Quizergebnis_Prozent]]&lt;0.5, "Nicht bestanden",
Trainingsabschluss[[#This Row],[Quizergebnis_Prozent]]&lt;0.65, "Bestanden",
Trainingsabschluss[[#This Row],[Quizergebnis_Prozent]]&lt;0.8, "Gut bestanden",
TRUE, "Sehr gut bestanden")</f>
        <v>Gut bestanden</v>
      </c>
      <c r="S269" s="3">
        <v>10</v>
      </c>
      <c r="T269" s="3" t="str" cm="1">
        <f t="array" ref="T269">_xlfn.IFS(Trainingsabschluss[[#This Row],[Training_Bewertung]]&gt;=9, "Promotor", Trainingsabschluss[[#This Row],[Training_Bewertung]]
&lt;=6, "Detraktor",
TRUE, "Passiv")</f>
        <v>Promotor</v>
      </c>
      <c r="W269"/>
    </row>
    <row r="270" spans="1:23" x14ac:dyDescent="0.3">
      <c r="A270" s="13" t="s">
        <v>468</v>
      </c>
      <c r="B270" s="2">
        <v>5</v>
      </c>
      <c r="C270" s="2">
        <v>4</v>
      </c>
      <c r="D270" s="2">
        <v>4</v>
      </c>
      <c r="E270" s="2">
        <v>3</v>
      </c>
      <c r="F270" s="2">
        <v>3</v>
      </c>
      <c r="G270" s="2" t="str">
        <f>_xlfn.XLOOKUP(Trainingsabschluss[[#This Row],[UserID]], Teilnehmende[UserID], Teilnehmende[Branche], "UserID nicht gefunden")</f>
        <v>IT und Technologie</v>
      </c>
      <c r="H270" t="str">
        <f>_xlfn.XLOOKUP(Trainingsabschluss[[#This Row],[UserID]], Teilnehmende[UserID], Teilnehmende[Bildungsabschluss], "UserID nicht gefunden")</f>
        <v>Bachelor</v>
      </c>
      <c r="I270" s="3">
        <f>_xlfn.XLOOKUP(Trainingsabschluss[[#This Row],[UserID]], Teilnehmende[UserID], Teilnehmende[Berufserfahrung])</f>
        <v>5</v>
      </c>
      <c r="J270" s="3" t="str" cm="1">
        <f t="array" ref="J27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70" s="11">
        <f>Trainingsabschluss[[#This Row],[Quiz_Frage1_Punkte]]/Max_Frage1</f>
        <v>1</v>
      </c>
      <c r="L270" s="11">
        <f>Trainingsabschluss[[#This Row],[Quiz_Frage2_Punkte]]/Max_Frage2</f>
        <v>0.8</v>
      </c>
      <c r="M270" s="11">
        <f>Trainingsabschluss[[#This Row],[Quiz_Frage3_Punkte]]/Max_Frage3</f>
        <v>0.8</v>
      </c>
      <c r="N270" s="11">
        <f>Trainingsabschluss[[#This Row],[Quiz_Frage4_Punkte]]/Max_Frage4</f>
        <v>0.75</v>
      </c>
      <c r="O270" s="11">
        <f>Trainingsabschluss[[#This Row],[Quiz_Frage5_Punkte]]/Max_Frage5</f>
        <v>1</v>
      </c>
      <c r="P270" s="2">
        <f>Trainingsabschluss[[#This Row],[Quiz_Frage1_Punkte]]+Trainingsabschluss[[#This Row],[Quiz_Frage2_Punkte]]+Trainingsabschluss[[#This Row],[Quiz_Frage3_Punkte]]+Trainingsabschluss[[#This Row],[Quiz_Frage4_Punkte]]+Trainingsabschluss[[#This Row],[Quiz_Frage5_Punkte]]</f>
        <v>19</v>
      </c>
      <c r="Q270" s="8">
        <f>Trainingsabschluss[[#This Row],[Quizergebnis]]/Max_Quizergebnis</f>
        <v>0.86363636363636365</v>
      </c>
      <c r="R270" t="str" cm="1">
        <f t="array" ref="R270">_xlfn.IFS(Trainingsabschluss[[#This Row],[Quizergebnis_Prozent]]&lt;0.5, "Nicht bestanden",
Trainingsabschluss[[#This Row],[Quizergebnis_Prozent]]&lt;0.65, "Bestanden",
Trainingsabschluss[[#This Row],[Quizergebnis_Prozent]]&lt;0.8, "Gut bestanden",
TRUE, "Sehr gut bestanden")</f>
        <v>Sehr gut bestanden</v>
      </c>
      <c r="S270" s="3">
        <v>10</v>
      </c>
      <c r="T270" s="3" t="str" cm="1">
        <f t="array" ref="T270">_xlfn.IFS(Trainingsabschluss[[#This Row],[Training_Bewertung]]&gt;=9, "Promotor", Trainingsabschluss[[#This Row],[Training_Bewertung]]
&lt;=6, "Detraktor",
TRUE, "Passiv")</f>
        <v>Promotor</v>
      </c>
      <c r="W270"/>
    </row>
    <row r="271" spans="1:23" x14ac:dyDescent="0.3">
      <c r="A271" s="13" t="s">
        <v>469</v>
      </c>
      <c r="B271" s="2">
        <v>5</v>
      </c>
      <c r="C271" s="2">
        <v>4.5</v>
      </c>
      <c r="D271" s="2">
        <v>3</v>
      </c>
      <c r="E271" s="2">
        <v>4</v>
      </c>
      <c r="F271" s="2">
        <v>2.5</v>
      </c>
      <c r="G271" s="2" t="str">
        <f>_xlfn.XLOOKUP(Trainingsabschluss[[#This Row],[UserID]], Teilnehmende[UserID], Teilnehmende[Branche], "UserID nicht gefunden")</f>
        <v>IT und Technologie</v>
      </c>
      <c r="H271" t="str">
        <f>_xlfn.XLOOKUP(Trainingsabschluss[[#This Row],[UserID]], Teilnehmende[UserID], Teilnehmende[Bildungsabschluss], "UserID nicht gefunden")</f>
        <v>Bachelor</v>
      </c>
      <c r="I271" s="3">
        <f>_xlfn.XLOOKUP(Trainingsabschluss[[#This Row],[UserID]], Teilnehmende[UserID], Teilnehmende[Berufserfahrung])</f>
        <v>2</v>
      </c>
      <c r="J271" s="3" t="str" cm="1">
        <f t="array" ref="J27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71" s="11">
        <f>Trainingsabschluss[[#This Row],[Quiz_Frage1_Punkte]]/Max_Frage1</f>
        <v>1</v>
      </c>
      <c r="L271" s="11">
        <f>Trainingsabschluss[[#This Row],[Quiz_Frage2_Punkte]]/Max_Frage2</f>
        <v>0.9</v>
      </c>
      <c r="M271" s="11">
        <f>Trainingsabschluss[[#This Row],[Quiz_Frage3_Punkte]]/Max_Frage3</f>
        <v>0.6</v>
      </c>
      <c r="N271" s="11">
        <f>Trainingsabschluss[[#This Row],[Quiz_Frage4_Punkte]]/Max_Frage4</f>
        <v>1</v>
      </c>
      <c r="O271" s="11">
        <f>Trainingsabschluss[[#This Row],[Quiz_Frage5_Punkte]]/Max_Frage5</f>
        <v>0.83333333333333337</v>
      </c>
      <c r="P271" s="2">
        <f>Trainingsabschluss[[#This Row],[Quiz_Frage1_Punkte]]+Trainingsabschluss[[#This Row],[Quiz_Frage2_Punkte]]+Trainingsabschluss[[#This Row],[Quiz_Frage3_Punkte]]+Trainingsabschluss[[#This Row],[Quiz_Frage4_Punkte]]+Trainingsabschluss[[#This Row],[Quiz_Frage5_Punkte]]</f>
        <v>19</v>
      </c>
      <c r="Q271" s="8">
        <f>Trainingsabschluss[[#This Row],[Quizergebnis]]/Max_Quizergebnis</f>
        <v>0.86363636363636365</v>
      </c>
      <c r="R271" t="str" cm="1">
        <f t="array" ref="R271">_xlfn.IFS(Trainingsabschluss[[#This Row],[Quizergebnis_Prozent]]&lt;0.5, "Nicht bestanden",
Trainingsabschluss[[#This Row],[Quizergebnis_Prozent]]&lt;0.65, "Bestanden",
Trainingsabschluss[[#This Row],[Quizergebnis_Prozent]]&lt;0.8, "Gut bestanden",
TRUE, "Sehr gut bestanden")</f>
        <v>Sehr gut bestanden</v>
      </c>
      <c r="S271" s="3">
        <v>10</v>
      </c>
      <c r="T271" s="3" t="str" cm="1">
        <f t="array" ref="T271">_xlfn.IFS(Trainingsabschluss[[#This Row],[Training_Bewertung]]&gt;=9, "Promotor", Trainingsabschluss[[#This Row],[Training_Bewertung]]
&lt;=6, "Detraktor",
TRUE, "Passiv")</f>
        <v>Promotor</v>
      </c>
      <c r="W271"/>
    </row>
    <row r="272" spans="1:23" x14ac:dyDescent="0.3">
      <c r="A272" s="13" t="s">
        <v>470</v>
      </c>
      <c r="B272" s="2">
        <v>4</v>
      </c>
      <c r="C272" s="2">
        <v>5</v>
      </c>
      <c r="D272" s="2">
        <v>1.5</v>
      </c>
      <c r="E272" s="2">
        <v>2.5</v>
      </c>
      <c r="F272" s="2">
        <v>2</v>
      </c>
      <c r="G272" s="2" t="str">
        <f>_xlfn.XLOOKUP(Trainingsabschluss[[#This Row],[UserID]], Teilnehmende[UserID], Teilnehmende[Branche], "UserID nicht gefunden")</f>
        <v>IT und Technologie</v>
      </c>
      <c r="H272" t="str">
        <f>_xlfn.XLOOKUP(Trainingsabschluss[[#This Row],[UserID]], Teilnehmende[UserID], Teilnehmende[Bildungsabschluss], "UserID nicht gefunden")</f>
        <v>Bachelor</v>
      </c>
      <c r="I272" s="3">
        <f>_xlfn.XLOOKUP(Trainingsabschluss[[#This Row],[UserID]], Teilnehmende[UserID], Teilnehmende[Berufserfahrung])</f>
        <v>4</v>
      </c>
      <c r="J272" s="3" t="str" cm="1">
        <f t="array" ref="J27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72" s="11">
        <f>Trainingsabschluss[[#This Row],[Quiz_Frage1_Punkte]]/Max_Frage1</f>
        <v>0.8</v>
      </c>
      <c r="L272" s="11">
        <f>Trainingsabschluss[[#This Row],[Quiz_Frage2_Punkte]]/Max_Frage2</f>
        <v>1</v>
      </c>
      <c r="M272" s="11">
        <f>Trainingsabschluss[[#This Row],[Quiz_Frage3_Punkte]]/Max_Frage3</f>
        <v>0.3</v>
      </c>
      <c r="N272" s="11">
        <f>Trainingsabschluss[[#This Row],[Quiz_Frage4_Punkte]]/Max_Frage4</f>
        <v>0.625</v>
      </c>
      <c r="O272" s="11">
        <f>Trainingsabschluss[[#This Row],[Quiz_Frage5_Punkte]]/Max_Frage5</f>
        <v>0.66666666666666663</v>
      </c>
      <c r="P272" s="2">
        <f>Trainingsabschluss[[#This Row],[Quiz_Frage1_Punkte]]+Trainingsabschluss[[#This Row],[Quiz_Frage2_Punkte]]+Trainingsabschluss[[#This Row],[Quiz_Frage3_Punkte]]+Trainingsabschluss[[#This Row],[Quiz_Frage4_Punkte]]+Trainingsabschluss[[#This Row],[Quiz_Frage5_Punkte]]</f>
        <v>15</v>
      </c>
      <c r="Q272" s="8">
        <f>Trainingsabschluss[[#This Row],[Quizergebnis]]/Max_Quizergebnis</f>
        <v>0.68181818181818177</v>
      </c>
      <c r="R272" t="str" cm="1">
        <f t="array" ref="R272">_xlfn.IFS(Trainingsabschluss[[#This Row],[Quizergebnis_Prozent]]&lt;0.5, "Nicht bestanden",
Trainingsabschluss[[#This Row],[Quizergebnis_Prozent]]&lt;0.65, "Bestanden",
Trainingsabschluss[[#This Row],[Quizergebnis_Prozent]]&lt;0.8, "Gut bestanden",
TRUE, "Sehr gut bestanden")</f>
        <v>Gut bestanden</v>
      </c>
      <c r="S272" s="3">
        <v>10</v>
      </c>
      <c r="T272" s="3" t="str" cm="1">
        <f t="array" ref="T272">_xlfn.IFS(Trainingsabschluss[[#This Row],[Training_Bewertung]]&gt;=9, "Promotor", Trainingsabschluss[[#This Row],[Training_Bewertung]]
&lt;=6, "Detraktor",
TRUE, "Passiv")</f>
        <v>Promotor</v>
      </c>
      <c r="W272"/>
    </row>
    <row r="273" spans="1:23" x14ac:dyDescent="0.3">
      <c r="A273" s="13" t="s">
        <v>471</v>
      </c>
      <c r="B273" s="2">
        <v>1</v>
      </c>
      <c r="C273" s="2">
        <v>0.5</v>
      </c>
      <c r="D273" s="2">
        <v>0</v>
      </c>
      <c r="E273" s="2">
        <v>1</v>
      </c>
      <c r="F273" s="2">
        <v>0</v>
      </c>
      <c r="G273" s="2" t="str">
        <f>_xlfn.XLOOKUP(Trainingsabschluss[[#This Row],[UserID]], Teilnehmende[UserID], Teilnehmende[Branche], "UserID nicht gefunden")</f>
        <v>IT und Technologie</v>
      </c>
      <c r="H273" t="str">
        <f>_xlfn.XLOOKUP(Trainingsabschluss[[#This Row],[UserID]], Teilnehmende[UserID], Teilnehmende[Bildungsabschluss], "UserID nicht gefunden")</f>
        <v>Bachelor</v>
      </c>
      <c r="I273" s="3">
        <f>_xlfn.XLOOKUP(Trainingsabschluss[[#This Row],[UserID]], Teilnehmende[UserID], Teilnehmende[Berufserfahrung])</f>
        <v>5</v>
      </c>
      <c r="J273" s="3" t="str" cm="1">
        <f t="array" ref="J27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73" s="11">
        <f>Trainingsabschluss[[#This Row],[Quiz_Frage1_Punkte]]/Max_Frage1</f>
        <v>0.2</v>
      </c>
      <c r="L273" s="11">
        <f>Trainingsabschluss[[#This Row],[Quiz_Frage2_Punkte]]/Max_Frage2</f>
        <v>0.1</v>
      </c>
      <c r="M273" s="11">
        <f>Trainingsabschluss[[#This Row],[Quiz_Frage3_Punkte]]/Max_Frage3</f>
        <v>0</v>
      </c>
      <c r="N273" s="11">
        <f>Trainingsabschluss[[#This Row],[Quiz_Frage4_Punkte]]/Max_Frage4</f>
        <v>0.25</v>
      </c>
      <c r="O273" s="11">
        <f>Trainingsabschluss[[#This Row],[Quiz_Frage5_Punkte]]/Max_Frage5</f>
        <v>0</v>
      </c>
      <c r="P273" s="2">
        <f>Trainingsabschluss[[#This Row],[Quiz_Frage1_Punkte]]+Trainingsabschluss[[#This Row],[Quiz_Frage2_Punkte]]+Trainingsabschluss[[#This Row],[Quiz_Frage3_Punkte]]+Trainingsabschluss[[#This Row],[Quiz_Frage4_Punkte]]+Trainingsabschluss[[#This Row],[Quiz_Frage5_Punkte]]</f>
        <v>2.5</v>
      </c>
      <c r="Q273" s="8">
        <f>Trainingsabschluss[[#This Row],[Quizergebnis]]/Max_Quizergebnis</f>
        <v>0.11363636363636363</v>
      </c>
      <c r="R273" t="str" cm="1">
        <f t="array" ref="R273">_xlfn.IFS(Trainingsabschluss[[#This Row],[Quizergebnis_Prozent]]&lt;0.5, "Nicht bestanden",
Trainingsabschluss[[#This Row],[Quizergebnis_Prozent]]&lt;0.65, "Bestanden",
Trainingsabschluss[[#This Row],[Quizergebnis_Prozent]]&lt;0.8, "Gut bestanden",
TRUE, "Sehr gut bestanden")</f>
        <v>Nicht bestanden</v>
      </c>
      <c r="S273" s="3">
        <v>10</v>
      </c>
      <c r="T273" s="3" t="str" cm="1">
        <f t="array" ref="T273">_xlfn.IFS(Trainingsabschluss[[#This Row],[Training_Bewertung]]&gt;=9, "Promotor", Trainingsabschluss[[#This Row],[Training_Bewertung]]
&lt;=6, "Detraktor",
TRUE, "Passiv")</f>
        <v>Promotor</v>
      </c>
      <c r="W273"/>
    </row>
    <row r="274" spans="1:23" x14ac:dyDescent="0.3">
      <c r="A274" s="13" t="s">
        <v>473</v>
      </c>
      <c r="B274" s="2">
        <v>5</v>
      </c>
      <c r="C274" s="2">
        <v>2.5</v>
      </c>
      <c r="D274" s="2">
        <v>0</v>
      </c>
      <c r="E274" s="2">
        <v>0.5</v>
      </c>
      <c r="F274" s="2">
        <v>2</v>
      </c>
      <c r="G274" s="2" t="str">
        <f>_xlfn.XLOOKUP(Trainingsabschluss[[#This Row],[UserID]], Teilnehmende[UserID], Teilnehmende[Branche], "UserID nicht gefunden")</f>
        <v>IT und Technologie</v>
      </c>
      <c r="H274" t="str">
        <f>_xlfn.XLOOKUP(Trainingsabschluss[[#This Row],[UserID]], Teilnehmende[UserID], Teilnehmende[Bildungsabschluss], "UserID nicht gefunden")</f>
        <v>Bachelor</v>
      </c>
      <c r="I274" s="3">
        <f>_xlfn.XLOOKUP(Trainingsabschluss[[#This Row],[UserID]], Teilnehmende[UserID], Teilnehmende[Berufserfahrung])</f>
        <v>6</v>
      </c>
      <c r="J274" s="3" t="str" cm="1">
        <f t="array" ref="J27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74" s="11">
        <f>Trainingsabschluss[[#This Row],[Quiz_Frage1_Punkte]]/Max_Frage1</f>
        <v>1</v>
      </c>
      <c r="L274" s="11">
        <f>Trainingsabschluss[[#This Row],[Quiz_Frage2_Punkte]]/Max_Frage2</f>
        <v>0.5</v>
      </c>
      <c r="M274" s="11">
        <f>Trainingsabschluss[[#This Row],[Quiz_Frage3_Punkte]]/Max_Frage3</f>
        <v>0</v>
      </c>
      <c r="N274" s="11">
        <f>Trainingsabschluss[[#This Row],[Quiz_Frage4_Punkte]]/Max_Frage4</f>
        <v>0.125</v>
      </c>
      <c r="O274" s="11">
        <f>Trainingsabschluss[[#This Row],[Quiz_Frage5_Punkte]]/Max_Frage5</f>
        <v>0.66666666666666663</v>
      </c>
      <c r="P274" s="2">
        <f>Trainingsabschluss[[#This Row],[Quiz_Frage1_Punkte]]+Trainingsabschluss[[#This Row],[Quiz_Frage2_Punkte]]+Trainingsabschluss[[#This Row],[Quiz_Frage3_Punkte]]+Trainingsabschluss[[#This Row],[Quiz_Frage4_Punkte]]+Trainingsabschluss[[#This Row],[Quiz_Frage5_Punkte]]</f>
        <v>10</v>
      </c>
      <c r="Q274" s="8">
        <f>Trainingsabschluss[[#This Row],[Quizergebnis]]/Max_Quizergebnis</f>
        <v>0.45454545454545453</v>
      </c>
      <c r="R274" t="str" cm="1">
        <f t="array" ref="R274">_xlfn.IFS(Trainingsabschluss[[#This Row],[Quizergebnis_Prozent]]&lt;0.5, "Nicht bestanden",
Trainingsabschluss[[#This Row],[Quizergebnis_Prozent]]&lt;0.65, "Bestanden",
Trainingsabschluss[[#This Row],[Quizergebnis_Prozent]]&lt;0.8, "Gut bestanden",
TRUE, "Sehr gut bestanden")</f>
        <v>Nicht bestanden</v>
      </c>
      <c r="S274" s="3">
        <v>10</v>
      </c>
      <c r="T274" s="3" t="str" cm="1">
        <f t="array" ref="T274">_xlfn.IFS(Trainingsabschluss[[#This Row],[Training_Bewertung]]&gt;=9, "Promotor", Trainingsabschluss[[#This Row],[Training_Bewertung]]
&lt;=6, "Detraktor",
TRUE, "Passiv")</f>
        <v>Promotor</v>
      </c>
      <c r="W274"/>
    </row>
    <row r="275" spans="1:23" x14ac:dyDescent="0.3">
      <c r="A275" s="13" t="s">
        <v>475</v>
      </c>
      <c r="B275" s="2">
        <v>3</v>
      </c>
      <c r="C275" s="2">
        <v>2</v>
      </c>
      <c r="D275" s="2">
        <v>2.5</v>
      </c>
      <c r="E275" s="2">
        <v>1.5</v>
      </c>
      <c r="F275" s="2">
        <v>2.5</v>
      </c>
      <c r="G275" s="2" t="str">
        <f>_xlfn.XLOOKUP(Trainingsabschluss[[#This Row],[UserID]], Teilnehmende[UserID], Teilnehmende[Branche], "UserID nicht gefunden")</f>
        <v>IT und Technologie</v>
      </c>
      <c r="H275" t="str">
        <f>_xlfn.XLOOKUP(Trainingsabschluss[[#This Row],[UserID]], Teilnehmende[UserID], Teilnehmende[Bildungsabschluss], "UserID nicht gefunden")</f>
        <v>Bachelor</v>
      </c>
      <c r="I275" s="3">
        <f>_xlfn.XLOOKUP(Trainingsabschluss[[#This Row],[UserID]], Teilnehmende[UserID], Teilnehmende[Berufserfahrung])</f>
        <v>12</v>
      </c>
      <c r="J275" s="3" t="str" cm="1">
        <f t="array" ref="J27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75" s="11">
        <f>Trainingsabschluss[[#This Row],[Quiz_Frage1_Punkte]]/Max_Frage1</f>
        <v>0.6</v>
      </c>
      <c r="L275" s="11">
        <f>Trainingsabschluss[[#This Row],[Quiz_Frage2_Punkte]]/Max_Frage2</f>
        <v>0.4</v>
      </c>
      <c r="M275" s="11">
        <f>Trainingsabschluss[[#This Row],[Quiz_Frage3_Punkte]]/Max_Frage3</f>
        <v>0.5</v>
      </c>
      <c r="N275" s="11">
        <f>Trainingsabschluss[[#This Row],[Quiz_Frage4_Punkte]]/Max_Frage4</f>
        <v>0.375</v>
      </c>
      <c r="O275" s="11">
        <f>Trainingsabschluss[[#This Row],[Quiz_Frage5_Punkte]]/Max_Frage5</f>
        <v>0.83333333333333337</v>
      </c>
      <c r="P275" s="2">
        <f>Trainingsabschluss[[#This Row],[Quiz_Frage1_Punkte]]+Trainingsabschluss[[#This Row],[Quiz_Frage2_Punkte]]+Trainingsabschluss[[#This Row],[Quiz_Frage3_Punkte]]+Trainingsabschluss[[#This Row],[Quiz_Frage4_Punkte]]+Trainingsabschluss[[#This Row],[Quiz_Frage5_Punkte]]</f>
        <v>11.5</v>
      </c>
      <c r="Q275" s="8">
        <f>Trainingsabschluss[[#This Row],[Quizergebnis]]/Max_Quizergebnis</f>
        <v>0.52272727272727271</v>
      </c>
      <c r="R275" t="str" cm="1">
        <f t="array" ref="R275">_xlfn.IFS(Trainingsabschluss[[#This Row],[Quizergebnis_Prozent]]&lt;0.5, "Nicht bestanden",
Trainingsabschluss[[#This Row],[Quizergebnis_Prozent]]&lt;0.65, "Bestanden",
Trainingsabschluss[[#This Row],[Quizergebnis_Prozent]]&lt;0.8, "Gut bestanden",
TRUE, "Sehr gut bestanden")</f>
        <v>Bestanden</v>
      </c>
      <c r="S275" s="3">
        <v>10</v>
      </c>
      <c r="T275" s="3" t="str" cm="1">
        <f t="array" ref="T275">_xlfn.IFS(Trainingsabschluss[[#This Row],[Training_Bewertung]]&gt;=9, "Promotor", Trainingsabschluss[[#This Row],[Training_Bewertung]]
&lt;=6, "Detraktor",
TRUE, "Passiv")</f>
        <v>Promotor</v>
      </c>
      <c r="W275"/>
    </row>
    <row r="276" spans="1:23" x14ac:dyDescent="0.3">
      <c r="A276" s="13" t="s">
        <v>477</v>
      </c>
      <c r="B276" s="2">
        <v>5</v>
      </c>
      <c r="C276" s="2">
        <v>3.5</v>
      </c>
      <c r="D276" s="2">
        <v>0.5</v>
      </c>
      <c r="E276" s="2">
        <v>4</v>
      </c>
      <c r="F276" s="2">
        <v>2.5</v>
      </c>
      <c r="G276" s="2" t="str">
        <f>_xlfn.XLOOKUP(Trainingsabschluss[[#This Row],[UserID]], Teilnehmende[UserID], Teilnehmende[Branche], "UserID nicht gefunden")</f>
        <v>IT und Technologie</v>
      </c>
      <c r="H276" t="str">
        <f>_xlfn.XLOOKUP(Trainingsabschluss[[#This Row],[UserID]], Teilnehmende[UserID], Teilnehmende[Bildungsabschluss], "UserID nicht gefunden")</f>
        <v>Bachelor</v>
      </c>
      <c r="I276" s="3">
        <f>_xlfn.XLOOKUP(Trainingsabschluss[[#This Row],[UserID]], Teilnehmende[UserID], Teilnehmende[Berufserfahrung])</f>
        <v>2</v>
      </c>
      <c r="J276" s="3" t="str" cm="1">
        <f t="array" ref="J27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76" s="11">
        <f>Trainingsabschluss[[#This Row],[Quiz_Frage1_Punkte]]/Max_Frage1</f>
        <v>1</v>
      </c>
      <c r="L276" s="11">
        <f>Trainingsabschluss[[#This Row],[Quiz_Frage2_Punkte]]/Max_Frage2</f>
        <v>0.7</v>
      </c>
      <c r="M276" s="11">
        <f>Trainingsabschluss[[#This Row],[Quiz_Frage3_Punkte]]/Max_Frage3</f>
        <v>0.1</v>
      </c>
      <c r="N276" s="11">
        <f>Trainingsabschluss[[#This Row],[Quiz_Frage4_Punkte]]/Max_Frage4</f>
        <v>1</v>
      </c>
      <c r="O276" s="11">
        <f>Trainingsabschluss[[#This Row],[Quiz_Frage5_Punkte]]/Max_Frage5</f>
        <v>0.83333333333333337</v>
      </c>
      <c r="P276" s="2">
        <f>Trainingsabschluss[[#This Row],[Quiz_Frage1_Punkte]]+Trainingsabschluss[[#This Row],[Quiz_Frage2_Punkte]]+Trainingsabschluss[[#This Row],[Quiz_Frage3_Punkte]]+Trainingsabschluss[[#This Row],[Quiz_Frage4_Punkte]]+Trainingsabschluss[[#This Row],[Quiz_Frage5_Punkte]]</f>
        <v>15.5</v>
      </c>
      <c r="Q276" s="8">
        <f>Trainingsabschluss[[#This Row],[Quizergebnis]]/Max_Quizergebnis</f>
        <v>0.70454545454545459</v>
      </c>
      <c r="R276" t="str" cm="1">
        <f t="array" ref="R276">_xlfn.IFS(Trainingsabschluss[[#This Row],[Quizergebnis_Prozent]]&lt;0.5, "Nicht bestanden",
Trainingsabschluss[[#This Row],[Quizergebnis_Prozent]]&lt;0.65, "Bestanden",
Trainingsabschluss[[#This Row],[Quizergebnis_Prozent]]&lt;0.8, "Gut bestanden",
TRUE, "Sehr gut bestanden")</f>
        <v>Gut bestanden</v>
      </c>
      <c r="S276" s="3">
        <v>10</v>
      </c>
      <c r="T276" s="3" t="str" cm="1">
        <f t="array" ref="T276">_xlfn.IFS(Trainingsabschluss[[#This Row],[Training_Bewertung]]&gt;=9, "Promotor", Trainingsabschluss[[#This Row],[Training_Bewertung]]
&lt;=6, "Detraktor",
TRUE, "Passiv")</f>
        <v>Promotor</v>
      </c>
      <c r="W276"/>
    </row>
    <row r="277" spans="1:23" x14ac:dyDescent="0.3">
      <c r="A277" s="13" t="s">
        <v>274</v>
      </c>
      <c r="B277" s="2">
        <v>4.5</v>
      </c>
      <c r="C277" s="2">
        <v>2</v>
      </c>
      <c r="D277" s="2">
        <v>3</v>
      </c>
      <c r="E277" s="2">
        <v>1.5</v>
      </c>
      <c r="F277" s="2">
        <v>1</v>
      </c>
      <c r="G277" s="2" t="str">
        <f>_xlfn.XLOOKUP(Trainingsabschluss[[#This Row],[UserID]], Teilnehmende[UserID], Teilnehmende[Branche], "UserID nicht gefunden")</f>
        <v>Bildung</v>
      </c>
      <c r="H277" t="str">
        <f>_xlfn.XLOOKUP(Trainingsabschluss[[#This Row],[UserID]], Teilnehmende[UserID], Teilnehmende[Bildungsabschluss], "UserID nicht gefunden")</f>
        <v>Bachelor</v>
      </c>
      <c r="I277" s="3">
        <f>_xlfn.XLOOKUP(Trainingsabschluss[[#This Row],[UserID]], Teilnehmende[UserID], Teilnehmende[Berufserfahrung])</f>
        <v>3</v>
      </c>
      <c r="J277" s="3" t="str" cm="1">
        <f t="array" ref="J27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77" s="11">
        <f>Trainingsabschluss[[#This Row],[Quiz_Frage1_Punkte]]/Max_Frage1</f>
        <v>0.9</v>
      </c>
      <c r="L277" s="11">
        <f>Trainingsabschluss[[#This Row],[Quiz_Frage2_Punkte]]/Max_Frage2</f>
        <v>0.4</v>
      </c>
      <c r="M277" s="11">
        <f>Trainingsabschluss[[#This Row],[Quiz_Frage3_Punkte]]/Max_Frage3</f>
        <v>0.6</v>
      </c>
      <c r="N277" s="11">
        <f>Trainingsabschluss[[#This Row],[Quiz_Frage4_Punkte]]/Max_Frage4</f>
        <v>0.375</v>
      </c>
      <c r="O277" s="11">
        <f>Trainingsabschluss[[#This Row],[Quiz_Frage5_Punkte]]/Max_Frage5</f>
        <v>0.33333333333333331</v>
      </c>
      <c r="P277" s="2">
        <f>Trainingsabschluss[[#This Row],[Quiz_Frage1_Punkte]]+Trainingsabschluss[[#This Row],[Quiz_Frage2_Punkte]]+Trainingsabschluss[[#This Row],[Quiz_Frage3_Punkte]]+Trainingsabschluss[[#This Row],[Quiz_Frage4_Punkte]]+Trainingsabschluss[[#This Row],[Quiz_Frage5_Punkte]]</f>
        <v>12</v>
      </c>
      <c r="Q277" s="8">
        <f>Trainingsabschluss[[#This Row],[Quizergebnis]]/Max_Quizergebnis</f>
        <v>0.54545454545454541</v>
      </c>
      <c r="R277" t="str" cm="1">
        <f t="array" ref="R277">_xlfn.IFS(Trainingsabschluss[[#This Row],[Quizergebnis_Prozent]]&lt;0.5, "Nicht bestanden",
Trainingsabschluss[[#This Row],[Quizergebnis_Prozent]]&lt;0.65, "Bestanden",
Trainingsabschluss[[#This Row],[Quizergebnis_Prozent]]&lt;0.8, "Gut bestanden",
TRUE, "Sehr gut bestanden")</f>
        <v>Bestanden</v>
      </c>
      <c r="S277" s="3">
        <v>6</v>
      </c>
      <c r="T277" s="3" t="str" cm="1">
        <f t="array" ref="T277">_xlfn.IFS(Trainingsabschluss[[#This Row],[Training_Bewertung]]&gt;=9, "Promotor", Trainingsabschluss[[#This Row],[Training_Bewertung]]
&lt;=6, "Detraktor",
TRUE, "Passiv")</f>
        <v>Detraktor</v>
      </c>
      <c r="W277"/>
    </row>
    <row r="278" spans="1:23" x14ac:dyDescent="0.3">
      <c r="A278" s="13" t="s">
        <v>277</v>
      </c>
      <c r="B278" s="2">
        <v>5</v>
      </c>
      <c r="C278" s="2">
        <v>5</v>
      </c>
      <c r="D278" s="2">
        <v>3</v>
      </c>
      <c r="E278" s="2">
        <v>1.5</v>
      </c>
      <c r="F278" s="2">
        <v>3</v>
      </c>
      <c r="G278" s="2" t="str">
        <f>_xlfn.XLOOKUP(Trainingsabschluss[[#This Row],[UserID]], Teilnehmende[UserID], Teilnehmende[Branche], "UserID nicht gefunden")</f>
        <v>Bildung</v>
      </c>
      <c r="H278" t="str">
        <f>_xlfn.XLOOKUP(Trainingsabschluss[[#This Row],[UserID]], Teilnehmende[UserID], Teilnehmende[Bildungsabschluss], "UserID nicht gefunden")</f>
        <v>Bachelor</v>
      </c>
      <c r="I278" s="3">
        <f>_xlfn.XLOOKUP(Trainingsabschluss[[#This Row],[UserID]], Teilnehmende[UserID], Teilnehmende[Berufserfahrung])</f>
        <v>3</v>
      </c>
      <c r="J278" s="3" t="str" cm="1">
        <f t="array" ref="J27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78" s="11">
        <f>Trainingsabschluss[[#This Row],[Quiz_Frage1_Punkte]]/Max_Frage1</f>
        <v>1</v>
      </c>
      <c r="L278" s="11">
        <f>Trainingsabschluss[[#This Row],[Quiz_Frage2_Punkte]]/Max_Frage2</f>
        <v>1</v>
      </c>
      <c r="M278" s="11">
        <f>Trainingsabschluss[[#This Row],[Quiz_Frage3_Punkte]]/Max_Frage3</f>
        <v>0.6</v>
      </c>
      <c r="N278" s="11">
        <f>Trainingsabschluss[[#This Row],[Quiz_Frage4_Punkte]]/Max_Frage4</f>
        <v>0.375</v>
      </c>
      <c r="O278" s="11">
        <f>Trainingsabschluss[[#This Row],[Quiz_Frage5_Punkte]]/Max_Frage5</f>
        <v>1</v>
      </c>
      <c r="P278" s="2">
        <f>Trainingsabschluss[[#This Row],[Quiz_Frage1_Punkte]]+Trainingsabschluss[[#This Row],[Quiz_Frage2_Punkte]]+Trainingsabschluss[[#This Row],[Quiz_Frage3_Punkte]]+Trainingsabschluss[[#This Row],[Quiz_Frage4_Punkte]]+Trainingsabschluss[[#This Row],[Quiz_Frage5_Punkte]]</f>
        <v>17.5</v>
      </c>
      <c r="Q278" s="8">
        <f>Trainingsabschluss[[#This Row],[Quizergebnis]]/Max_Quizergebnis</f>
        <v>0.79545454545454541</v>
      </c>
      <c r="R278" t="str" cm="1">
        <f t="array" ref="R278">_xlfn.IFS(Trainingsabschluss[[#This Row],[Quizergebnis_Prozent]]&lt;0.5, "Nicht bestanden",
Trainingsabschluss[[#This Row],[Quizergebnis_Prozent]]&lt;0.65, "Bestanden",
Trainingsabschluss[[#This Row],[Quizergebnis_Prozent]]&lt;0.8, "Gut bestanden",
TRUE, "Sehr gut bestanden")</f>
        <v>Gut bestanden</v>
      </c>
      <c r="S278" s="3">
        <v>4</v>
      </c>
      <c r="T278" s="3" t="str" cm="1">
        <f t="array" ref="T278">_xlfn.IFS(Trainingsabschluss[[#This Row],[Training_Bewertung]]&gt;=9, "Promotor", Trainingsabschluss[[#This Row],[Training_Bewertung]]
&lt;=6, "Detraktor",
TRUE, "Passiv")</f>
        <v>Detraktor</v>
      </c>
      <c r="W278"/>
    </row>
    <row r="279" spans="1:23" x14ac:dyDescent="0.3">
      <c r="A279" s="13" t="s">
        <v>278</v>
      </c>
      <c r="B279" s="2">
        <v>5</v>
      </c>
      <c r="C279" s="2">
        <v>4.5</v>
      </c>
      <c r="D279" s="2">
        <v>4.5</v>
      </c>
      <c r="E279" s="2">
        <v>2</v>
      </c>
      <c r="F279" s="2">
        <v>0.5</v>
      </c>
      <c r="G279" s="2" t="str">
        <f>_xlfn.XLOOKUP(Trainingsabschluss[[#This Row],[UserID]], Teilnehmende[UserID], Teilnehmende[Branche], "UserID nicht gefunden")</f>
        <v>Bildung</v>
      </c>
      <c r="H279" t="str">
        <f>_xlfn.XLOOKUP(Trainingsabschluss[[#This Row],[UserID]], Teilnehmende[UserID], Teilnehmende[Bildungsabschluss], "UserID nicht gefunden")</f>
        <v>Bachelor</v>
      </c>
      <c r="I279" s="3">
        <f>_xlfn.XLOOKUP(Trainingsabschluss[[#This Row],[UserID]], Teilnehmende[UserID], Teilnehmende[Berufserfahrung])</f>
        <v>14</v>
      </c>
      <c r="J279" s="3" t="str" cm="1">
        <f t="array" ref="J27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79" s="11">
        <f>Trainingsabschluss[[#This Row],[Quiz_Frage1_Punkte]]/Max_Frage1</f>
        <v>1</v>
      </c>
      <c r="L279" s="11">
        <f>Trainingsabschluss[[#This Row],[Quiz_Frage2_Punkte]]/Max_Frage2</f>
        <v>0.9</v>
      </c>
      <c r="M279" s="11">
        <f>Trainingsabschluss[[#This Row],[Quiz_Frage3_Punkte]]/Max_Frage3</f>
        <v>0.9</v>
      </c>
      <c r="N279" s="11">
        <f>Trainingsabschluss[[#This Row],[Quiz_Frage4_Punkte]]/Max_Frage4</f>
        <v>0.5</v>
      </c>
      <c r="O279" s="11">
        <f>Trainingsabschluss[[#This Row],[Quiz_Frage5_Punkte]]/Max_Frage5</f>
        <v>0.16666666666666666</v>
      </c>
      <c r="P279" s="2">
        <f>Trainingsabschluss[[#This Row],[Quiz_Frage1_Punkte]]+Trainingsabschluss[[#This Row],[Quiz_Frage2_Punkte]]+Trainingsabschluss[[#This Row],[Quiz_Frage3_Punkte]]+Trainingsabschluss[[#This Row],[Quiz_Frage4_Punkte]]+Trainingsabschluss[[#This Row],[Quiz_Frage5_Punkte]]</f>
        <v>16.5</v>
      </c>
      <c r="Q279" s="8">
        <f>Trainingsabschluss[[#This Row],[Quizergebnis]]/Max_Quizergebnis</f>
        <v>0.75</v>
      </c>
      <c r="R279" t="str" cm="1">
        <f t="array" ref="R279">_xlfn.IFS(Trainingsabschluss[[#This Row],[Quizergebnis_Prozent]]&lt;0.5, "Nicht bestanden",
Trainingsabschluss[[#This Row],[Quizergebnis_Prozent]]&lt;0.65, "Bestanden",
Trainingsabschluss[[#This Row],[Quizergebnis_Prozent]]&lt;0.8, "Gut bestanden",
TRUE, "Sehr gut bestanden")</f>
        <v>Gut bestanden</v>
      </c>
      <c r="S279" s="3">
        <v>4</v>
      </c>
      <c r="T279" s="3" t="str" cm="1">
        <f t="array" ref="T279">_xlfn.IFS(Trainingsabschluss[[#This Row],[Training_Bewertung]]&gt;=9, "Promotor", Trainingsabschluss[[#This Row],[Training_Bewertung]]
&lt;=6, "Detraktor",
TRUE, "Passiv")</f>
        <v>Detraktor</v>
      </c>
      <c r="W279"/>
    </row>
    <row r="280" spans="1:23" x14ac:dyDescent="0.3">
      <c r="A280" s="13" t="s">
        <v>279</v>
      </c>
      <c r="B280" s="2">
        <v>5</v>
      </c>
      <c r="C280" s="2">
        <v>3</v>
      </c>
      <c r="D280" s="2">
        <v>3.5</v>
      </c>
      <c r="E280" s="2">
        <v>4</v>
      </c>
      <c r="F280" s="2">
        <v>1.5</v>
      </c>
      <c r="G280" s="2" t="str">
        <f>_xlfn.XLOOKUP(Trainingsabschluss[[#This Row],[UserID]], Teilnehmende[UserID], Teilnehmende[Branche], "UserID nicht gefunden")</f>
        <v>Bildung</v>
      </c>
      <c r="H280" t="str">
        <f>_xlfn.XLOOKUP(Trainingsabschluss[[#This Row],[UserID]], Teilnehmende[UserID], Teilnehmende[Bildungsabschluss], "UserID nicht gefunden")</f>
        <v>Bachelor</v>
      </c>
      <c r="I280" s="3">
        <f>_xlfn.XLOOKUP(Trainingsabschluss[[#This Row],[UserID]], Teilnehmende[UserID], Teilnehmende[Berufserfahrung])</f>
        <v>5</v>
      </c>
      <c r="J280" s="3" t="str" cm="1">
        <f t="array" ref="J28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80" s="11">
        <f>Trainingsabschluss[[#This Row],[Quiz_Frage1_Punkte]]/Max_Frage1</f>
        <v>1</v>
      </c>
      <c r="L280" s="11">
        <f>Trainingsabschluss[[#This Row],[Quiz_Frage2_Punkte]]/Max_Frage2</f>
        <v>0.6</v>
      </c>
      <c r="M280" s="11">
        <f>Trainingsabschluss[[#This Row],[Quiz_Frage3_Punkte]]/Max_Frage3</f>
        <v>0.7</v>
      </c>
      <c r="N280" s="11">
        <f>Trainingsabschluss[[#This Row],[Quiz_Frage4_Punkte]]/Max_Frage4</f>
        <v>1</v>
      </c>
      <c r="O280" s="11">
        <f>Trainingsabschluss[[#This Row],[Quiz_Frage5_Punkte]]/Max_Frage5</f>
        <v>0.5</v>
      </c>
      <c r="P280" s="2">
        <f>Trainingsabschluss[[#This Row],[Quiz_Frage1_Punkte]]+Trainingsabschluss[[#This Row],[Quiz_Frage2_Punkte]]+Trainingsabschluss[[#This Row],[Quiz_Frage3_Punkte]]+Trainingsabschluss[[#This Row],[Quiz_Frage4_Punkte]]+Trainingsabschluss[[#This Row],[Quiz_Frage5_Punkte]]</f>
        <v>17</v>
      </c>
      <c r="Q280" s="8">
        <f>Trainingsabschluss[[#This Row],[Quizergebnis]]/Max_Quizergebnis</f>
        <v>0.77272727272727271</v>
      </c>
      <c r="R280" t="str" cm="1">
        <f t="array" ref="R280">_xlfn.IFS(Trainingsabschluss[[#This Row],[Quizergebnis_Prozent]]&lt;0.5, "Nicht bestanden",
Trainingsabschluss[[#This Row],[Quizergebnis_Prozent]]&lt;0.65, "Bestanden",
Trainingsabschluss[[#This Row],[Quizergebnis_Prozent]]&lt;0.8, "Gut bestanden",
TRUE, "Sehr gut bestanden")</f>
        <v>Gut bestanden</v>
      </c>
      <c r="S280" s="3">
        <v>4</v>
      </c>
      <c r="T280" s="3" t="str" cm="1">
        <f t="array" ref="T280">_xlfn.IFS(Trainingsabschluss[[#This Row],[Training_Bewertung]]&gt;=9, "Promotor", Trainingsabschluss[[#This Row],[Training_Bewertung]]
&lt;=6, "Detraktor",
TRUE, "Passiv")</f>
        <v>Detraktor</v>
      </c>
      <c r="W280"/>
    </row>
    <row r="281" spans="1:23" x14ac:dyDescent="0.3">
      <c r="A281" s="13" t="s">
        <v>283</v>
      </c>
      <c r="B281" s="2">
        <v>3.5</v>
      </c>
      <c r="C281" s="2">
        <v>2.5</v>
      </c>
      <c r="D281" s="2">
        <v>3.5</v>
      </c>
      <c r="E281" s="2">
        <v>4</v>
      </c>
      <c r="F281" s="2">
        <v>0.5</v>
      </c>
      <c r="G281" s="2" t="str">
        <f>_xlfn.XLOOKUP(Trainingsabschluss[[#This Row],[UserID]], Teilnehmende[UserID], Teilnehmende[Branche], "UserID nicht gefunden")</f>
        <v>Bildung</v>
      </c>
      <c r="H281" t="str">
        <f>_xlfn.XLOOKUP(Trainingsabschluss[[#This Row],[UserID]], Teilnehmende[UserID], Teilnehmende[Bildungsabschluss], "UserID nicht gefunden")</f>
        <v>Bachelor</v>
      </c>
      <c r="I281" s="3">
        <f>_xlfn.XLOOKUP(Trainingsabschluss[[#This Row],[UserID]], Teilnehmende[UserID], Teilnehmende[Berufserfahrung])</f>
        <v>10</v>
      </c>
      <c r="J281" s="3" t="str" cm="1">
        <f t="array" ref="J28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81" s="11">
        <f>Trainingsabschluss[[#This Row],[Quiz_Frage1_Punkte]]/Max_Frage1</f>
        <v>0.7</v>
      </c>
      <c r="L281" s="11">
        <f>Trainingsabschluss[[#This Row],[Quiz_Frage2_Punkte]]/Max_Frage2</f>
        <v>0.5</v>
      </c>
      <c r="M281" s="11">
        <f>Trainingsabschluss[[#This Row],[Quiz_Frage3_Punkte]]/Max_Frage3</f>
        <v>0.7</v>
      </c>
      <c r="N281" s="11">
        <f>Trainingsabschluss[[#This Row],[Quiz_Frage4_Punkte]]/Max_Frage4</f>
        <v>1</v>
      </c>
      <c r="O281" s="11">
        <f>Trainingsabschluss[[#This Row],[Quiz_Frage5_Punkte]]/Max_Frage5</f>
        <v>0.16666666666666666</v>
      </c>
      <c r="P281" s="2">
        <f>Trainingsabschluss[[#This Row],[Quiz_Frage1_Punkte]]+Trainingsabschluss[[#This Row],[Quiz_Frage2_Punkte]]+Trainingsabschluss[[#This Row],[Quiz_Frage3_Punkte]]+Trainingsabschluss[[#This Row],[Quiz_Frage4_Punkte]]+Trainingsabschluss[[#This Row],[Quiz_Frage5_Punkte]]</f>
        <v>14</v>
      </c>
      <c r="Q281" s="8">
        <f>Trainingsabschluss[[#This Row],[Quizergebnis]]/Max_Quizergebnis</f>
        <v>0.63636363636363635</v>
      </c>
      <c r="R281" t="str" cm="1">
        <f t="array" ref="R281">_xlfn.IFS(Trainingsabschluss[[#This Row],[Quizergebnis_Prozent]]&lt;0.5, "Nicht bestanden",
Trainingsabschluss[[#This Row],[Quizergebnis_Prozent]]&lt;0.65, "Bestanden",
Trainingsabschluss[[#This Row],[Quizergebnis_Prozent]]&lt;0.8, "Gut bestanden",
TRUE, "Sehr gut bestanden")</f>
        <v>Bestanden</v>
      </c>
      <c r="S281" s="3">
        <v>6</v>
      </c>
      <c r="T281" s="3" t="str" cm="1">
        <f t="array" ref="T281">_xlfn.IFS(Trainingsabschluss[[#This Row],[Training_Bewertung]]&gt;=9, "Promotor", Trainingsabschluss[[#This Row],[Training_Bewertung]]
&lt;=6, "Detraktor",
TRUE, "Passiv")</f>
        <v>Detraktor</v>
      </c>
      <c r="W281"/>
    </row>
    <row r="282" spans="1:23" x14ac:dyDescent="0.3">
      <c r="A282" s="13" t="s">
        <v>285</v>
      </c>
      <c r="B282" s="2">
        <v>5</v>
      </c>
      <c r="C282" s="2">
        <v>5</v>
      </c>
      <c r="D282" s="2">
        <v>0</v>
      </c>
      <c r="E282" s="2">
        <v>4</v>
      </c>
      <c r="F282" s="2">
        <v>2.5</v>
      </c>
      <c r="G282" s="2" t="str">
        <f>_xlfn.XLOOKUP(Trainingsabschluss[[#This Row],[UserID]], Teilnehmende[UserID], Teilnehmende[Branche], "UserID nicht gefunden")</f>
        <v>Energieversorgung</v>
      </c>
      <c r="H282" t="str">
        <f>_xlfn.XLOOKUP(Trainingsabschluss[[#This Row],[UserID]], Teilnehmende[UserID], Teilnehmende[Bildungsabschluss], "UserID nicht gefunden")</f>
        <v>Bachelor</v>
      </c>
      <c r="I282" s="3">
        <f>_xlfn.XLOOKUP(Trainingsabschluss[[#This Row],[UserID]], Teilnehmende[UserID], Teilnehmende[Berufserfahrung])</f>
        <v>2</v>
      </c>
      <c r="J282" s="3" t="str" cm="1">
        <f t="array" ref="J28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82" s="11">
        <f>Trainingsabschluss[[#This Row],[Quiz_Frage1_Punkte]]/Max_Frage1</f>
        <v>1</v>
      </c>
      <c r="L282" s="11">
        <f>Trainingsabschluss[[#This Row],[Quiz_Frage2_Punkte]]/Max_Frage2</f>
        <v>1</v>
      </c>
      <c r="M282" s="11">
        <f>Trainingsabschluss[[#This Row],[Quiz_Frage3_Punkte]]/Max_Frage3</f>
        <v>0</v>
      </c>
      <c r="N282" s="11">
        <f>Trainingsabschluss[[#This Row],[Quiz_Frage4_Punkte]]/Max_Frage4</f>
        <v>1</v>
      </c>
      <c r="O282" s="11">
        <f>Trainingsabschluss[[#This Row],[Quiz_Frage5_Punkte]]/Max_Frage5</f>
        <v>0.83333333333333337</v>
      </c>
      <c r="P282" s="2">
        <f>Trainingsabschluss[[#This Row],[Quiz_Frage1_Punkte]]+Trainingsabschluss[[#This Row],[Quiz_Frage2_Punkte]]+Trainingsabschluss[[#This Row],[Quiz_Frage3_Punkte]]+Trainingsabschluss[[#This Row],[Quiz_Frage4_Punkte]]+Trainingsabschluss[[#This Row],[Quiz_Frage5_Punkte]]</f>
        <v>16.5</v>
      </c>
      <c r="Q282" s="8">
        <f>Trainingsabschluss[[#This Row],[Quizergebnis]]/Max_Quizergebnis</f>
        <v>0.75</v>
      </c>
      <c r="R282" t="str" cm="1">
        <f t="array" ref="R282">_xlfn.IFS(Trainingsabschluss[[#This Row],[Quizergebnis_Prozent]]&lt;0.5, "Nicht bestanden",
Trainingsabschluss[[#This Row],[Quizergebnis_Prozent]]&lt;0.65, "Bestanden",
Trainingsabschluss[[#This Row],[Quizergebnis_Prozent]]&lt;0.8, "Gut bestanden",
TRUE, "Sehr gut bestanden")</f>
        <v>Gut bestanden</v>
      </c>
      <c r="S282" s="3">
        <v>6</v>
      </c>
      <c r="T282" s="3" t="str" cm="1">
        <f t="array" ref="T282">_xlfn.IFS(Trainingsabschluss[[#This Row],[Training_Bewertung]]&gt;=9, "Promotor", Trainingsabschluss[[#This Row],[Training_Bewertung]]
&lt;=6, "Detraktor",
TRUE, "Passiv")</f>
        <v>Detraktor</v>
      </c>
      <c r="W282"/>
    </row>
    <row r="283" spans="1:23" x14ac:dyDescent="0.3">
      <c r="A283" s="13" t="s">
        <v>287</v>
      </c>
      <c r="B283" s="2">
        <v>2.5</v>
      </c>
      <c r="C283" s="2">
        <v>5</v>
      </c>
      <c r="D283" s="2">
        <v>4</v>
      </c>
      <c r="E283" s="2">
        <v>1</v>
      </c>
      <c r="F283" s="2">
        <v>1.5</v>
      </c>
      <c r="G283" s="2" t="str">
        <f>_xlfn.XLOOKUP(Trainingsabschluss[[#This Row],[UserID]], Teilnehmende[UserID], Teilnehmende[Branche], "UserID nicht gefunden")</f>
        <v>Energieversorgung</v>
      </c>
      <c r="H283" t="str">
        <f>_xlfn.XLOOKUP(Trainingsabschluss[[#This Row],[UserID]], Teilnehmende[UserID], Teilnehmende[Bildungsabschluss], "UserID nicht gefunden")</f>
        <v>Bachelor</v>
      </c>
      <c r="I283" s="3">
        <f>_xlfn.XLOOKUP(Trainingsabschluss[[#This Row],[UserID]], Teilnehmende[UserID], Teilnehmende[Berufserfahrung])</f>
        <v>15</v>
      </c>
      <c r="J283" s="3" t="str" cm="1">
        <f t="array" ref="J283">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83" s="11">
        <f>Trainingsabschluss[[#This Row],[Quiz_Frage1_Punkte]]/Max_Frage1</f>
        <v>0.5</v>
      </c>
      <c r="L283" s="11">
        <f>Trainingsabschluss[[#This Row],[Quiz_Frage2_Punkte]]/Max_Frage2</f>
        <v>1</v>
      </c>
      <c r="M283" s="11">
        <f>Trainingsabschluss[[#This Row],[Quiz_Frage3_Punkte]]/Max_Frage3</f>
        <v>0.8</v>
      </c>
      <c r="N283" s="11">
        <f>Trainingsabschluss[[#This Row],[Quiz_Frage4_Punkte]]/Max_Frage4</f>
        <v>0.25</v>
      </c>
      <c r="O283" s="11">
        <f>Trainingsabschluss[[#This Row],[Quiz_Frage5_Punkte]]/Max_Frage5</f>
        <v>0.5</v>
      </c>
      <c r="P283" s="2">
        <f>Trainingsabschluss[[#This Row],[Quiz_Frage1_Punkte]]+Trainingsabschluss[[#This Row],[Quiz_Frage2_Punkte]]+Trainingsabschluss[[#This Row],[Quiz_Frage3_Punkte]]+Trainingsabschluss[[#This Row],[Quiz_Frage4_Punkte]]+Trainingsabschluss[[#This Row],[Quiz_Frage5_Punkte]]</f>
        <v>14</v>
      </c>
      <c r="Q283" s="8">
        <f>Trainingsabschluss[[#This Row],[Quizergebnis]]/Max_Quizergebnis</f>
        <v>0.63636363636363635</v>
      </c>
      <c r="R283" t="str" cm="1">
        <f t="array" ref="R283">_xlfn.IFS(Trainingsabschluss[[#This Row],[Quizergebnis_Prozent]]&lt;0.5, "Nicht bestanden",
Trainingsabschluss[[#This Row],[Quizergebnis_Prozent]]&lt;0.65, "Bestanden",
Trainingsabschluss[[#This Row],[Quizergebnis_Prozent]]&lt;0.8, "Gut bestanden",
TRUE, "Sehr gut bestanden")</f>
        <v>Bestanden</v>
      </c>
      <c r="S283" s="3">
        <v>6</v>
      </c>
      <c r="T283" s="3" t="str" cm="1">
        <f t="array" ref="T283">_xlfn.IFS(Trainingsabschluss[[#This Row],[Training_Bewertung]]&gt;=9, "Promotor", Trainingsabschluss[[#This Row],[Training_Bewertung]]
&lt;=6, "Detraktor",
TRUE, "Passiv")</f>
        <v>Detraktor</v>
      </c>
      <c r="W283"/>
    </row>
    <row r="284" spans="1:23" x14ac:dyDescent="0.3">
      <c r="A284" s="13" t="s">
        <v>288</v>
      </c>
      <c r="B284" s="2">
        <v>5</v>
      </c>
      <c r="C284" s="2">
        <v>0.5</v>
      </c>
      <c r="D284" s="2">
        <v>1.5</v>
      </c>
      <c r="E284" s="2">
        <v>2.5</v>
      </c>
      <c r="F284" s="2">
        <v>1.5</v>
      </c>
      <c r="G284" s="2" t="str">
        <f>_xlfn.XLOOKUP(Trainingsabschluss[[#This Row],[UserID]], Teilnehmende[UserID], Teilnehmende[Branche], "UserID nicht gefunden")</f>
        <v>Energieversorgung</v>
      </c>
      <c r="H284" t="str">
        <f>_xlfn.XLOOKUP(Trainingsabschluss[[#This Row],[UserID]], Teilnehmende[UserID], Teilnehmende[Bildungsabschluss], "UserID nicht gefunden")</f>
        <v>Bachelor</v>
      </c>
      <c r="I284" s="3">
        <f>_xlfn.XLOOKUP(Trainingsabschluss[[#This Row],[UserID]], Teilnehmende[UserID], Teilnehmende[Berufserfahrung])</f>
        <v>3</v>
      </c>
      <c r="J284" s="3" t="str" cm="1">
        <f t="array" ref="J28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84" s="11">
        <f>Trainingsabschluss[[#This Row],[Quiz_Frage1_Punkte]]/Max_Frage1</f>
        <v>1</v>
      </c>
      <c r="L284" s="11">
        <f>Trainingsabschluss[[#This Row],[Quiz_Frage2_Punkte]]/Max_Frage2</f>
        <v>0.1</v>
      </c>
      <c r="M284" s="11">
        <f>Trainingsabschluss[[#This Row],[Quiz_Frage3_Punkte]]/Max_Frage3</f>
        <v>0.3</v>
      </c>
      <c r="N284" s="11">
        <f>Trainingsabschluss[[#This Row],[Quiz_Frage4_Punkte]]/Max_Frage4</f>
        <v>0.625</v>
      </c>
      <c r="O284" s="11">
        <f>Trainingsabschluss[[#This Row],[Quiz_Frage5_Punkte]]/Max_Frage5</f>
        <v>0.5</v>
      </c>
      <c r="P284" s="2">
        <f>Trainingsabschluss[[#This Row],[Quiz_Frage1_Punkte]]+Trainingsabschluss[[#This Row],[Quiz_Frage2_Punkte]]+Trainingsabschluss[[#This Row],[Quiz_Frage3_Punkte]]+Trainingsabschluss[[#This Row],[Quiz_Frage4_Punkte]]+Trainingsabschluss[[#This Row],[Quiz_Frage5_Punkte]]</f>
        <v>11</v>
      </c>
      <c r="Q284" s="8">
        <f>Trainingsabschluss[[#This Row],[Quizergebnis]]/Max_Quizergebnis</f>
        <v>0.5</v>
      </c>
      <c r="R284" t="str" cm="1">
        <f t="array" ref="R284">_xlfn.IFS(Trainingsabschluss[[#This Row],[Quizergebnis_Prozent]]&lt;0.5, "Nicht bestanden",
Trainingsabschluss[[#This Row],[Quizergebnis_Prozent]]&lt;0.65, "Bestanden",
Trainingsabschluss[[#This Row],[Quizergebnis_Prozent]]&lt;0.8, "Gut bestanden",
TRUE, "Sehr gut bestanden")</f>
        <v>Bestanden</v>
      </c>
      <c r="S284" s="3">
        <v>6</v>
      </c>
      <c r="T284" s="3" t="str" cm="1">
        <f t="array" ref="T284">_xlfn.IFS(Trainingsabschluss[[#This Row],[Training_Bewertung]]&gt;=9, "Promotor", Trainingsabschluss[[#This Row],[Training_Bewertung]]
&lt;=6, "Detraktor",
TRUE, "Passiv")</f>
        <v>Detraktor</v>
      </c>
      <c r="W284"/>
    </row>
    <row r="285" spans="1:23" x14ac:dyDescent="0.3">
      <c r="A285" s="13" t="s">
        <v>290</v>
      </c>
      <c r="B285" s="2">
        <v>5</v>
      </c>
      <c r="C285" s="2">
        <v>4.5</v>
      </c>
      <c r="D285" s="2">
        <v>1</v>
      </c>
      <c r="E285" s="2">
        <v>2.5</v>
      </c>
      <c r="F285" s="2">
        <v>0.5</v>
      </c>
      <c r="G285" s="2" t="str">
        <f>_xlfn.XLOOKUP(Trainingsabschluss[[#This Row],[UserID]], Teilnehmende[UserID], Teilnehmende[Branche], "UserID nicht gefunden")</f>
        <v>Energieversorgung</v>
      </c>
      <c r="H285" t="str">
        <f>_xlfn.XLOOKUP(Trainingsabschluss[[#This Row],[UserID]], Teilnehmende[UserID], Teilnehmende[Bildungsabschluss], "UserID nicht gefunden")</f>
        <v>Bachelor</v>
      </c>
      <c r="I285" s="3">
        <f>_xlfn.XLOOKUP(Trainingsabschluss[[#This Row],[UserID]], Teilnehmende[UserID], Teilnehmende[Berufserfahrung])</f>
        <v>10</v>
      </c>
      <c r="J285" s="3" t="str" cm="1">
        <f t="array" ref="J28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85" s="11">
        <f>Trainingsabschluss[[#This Row],[Quiz_Frage1_Punkte]]/Max_Frage1</f>
        <v>1</v>
      </c>
      <c r="L285" s="11">
        <f>Trainingsabschluss[[#This Row],[Quiz_Frage2_Punkte]]/Max_Frage2</f>
        <v>0.9</v>
      </c>
      <c r="M285" s="11">
        <f>Trainingsabschluss[[#This Row],[Quiz_Frage3_Punkte]]/Max_Frage3</f>
        <v>0.2</v>
      </c>
      <c r="N285" s="11">
        <f>Trainingsabschluss[[#This Row],[Quiz_Frage4_Punkte]]/Max_Frage4</f>
        <v>0.625</v>
      </c>
      <c r="O285" s="11">
        <f>Trainingsabschluss[[#This Row],[Quiz_Frage5_Punkte]]/Max_Frage5</f>
        <v>0.16666666666666666</v>
      </c>
      <c r="P285" s="2">
        <f>Trainingsabschluss[[#This Row],[Quiz_Frage1_Punkte]]+Trainingsabschluss[[#This Row],[Quiz_Frage2_Punkte]]+Trainingsabschluss[[#This Row],[Quiz_Frage3_Punkte]]+Trainingsabschluss[[#This Row],[Quiz_Frage4_Punkte]]+Trainingsabschluss[[#This Row],[Quiz_Frage5_Punkte]]</f>
        <v>13.5</v>
      </c>
      <c r="Q285" s="8">
        <f>Trainingsabschluss[[#This Row],[Quizergebnis]]/Max_Quizergebnis</f>
        <v>0.61363636363636365</v>
      </c>
      <c r="R285" t="str" cm="1">
        <f t="array" ref="R285">_xlfn.IFS(Trainingsabschluss[[#This Row],[Quizergebnis_Prozent]]&lt;0.5, "Nicht bestanden",
Trainingsabschluss[[#This Row],[Quizergebnis_Prozent]]&lt;0.65, "Bestanden",
Trainingsabschluss[[#This Row],[Quizergebnis_Prozent]]&lt;0.8, "Gut bestanden",
TRUE, "Sehr gut bestanden")</f>
        <v>Bestanden</v>
      </c>
      <c r="S285" s="3">
        <v>10</v>
      </c>
      <c r="T285" s="3" t="str" cm="1">
        <f t="array" ref="T285">_xlfn.IFS(Trainingsabschluss[[#This Row],[Training_Bewertung]]&gt;=9, "Promotor", Trainingsabschluss[[#This Row],[Training_Bewertung]]
&lt;=6, "Detraktor",
TRUE, "Passiv")</f>
        <v>Promotor</v>
      </c>
      <c r="W285"/>
    </row>
    <row r="286" spans="1:23" x14ac:dyDescent="0.3">
      <c r="A286" s="13" t="s">
        <v>291</v>
      </c>
      <c r="B286" s="2">
        <v>4</v>
      </c>
      <c r="C286" s="2">
        <v>4.5</v>
      </c>
      <c r="D286" s="2">
        <v>3.5</v>
      </c>
      <c r="E286" s="2">
        <v>3</v>
      </c>
      <c r="F286" s="2">
        <v>2</v>
      </c>
      <c r="G286" s="2" t="str">
        <f>_xlfn.XLOOKUP(Trainingsabschluss[[#This Row],[UserID]], Teilnehmende[UserID], Teilnehmende[Branche], "UserID nicht gefunden")</f>
        <v>Energieversorgung</v>
      </c>
      <c r="H286" t="str">
        <f>_xlfn.XLOOKUP(Trainingsabschluss[[#This Row],[UserID]], Teilnehmende[UserID], Teilnehmende[Bildungsabschluss], "UserID nicht gefunden")</f>
        <v>Bachelor</v>
      </c>
      <c r="I286" s="3">
        <f>_xlfn.XLOOKUP(Trainingsabschluss[[#This Row],[UserID]], Teilnehmende[UserID], Teilnehmende[Berufserfahrung])</f>
        <v>13</v>
      </c>
      <c r="J286" s="3" t="str" cm="1">
        <f t="array" ref="J28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86" s="11">
        <f>Trainingsabschluss[[#This Row],[Quiz_Frage1_Punkte]]/Max_Frage1</f>
        <v>0.8</v>
      </c>
      <c r="L286" s="11">
        <f>Trainingsabschluss[[#This Row],[Quiz_Frage2_Punkte]]/Max_Frage2</f>
        <v>0.9</v>
      </c>
      <c r="M286" s="11">
        <f>Trainingsabschluss[[#This Row],[Quiz_Frage3_Punkte]]/Max_Frage3</f>
        <v>0.7</v>
      </c>
      <c r="N286" s="11">
        <f>Trainingsabschluss[[#This Row],[Quiz_Frage4_Punkte]]/Max_Frage4</f>
        <v>0.75</v>
      </c>
      <c r="O286" s="11">
        <f>Trainingsabschluss[[#This Row],[Quiz_Frage5_Punkte]]/Max_Frage5</f>
        <v>0.66666666666666663</v>
      </c>
      <c r="P286" s="2">
        <f>Trainingsabschluss[[#This Row],[Quiz_Frage1_Punkte]]+Trainingsabschluss[[#This Row],[Quiz_Frage2_Punkte]]+Trainingsabschluss[[#This Row],[Quiz_Frage3_Punkte]]+Trainingsabschluss[[#This Row],[Quiz_Frage4_Punkte]]+Trainingsabschluss[[#This Row],[Quiz_Frage5_Punkte]]</f>
        <v>17</v>
      </c>
      <c r="Q286" s="8">
        <f>Trainingsabschluss[[#This Row],[Quizergebnis]]/Max_Quizergebnis</f>
        <v>0.77272727272727271</v>
      </c>
      <c r="R286" t="str" cm="1">
        <f t="array" ref="R286">_xlfn.IFS(Trainingsabschluss[[#This Row],[Quizergebnis_Prozent]]&lt;0.5, "Nicht bestanden",
Trainingsabschluss[[#This Row],[Quizergebnis_Prozent]]&lt;0.65, "Bestanden",
Trainingsabschluss[[#This Row],[Quizergebnis_Prozent]]&lt;0.8, "Gut bestanden",
TRUE, "Sehr gut bestanden")</f>
        <v>Gut bestanden</v>
      </c>
      <c r="S286" s="3">
        <v>10</v>
      </c>
      <c r="T286" s="3" t="str" cm="1">
        <f t="array" ref="T286">_xlfn.IFS(Trainingsabschluss[[#This Row],[Training_Bewertung]]&gt;=9, "Promotor", Trainingsabschluss[[#This Row],[Training_Bewertung]]
&lt;=6, "Detraktor",
TRUE, "Passiv")</f>
        <v>Promotor</v>
      </c>
      <c r="W286"/>
    </row>
    <row r="287" spans="1:23" x14ac:dyDescent="0.3">
      <c r="A287" s="13" t="s">
        <v>292</v>
      </c>
      <c r="B287" s="2">
        <v>4.5</v>
      </c>
      <c r="C287" s="2">
        <v>3.5</v>
      </c>
      <c r="D287" s="2">
        <v>1.5</v>
      </c>
      <c r="E287" s="2">
        <v>0</v>
      </c>
      <c r="F287" s="2">
        <v>0</v>
      </c>
      <c r="G287" s="2" t="str">
        <f>_xlfn.XLOOKUP(Trainingsabschluss[[#This Row],[UserID]], Teilnehmende[UserID], Teilnehmende[Branche], "UserID nicht gefunden")</f>
        <v>Energieversorgung</v>
      </c>
      <c r="H287" t="str">
        <f>_xlfn.XLOOKUP(Trainingsabschluss[[#This Row],[UserID]], Teilnehmende[UserID], Teilnehmende[Bildungsabschluss], "UserID nicht gefunden")</f>
        <v>Bachelor</v>
      </c>
      <c r="I287" s="3">
        <f>_xlfn.XLOOKUP(Trainingsabschluss[[#This Row],[UserID]], Teilnehmende[UserID], Teilnehmende[Berufserfahrung])</f>
        <v>20</v>
      </c>
      <c r="J287" s="3" t="str" cm="1">
        <f t="array" ref="J287">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287" s="11">
        <f>Trainingsabschluss[[#This Row],[Quiz_Frage1_Punkte]]/Max_Frage1</f>
        <v>0.9</v>
      </c>
      <c r="L287" s="11">
        <f>Trainingsabschluss[[#This Row],[Quiz_Frage2_Punkte]]/Max_Frage2</f>
        <v>0.7</v>
      </c>
      <c r="M287" s="11">
        <f>Trainingsabschluss[[#This Row],[Quiz_Frage3_Punkte]]/Max_Frage3</f>
        <v>0.3</v>
      </c>
      <c r="N287" s="11">
        <f>Trainingsabschluss[[#This Row],[Quiz_Frage4_Punkte]]/Max_Frage4</f>
        <v>0</v>
      </c>
      <c r="O287" s="11">
        <f>Trainingsabschluss[[#This Row],[Quiz_Frage5_Punkte]]/Max_Frage5</f>
        <v>0</v>
      </c>
      <c r="P287" s="2">
        <f>Trainingsabschluss[[#This Row],[Quiz_Frage1_Punkte]]+Trainingsabschluss[[#This Row],[Quiz_Frage2_Punkte]]+Trainingsabschluss[[#This Row],[Quiz_Frage3_Punkte]]+Trainingsabschluss[[#This Row],[Quiz_Frage4_Punkte]]+Trainingsabschluss[[#This Row],[Quiz_Frage5_Punkte]]</f>
        <v>9.5</v>
      </c>
      <c r="Q287" s="8">
        <f>Trainingsabschluss[[#This Row],[Quizergebnis]]/Max_Quizergebnis</f>
        <v>0.43181818181818182</v>
      </c>
      <c r="R287" t="str" cm="1">
        <f t="array" ref="R287">_xlfn.IFS(Trainingsabschluss[[#This Row],[Quizergebnis_Prozent]]&lt;0.5, "Nicht bestanden",
Trainingsabschluss[[#This Row],[Quizergebnis_Prozent]]&lt;0.65, "Bestanden",
Trainingsabschluss[[#This Row],[Quizergebnis_Prozent]]&lt;0.8, "Gut bestanden",
TRUE, "Sehr gut bestanden")</f>
        <v>Nicht bestanden</v>
      </c>
      <c r="S287" s="3">
        <v>10</v>
      </c>
      <c r="T287" s="3" t="str" cm="1">
        <f t="array" ref="T287">_xlfn.IFS(Trainingsabschluss[[#This Row],[Training_Bewertung]]&gt;=9, "Promotor", Trainingsabschluss[[#This Row],[Training_Bewertung]]
&lt;=6, "Detraktor",
TRUE, "Passiv")</f>
        <v>Promotor</v>
      </c>
      <c r="W287"/>
    </row>
    <row r="288" spans="1:23" x14ac:dyDescent="0.3">
      <c r="A288" s="13" t="s">
        <v>293</v>
      </c>
      <c r="B288" s="2">
        <v>4.5</v>
      </c>
      <c r="C288" s="2">
        <v>4</v>
      </c>
      <c r="D288" s="2">
        <v>2.5</v>
      </c>
      <c r="E288" s="2">
        <v>1.5</v>
      </c>
      <c r="F288" s="2">
        <v>3</v>
      </c>
      <c r="G288" s="2" t="str">
        <f>_xlfn.XLOOKUP(Trainingsabschluss[[#This Row],[UserID]], Teilnehmende[UserID], Teilnehmende[Branche], "UserID nicht gefunden")</f>
        <v>Energieversorgung</v>
      </c>
      <c r="H288" t="str">
        <f>_xlfn.XLOOKUP(Trainingsabschluss[[#This Row],[UserID]], Teilnehmende[UserID], Teilnehmende[Bildungsabschluss], "UserID nicht gefunden")</f>
        <v>Bachelor</v>
      </c>
      <c r="I288" s="3">
        <f>_xlfn.XLOOKUP(Trainingsabschluss[[#This Row],[UserID]], Teilnehmende[UserID], Teilnehmende[Berufserfahrung])</f>
        <v>8</v>
      </c>
      <c r="J288" s="3" t="str" cm="1">
        <f t="array" ref="J28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88" s="11">
        <f>Trainingsabschluss[[#This Row],[Quiz_Frage1_Punkte]]/Max_Frage1</f>
        <v>0.9</v>
      </c>
      <c r="L288" s="11">
        <f>Trainingsabschluss[[#This Row],[Quiz_Frage2_Punkte]]/Max_Frage2</f>
        <v>0.8</v>
      </c>
      <c r="M288" s="11">
        <f>Trainingsabschluss[[#This Row],[Quiz_Frage3_Punkte]]/Max_Frage3</f>
        <v>0.5</v>
      </c>
      <c r="N288" s="11">
        <f>Trainingsabschluss[[#This Row],[Quiz_Frage4_Punkte]]/Max_Frage4</f>
        <v>0.375</v>
      </c>
      <c r="O288" s="11">
        <f>Trainingsabschluss[[#This Row],[Quiz_Frage5_Punkte]]/Max_Frage5</f>
        <v>1</v>
      </c>
      <c r="P288" s="2">
        <f>Trainingsabschluss[[#This Row],[Quiz_Frage1_Punkte]]+Trainingsabschluss[[#This Row],[Quiz_Frage2_Punkte]]+Trainingsabschluss[[#This Row],[Quiz_Frage3_Punkte]]+Trainingsabschluss[[#This Row],[Quiz_Frage4_Punkte]]+Trainingsabschluss[[#This Row],[Quiz_Frage5_Punkte]]</f>
        <v>15.5</v>
      </c>
      <c r="Q288" s="8">
        <f>Trainingsabschluss[[#This Row],[Quizergebnis]]/Max_Quizergebnis</f>
        <v>0.70454545454545459</v>
      </c>
      <c r="R288" t="str" cm="1">
        <f t="array" ref="R288">_xlfn.IFS(Trainingsabschluss[[#This Row],[Quizergebnis_Prozent]]&lt;0.5, "Nicht bestanden",
Trainingsabschluss[[#This Row],[Quizergebnis_Prozent]]&lt;0.65, "Bestanden",
Trainingsabschluss[[#This Row],[Quizergebnis_Prozent]]&lt;0.8, "Gut bestanden",
TRUE, "Sehr gut bestanden")</f>
        <v>Gut bestanden</v>
      </c>
      <c r="S288" s="3">
        <v>9</v>
      </c>
      <c r="T288" s="3" t="str" cm="1">
        <f t="array" ref="T288">_xlfn.IFS(Trainingsabschluss[[#This Row],[Training_Bewertung]]&gt;=9, "Promotor", Trainingsabschluss[[#This Row],[Training_Bewertung]]
&lt;=6, "Detraktor",
TRUE, "Passiv")</f>
        <v>Promotor</v>
      </c>
      <c r="W288"/>
    </row>
    <row r="289" spans="1:23" x14ac:dyDescent="0.3">
      <c r="A289" s="13" t="s">
        <v>297</v>
      </c>
      <c r="B289" s="2">
        <v>5</v>
      </c>
      <c r="C289" s="2">
        <v>4</v>
      </c>
      <c r="D289" s="2">
        <v>0</v>
      </c>
      <c r="E289" s="2">
        <v>3.5</v>
      </c>
      <c r="F289" s="2">
        <v>2</v>
      </c>
      <c r="G289" s="2" t="str">
        <f>_xlfn.XLOOKUP(Trainingsabschluss[[#This Row],[UserID]], Teilnehmende[UserID], Teilnehmende[Branche], "UserID nicht gefunden")</f>
        <v>Energieversorgung</v>
      </c>
      <c r="H289" t="str">
        <f>_xlfn.XLOOKUP(Trainingsabschluss[[#This Row],[UserID]], Teilnehmende[UserID], Teilnehmende[Bildungsabschluss], "UserID nicht gefunden")</f>
        <v>Bachelor</v>
      </c>
      <c r="I289" s="3">
        <f>_xlfn.XLOOKUP(Trainingsabschluss[[#This Row],[UserID]], Teilnehmende[UserID], Teilnehmende[Berufserfahrung])</f>
        <v>10</v>
      </c>
      <c r="J289" s="3" t="str" cm="1">
        <f t="array" ref="J28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289" s="11">
        <f>Trainingsabschluss[[#This Row],[Quiz_Frage1_Punkte]]/Max_Frage1</f>
        <v>1</v>
      </c>
      <c r="L289" s="11">
        <f>Trainingsabschluss[[#This Row],[Quiz_Frage2_Punkte]]/Max_Frage2</f>
        <v>0.8</v>
      </c>
      <c r="M289" s="11">
        <f>Trainingsabschluss[[#This Row],[Quiz_Frage3_Punkte]]/Max_Frage3</f>
        <v>0</v>
      </c>
      <c r="N289" s="11">
        <f>Trainingsabschluss[[#This Row],[Quiz_Frage4_Punkte]]/Max_Frage4</f>
        <v>0.875</v>
      </c>
      <c r="O289" s="11">
        <f>Trainingsabschluss[[#This Row],[Quiz_Frage5_Punkte]]/Max_Frage5</f>
        <v>0.66666666666666663</v>
      </c>
      <c r="P289" s="2">
        <f>Trainingsabschluss[[#This Row],[Quiz_Frage1_Punkte]]+Trainingsabschluss[[#This Row],[Quiz_Frage2_Punkte]]+Trainingsabschluss[[#This Row],[Quiz_Frage3_Punkte]]+Trainingsabschluss[[#This Row],[Quiz_Frage4_Punkte]]+Trainingsabschluss[[#This Row],[Quiz_Frage5_Punkte]]</f>
        <v>14.5</v>
      </c>
      <c r="Q289" s="8">
        <f>Trainingsabschluss[[#This Row],[Quizergebnis]]/Max_Quizergebnis</f>
        <v>0.65909090909090906</v>
      </c>
      <c r="R289" t="str" cm="1">
        <f t="array" ref="R289">_xlfn.IFS(Trainingsabschluss[[#This Row],[Quizergebnis_Prozent]]&lt;0.5, "Nicht bestanden",
Trainingsabschluss[[#This Row],[Quizergebnis_Prozent]]&lt;0.65, "Bestanden",
Trainingsabschluss[[#This Row],[Quizergebnis_Prozent]]&lt;0.8, "Gut bestanden",
TRUE, "Sehr gut bestanden")</f>
        <v>Gut bestanden</v>
      </c>
      <c r="S289" s="3">
        <v>9</v>
      </c>
      <c r="T289" s="3" t="str" cm="1">
        <f t="array" ref="T289">_xlfn.IFS(Trainingsabschluss[[#This Row],[Training_Bewertung]]&gt;=9, "Promotor", Trainingsabschluss[[#This Row],[Training_Bewertung]]
&lt;=6, "Detraktor",
TRUE, "Passiv")</f>
        <v>Promotor</v>
      </c>
      <c r="W289"/>
    </row>
    <row r="290" spans="1:23" x14ac:dyDescent="0.3">
      <c r="A290" s="13" t="s">
        <v>300</v>
      </c>
      <c r="B290" s="2">
        <v>5</v>
      </c>
      <c r="C290" s="2">
        <v>3.5</v>
      </c>
      <c r="D290" s="2">
        <v>4.5</v>
      </c>
      <c r="E290" s="2">
        <v>3</v>
      </c>
      <c r="F290" s="2">
        <v>0.5</v>
      </c>
      <c r="G290" s="2" t="str">
        <f>_xlfn.XLOOKUP(Trainingsabschluss[[#This Row],[UserID]], Teilnehmende[UserID], Teilnehmende[Branche], "UserID nicht gefunden")</f>
        <v>Energieversorgung</v>
      </c>
      <c r="H290" t="str">
        <f>_xlfn.XLOOKUP(Trainingsabschluss[[#This Row],[UserID]], Teilnehmende[UserID], Teilnehmende[Bildungsabschluss], "UserID nicht gefunden")</f>
        <v>Bachelor</v>
      </c>
      <c r="I290" s="3">
        <f>_xlfn.XLOOKUP(Trainingsabschluss[[#This Row],[UserID]], Teilnehmende[UserID], Teilnehmende[Berufserfahrung])</f>
        <v>8</v>
      </c>
      <c r="J290" s="3" t="str" cm="1">
        <f t="array" ref="J29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90" s="11">
        <f>Trainingsabschluss[[#This Row],[Quiz_Frage1_Punkte]]/Max_Frage1</f>
        <v>1</v>
      </c>
      <c r="L290" s="11">
        <f>Trainingsabschluss[[#This Row],[Quiz_Frage2_Punkte]]/Max_Frage2</f>
        <v>0.7</v>
      </c>
      <c r="M290" s="11">
        <f>Trainingsabschluss[[#This Row],[Quiz_Frage3_Punkte]]/Max_Frage3</f>
        <v>0.9</v>
      </c>
      <c r="N290" s="11">
        <f>Trainingsabschluss[[#This Row],[Quiz_Frage4_Punkte]]/Max_Frage4</f>
        <v>0.75</v>
      </c>
      <c r="O290" s="11">
        <f>Trainingsabschluss[[#This Row],[Quiz_Frage5_Punkte]]/Max_Frage5</f>
        <v>0.16666666666666666</v>
      </c>
      <c r="P290" s="2">
        <f>Trainingsabschluss[[#This Row],[Quiz_Frage1_Punkte]]+Trainingsabschluss[[#This Row],[Quiz_Frage2_Punkte]]+Trainingsabschluss[[#This Row],[Quiz_Frage3_Punkte]]+Trainingsabschluss[[#This Row],[Quiz_Frage4_Punkte]]+Trainingsabschluss[[#This Row],[Quiz_Frage5_Punkte]]</f>
        <v>16.5</v>
      </c>
      <c r="Q290" s="8">
        <f>Trainingsabschluss[[#This Row],[Quizergebnis]]/Max_Quizergebnis</f>
        <v>0.75</v>
      </c>
      <c r="R290" t="str" cm="1">
        <f t="array" ref="R290">_xlfn.IFS(Trainingsabschluss[[#This Row],[Quizergebnis_Prozent]]&lt;0.5, "Nicht bestanden",
Trainingsabschluss[[#This Row],[Quizergebnis_Prozent]]&lt;0.65, "Bestanden",
Trainingsabschluss[[#This Row],[Quizergebnis_Prozent]]&lt;0.8, "Gut bestanden",
TRUE, "Sehr gut bestanden")</f>
        <v>Gut bestanden</v>
      </c>
      <c r="S290" s="3">
        <v>10</v>
      </c>
      <c r="T290" s="3" t="str" cm="1">
        <f t="array" ref="T290">_xlfn.IFS(Trainingsabschluss[[#This Row],[Training_Bewertung]]&gt;=9, "Promotor", Trainingsabschluss[[#This Row],[Training_Bewertung]]
&lt;=6, "Detraktor",
TRUE, "Passiv")</f>
        <v>Promotor</v>
      </c>
      <c r="W290"/>
    </row>
    <row r="291" spans="1:23" x14ac:dyDescent="0.3">
      <c r="A291" s="13" t="s">
        <v>302</v>
      </c>
      <c r="B291" s="2">
        <v>4.5</v>
      </c>
      <c r="C291" s="2">
        <v>2.5</v>
      </c>
      <c r="D291" s="2">
        <v>0</v>
      </c>
      <c r="E291" s="2">
        <v>0.5</v>
      </c>
      <c r="F291" s="2">
        <v>2</v>
      </c>
      <c r="G291" s="2" t="str">
        <f>_xlfn.XLOOKUP(Trainingsabschluss[[#This Row],[UserID]], Teilnehmende[UserID], Teilnehmende[Branche], "UserID nicht gefunden")</f>
        <v>Energieversorgung</v>
      </c>
      <c r="H291" t="str">
        <f>_xlfn.XLOOKUP(Trainingsabschluss[[#This Row],[UserID]], Teilnehmende[UserID], Teilnehmende[Bildungsabschluss], "UserID nicht gefunden")</f>
        <v>Bachelor</v>
      </c>
      <c r="I291" s="3">
        <f>_xlfn.XLOOKUP(Trainingsabschluss[[#This Row],[UserID]], Teilnehmende[UserID], Teilnehmende[Berufserfahrung])</f>
        <v>23</v>
      </c>
      <c r="J291" s="3" t="str" cm="1">
        <f t="array" ref="J291">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291" s="11">
        <f>Trainingsabschluss[[#This Row],[Quiz_Frage1_Punkte]]/Max_Frage1</f>
        <v>0.9</v>
      </c>
      <c r="L291" s="11">
        <f>Trainingsabschluss[[#This Row],[Quiz_Frage2_Punkte]]/Max_Frage2</f>
        <v>0.5</v>
      </c>
      <c r="M291" s="11">
        <f>Trainingsabschluss[[#This Row],[Quiz_Frage3_Punkte]]/Max_Frage3</f>
        <v>0</v>
      </c>
      <c r="N291" s="11">
        <f>Trainingsabschluss[[#This Row],[Quiz_Frage4_Punkte]]/Max_Frage4</f>
        <v>0.125</v>
      </c>
      <c r="O291" s="11">
        <f>Trainingsabschluss[[#This Row],[Quiz_Frage5_Punkte]]/Max_Frage5</f>
        <v>0.66666666666666663</v>
      </c>
      <c r="P291" s="2">
        <f>Trainingsabschluss[[#This Row],[Quiz_Frage1_Punkte]]+Trainingsabschluss[[#This Row],[Quiz_Frage2_Punkte]]+Trainingsabschluss[[#This Row],[Quiz_Frage3_Punkte]]+Trainingsabschluss[[#This Row],[Quiz_Frage4_Punkte]]+Trainingsabschluss[[#This Row],[Quiz_Frage5_Punkte]]</f>
        <v>9.5</v>
      </c>
      <c r="Q291" s="8">
        <f>Trainingsabschluss[[#This Row],[Quizergebnis]]/Max_Quizergebnis</f>
        <v>0.43181818181818182</v>
      </c>
      <c r="R291" t="str" cm="1">
        <f t="array" ref="R291">_xlfn.IFS(Trainingsabschluss[[#This Row],[Quizergebnis_Prozent]]&lt;0.5, "Nicht bestanden",
Trainingsabschluss[[#This Row],[Quizergebnis_Prozent]]&lt;0.65, "Bestanden",
Trainingsabschluss[[#This Row],[Quizergebnis_Prozent]]&lt;0.8, "Gut bestanden",
TRUE, "Sehr gut bestanden")</f>
        <v>Nicht bestanden</v>
      </c>
      <c r="S291" s="3">
        <v>9</v>
      </c>
      <c r="T291" s="3" t="str" cm="1">
        <f t="array" ref="T291">_xlfn.IFS(Trainingsabschluss[[#This Row],[Training_Bewertung]]&gt;=9, "Promotor", Trainingsabschluss[[#This Row],[Training_Bewertung]]
&lt;=6, "Detraktor",
TRUE, "Passiv")</f>
        <v>Promotor</v>
      </c>
      <c r="W291"/>
    </row>
    <row r="292" spans="1:23" x14ac:dyDescent="0.3">
      <c r="A292" s="13" t="s">
        <v>304</v>
      </c>
      <c r="B292" s="2">
        <v>4</v>
      </c>
      <c r="C292" s="2">
        <v>5</v>
      </c>
      <c r="D292" s="2">
        <v>4.5</v>
      </c>
      <c r="E292" s="2">
        <v>1</v>
      </c>
      <c r="F292" s="2">
        <v>1.5</v>
      </c>
      <c r="G292" s="2" t="str">
        <f>_xlfn.XLOOKUP(Trainingsabschluss[[#This Row],[UserID]], Teilnehmende[UserID], Teilnehmende[Branche], "UserID nicht gefunden")</f>
        <v>Finanzdienstleistung</v>
      </c>
      <c r="H292" t="str">
        <f>_xlfn.XLOOKUP(Trainingsabschluss[[#This Row],[UserID]], Teilnehmende[UserID], Teilnehmende[Bildungsabschluss], "UserID nicht gefunden")</f>
        <v>Bachelor</v>
      </c>
      <c r="I292" s="3">
        <f>_xlfn.XLOOKUP(Trainingsabschluss[[#This Row],[UserID]], Teilnehmende[UserID], Teilnehmende[Berufserfahrung])</f>
        <v>19</v>
      </c>
      <c r="J292" s="3" t="str" cm="1">
        <f t="array" ref="J292">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92" s="11">
        <f>Trainingsabschluss[[#This Row],[Quiz_Frage1_Punkte]]/Max_Frage1</f>
        <v>0.8</v>
      </c>
      <c r="L292" s="11">
        <f>Trainingsabschluss[[#This Row],[Quiz_Frage2_Punkte]]/Max_Frage2</f>
        <v>1</v>
      </c>
      <c r="M292" s="11">
        <f>Trainingsabschluss[[#This Row],[Quiz_Frage3_Punkte]]/Max_Frage3</f>
        <v>0.9</v>
      </c>
      <c r="N292" s="11">
        <f>Trainingsabschluss[[#This Row],[Quiz_Frage4_Punkte]]/Max_Frage4</f>
        <v>0.25</v>
      </c>
      <c r="O292" s="11">
        <f>Trainingsabschluss[[#This Row],[Quiz_Frage5_Punkte]]/Max_Frage5</f>
        <v>0.5</v>
      </c>
      <c r="P292" s="2">
        <f>Trainingsabschluss[[#This Row],[Quiz_Frage1_Punkte]]+Trainingsabschluss[[#This Row],[Quiz_Frage2_Punkte]]+Trainingsabschluss[[#This Row],[Quiz_Frage3_Punkte]]+Trainingsabschluss[[#This Row],[Quiz_Frage4_Punkte]]+Trainingsabschluss[[#This Row],[Quiz_Frage5_Punkte]]</f>
        <v>16</v>
      </c>
      <c r="Q292" s="8">
        <f>Trainingsabschluss[[#This Row],[Quizergebnis]]/Max_Quizergebnis</f>
        <v>0.72727272727272729</v>
      </c>
      <c r="R292" t="str" cm="1">
        <f t="array" ref="R292">_xlfn.IFS(Trainingsabschluss[[#This Row],[Quizergebnis_Prozent]]&lt;0.5, "Nicht bestanden",
Trainingsabschluss[[#This Row],[Quizergebnis_Prozent]]&lt;0.65, "Bestanden",
Trainingsabschluss[[#This Row],[Quizergebnis_Prozent]]&lt;0.8, "Gut bestanden",
TRUE, "Sehr gut bestanden")</f>
        <v>Gut bestanden</v>
      </c>
      <c r="S292" s="3">
        <v>9</v>
      </c>
      <c r="T292" s="3" t="str" cm="1">
        <f t="array" ref="T292">_xlfn.IFS(Trainingsabschluss[[#This Row],[Training_Bewertung]]&gt;=9, "Promotor", Trainingsabschluss[[#This Row],[Training_Bewertung]]
&lt;=6, "Detraktor",
TRUE, "Passiv")</f>
        <v>Promotor</v>
      </c>
      <c r="W292"/>
    </row>
    <row r="293" spans="1:23" x14ac:dyDescent="0.3">
      <c r="A293" s="13" t="s">
        <v>309</v>
      </c>
      <c r="B293" s="2">
        <v>4.5</v>
      </c>
      <c r="C293" s="2">
        <v>2.5</v>
      </c>
      <c r="D293" s="2">
        <v>4</v>
      </c>
      <c r="E293" s="2">
        <v>2</v>
      </c>
      <c r="F293" s="2">
        <v>0.5</v>
      </c>
      <c r="G293" s="2" t="str">
        <f>_xlfn.XLOOKUP(Trainingsabschluss[[#This Row],[UserID]], Teilnehmende[UserID], Teilnehmende[Branche], "UserID nicht gefunden")</f>
        <v>Finanzdienstleistung</v>
      </c>
      <c r="H293" t="str">
        <f>_xlfn.XLOOKUP(Trainingsabschluss[[#This Row],[UserID]], Teilnehmende[UserID], Teilnehmende[Bildungsabschluss], "UserID nicht gefunden")</f>
        <v>Bachelor</v>
      </c>
      <c r="I293" s="3">
        <f>_xlfn.XLOOKUP(Trainingsabschluss[[#This Row],[UserID]], Teilnehmende[UserID], Teilnehmende[Berufserfahrung])</f>
        <v>16</v>
      </c>
      <c r="J293" s="3" t="str" cm="1">
        <f t="array" ref="J293">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93" s="11">
        <f>Trainingsabschluss[[#This Row],[Quiz_Frage1_Punkte]]/Max_Frage1</f>
        <v>0.9</v>
      </c>
      <c r="L293" s="11">
        <f>Trainingsabschluss[[#This Row],[Quiz_Frage2_Punkte]]/Max_Frage2</f>
        <v>0.5</v>
      </c>
      <c r="M293" s="11">
        <f>Trainingsabschluss[[#This Row],[Quiz_Frage3_Punkte]]/Max_Frage3</f>
        <v>0.8</v>
      </c>
      <c r="N293" s="11">
        <f>Trainingsabschluss[[#This Row],[Quiz_Frage4_Punkte]]/Max_Frage4</f>
        <v>0.5</v>
      </c>
      <c r="O293" s="11">
        <f>Trainingsabschluss[[#This Row],[Quiz_Frage5_Punkte]]/Max_Frage5</f>
        <v>0.16666666666666666</v>
      </c>
      <c r="P293" s="2">
        <f>Trainingsabschluss[[#This Row],[Quiz_Frage1_Punkte]]+Trainingsabschluss[[#This Row],[Quiz_Frage2_Punkte]]+Trainingsabschluss[[#This Row],[Quiz_Frage3_Punkte]]+Trainingsabschluss[[#This Row],[Quiz_Frage4_Punkte]]+Trainingsabschluss[[#This Row],[Quiz_Frage5_Punkte]]</f>
        <v>13.5</v>
      </c>
      <c r="Q293" s="8">
        <f>Trainingsabschluss[[#This Row],[Quizergebnis]]/Max_Quizergebnis</f>
        <v>0.61363636363636365</v>
      </c>
      <c r="R293" t="str" cm="1">
        <f t="array" ref="R293">_xlfn.IFS(Trainingsabschluss[[#This Row],[Quizergebnis_Prozent]]&lt;0.5, "Nicht bestanden",
Trainingsabschluss[[#This Row],[Quizergebnis_Prozent]]&lt;0.65, "Bestanden",
Trainingsabschluss[[#This Row],[Quizergebnis_Prozent]]&lt;0.8, "Gut bestanden",
TRUE, "Sehr gut bestanden")</f>
        <v>Bestanden</v>
      </c>
      <c r="S293" s="3">
        <v>9</v>
      </c>
      <c r="T293" s="3" t="str" cm="1">
        <f t="array" ref="T293">_xlfn.IFS(Trainingsabschluss[[#This Row],[Training_Bewertung]]&gt;=9, "Promotor", Trainingsabschluss[[#This Row],[Training_Bewertung]]
&lt;=6, "Detraktor",
TRUE, "Passiv")</f>
        <v>Promotor</v>
      </c>
      <c r="W293"/>
    </row>
    <row r="294" spans="1:23" x14ac:dyDescent="0.3">
      <c r="A294" s="13" t="s">
        <v>311</v>
      </c>
      <c r="B294" s="2">
        <v>4.5</v>
      </c>
      <c r="C294" s="2">
        <v>2.5</v>
      </c>
      <c r="D294" s="2">
        <v>3</v>
      </c>
      <c r="E294" s="2">
        <v>4</v>
      </c>
      <c r="F294" s="2">
        <v>1.5</v>
      </c>
      <c r="G294" s="2" t="str">
        <f>_xlfn.XLOOKUP(Trainingsabschluss[[#This Row],[UserID]], Teilnehmende[UserID], Teilnehmende[Branche], "UserID nicht gefunden")</f>
        <v>Finanzdienstleistung</v>
      </c>
      <c r="H294" t="str">
        <f>_xlfn.XLOOKUP(Trainingsabschluss[[#This Row],[UserID]], Teilnehmende[UserID], Teilnehmende[Bildungsabschluss], "UserID nicht gefunden")</f>
        <v>Bachelor</v>
      </c>
      <c r="I294" s="3">
        <f>_xlfn.XLOOKUP(Trainingsabschluss[[#This Row],[UserID]], Teilnehmende[UserID], Teilnehmende[Berufserfahrung])</f>
        <v>9</v>
      </c>
      <c r="J294" s="3" t="str" cm="1">
        <f t="array" ref="J29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94" s="11">
        <f>Trainingsabschluss[[#This Row],[Quiz_Frage1_Punkte]]/Max_Frage1</f>
        <v>0.9</v>
      </c>
      <c r="L294" s="11">
        <f>Trainingsabschluss[[#This Row],[Quiz_Frage2_Punkte]]/Max_Frage2</f>
        <v>0.5</v>
      </c>
      <c r="M294" s="11">
        <f>Trainingsabschluss[[#This Row],[Quiz_Frage3_Punkte]]/Max_Frage3</f>
        <v>0.6</v>
      </c>
      <c r="N294" s="11">
        <f>Trainingsabschluss[[#This Row],[Quiz_Frage4_Punkte]]/Max_Frage4</f>
        <v>1</v>
      </c>
      <c r="O294" s="11">
        <f>Trainingsabschluss[[#This Row],[Quiz_Frage5_Punkte]]/Max_Frage5</f>
        <v>0.5</v>
      </c>
      <c r="P294" s="2">
        <f>Trainingsabschluss[[#This Row],[Quiz_Frage1_Punkte]]+Trainingsabschluss[[#This Row],[Quiz_Frage2_Punkte]]+Trainingsabschluss[[#This Row],[Quiz_Frage3_Punkte]]+Trainingsabschluss[[#This Row],[Quiz_Frage4_Punkte]]+Trainingsabschluss[[#This Row],[Quiz_Frage5_Punkte]]</f>
        <v>15.5</v>
      </c>
      <c r="Q294" s="8">
        <f>Trainingsabschluss[[#This Row],[Quizergebnis]]/Max_Quizergebnis</f>
        <v>0.70454545454545459</v>
      </c>
      <c r="R294" t="str" cm="1">
        <f t="array" ref="R294">_xlfn.IFS(Trainingsabschluss[[#This Row],[Quizergebnis_Prozent]]&lt;0.5, "Nicht bestanden",
Trainingsabschluss[[#This Row],[Quizergebnis_Prozent]]&lt;0.65, "Bestanden",
Trainingsabschluss[[#This Row],[Quizergebnis_Prozent]]&lt;0.8, "Gut bestanden",
TRUE, "Sehr gut bestanden")</f>
        <v>Gut bestanden</v>
      </c>
      <c r="S294" s="3">
        <v>7</v>
      </c>
      <c r="T294" s="3" t="str" cm="1">
        <f t="array" ref="T294">_xlfn.IFS(Trainingsabschluss[[#This Row],[Training_Bewertung]]&gt;=9, "Promotor", Trainingsabschluss[[#This Row],[Training_Bewertung]]
&lt;=6, "Detraktor",
TRUE, "Passiv")</f>
        <v>Passiv</v>
      </c>
      <c r="W294"/>
    </row>
    <row r="295" spans="1:23" x14ac:dyDescent="0.3">
      <c r="A295" s="13" t="s">
        <v>312</v>
      </c>
      <c r="B295" s="2">
        <v>5</v>
      </c>
      <c r="C295" s="2">
        <v>2</v>
      </c>
      <c r="D295" s="2">
        <v>2</v>
      </c>
      <c r="E295" s="2">
        <v>2.5</v>
      </c>
      <c r="F295" s="2">
        <v>3</v>
      </c>
      <c r="G295" s="2" t="str">
        <f>_xlfn.XLOOKUP(Trainingsabschluss[[#This Row],[UserID]], Teilnehmende[UserID], Teilnehmende[Branche], "UserID nicht gefunden")</f>
        <v>Finanzdienstleistung</v>
      </c>
      <c r="H295" t="str">
        <f>_xlfn.XLOOKUP(Trainingsabschluss[[#This Row],[UserID]], Teilnehmende[UserID], Teilnehmende[Bildungsabschluss], "UserID nicht gefunden")</f>
        <v>Bachelor</v>
      </c>
      <c r="I295" s="3">
        <f>_xlfn.XLOOKUP(Trainingsabschluss[[#This Row],[UserID]], Teilnehmende[UserID], Teilnehmende[Berufserfahrung])</f>
        <v>7</v>
      </c>
      <c r="J295" s="3" t="str" cm="1">
        <f t="array" ref="J29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95" s="11">
        <f>Trainingsabschluss[[#This Row],[Quiz_Frage1_Punkte]]/Max_Frage1</f>
        <v>1</v>
      </c>
      <c r="L295" s="11">
        <f>Trainingsabschluss[[#This Row],[Quiz_Frage2_Punkte]]/Max_Frage2</f>
        <v>0.4</v>
      </c>
      <c r="M295" s="11">
        <f>Trainingsabschluss[[#This Row],[Quiz_Frage3_Punkte]]/Max_Frage3</f>
        <v>0.4</v>
      </c>
      <c r="N295" s="11">
        <f>Trainingsabschluss[[#This Row],[Quiz_Frage4_Punkte]]/Max_Frage4</f>
        <v>0.625</v>
      </c>
      <c r="O295" s="11">
        <f>Trainingsabschluss[[#This Row],[Quiz_Frage5_Punkte]]/Max_Frage5</f>
        <v>1</v>
      </c>
      <c r="P295" s="2">
        <f>Trainingsabschluss[[#This Row],[Quiz_Frage1_Punkte]]+Trainingsabschluss[[#This Row],[Quiz_Frage2_Punkte]]+Trainingsabschluss[[#This Row],[Quiz_Frage3_Punkte]]+Trainingsabschluss[[#This Row],[Quiz_Frage4_Punkte]]+Trainingsabschluss[[#This Row],[Quiz_Frage5_Punkte]]</f>
        <v>14.5</v>
      </c>
      <c r="Q295" s="8">
        <f>Trainingsabschluss[[#This Row],[Quizergebnis]]/Max_Quizergebnis</f>
        <v>0.65909090909090906</v>
      </c>
      <c r="R295" t="str" cm="1">
        <f t="array" ref="R295">_xlfn.IFS(Trainingsabschluss[[#This Row],[Quizergebnis_Prozent]]&lt;0.5, "Nicht bestanden",
Trainingsabschluss[[#This Row],[Quizergebnis_Prozent]]&lt;0.65, "Bestanden",
Trainingsabschluss[[#This Row],[Quizergebnis_Prozent]]&lt;0.8, "Gut bestanden",
TRUE, "Sehr gut bestanden")</f>
        <v>Gut bestanden</v>
      </c>
      <c r="S295" s="3">
        <v>7</v>
      </c>
      <c r="T295" s="3" t="str" cm="1">
        <f t="array" ref="T295">_xlfn.IFS(Trainingsabschluss[[#This Row],[Training_Bewertung]]&gt;=9, "Promotor", Trainingsabschluss[[#This Row],[Training_Bewertung]]
&lt;=6, "Detraktor",
TRUE, "Passiv")</f>
        <v>Passiv</v>
      </c>
      <c r="W295"/>
    </row>
    <row r="296" spans="1:23" x14ac:dyDescent="0.3">
      <c r="A296" s="13" t="s">
        <v>313</v>
      </c>
      <c r="B296" s="2">
        <v>4.5</v>
      </c>
      <c r="C296" s="2">
        <v>4</v>
      </c>
      <c r="D296" s="2">
        <v>2.5</v>
      </c>
      <c r="E296" s="2">
        <v>2.5</v>
      </c>
      <c r="F296" s="2">
        <v>1.5</v>
      </c>
      <c r="G296" s="2" t="str">
        <f>_xlfn.XLOOKUP(Trainingsabschluss[[#This Row],[UserID]], Teilnehmende[UserID], Teilnehmende[Branche], "UserID nicht gefunden")</f>
        <v>Finanzdienstleistung</v>
      </c>
      <c r="H296" t="str">
        <f>_xlfn.XLOOKUP(Trainingsabschluss[[#This Row],[UserID]], Teilnehmende[UserID], Teilnehmende[Bildungsabschluss], "UserID nicht gefunden")</f>
        <v>Bachelor</v>
      </c>
      <c r="I296" s="3">
        <f>_xlfn.XLOOKUP(Trainingsabschluss[[#This Row],[UserID]], Teilnehmende[UserID], Teilnehmende[Berufserfahrung])</f>
        <v>17</v>
      </c>
      <c r="J296" s="3" t="str" cm="1">
        <f t="array" ref="J296">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296" s="11">
        <f>Trainingsabschluss[[#This Row],[Quiz_Frage1_Punkte]]/Max_Frage1</f>
        <v>0.9</v>
      </c>
      <c r="L296" s="11">
        <f>Trainingsabschluss[[#This Row],[Quiz_Frage2_Punkte]]/Max_Frage2</f>
        <v>0.8</v>
      </c>
      <c r="M296" s="11">
        <f>Trainingsabschluss[[#This Row],[Quiz_Frage3_Punkte]]/Max_Frage3</f>
        <v>0.5</v>
      </c>
      <c r="N296" s="11">
        <f>Trainingsabschluss[[#This Row],[Quiz_Frage4_Punkte]]/Max_Frage4</f>
        <v>0.625</v>
      </c>
      <c r="O296" s="11">
        <f>Trainingsabschluss[[#This Row],[Quiz_Frage5_Punkte]]/Max_Frage5</f>
        <v>0.5</v>
      </c>
      <c r="P296" s="2">
        <f>Trainingsabschluss[[#This Row],[Quiz_Frage1_Punkte]]+Trainingsabschluss[[#This Row],[Quiz_Frage2_Punkte]]+Trainingsabschluss[[#This Row],[Quiz_Frage3_Punkte]]+Trainingsabschluss[[#This Row],[Quiz_Frage4_Punkte]]+Trainingsabschluss[[#This Row],[Quiz_Frage5_Punkte]]</f>
        <v>15</v>
      </c>
      <c r="Q296" s="8">
        <f>Trainingsabschluss[[#This Row],[Quizergebnis]]/Max_Quizergebnis</f>
        <v>0.68181818181818177</v>
      </c>
      <c r="R296" t="str" cm="1">
        <f t="array" ref="R296">_xlfn.IFS(Trainingsabschluss[[#This Row],[Quizergebnis_Prozent]]&lt;0.5, "Nicht bestanden",
Trainingsabschluss[[#This Row],[Quizergebnis_Prozent]]&lt;0.65, "Bestanden",
Trainingsabschluss[[#This Row],[Quizergebnis_Prozent]]&lt;0.8, "Gut bestanden",
TRUE, "Sehr gut bestanden")</f>
        <v>Gut bestanden</v>
      </c>
      <c r="S296" s="3">
        <v>7</v>
      </c>
      <c r="T296" s="3" t="str" cm="1">
        <f t="array" ref="T296">_xlfn.IFS(Trainingsabschluss[[#This Row],[Training_Bewertung]]&gt;=9, "Promotor", Trainingsabschluss[[#This Row],[Training_Bewertung]]
&lt;=6, "Detraktor",
TRUE, "Passiv")</f>
        <v>Passiv</v>
      </c>
      <c r="W296"/>
    </row>
    <row r="297" spans="1:23" x14ac:dyDescent="0.3">
      <c r="A297" s="13" t="s">
        <v>314</v>
      </c>
      <c r="B297" s="2">
        <v>5</v>
      </c>
      <c r="C297" s="2">
        <v>2</v>
      </c>
      <c r="D297" s="2">
        <v>1.5</v>
      </c>
      <c r="E297" s="2">
        <v>3</v>
      </c>
      <c r="F297" s="2">
        <v>0.5</v>
      </c>
      <c r="G297" s="2" t="str">
        <f>_xlfn.XLOOKUP(Trainingsabschluss[[#This Row],[UserID]], Teilnehmende[UserID], Teilnehmende[Branche], "UserID nicht gefunden")</f>
        <v>Finanzdienstleistung</v>
      </c>
      <c r="H297" t="str">
        <f>_xlfn.XLOOKUP(Trainingsabschluss[[#This Row],[UserID]], Teilnehmende[UserID], Teilnehmende[Bildungsabschluss], "UserID nicht gefunden")</f>
        <v>Bachelor</v>
      </c>
      <c r="I297" s="3">
        <f>_xlfn.XLOOKUP(Trainingsabschluss[[#This Row],[UserID]], Teilnehmende[UserID], Teilnehmende[Berufserfahrung])</f>
        <v>8</v>
      </c>
      <c r="J297" s="3" t="str" cm="1">
        <f t="array" ref="J29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97" s="11">
        <f>Trainingsabschluss[[#This Row],[Quiz_Frage1_Punkte]]/Max_Frage1</f>
        <v>1</v>
      </c>
      <c r="L297" s="11">
        <f>Trainingsabschluss[[#This Row],[Quiz_Frage2_Punkte]]/Max_Frage2</f>
        <v>0.4</v>
      </c>
      <c r="M297" s="11">
        <f>Trainingsabschluss[[#This Row],[Quiz_Frage3_Punkte]]/Max_Frage3</f>
        <v>0.3</v>
      </c>
      <c r="N297" s="11">
        <f>Trainingsabschluss[[#This Row],[Quiz_Frage4_Punkte]]/Max_Frage4</f>
        <v>0.75</v>
      </c>
      <c r="O297" s="11">
        <f>Trainingsabschluss[[#This Row],[Quiz_Frage5_Punkte]]/Max_Frage5</f>
        <v>0.16666666666666666</v>
      </c>
      <c r="P297" s="2">
        <f>Trainingsabschluss[[#This Row],[Quiz_Frage1_Punkte]]+Trainingsabschluss[[#This Row],[Quiz_Frage2_Punkte]]+Trainingsabschluss[[#This Row],[Quiz_Frage3_Punkte]]+Trainingsabschluss[[#This Row],[Quiz_Frage4_Punkte]]+Trainingsabschluss[[#This Row],[Quiz_Frage5_Punkte]]</f>
        <v>12</v>
      </c>
      <c r="Q297" s="8">
        <f>Trainingsabschluss[[#This Row],[Quizergebnis]]/Max_Quizergebnis</f>
        <v>0.54545454545454541</v>
      </c>
      <c r="R297" t="str" cm="1">
        <f t="array" ref="R297">_xlfn.IFS(Trainingsabschluss[[#This Row],[Quizergebnis_Prozent]]&lt;0.5, "Nicht bestanden",
Trainingsabschluss[[#This Row],[Quizergebnis_Prozent]]&lt;0.65, "Bestanden",
Trainingsabschluss[[#This Row],[Quizergebnis_Prozent]]&lt;0.8, "Gut bestanden",
TRUE, "Sehr gut bestanden")</f>
        <v>Bestanden</v>
      </c>
      <c r="S297" s="3">
        <v>7</v>
      </c>
      <c r="T297" s="3" t="str" cm="1">
        <f t="array" ref="T297">_xlfn.IFS(Trainingsabschluss[[#This Row],[Training_Bewertung]]&gt;=9, "Promotor", Trainingsabschluss[[#This Row],[Training_Bewertung]]
&lt;=6, "Detraktor",
TRUE, "Passiv")</f>
        <v>Passiv</v>
      </c>
      <c r="W297"/>
    </row>
    <row r="298" spans="1:23" x14ac:dyDescent="0.3">
      <c r="A298" s="13" t="s">
        <v>319</v>
      </c>
      <c r="B298" s="2">
        <v>4.5</v>
      </c>
      <c r="C298" s="2">
        <v>3.5</v>
      </c>
      <c r="D298" s="2">
        <v>4</v>
      </c>
      <c r="E298" s="2">
        <v>3.5</v>
      </c>
      <c r="F298" s="2">
        <v>1</v>
      </c>
      <c r="G298" s="2" t="str">
        <f>_xlfn.XLOOKUP(Trainingsabschluss[[#This Row],[UserID]], Teilnehmende[UserID], Teilnehmende[Branche], "UserID nicht gefunden")</f>
        <v>Finanzdienstleistung</v>
      </c>
      <c r="H298" t="str">
        <f>_xlfn.XLOOKUP(Trainingsabschluss[[#This Row],[UserID]], Teilnehmende[UserID], Teilnehmende[Bildungsabschluss], "UserID nicht gefunden")</f>
        <v>Bachelor</v>
      </c>
      <c r="I298" s="3">
        <f>_xlfn.XLOOKUP(Trainingsabschluss[[#This Row],[UserID]], Teilnehmende[UserID], Teilnehmende[Berufserfahrung])</f>
        <v>6</v>
      </c>
      <c r="J298" s="3" t="str" cm="1">
        <f t="array" ref="J29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298" s="11">
        <f>Trainingsabschluss[[#This Row],[Quiz_Frage1_Punkte]]/Max_Frage1</f>
        <v>0.9</v>
      </c>
      <c r="L298" s="11">
        <f>Trainingsabschluss[[#This Row],[Quiz_Frage2_Punkte]]/Max_Frage2</f>
        <v>0.7</v>
      </c>
      <c r="M298" s="11">
        <f>Trainingsabschluss[[#This Row],[Quiz_Frage3_Punkte]]/Max_Frage3</f>
        <v>0.8</v>
      </c>
      <c r="N298" s="11">
        <f>Trainingsabschluss[[#This Row],[Quiz_Frage4_Punkte]]/Max_Frage4</f>
        <v>0.875</v>
      </c>
      <c r="O298" s="11">
        <f>Trainingsabschluss[[#This Row],[Quiz_Frage5_Punkte]]/Max_Frage5</f>
        <v>0.33333333333333331</v>
      </c>
      <c r="P298" s="2">
        <f>Trainingsabschluss[[#This Row],[Quiz_Frage1_Punkte]]+Trainingsabschluss[[#This Row],[Quiz_Frage2_Punkte]]+Trainingsabschluss[[#This Row],[Quiz_Frage3_Punkte]]+Trainingsabschluss[[#This Row],[Quiz_Frage4_Punkte]]+Trainingsabschluss[[#This Row],[Quiz_Frage5_Punkte]]</f>
        <v>16.5</v>
      </c>
      <c r="Q298" s="8">
        <f>Trainingsabschluss[[#This Row],[Quizergebnis]]/Max_Quizergebnis</f>
        <v>0.75</v>
      </c>
      <c r="R298" t="str" cm="1">
        <f t="array" ref="R298">_xlfn.IFS(Trainingsabschluss[[#This Row],[Quizergebnis_Prozent]]&lt;0.5, "Nicht bestanden",
Trainingsabschluss[[#This Row],[Quizergebnis_Prozent]]&lt;0.65, "Bestanden",
Trainingsabschluss[[#This Row],[Quizergebnis_Prozent]]&lt;0.8, "Gut bestanden",
TRUE, "Sehr gut bestanden")</f>
        <v>Gut bestanden</v>
      </c>
      <c r="S298" s="3">
        <v>8</v>
      </c>
      <c r="T298" s="3" t="str" cm="1">
        <f t="array" ref="T298">_xlfn.IFS(Trainingsabschluss[[#This Row],[Training_Bewertung]]&gt;=9, "Promotor", Trainingsabschluss[[#This Row],[Training_Bewertung]]
&lt;=6, "Detraktor",
TRUE, "Passiv")</f>
        <v>Passiv</v>
      </c>
      <c r="W298"/>
    </row>
    <row r="299" spans="1:23" x14ac:dyDescent="0.3">
      <c r="A299" s="13" t="s">
        <v>322</v>
      </c>
      <c r="B299" s="2">
        <v>5</v>
      </c>
      <c r="C299" s="2">
        <v>4</v>
      </c>
      <c r="D299" s="2">
        <v>3.5</v>
      </c>
      <c r="E299" s="2">
        <v>4</v>
      </c>
      <c r="F299" s="2">
        <v>0.5</v>
      </c>
      <c r="G299" s="2" t="str">
        <f>_xlfn.XLOOKUP(Trainingsabschluss[[#This Row],[UserID]], Teilnehmende[UserID], Teilnehmende[Branche], "UserID nicht gefunden")</f>
        <v>Finanzdienstleistung</v>
      </c>
      <c r="H299" t="str">
        <f>_xlfn.XLOOKUP(Trainingsabschluss[[#This Row],[UserID]], Teilnehmende[UserID], Teilnehmende[Bildungsabschluss], "UserID nicht gefunden")</f>
        <v>Bachelor</v>
      </c>
      <c r="I299" s="3">
        <f>_xlfn.XLOOKUP(Trainingsabschluss[[#This Row],[UserID]], Teilnehmende[UserID], Teilnehmende[Berufserfahrung])</f>
        <v>2</v>
      </c>
      <c r="J299" s="3" t="str" cm="1">
        <f t="array" ref="J29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299" s="11">
        <f>Trainingsabschluss[[#This Row],[Quiz_Frage1_Punkte]]/Max_Frage1</f>
        <v>1</v>
      </c>
      <c r="L299" s="11">
        <f>Trainingsabschluss[[#This Row],[Quiz_Frage2_Punkte]]/Max_Frage2</f>
        <v>0.8</v>
      </c>
      <c r="M299" s="11">
        <f>Trainingsabschluss[[#This Row],[Quiz_Frage3_Punkte]]/Max_Frage3</f>
        <v>0.7</v>
      </c>
      <c r="N299" s="11">
        <f>Trainingsabschluss[[#This Row],[Quiz_Frage4_Punkte]]/Max_Frage4</f>
        <v>1</v>
      </c>
      <c r="O299" s="11">
        <f>Trainingsabschluss[[#This Row],[Quiz_Frage5_Punkte]]/Max_Frage5</f>
        <v>0.16666666666666666</v>
      </c>
      <c r="P299" s="2">
        <f>Trainingsabschluss[[#This Row],[Quiz_Frage1_Punkte]]+Trainingsabschluss[[#This Row],[Quiz_Frage2_Punkte]]+Trainingsabschluss[[#This Row],[Quiz_Frage3_Punkte]]+Trainingsabschluss[[#This Row],[Quiz_Frage4_Punkte]]+Trainingsabschluss[[#This Row],[Quiz_Frage5_Punkte]]</f>
        <v>17</v>
      </c>
      <c r="Q299" s="8">
        <f>Trainingsabschluss[[#This Row],[Quizergebnis]]/Max_Quizergebnis</f>
        <v>0.77272727272727271</v>
      </c>
      <c r="R299" t="str" cm="1">
        <f t="array" ref="R299">_xlfn.IFS(Trainingsabschluss[[#This Row],[Quizergebnis_Prozent]]&lt;0.5, "Nicht bestanden",
Trainingsabschluss[[#This Row],[Quizergebnis_Prozent]]&lt;0.65, "Bestanden",
Trainingsabschluss[[#This Row],[Quizergebnis_Prozent]]&lt;0.8, "Gut bestanden",
TRUE, "Sehr gut bestanden")</f>
        <v>Gut bestanden</v>
      </c>
      <c r="S299" s="3">
        <v>8</v>
      </c>
      <c r="T299" s="3" t="str" cm="1">
        <f t="array" ref="T299">_xlfn.IFS(Trainingsabschluss[[#This Row],[Training_Bewertung]]&gt;=9, "Promotor", Trainingsabschluss[[#This Row],[Training_Bewertung]]
&lt;=6, "Detraktor",
TRUE, "Passiv")</f>
        <v>Passiv</v>
      </c>
      <c r="W299"/>
    </row>
    <row r="300" spans="1:23" x14ac:dyDescent="0.3">
      <c r="A300" s="13" t="s">
        <v>323</v>
      </c>
      <c r="B300" s="2">
        <v>4</v>
      </c>
      <c r="C300" s="2">
        <v>4</v>
      </c>
      <c r="D300" s="2">
        <v>1</v>
      </c>
      <c r="E300" s="2">
        <v>4</v>
      </c>
      <c r="F300" s="2">
        <v>2.5</v>
      </c>
      <c r="G300" s="2" t="str">
        <f>_xlfn.XLOOKUP(Trainingsabschluss[[#This Row],[UserID]], Teilnehmende[UserID], Teilnehmende[Branche], "UserID nicht gefunden")</f>
        <v>Finanzdienstleistung</v>
      </c>
      <c r="H300" t="str">
        <f>_xlfn.XLOOKUP(Trainingsabschluss[[#This Row],[UserID]], Teilnehmende[UserID], Teilnehmende[Bildungsabschluss], "UserID nicht gefunden")</f>
        <v>Bachelor</v>
      </c>
      <c r="I300" s="3">
        <f>_xlfn.XLOOKUP(Trainingsabschluss[[#This Row],[UserID]], Teilnehmende[UserID], Teilnehmende[Berufserfahrung])</f>
        <v>22</v>
      </c>
      <c r="J300" s="3" t="str" cm="1">
        <f t="array" ref="J300">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300" s="11">
        <f>Trainingsabschluss[[#This Row],[Quiz_Frage1_Punkte]]/Max_Frage1</f>
        <v>0.8</v>
      </c>
      <c r="L300" s="11">
        <f>Trainingsabschluss[[#This Row],[Quiz_Frage2_Punkte]]/Max_Frage2</f>
        <v>0.8</v>
      </c>
      <c r="M300" s="11">
        <f>Trainingsabschluss[[#This Row],[Quiz_Frage3_Punkte]]/Max_Frage3</f>
        <v>0.2</v>
      </c>
      <c r="N300" s="11">
        <f>Trainingsabschluss[[#This Row],[Quiz_Frage4_Punkte]]/Max_Frage4</f>
        <v>1</v>
      </c>
      <c r="O300" s="11">
        <f>Trainingsabschluss[[#This Row],[Quiz_Frage5_Punkte]]/Max_Frage5</f>
        <v>0.83333333333333337</v>
      </c>
      <c r="P300" s="2">
        <f>Trainingsabschluss[[#This Row],[Quiz_Frage1_Punkte]]+Trainingsabschluss[[#This Row],[Quiz_Frage2_Punkte]]+Trainingsabschluss[[#This Row],[Quiz_Frage3_Punkte]]+Trainingsabschluss[[#This Row],[Quiz_Frage4_Punkte]]+Trainingsabschluss[[#This Row],[Quiz_Frage5_Punkte]]</f>
        <v>15.5</v>
      </c>
      <c r="Q300" s="8">
        <f>Trainingsabschluss[[#This Row],[Quizergebnis]]/Max_Quizergebnis</f>
        <v>0.70454545454545459</v>
      </c>
      <c r="R300" t="str" cm="1">
        <f t="array" ref="R300">_xlfn.IFS(Trainingsabschluss[[#This Row],[Quizergebnis_Prozent]]&lt;0.5, "Nicht bestanden",
Trainingsabschluss[[#This Row],[Quizergebnis_Prozent]]&lt;0.65, "Bestanden",
Trainingsabschluss[[#This Row],[Quizergebnis_Prozent]]&lt;0.8, "Gut bestanden",
TRUE, "Sehr gut bestanden")</f>
        <v>Gut bestanden</v>
      </c>
      <c r="S300" s="3">
        <v>8</v>
      </c>
      <c r="T300" s="3" t="str" cm="1">
        <f t="array" ref="T300">_xlfn.IFS(Trainingsabschluss[[#This Row],[Training_Bewertung]]&gt;=9, "Promotor", Trainingsabschluss[[#This Row],[Training_Bewertung]]
&lt;=6, "Detraktor",
TRUE, "Passiv")</f>
        <v>Passiv</v>
      </c>
      <c r="W300"/>
    </row>
    <row r="301" spans="1:23" x14ac:dyDescent="0.3">
      <c r="A301" s="13" t="s">
        <v>324</v>
      </c>
      <c r="B301" s="2">
        <v>0</v>
      </c>
      <c r="C301" s="2">
        <v>2</v>
      </c>
      <c r="D301" s="2">
        <v>1.5</v>
      </c>
      <c r="E301" s="2">
        <v>0</v>
      </c>
      <c r="F301" s="2">
        <v>0</v>
      </c>
      <c r="G301" s="2" t="str">
        <f>_xlfn.XLOOKUP(Trainingsabschluss[[#This Row],[UserID]], Teilnehmende[UserID], Teilnehmende[Branche], "UserID nicht gefunden")</f>
        <v>Finanzdienstleistung</v>
      </c>
      <c r="H301" t="str">
        <f>_xlfn.XLOOKUP(Trainingsabschluss[[#This Row],[UserID]], Teilnehmende[UserID], Teilnehmende[Bildungsabschluss], "UserID nicht gefunden")</f>
        <v>Bachelor</v>
      </c>
      <c r="I301" s="3">
        <f>_xlfn.XLOOKUP(Trainingsabschluss[[#This Row],[UserID]], Teilnehmende[UserID], Teilnehmende[Berufserfahrung])</f>
        <v>8</v>
      </c>
      <c r="J301" s="3" t="str" cm="1">
        <f t="array" ref="J30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01" s="11">
        <f>Trainingsabschluss[[#This Row],[Quiz_Frage1_Punkte]]/Max_Frage1</f>
        <v>0</v>
      </c>
      <c r="L301" s="11">
        <f>Trainingsabschluss[[#This Row],[Quiz_Frage2_Punkte]]/Max_Frage2</f>
        <v>0.4</v>
      </c>
      <c r="M301" s="11">
        <f>Trainingsabschluss[[#This Row],[Quiz_Frage3_Punkte]]/Max_Frage3</f>
        <v>0.3</v>
      </c>
      <c r="N301" s="11">
        <f>Trainingsabschluss[[#This Row],[Quiz_Frage4_Punkte]]/Max_Frage4</f>
        <v>0</v>
      </c>
      <c r="O301" s="11">
        <f>Trainingsabschluss[[#This Row],[Quiz_Frage5_Punkte]]/Max_Frage5</f>
        <v>0</v>
      </c>
      <c r="P301" s="2">
        <f>Trainingsabschluss[[#This Row],[Quiz_Frage1_Punkte]]+Trainingsabschluss[[#This Row],[Quiz_Frage2_Punkte]]+Trainingsabschluss[[#This Row],[Quiz_Frage3_Punkte]]+Trainingsabschluss[[#This Row],[Quiz_Frage4_Punkte]]+Trainingsabschluss[[#This Row],[Quiz_Frage5_Punkte]]</f>
        <v>3.5</v>
      </c>
      <c r="Q301" s="8">
        <f>Trainingsabschluss[[#This Row],[Quizergebnis]]/Max_Quizergebnis</f>
        <v>0.15909090909090909</v>
      </c>
      <c r="R301" t="str" cm="1">
        <f t="array" ref="R301">_xlfn.IFS(Trainingsabschluss[[#This Row],[Quizergebnis_Prozent]]&lt;0.5, "Nicht bestanden",
Trainingsabschluss[[#This Row],[Quizergebnis_Prozent]]&lt;0.65, "Bestanden",
Trainingsabschluss[[#This Row],[Quizergebnis_Prozent]]&lt;0.8, "Gut bestanden",
TRUE, "Sehr gut bestanden")</f>
        <v>Nicht bestanden</v>
      </c>
      <c r="S301" s="3">
        <v>8</v>
      </c>
      <c r="T301" s="3" t="str" cm="1">
        <f t="array" ref="T301">_xlfn.IFS(Trainingsabschluss[[#This Row],[Training_Bewertung]]&gt;=9, "Promotor", Trainingsabschluss[[#This Row],[Training_Bewertung]]
&lt;=6, "Detraktor",
TRUE, "Passiv")</f>
        <v>Passiv</v>
      </c>
      <c r="W301"/>
    </row>
    <row r="302" spans="1:23" x14ac:dyDescent="0.3">
      <c r="A302" s="13" t="s">
        <v>325</v>
      </c>
      <c r="B302" s="2">
        <v>2.5</v>
      </c>
      <c r="C302" s="2">
        <v>4</v>
      </c>
      <c r="D302" s="2">
        <v>1</v>
      </c>
      <c r="E302" s="2">
        <v>4</v>
      </c>
      <c r="F302" s="2">
        <v>3</v>
      </c>
      <c r="G302" s="2" t="str">
        <f>_xlfn.XLOOKUP(Trainingsabschluss[[#This Row],[UserID]], Teilnehmende[UserID], Teilnehmende[Branche], "UserID nicht gefunden")</f>
        <v>Finanzdienstleistung</v>
      </c>
      <c r="H302" t="str">
        <f>_xlfn.XLOOKUP(Trainingsabschluss[[#This Row],[UserID]], Teilnehmende[UserID], Teilnehmende[Bildungsabschluss], "UserID nicht gefunden")</f>
        <v>Bachelor</v>
      </c>
      <c r="I302" s="3">
        <f>_xlfn.XLOOKUP(Trainingsabschluss[[#This Row],[UserID]], Teilnehmende[UserID], Teilnehmende[Berufserfahrung])</f>
        <v>11</v>
      </c>
      <c r="J302" s="3" t="str" cm="1">
        <f t="array" ref="J30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02" s="11">
        <f>Trainingsabschluss[[#This Row],[Quiz_Frage1_Punkte]]/Max_Frage1</f>
        <v>0.5</v>
      </c>
      <c r="L302" s="11">
        <f>Trainingsabschluss[[#This Row],[Quiz_Frage2_Punkte]]/Max_Frage2</f>
        <v>0.8</v>
      </c>
      <c r="M302" s="11">
        <f>Trainingsabschluss[[#This Row],[Quiz_Frage3_Punkte]]/Max_Frage3</f>
        <v>0.2</v>
      </c>
      <c r="N302" s="11">
        <f>Trainingsabschluss[[#This Row],[Quiz_Frage4_Punkte]]/Max_Frage4</f>
        <v>1</v>
      </c>
      <c r="O302" s="11">
        <f>Trainingsabschluss[[#This Row],[Quiz_Frage5_Punkte]]/Max_Frage5</f>
        <v>1</v>
      </c>
      <c r="P302" s="2">
        <f>Trainingsabschluss[[#This Row],[Quiz_Frage1_Punkte]]+Trainingsabschluss[[#This Row],[Quiz_Frage2_Punkte]]+Trainingsabschluss[[#This Row],[Quiz_Frage3_Punkte]]+Trainingsabschluss[[#This Row],[Quiz_Frage4_Punkte]]+Trainingsabschluss[[#This Row],[Quiz_Frage5_Punkte]]</f>
        <v>14.5</v>
      </c>
      <c r="Q302" s="8">
        <f>Trainingsabschluss[[#This Row],[Quizergebnis]]/Max_Quizergebnis</f>
        <v>0.65909090909090906</v>
      </c>
      <c r="R302" t="str" cm="1">
        <f t="array" ref="R302">_xlfn.IFS(Trainingsabschluss[[#This Row],[Quizergebnis_Prozent]]&lt;0.5, "Nicht bestanden",
Trainingsabschluss[[#This Row],[Quizergebnis_Prozent]]&lt;0.65, "Bestanden",
Trainingsabschluss[[#This Row],[Quizergebnis_Prozent]]&lt;0.8, "Gut bestanden",
TRUE, "Sehr gut bestanden")</f>
        <v>Gut bestanden</v>
      </c>
      <c r="S302" s="3">
        <v>8</v>
      </c>
      <c r="T302" s="3" t="str" cm="1">
        <f t="array" ref="T302">_xlfn.IFS(Trainingsabschluss[[#This Row],[Training_Bewertung]]&gt;=9, "Promotor", Trainingsabschluss[[#This Row],[Training_Bewertung]]
&lt;=6, "Detraktor",
TRUE, "Passiv")</f>
        <v>Passiv</v>
      </c>
      <c r="W302"/>
    </row>
    <row r="303" spans="1:23" x14ac:dyDescent="0.3">
      <c r="A303" s="13" t="s">
        <v>329</v>
      </c>
      <c r="B303" s="2">
        <v>4.5</v>
      </c>
      <c r="C303" s="2">
        <v>3</v>
      </c>
      <c r="D303" s="2">
        <v>4.5</v>
      </c>
      <c r="E303" s="2">
        <v>3</v>
      </c>
      <c r="F303" s="2">
        <v>3</v>
      </c>
      <c r="G303" s="2" t="str">
        <f>_xlfn.XLOOKUP(Trainingsabschluss[[#This Row],[UserID]], Teilnehmende[UserID], Teilnehmende[Branche], "UserID nicht gefunden")</f>
        <v>Gesundheitswesen</v>
      </c>
      <c r="H303" t="str">
        <f>_xlfn.XLOOKUP(Trainingsabschluss[[#This Row],[UserID]], Teilnehmende[UserID], Teilnehmende[Bildungsabschluss], "UserID nicht gefunden")</f>
        <v>Bachelor</v>
      </c>
      <c r="I303" s="3">
        <f>_xlfn.XLOOKUP(Trainingsabschluss[[#This Row],[UserID]], Teilnehmende[UserID], Teilnehmende[Berufserfahrung])</f>
        <v>13</v>
      </c>
      <c r="J303" s="3" t="str" cm="1">
        <f t="array" ref="J30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03" s="11">
        <f>Trainingsabschluss[[#This Row],[Quiz_Frage1_Punkte]]/Max_Frage1</f>
        <v>0.9</v>
      </c>
      <c r="L303" s="11">
        <f>Trainingsabschluss[[#This Row],[Quiz_Frage2_Punkte]]/Max_Frage2</f>
        <v>0.6</v>
      </c>
      <c r="M303" s="11">
        <f>Trainingsabschluss[[#This Row],[Quiz_Frage3_Punkte]]/Max_Frage3</f>
        <v>0.9</v>
      </c>
      <c r="N303" s="11">
        <f>Trainingsabschluss[[#This Row],[Quiz_Frage4_Punkte]]/Max_Frage4</f>
        <v>0.75</v>
      </c>
      <c r="O303" s="11">
        <f>Trainingsabschluss[[#This Row],[Quiz_Frage5_Punkte]]/Max_Frage5</f>
        <v>1</v>
      </c>
      <c r="P303" s="2">
        <f>Trainingsabschluss[[#This Row],[Quiz_Frage1_Punkte]]+Trainingsabschluss[[#This Row],[Quiz_Frage2_Punkte]]+Trainingsabschluss[[#This Row],[Quiz_Frage3_Punkte]]+Trainingsabschluss[[#This Row],[Quiz_Frage4_Punkte]]+Trainingsabschluss[[#This Row],[Quiz_Frage5_Punkte]]</f>
        <v>18</v>
      </c>
      <c r="Q303" s="8">
        <f>Trainingsabschluss[[#This Row],[Quizergebnis]]/Max_Quizergebnis</f>
        <v>0.81818181818181823</v>
      </c>
      <c r="R303" t="str" cm="1">
        <f t="array" ref="R303">_xlfn.IFS(Trainingsabschluss[[#This Row],[Quizergebnis_Prozent]]&lt;0.5, "Nicht bestanden",
Trainingsabschluss[[#This Row],[Quizergebnis_Prozent]]&lt;0.65, "Bestanden",
Trainingsabschluss[[#This Row],[Quizergebnis_Prozent]]&lt;0.8, "Gut bestanden",
TRUE, "Sehr gut bestanden")</f>
        <v>Sehr gut bestanden</v>
      </c>
      <c r="S303" s="3">
        <v>8</v>
      </c>
      <c r="T303" s="3" t="str" cm="1">
        <f t="array" ref="T303">_xlfn.IFS(Trainingsabschluss[[#This Row],[Training_Bewertung]]&gt;=9, "Promotor", Trainingsabschluss[[#This Row],[Training_Bewertung]]
&lt;=6, "Detraktor",
TRUE, "Passiv")</f>
        <v>Passiv</v>
      </c>
      <c r="W303"/>
    </row>
    <row r="304" spans="1:23" x14ac:dyDescent="0.3">
      <c r="A304" s="13" t="s">
        <v>330</v>
      </c>
      <c r="B304" s="2">
        <v>4</v>
      </c>
      <c r="C304" s="2">
        <v>3</v>
      </c>
      <c r="D304" s="2">
        <v>4.5</v>
      </c>
      <c r="E304" s="2">
        <v>3</v>
      </c>
      <c r="F304" s="2">
        <v>2.5</v>
      </c>
      <c r="G304" s="2" t="str">
        <f>_xlfn.XLOOKUP(Trainingsabschluss[[#This Row],[UserID]], Teilnehmende[UserID], Teilnehmende[Branche], "UserID nicht gefunden")</f>
        <v>Gesundheitswesen</v>
      </c>
      <c r="H304" t="str">
        <f>_xlfn.XLOOKUP(Trainingsabschluss[[#This Row],[UserID]], Teilnehmende[UserID], Teilnehmende[Bildungsabschluss], "UserID nicht gefunden")</f>
        <v>Bachelor</v>
      </c>
      <c r="I304" s="3">
        <f>_xlfn.XLOOKUP(Trainingsabschluss[[#This Row],[UserID]], Teilnehmende[UserID], Teilnehmende[Berufserfahrung])</f>
        <v>2</v>
      </c>
      <c r="J304" s="3" t="str" cm="1">
        <f t="array" ref="J30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04" s="11">
        <f>Trainingsabschluss[[#This Row],[Quiz_Frage1_Punkte]]/Max_Frage1</f>
        <v>0.8</v>
      </c>
      <c r="L304" s="11">
        <f>Trainingsabschluss[[#This Row],[Quiz_Frage2_Punkte]]/Max_Frage2</f>
        <v>0.6</v>
      </c>
      <c r="M304" s="11">
        <f>Trainingsabschluss[[#This Row],[Quiz_Frage3_Punkte]]/Max_Frage3</f>
        <v>0.9</v>
      </c>
      <c r="N304" s="11">
        <f>Trainingsabschluss[[#This Row],[Quiz_Frage4_Punkte]]/Max_Frage4</f>
        <v>0.75</v>
      </c>
      <c r="O304" s="11">
        <f>Trainingsabschluss[[#This Row],[Quiz_Frage5_Punkte]]/Max_Frage5</f>
        <v>0.83333333333333337</v>
      </c>
      <c r="P304" s="2">
        <f>Trainingsabschluss[[#This Row],[Quiz_Frage1_Punkte]]+Trainingsabschluss[[#This Row],[Quiz_Frage2_Punkte]]+Trainingsabschluss[[#This Row],[Quiz_Frage3_Punkte]]+Trainingsabschluss[[#This Row],[Quiz_Frage4_Punkte]]+Trainingsabschluss[[#This Row],[Quiz_Frage5_Punkte]]</f>
        <v>17</v>
      </c>
      <c r="Q304" s="8">
        <f>Trainingsabschluss[[#This Row],[Quizergebnis]]/Max_Quizergebnis</f>
        <v>0.77272727272727271</v>
      </c>
      <c r="R304" t="str" cm="1">
        <f t="array" ref="R304">_xlfn.IFS(Trainingsabschluss[[#This Row],[Quizergebnis_Prozent]]&lt;0.5, "Nicht bestanden",
Trainingsabschluss[[#This Row],[Quizergebnis_Prozent]]&lt;0.65, "Bestanden",
Trainingsabschluss[[#This Row],[Quizergebnis_Prozent]]&lt;0.8, "Gut bestanden",
TRUE, "Sehr gut bestanden")</f>
        <v>Gut bestanden</v>
      </c>
      <c r="S304" s="3">
        <v>8</v>
      </c>
      <c r="T304" s="3" t="str" cm="1">
        <f t="array" ref="T304">_xlfn.IFS(Trainingsabschluss[[#This Row],[Training_Bewertung]]&gt;=9, "Promotor", Trainingsabschluss[[#This Row],[Training_Bewertung]]
&lt;=6, "Detraktor",
TRUE, "Passiv")</f>
        <v>Passiv</v>
      </c>
      <c r="W304"/>
    </row>
    <row r="305" spans="1:23" x14ac:dyDescent="0.3">
      <c r="A305" s="13" t="s">
        <v>331</v>
      </c>
      <c r="B305" s="2">
        <v>5</v>
      </c>
      <c r="C305" s="2">
        <v>3.5</v>
      </c>
      <c r="D305" s="2">
        <v>1</v>
      </c>
      <c r="E305" s="2">
        <v>1</v>
      </c>
      <c r="F305" s="2">
        <v>1.5</v>
      </c>
      <c r="G305" s="2" t="str">
        <f>_xlfn.XLOOKUP(Trainingsabschluss[[#This Row],[UserID]], Teilnehmende[UserID], Teilnehmende[Branche], "UserID nicht gefunden")</f>
        <v>Gesundheitswesen</v>
      </c>
      <c r="H305" t="str">
        <f>_xlfn.XLOOKUP(Trainingsabschluss[[#This Row],[UserID]], Teilnehmende[UserID], Teilnehmende[Bildungsabschluss], "UserID nicht gefunden")</f>
        <v>Bachelor</v>
      </c>
      <c r="I305" s="3">
        <f>_xlfn.XLOOKUP(Trainingsabschluss[[#This Row],[UserID]], Teilnehmende[UserID], Teilnehmende[Berufserfahrung])</f>
        <v>3</v>
      </c>
      <c r="J305" s="3" t="str" cm="1">
        <f t="array" ref="J30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05" s="11">
        <f>Trainingsabschluss[[#This Row],[Quiz_Frage1_Punkte]]/Max_Frage1</f>
        <v>1</v>
      </c>
      <c r="L305" s="11">
        <f>Trainingsabschluss[[#This Row],[Quiz_Frage2_Punkte]]/Max_Frage2</f>
        <v>0.7</v>
      </c>
      <c r="M305" s="11">
        <f>Trainingsabschluss[[#This Row],[Quiz_Frage3_Punkte]]/Max_Frage3</f>
        <v>0.2</v>
      </c>
      <c r="N305" s="11">
        <f>Trainingsabschluss[[#This Row],[Quiz_Frage4_Punkte]]/Max_Frage4</f>
        <v>0.25</v>
      </c>
      <c r="O305" s="11">
        <f>Trainingsabschluss[[#This Row],[Quiz_Frage5_Punkte]]/Max_Frage5</f>
        <v>0.5</v>
      </c>
      <c r="P305" s="2">
        <f>Trainingsabschluss[[#This Row],[Quiz_Frage1_Punkte]]+Trainingsabschluss[[#This Row],[Quiz_Frage2_Punkte]]+Trainingsabschluss[[#This Row],[Quiz_Frage3_Punkte]]+Trainingsabschluss[[#This Row],[Quiz_Frage4_Punkte]]+Trainingsabschluss[[#This Row],[Quiz_Frage5_Punkte]]</f>
        <v>12</v>
      </c>
      <c r="Q305" s="8">
        <f>Trainingsabschluss[[#This Row],[Quizergebnis]]/Max_Quizergebnis</f>
        <v>0.54545454545454541</v>
      </c>
      <c r="R305" t="str" cm="1">
        <f t="array" ref="R305">_xlfn.IFS(Trainingsabschluss[[#This Row],[Quizergebnis_Prozent]]&lt;0.5, "Nicht bestanden",
Trainingsabschluss[[#This Row],[Quizergebnis_Prozent]]&lt;0.65, "Bestanden",
Trainingsabschluss[[#This Row],[Quizergebnis_Prozent]]&lt;0.8, "Gut bestanden",
TRUE, "Sehr gut bestanden")</f>
        <v>Bestanden</v>
      </c>
      <c r="S305" s="3">
        <v>8</v>
      </c>
      <c r="T305" s="3" t="str" cm="1">
        <f t="array" ref="T305">_xlfn.IFS(Trainingsabschluss[[#This Row],[Training_Bewertung]]&gt;=9, "Promotor", Trainingsabschluss[[#This Row],[Training_Bewertung]]
&lt;=6, "Detraktor",
TRUE, "Passiv")</f>
        <v>Passiv</v>
      </c>
      <c r="W305"/>
    </row>
    <row r="306" spans="1:23" x14ac:dyDescent="0.3">
      <c r="A306" s="13" t="s">
        <v>332</v>
      </c>
      <c r="B306" s="2">
        <v>5</v>
      </c>
      <c r="C306" s="2">
        <v>2</v>
      </c>
      <c r="D306" s="2">
        <v>0</v>
      </c>
      <c r="E306" s="2">
        <v>2.5</v>
      </c>
      <c r="F306" s="2">
        <v>3</v>
      </c>
      <c r="G306" s="2" t="str">
        <f>_xlfn.XLOOKUP(Trainingsabschluss[[#This Row],[UserID]], Teilnehmende[UserID], Teilnehmende[Branche], "UserID nicht gefunden")</f>
        <v>Gesundheitswesen</v>
      </c>
      <c r="H306" t="str">
        <f>_xlfn.XLOOKUP(Trainingsabschluss[[#This Row],[UserID]], Teilnehmende[UserID], Teilnehmende[Bildungsabschluss], "UserID nicht gefunden")</f>
        <v>Bachelor</v>
      </c>
      <c r="I306" s="3">
        <f>_xlfn.XLOOKUP(Trainingsabschluss[[#This Row],[UserID]], Teilnehmende[UserID], Teilnehmende[Berufserfahrung])</f>
        <v>12</v>
      </c>
      <c r="J306" s="3" t="str" cm="1">
        <f t="array" ref="J30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06" s="11">
        <f>Trainingsabschluss[[#This Row],[Quiz_Frage1_Punkte]]/Max_Frage1</f>
        <v>1</v>
      </c>
      <c r="L306" s="11">
        <f>Trainingsabschluss[[#This Row],[Quiz_Frage2_Punkte]]/Max_Frage2</f>
        <v>0.4</v>
      </c>
      <c r="M306" s="11">
        <f>Trainingsabschluss[[#This Row],[Quiz_Frage3_Punkte]]/Max_Frage3</f>
        <v>0</v>
      </c>
      <c r="N306" s="11">
        <f>Trainingsabschluss[[#This Row],[Quiz_Frage4_Punkte]]/Max_Frage4</f>
        <v>0.625</v>
      </c>
      <c r="O306" s="11">
        <f>Trainingsabschluss[[#This Row],[Quiz_Frage5_Punkte]]/Max_Frage5</f>
        <v>1</v>
      </c>
      <c r="P306" s="2">
        <f>Trainingsabschluss[[#This Row],[Quiz_Frage1_Punkte]]+Trainingsabschluss[[#This Row],[Quiz_Frage2_Punkte]]+Trainingsabschluss[[#This Row],[Quiz_Frage3_Punkte]]+Trainingsabschluss[[#This Row],[Quiz_Frage4_Punkte]]+Trainingsabschluss[[#This Row],[Quiz_Frage5_Punkte]]</f>
        <v>12.5</v>
      </c>
      <c r="Q306" s="8">
        <f>Trainingsabschluss[[#This Row],[Quizergebnis]]/Max_Quizergebnis</f>
        <v>0.56818181818181823</v>
      </c>
      <c r="R306" t="str" cm="1">
        <f t="array" ref="R306">_xlfn.IFS(Trainingsabschluss[[#This Row],[Quizergebnis_Prozent]]&lt;0.5, "Nicht bestanden",
Trainingsabschluss[[#This Row],[Quizergebnis_Prozent]]&lt;0.65, "Bestanden",
Trainingsabschluss[[#This Row],[Quizergebnis_Prozent]]&lt;0.8, "Gut bestanden",
TRUE, "Sehr gut bestanden")</f>
        <v>Bestanden</v>
      </c>
      <c r="S306" s="3">
        <v>8</v>
      </c>
      <c r="T306" s="3" t="str" cm="1">
        <f t="array" ref="T306">_xlfn.IFS(Trainingsabschluss[[#This Row],[Training_Bewertung]]&gt;=9, "Promotor", Trainingsabschluss[[#This Row],[Training_Bewertung]]
&lt;=6, "Detraktor",
TRUE, "Passiv")</f>
        <v>Passiv</v>
      </c>
      <c r="W306"/>
    </row>
    <row r="307" spans="1:23" x14ac:dyDescent="0.3">
      <c r="A307" s="13" t="s">
        <v>333</v>
      </c>
      <c r="B307" s="2">
        <v>3</v>
      </c>
      <c r="C307" s="2">
        <v>3.5</v>
      </c>
      <c r="D307" s="2">
        <v>3.5</v>
      </c>
      <c r="E307" s="2">
        <v>2.5</v>
      </c>
      <c r="F307" s="2">
        <v>0</v>
      </c>
      <c r="G307" s="2" t="str">
        <f>_xlfn.XLOOKUP(Trainingsabschluss[[#This Row],[UserID]], Teilnehmende[UserID], Teilnehmende[Branche], "UserID nicht gefunden")</f>
        <v>Gesundheitswesen</v>
      </c>
      <c r="H307" t="str">
        <f>_xlfn.XLOOKUP(Trainingsabschluss[[#This Row],[UserID]], Teilnehmende[UserID], Teilnehmende[Bildungsabschluss], "UserID nicht gefunden")</f>
        <v>Bachelor</v>
      </c>
      <c r="I307" s="3">
        <f>_xlfn.XLOOKUP(Trainingsabschluss[[#This Row],[UserID]], Teilnehmende[UserID], Teilnehmende[Berufserfahrung])</f>
        <v>4</v>
      </c>
      <c r="J307" s="3" t="str" cm="1">
        <f t="array" ref="J30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07" s="11">
        <f>Trainingsabschluss[[#This Row],[Quiz_Frage1_Punkte]]/Max_Frage1</f>
        <v>0.6</v>
      </c>
      <c r="L307" s="11">
        <f>Trainingsabschluss[[#This Row],[Quiz_Frage2_Punkte]]/Max_Frage2</f>
        <v>0.7</v>
      </c>
      <c r="M307" s="11">
        <f>Trainingsabschluss[[#This Row],[Quiz_Frage3_Punkte]]/Max_Frage3</f>
        <v>0.7</v>
      </c>
      <c r="N307" s="11">
        <f>Trainingsabschluss[[#This Row],[Quiz_Frage4_Punkte]]/Max_Frage4</f>
        <v>0.625</v>
      </c>
      <c r="O307" s="11">
        <f>Trainingsabschluss[[#This Row],[Quiz_Frage5_Punkte]]/Max_Frage5</f>
        <v>0</v>
      </c>
      <c r="P307" s="2">
        <f>Trainingsabschluss[[#This Row],[Quiz_Frage1_Punkte]]+Trainingsabschluss[[#This Row],[Quiz_Frage2_Punkte]]+Trainingsabschluss[[#This Row],[Quiz_Frage3_Punkte]]+Trainingsabschluss[[#This Row],[Quiz_Frage4_Punkte]]+Trainingsabschluss[[#This Row],[Quiz_Frage5_Punkte]]</f>
        <v>12.5</v>
      </c>
      <c r="Q307" s="8">
        <f>Trainingsabschluss[[#This Row],[Quizergebnis]]/Max_Quizergebnis</f>
        <v>0.56818181818181823</v>
      </c>
      <c r="R307" t="str" cm="1">
        <f t="array" ref="R307">_xlfn.IFS(Trainingsabschluss[[#This Row],[Quizergebnis_Prozent]]&lt;0.5, "Nicht bestanden",
Trainingsabschluss[[#This Row],[Quizergebnis_Prozent]]&lt;0.65, "Bestanden",
Trainingsabschluss[[#This Row],[Quizergebnis_Prozent]]&lt;0.8, "Gut bestanden",
TRUE, "Sehr gut bestanden")</f>
        <v>Bestanden</v>
      </c>
      <c r="S307" s="3">
        <v>8</v>
      </c>
      <c r="T307" s="3" t="str" cm="1">
        <f t="array" ref="T307">_xlfn.IFS(Trainingsabschluss[[#This Row],[Training_Bewertung]]&gt;=9, "Promotor", Trainingsabschluss[[#This Row],[Training_Bewertung]]
&lt;=6, "Detraktor",
TRUE, "Passiv")</f>
        <v>Passiv</v>
      </c>
      <c r="W307"/>
    </row>
    <row r="308" spans="1:23" x14ac:dyDescent="0.3">
      <c r="A308" s="13" t="s">
        <v>335</v>
      </c>
      <c r="B308" s="2">
        <v>3.5</v>
      </c>
      <c r="C308" s="2">
        <v>2.5</v>
      </c>
      <c r="D308" s="2">
        <v>2</v>
      </c>
      <c r="E308" s="2">
        <v>3.5</v>
      </c>
      <c r="F308" s="2">
        <v>2</v>
      </c>
      <c r="G308" s="2" t="str">
        <f>_xlfn.XLOOKUP(Trainingsabschluss[[#This Row],[UserID]], Teilnehmende[UserID], Teilnehmende[Branche], "UserID nicht gefunden")</f>
        <v>Gesundheitswesen</v>
      </c>
      <c r="H308" t="str">
        <f>_xlfn.XLOOKUP(Trainingsabschluss[[#This Row],[UserID]], Teilnehmende[UserID], Teilnehmende[Bildungsabschluss], "UserID nicht gefunden")</f>
        <v>Bachelor</v>
      </c>
      <c r="I308" s="3">
        <f>_xlfn.XLOOKUP(Trainingsabschluss[[#This Row],[UserID]], Teilnehmende[UserID], Teilnehmende[Berufserfahrung])</f>
        <v>3</v>
      </c>
      <c r="J308" s="3" t="str" cm="1">
        <f t="array" ref="J30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08" s="11">
        <f>Trainingsabschluss[[#This Row],[Quiz_Frage1_Punkte]]/Max_Frage1</f>
        <v>0.7</v>
      </c>
      <c r="L308" s="11">
        <f>Trainingsabschluss[[#This Row],[Quiz_Frage2_Punkte]]/Max_Frage2</f>
        <v>0.5</v>
      </c>
      <c r="M308" s="11">
        <f>Trainingsabschluss[[#This Row],[Quiz_Frage3_Punkte]]/Max_Frage3</f>
        <v>0.4</v>
      </c>
      <c r="N308" s="11">
        <f>Trainingsabschluss[[#This Row],[Quiz_Frage4_Punkte]]/Max_Frage4</f>
        <v>0.875</v>
      </c>
      <c r="O308" s="11">
        <f>Trainingsabschluss[[#This Row],[Quiz_Frage5_Punkte]]/Max_Frage5</f>
        <v>0.66666666666666663</v>
      </c>
      <c r="P308" s="2">
        <f>Trainingsabschluss[[#This Row],[Quiz_Frage1_Punkte]]+Trainingsabschluss[[#This Row],[Quiz_Frage2_Punkte]]+Trainingsabschluss[[#This Row],[Quiz_Frage3_Punkte]]+Trainingsabschluss[[#This Row],[Quiz_Frage4_Punkte]]+Trainingsabschluss[[#This Row],[Quiz_Frage5_Punkte]]</f>
        <v>13.5</v>
      </c>
      <c r="Q308" s="8">
        <f>Trainingsabschluss[[#This Row],[Quizergebnis]]/Max_Quizergebnis</f>
        <v>0.61363636363636365</v>
      </c>
      <c r="R308" t="str" cm="1">
        <f t="array" ref="R308">_xlfn.IFS(Trainingsabschluss[[#This Row],[Quizergebnis_Prozent]]&lt;0.5, "Nicht bestanden",
Trainingsabschluss[[#This Row],[Quizergebnis_Prozent]]&lt;0.65, "Bestanden",
Trainingsabschluss[[#This Row],[Quizergebnis_Prozent]]&lt;0.8, "Gut bestanden",
TRUE, "Sehr gut bestanden")</f>
        <v>Bestanden</v>
      </c>
      <c r="S308" s="3">
        <v>8</v>
      </c>
      <c r="T308" s="3" t="str" cm="1">
        <f t="array" ref="T308">_xlfn.IFS(Trainingsabschluss[[#This Row],[Training_Bewertung]]&gt;=9, "Promotor", Trainingsabschluss[[#This Row],[Training_Bewertung]]
&lt;=6, "Detraktor",
TRUE, "Passiv")</f>
        <v>Passiv</v>
      </c>
      <c r="W308"/>
    </row>
    <row r="309" spans="1:23" x14ac:dyDescent="0.3">
      <c r="A309" s="13" t="s">
        <v>336</v>
      </c>
      <c r="B309" s="2">
        <v>5</v>
      </c>
      <c r="C309" s="2">
        <v>1</v>
      </c>
      <c r="D309" s="2">
        <v>2</v>
      </c>
      <c r="E309" s="2">
        <v>3</v>
      </c>
      <c r="F309" s="2">
        <v>2.5</v>
      </c>
      <c r="G309" s="2" t="str">
        <f>_xlfn.XLOOKUP(Trainingsabschluss[[#This Row],[UserID]], Teilnehmende[UserID], Teilnehmende[Branche], "UserID nicht gefunden")</f>
        <v>Gesundheitswesen</v>
      </c>
      <c r="H309" t="str">
        <f>_xlfn.XLOOKUP(Trainingsabschluss[[#This Row],[UserID]], Teilnehmende[UserID], Teilnehmende[Bildungsabschluss], "UserID nicht gefunden")</f>
        <v>Bachelor</v>
      </c>
      <c r="I309" s="3">
        <f>_xlfn.XLOOKUP(Trainingsabschluss[[#This Row],[UserID]], Teilnehmende[UserID], Teilnehmende[Berufserfahrung])</f>
        <v>6</v>
      </c>
      <c r="J309" s="3" t="str" cm="1">
        <f t="array" ref="J30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09" s="11">
        <f>Trainingsabschluss[[#This Row],[Quiz_Frage1_Punkte]]/Max_Frage1</f>
        <v>1</v>
      </c>
      <c r="L309" s="11">
        <f>Trainingsabschluss[[#This Row],[Quiz_Frage2_Punkte]]/Max_Frage2</f>
        <v>0.2</v>
      </c>
      <c r="M309" s="11">
        <f>Trainingsabschluss[[#This Row],[Quiz_Frage3_Punkte]]/Max_Frage3</f>
        <v>0.4</v>
      </c>
      <c r="N309" s="11">
        <f>Trainingsabschluss[[#This Row],[Quiz_Frage4_Punkte]]/Max_Frage4</f>
        <v>0.75</v>
      </c>
      <c r="O309" s="11">
        <f>Trainingsabschluss[[#This Row],[Quiz_Frage5_Punkte]]/Max_Frage5</f>
        <v>0.83333333333333337</v>
      </c>
      <c r="P309" s="2">
        <f>Trainingsabschluss[[#This Row],[Quiz_Frage1_Punkte]]+Trainingsabschluss[[#This Row],[Quiz_Frage2_Punkte]]+Trainingsabschluss[[#This Row],[Quiz_Frage3_Punkte]]+Trainingsabschluss[[#This Row],[Quiz_Frage4_Punkte]]+Trainingsabschluss[[#This Row],[Quiz_Frage5_Punkte]]</f>
        <v>13.5</v>
      </c>
      <c r="Q309" s="8">
        <f>Trainingsabschluss[[#This Row],[Quizergebnis]]/Max_Quizergebnis</f>
        <v>0.61363636363636365</v>
      </c>
      <c r="R309" t="str" cm="1">
        <f t="array" ref="R309">_xlfn.IFS(Trainingsabschluss[[#This Row],[Quizergebnis_Prozent]]&lt;0.5, "Nicht bestanden",
Trainingsabschluss[[#This Row],[Quizergebnis_Prozent]]&lt;0.65, "Bestanden",
Trainingsabschluss[[#This Row],[Quizergebnis_Prozent]]&lt;0.8, "Gut bestanden",
TRUE, "Sehr gut bestanden")</f>
        <v>Bestanden</v>
      </c>
      <c r="S309" s="3">
        <v>8</v>
      </c>
      <c r="T309" s="3" t="str" cm="1">
        <f t="array" ref="T309">_xlfn.IFS(Trainingsabschluss[[#This Row],[Training_Bewertung]]&gt;=9, "Promotor", Trainingsabschluss[[#This Row],[Training_Bewertung]]
&lt;=6, "Detraktor",
TRUE, "Passiv")</f>
        <v>Passiv</v>
      </c>
      <c r="W309"/>
    </row>
    <row r="310" spans="1:23" x14ac:dyDescent="0.3">
      <c r="A310" s="13" t="s">
        <v>338</v>
      </c>
      <c r="B310" s="2">
        <v>5</v>
      </c>
      <c r="C310" s="2">
        <v>5</v>
      </c>
      <c r="D310" s="2">
        <v>0</v>
      </c>
      <c r="E310" s="2">
        <v>3</v>
      </c>
      <c r="F310" s="2">
        <v>2</v>
      </c>
      <c r="G310" s="2" t="str">
        <f>_xlfn.XLOOKUP(Trainingsabschluss[[#This Row],[UserID]], Teilnehmende[UserID], Teilnehmende[Branche], "UserID nicht gefunden")</f>
        <v>Gesundheitswesen</v>
      </c>
      <c r="H310" t="str">
        <f>_xlfn.XLOOKUP(Trainingsabschluss[[#This Row],[UserID]], Teilnehmende[UserID], Teilnehmende[Bildungsabschluss], "UserID nicht gefunden")</f>
        <v>Bachelor</v>
      </c>
      <c r="I310" s="3">
        <f>_xlfn.XLOOKUP(Trainingsabschluss[[#This Row],[UserID]], Teilnehmende[UserID], Teilnehmende[Berufserfahrung])</f>
        <v>6</v>
      </c>
      <c r="J310" s="3" t="str" cm="1">
        <f t="array" ref="J31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10" s="11">
        <f>Trainingsabschluss[[#This Row],[Quiz_Frage1_Punkte]]/Max_Frage1</f>
        <v>1</v>
      </c>
      <c r="L310" s="11">
        <f>Trainingsabschluss[[#This Row],[Quiz_Frage2_Punkte]]/Max_Frage2</f>
        <v>1</v>
      </c>
      <c r="M310" s="11">
        <f>Trainingsabschluss[[#This Row],[Quiz_Frage3_Punkte]]/Max_Frage3</f>
        <v>0</v>
      </c>
      <c r="N310" s="11">
        <f>Trainingsabschluss[[#This Row],[Quiz_Frage4_Punkte]]/Max_Frage4</f>
        <v>0.75</v>
      </c>
      <c r="O310" s="11">
        <f>Trainingsabschluss[[#This Row],[Quiz_Frage5_Punkte]]/Max_Frage5</f>
        <v>0.66666666666666663</v>
      </c>
      <c r="P310" s="2">
        <f>Trainingsabschluss[[#This Row],[Quiz_Frage1_Punkte]]+Trainingsabschluss[[#This Row],[Quiz_Frage2_Punkte]]+Trainingsabschluss[[#This Row],[Quiz_Frage3_Punkte]]+Trainingsabschluss[[#This Row],[Quiz_Frage4_Punkte]]+Trainingsabschluss[[#This Row],[Quiz_Frage5_Punkte]]</f>
        <v>15</v>
      </c>
      <c r="Q310" s="8">
        <f>Trainingsabschluss[[#This Row],[Quizergebnis]]/Max_Quizergebnis</f>
        <v>0.68181818181818177</v>
      </c>
      <c r="R310" t="str" cm="1">
        <f t="array" ref="R310">_xlfn.IFS(Trainingsabschluss[[#This Row],[Quizergebnis_Prozent]]&lt;0.5, "Nicht bestanden",
Trainingsabschluss[[#This Row],[Quizergebnis_Prozent]]&lt;0.65, "Bestanden",
Trainingsabschluss[[#This Row],[Quizergebnis_Prozent]]&lt;0.8, "Gut bestanden",
TRUE, "Sehr gut bestanden")</f>
        <v>Gut bestanden</v>
      </c>
      <c r="S310" s="3">
        <v>8</v>
      </c>
      <c r="T310" s="3" t="str" cm="1">
        <f t="array" ref="T310">_xlfn.IFS(Trainingsabschluss[[#This Row],[Training_Bewertung]]&gt;=9, "Promotor", Trainingsabschluss[[#This Row],[Training_Bewertung]]
&lt;=6, "Detraktor",
TRUE, "Passiv")</f>
        <v>Passiv</v>
      </c>
      <c r="W310"/>
    </row>
    <row r="311" spans="1:23" x14ac:dyDescent="0.3">
      <c r="A311" s="13" t="s">
        <v>340</v>
      </c>
      <c r="B311" s="2">
        <v>5</v>
      </c>
      <c r="C311" s="2">
        <v>3</v>
      </c>
      <c r="D311" s="2">
        <v>0.5</v>
      </c>
      <c r="E311" s="2">
        <v>2</v>
      </c>
      <c r="F311" s="2">
        <v>1.5</v>
      </c>
      <c r="G311" s="2" t="str">
        <f>_xlfn.XLOOKUP(Trainingsabschluss[[#This Row],[UserID]], Teilnehmende[UserID], Teilnehmende[Branche], "UserID nicht gefunden")</f>
        <v>Gesundheitswesen</v>
      </c>
      <c r="H311" t="str">
        <f>_xlfn.XLOOKUP(Trainingsabschluss[[#This Row],[UserID]], Teilnehmende[UserID], Teilnehmende[Bildungsabschluss], "UserID nicht gefunden")</f>
        <v>Bachelor</v>
      </c>
      <c r="I311" s="3">
        <f>_xlfn.XLOOKUP(Trainingsabschluss[[#This Row],[UserID]], Teilnehmende[UserID], Teilnehmende[Berufserfahrung])</f>
        <v>7</v>
      </c>
      <c r="J311" s="3" t="str" cm="1">
        <f t="array" ref="J31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11" s="11">
        <f>Trainingsabschluss[[#This Row],[Quiz_Frage1_Punkte]]/Max_Frage1</f>
        <v>1</v>
      </c>
      <c r="L311" s="11">
        <f>Trainingsabschluss[[#This Row],[Quiz_Frage2_Punkte]]/Max_Frage2</f>
        <v>0.6</v>
      </c>
      <c r="M311" s="11">
        <f>Trainingsabschluss[[#This Row],[Quiz_Frage3_Punkte]]/Max_Frage3</f>
        <v>0.1</v>
      </c>
      <c r="N311" s="11">
        <f>Trainingsabschluss[[#This Row],[Quiz_Frage4_Punkte]]/Max_Frage4</f>
        <v>0.5</v>
      </c>
      <c r="O311" s="11">
        <f>Trainingsabschluss[[#This Row],[Quiz_Frage5_Punkte]]/Max_Frage5</f>
        <v>0.5</v>
      </c>
      <c r="P311" s="2">
        <f>Trainingsabschluss[[#This Row],[Quiz_Frage1_Punkte]]+Trainingsabschluss[[#This Row],[Quiz_Frage2_Punkte]]+Trainingsabschluss[[#This Row],[Quiz_Frage3_Punkte]]+Trainingsabschluss[[#This Row],[Quiz_Frage4_Punkte]]+Trainingsabschluss[[#This Row],[Quiz_Frage5_Punkte]]</f>
        <v>12</v>
      </c>
      <c r="Q311" s="8">
        <f>Trainingsabschluss[[#This Row],[Quizergebnis]]/Max_Quizergebnis</f>
        <v>0.54545454545454541</v>
      </c>
      <c r="R311" t="str" cm="1">
        <f t="array" ref="R311">_xlfn.IFS(Trainingsabschluss[[#This Row],[Quizergebnis_Prozent]]&lt;0.5, "Nicht bestanden",
Trainingsabschluss[[#This Row],[Quizergebnis_Prozent]]&lt;0.65, "Bestanden",
Trainingsabschluss[[#This Row],[Quizergebnis_Prozent]]&lt;0.8, "Gut bestanden",
TRUE, "Sehr gut bestanden")</f>
        <v>Bestanden</v>
      </c>
      <c r="S311" s="3">
        <v>8</v>
      </c>
      <c r="T311" s="3" t="str" cm="1">
        <f t="array" ref="T311">_xlfn.IFS(Trainingsabschluss[[#This Row],[Training_Bewertung]]&gt;=9, "Promotor", Trainingsabschluss[[#This Row],[Training_Bewertung]]
&lt;=6, "Detraktor",
TRUE, "Passiv")</f>
        <v>Passiv</v>
      </c>
      <c r="W311"/>
    </row>
    <row r="312" spans="1:23" x14ac:dyDescent="0.3">
      <c r="A312" s="13" t="s">
        <v>341</v>
      </c>
      <c r="B312" s="2">
        <v>5</v>
      </c>
      <c r="C312" s="2">
        <v>3.5</v>
      </c>
      <c r="D312" s="2">
        <v>3</v>
      </c>
      <c r="E312" s="2">
        <v>2.5</v>
      </c>
      <c r="F312" s="2">
        <v>0</v>
      </c>
      <c r="G312" s="2" t="str">
        <f>_xlfn.XLOOKUP(Trainingsabschluss[[#This Row],[UserID]], Teilnehmende[UserID], Teilnehmende[Branche], "UserID nicht gefunden")</f>
        <v>Gesundheitswesen</v>
      </c>
      <c r="H312" t="str">
        <f>_xlfn.XLOOKUP(Trainingsabschluss[[#This Row],[UserID]], Teilnehmende[UserID], Teilnehmende[Bildungsabschluss], "UserID nicht gefunden")</f>
        <v>Bachelor</v>
      </c>
      <c r="I312" s="3">
        <f>_xlfn.XLOOKUP(Trainingsabschluss[[#This Row],[UserID]], Teilnehmende[UserID], Teilnehmende[Berufserfahrung])</f>
        <v>3</v>
      </c>
      <c r="J312" s="3" t="str" cm="1">
        <f t="array" ref="J31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12" s="11">
        <f>Trainingsabschluss[[#This Row],[Quiz_Frage1_Punkte]]/Max_Frage1</f>
        <v>1</v>
      </c>
      <c r="L312" s="11">
        <f>Trainingsabschluss[[#This Row],[Quiz_Frage2_Punkte]]/Max_Frage2</f>
        <v>0.7</v>
      </c>
      <c r="M312" s="11">
        <f>Trainingsabschluss[[#This Row],[Quiz_Frage3_Punkte]]/Max_Frage3</f>
        <v>0.6</v>
      </c>
      <c r="N312" s="11">
        <f>Trainingsabschluss[[#This Row],[Quiz_Frage4_Punkte]]/Max_Frage4</f>
        <v>0.625</v>
      </c>
      <c r="O312" s="11">
        <f>Trainingsabschluss[[#This Row],[Quiz_Frage5_Punkte]]/Max_Frage5</f>
        <v>0</v>
      </c>
      <c r="P312" s="2">
        <f>Trainingsabschluss[[#This Row],[Quiz_Frage1_Punkte]]+Trainingsabschluss[[#This Row],[Quiz_Frage2_Punkte]]+Trainingsabschluss[[#This Row],[Quiz_Frage3_Punkte]]+Trainingsabschluss[[#This Row],[Quiz_Frage4_Punkte]]+Trainingsabschluss[[#This Row],[Quiz_Frage5_Punkte]]</f>
        <v>14</v>
      </c>
      <c r="Q312" s="8">
        <f>Trainingsabschluss[[#This Row],[Quizergebnis]]/Max_Quizergebnis</f>
        <v>0.63636363636363635</v>
      </c>
      <c r="R312" t="str" cm="1">
        <f t="array" ref="R312">_xlfn.IFS(Trainingsabschluss[[#This Row],[Quizergebnis_Prozent]]&lt;0.5, "Nicht bestanden",
Trainingsabschluss[[#This Row],[Quizergebnis_Prozent]]&lt;0.65, "Bestanden",
Trainingsabschluss[[#This Row],[Quizergebnis_Prozent]]&lt;0.8, "Gut bestanden",
TRUE, "Sehr gut bestanden")</f>
        <v>Bestanden</v>
      </c>
      <c r="S312" s="3">
        <v>8</v>
      </c>
      <c r="T312" s="3" t="str" cm="1">
        <f t="array" ref="T312">_xlfn.IFS(Trainingsabschluss[[#This Row],[Training_Bewertung]]&gt;=9, "Promotor", Trainingsabschluss[[#This Row],[Training_Bewertung]]
&lt;=6, "Detraktor",
TRUE, "Passiv")</f>
        <v>Passiv</v>
      </c>
      <c r="W312"/>
    </row>
    <row r="313" spans="1:23" x14ac:dyDescent="0.3">
      <c r="A313" s="13" t="s">
        <v>343</v>
      </c>
      <c r="B313" s="2">
        <v>4</v>
      </c>
      <c r="C313" s="2">
        <v>3.5</v>
      </c>
      <c r="D313" s="2">
        <v>2.5</v>
      </c>
      <c r="E313" s="2">
        <v>2.5</v>
      </c>
      <c r="F313" s="2">
        <v>1.5</v>
      </c>
      <c r="G313" s="2" t="str">
        <f>_xlfn.XLOOKUP(Trainingsabschluss[[#This Row],[UserID]], Teilnehmende[UserID], Teilnehmende[Branche], "UserID nicht gefunden")</f>
        <v>Gesundheitswesen</v>
      </c>
      <c r="H313" t="str">
        <f>_xlfn.XLOOKUP(Trainingsabschluss[[#This Row],[UserID]], Teilnehmende[UserID], Teilnehmende[Bildungsabschluss], "UserID nicht gefunden")</f>
        <v>Bachelor</v>
      </c>
      <c r="I313" s="3">
        <f>_xlfn.XLOOKUP(Trainingsabschluss[[#This Row],[UserID]], Teilnehmende[UserID], Teilnehmende[Berufserfahrung])</f>
        <v>5</v>
      </c>
      <c r="J313" s="3" t="str" cm="1">
        <f t="array" ref="J31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13" s="11">
        <f>Trainingsabschluss[[#This Row],[Quiz_Frage1_Punkte]]/Max_Frage1</f>
        <v>0.8</v>
      </c>
      <c r="L313" s="11">
        <f>Trainingsabschluss[[#This Row],[Quiz_Frage2_Punkte]]/Max_Frage2</f>
        <v>0.7</v>
      </c>
      <c r="M313" s="11">
        <f>Trainingsabschluss[[#This Row],[Quiz_Frage3_Punkte]]/Max_Frage3</f>
        <v>0.5</v>
      </c>
      <c r="N313" s="11">
        <f>Trainingsabschluss[[#This Row],[Quiz_Frage4_Punkte]]/Max_Frage4</f>
        <v>0.625</v>
      </c>
      <c r="O313" s="11">
        <f>Trainingsabschluss[[#This Row],[Quiz_Frage5_Punkte]]/Max_Frage5</f>
        <v>0.5</v>
      </c>
      <c r="P313" s="2">
        <f>Trainingsabschluss[[#This Row],[Quiz_Frage1_Punkte]]+Trainingsabschluss[[#This Row],[Quiz_Frage2_Punkte]]+Trainingsabschluss[[#This Row],[Quiz_Frage3_Punkte]]+Trainingsabschluss[[#This Row],[Quiz_Frage4_Punkte]]+Trainingsabschluss[[#This Row],[Quiz_Frage5_Punkte]]</f>
        <v>14</v>
      </c>
      <c r="Q313" s="8">
        <f>Trainingsabschluss[[#This Row],[Quizergebnis]]/Max_Quizergebnis</f>
        <v>0.63636363636363635</v>
      </c>
      <c r="R313" t="str" cm="1">
        <f t="array" ref="R313">_xlfn.IFS(Trainingsabschluss[[#This Row],[Quizergebnis_Prozent]]&lt;0.5, "Nicht bestanden",
Trainingsabschluss[[#This Row],[Quizergebnis_Prozent]]&lt;0.65, "Bestanden",
Trainingsabschluss[[#This Row],[Quizergebnis_Prozent]]&lt;0.8, "Gut bestanden",
TRUE, "Sehr gut bestanden")</f>
        <v>Bestanden</v>
      </c>
      <c r="S313" s="3">
        <v>8</v>
      </c>
      <c r="T313" s="3" t="str" cm="1">
        <f t="array" ref="T313">_xlfn.IFS(Trainingsabschluss[[#This Row],[Training_Bewertung]]&gt;=9, "Promotor", Trainingsabschluss[[#This Row],[Training_Bewertung]]
&lt;=6, "Detraktor",
TRUE, "Passiv")</f>
        <v>Passiv</v>
      </c>
      <c r="W313"/>
    </row>
    <row r="314" spans="1:23" x14ac:dyDescent="0.3">
      <c r="A314" s="13" t="s">
        <v>344</v>
      </c>
      <c r="B314" s="2">
        <v>5</v>
      </c>
      <c r="C314" s="2">
        <v>3</v>
      </c>
      <c r="D314" s="2">
        <v>1.5</v>
      </c>
      <c r="E314" s="2">
        <v>3.5</v>
      </c>
      <c r="F314" s="2">
        <v>1.5</v>
      </c>
      <c r="G314" s="2" t="str">
        <f>_xlfn.XLOOKUP(Trainingsabschluss[[#This Row],[UserID]], Teilnehmende[UserID], Teilnehmende[Branche], "UserID nicht gefunden")</f>
        <v>Gesundheitswesen</v>
      </c>
      <c r="H314" t="str">
        <f>_xlfn.XLOOKUP(Trainingsabschluss[[#This Row],[UserID]], Teilnehmende[UserID], Teilnehmende[Bildungsabschluss], "UserID nicht gefunden")</f>
        <v>Bachelor</v>
      </c>
      <c r="I314" s="3">
        <f>_xlfn.XLOOKUP(Trainingsabschluss[[#This Row],[UserID]], Teilnehmende[UserID], Teilnehmende[Berufserfahrung])</f>
        <v>24</v>
      </c>
      <c r="J314" s="3" t="str" cm="1">
        <f t="array" ref="J314">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314" s="11">
        <f>Trainingsabschluss[[#This Row],[Quiz_Frage1_Punkte]]/Max_Frage1</f>
        <v>1</v>
      </c>
      <c r="L314" s="11">
        <f>Trainingsabschluss[[#This Row],[Quiz_Frage2_Punkte]]/Max_Frage2</f>
        <v>0.6</v>
      </c>
      <c r="M314" s="11">
        <f>Trainingsabschluss[[#This Row],[Quiz_Frage3_Punkte]]/Max_Frage3</f>
        <v>0.3</v>
      </c>
      <c r="N314" s="11">
        <f>Trainingsabschluss[[#This Row],[Quiz_Frage4_Punkte]]/Max_Frage4</f>
        <v>0.875</v>
      </c>
      <c r="O314" s="11">
        <f>Trainingsabschluss[[#This Row],[Quiz_Frage5_Punkte]]/Max_Frage5</f>
        <v>0.5</v>
      </c>
      <c r="P314" s="2">
        <f>Trainingsabschluss[[#This Row],[Quiz_Frage1_Punkte]]+Trainingsabschluss[[#This Row],[Quiz_Frage2_Punkte]]+Trainingsabschluss[[#This Row],[Quiz_Frage3_Punkte]]+Trainingsabschluss[[#This Row],[Quiz_Frage4_Punkte]]+Trainingsabschluss[[#This Row],[Quiz_Frage5_Punkte]]</f>
        <v>14.5</v>
      </c>
      <c r="Q314" s="8">
        <f>Trainingsabschluss[[#This Row],[Quizergebnis]]/Max_Quizergebnis</f>
        <v>0.65909090909090906</v>
      </c>
      <c r="R314" t="str" cm="1">
        <f t="array" ref="R314">_xlfn.IFS(Trainingsabschluss[[#This Row],[Quizergebnis_Prozent]]&lt;0.5, "Nicht bestanden",
Trainingsabschluss[[#This Row],[Quizergebnis_Prozent]]&lt;0.65, "Bestanden",
Trainingsabschluss[[#This Row],[Quizergebnis_Prozent]]&lt;0.8, "Gut bestanden",
TRUE, "Sehr gut bestanden")</f>
        <v>Gut bestanden</v>
      </c>
      <c r="S314" s="3">
        <v>8</v>
      </c>
      <c r="T314" s="3" t="str" cm="1">
        <f t="array" ref="T314">_xlfn.IFS(Trainingsabschluss[[#This Row],[Training_Bewertung]]&gt;=9, "Promotor", Trainingsabschluss[[#This Row],[Training_Bewertung]]
&lt;=6, "Detraktor",
TRUE, "Passiv")</f>
        <v>Passiv</v>
      </c>
      <c r="W314"/>
    </row>
    <row r="315" spans="1:23" x14ac:dyDescent="0.3">
      <c r="A315" s="13" t="s">
        <v>345</v>
      </c>
      <c r="B315" s="2">
        <v>5</v>
      </c>
      <c r="C315" s="2">
        <v>3</v>
      </c>
      <c r="D315" s="2">
        <v>2.5</v>
      </c>
      <c r="E315" s="2">
        <v>2.5</v>
      </c>
      <c r="F315" s="2">
        <v>1.5</v>
      </c>
      <c r="G315" s="2" t="str">
        <f>_xlfn.XLOOKUP(Trainingsabschluss[[#This Row],[UserID]], Teilnehmende[UserID], Teilnehmende[Branche], "UserID nicht gefunden")</f>
        <v>Gesundheitswesen</v>
      </c>
      <c r="H315" t="str">
        <f>_xlfn.XLOOKUP(Trainingsabschluss[[#This Row],[UserID]], Teilnehmende[UserID], Teilnehmende[Bildungsabschluss], "UserID nicht gefunden")</f>
        <v>Bachelor</v>
      </c>
      <c r="I315" s="3">
        <f>_xlfn.XLOOKUP(Trainingsabschluss[[#This Row],[UserID]], Teilnehmende[UserID], Teilnehmende[Berufserfahrung])</f>
        <v>16</v>
      </c>
      <c r="J315" s="3" t="str" cm="1">
        <f t="array" ref="J315">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15" s="11">
        <f>Trainingsabschluss[[#This Row],[Quiz_Frage1_Punkte]]/Max_Frage1</f>
        <v>1</v>
      </c>
      <c r="L315" s="11">
        <f>Trainingsabschluss[[#This Row],[Quiz_Frage2_Punkte]]/Max_Frage2</f>
        <v>0.6</v>
      </c>
      <c r="M315" s="11">
        <f>Trainingsabschluss[[#This Row],[Quiz_Frage3_Punkte]]/Max_Frage3</f>
        <v>0.5</v>
      </c>
      <c r="N315" s="11">
        <f>Trainingsabschluss[[#This Row],[Quiz_Frage4_Punkte]]/Max_Frage4</f>
        <v>0.625</v>
      </c>
      <c r="O315" s="11">
        <f>Trainingsabschluss[[#This Row],[Quiz_Frage5_Punkte]]/Max_Frage5</f>
        <v>0.5</v>
      </c>
      <c r="P315" s="2">
        <f>Trainingsabschluss[[#This Row],[Quiz_Frage1_Punkte]]+Trainingsabschluss[[#This Row],[Quiz_Frage2_Punkte]]+Trainingsabschluss[[#This Row],[Quiz_Frage3_Punkte]]+Trainingsabschluss[[#This Row],[Quiz_Frage4_Punkte]]+Trainingsabschluss[[#This Row],[Quiz_Frage5_Punkte]]</f>
        <v>14.5</v>
      </c>
      <c r="Q315" s="8">
        <f>Trainingsabschluss[[#This Row],[Quizergebnis]]/Max_Quizergebnis</f>
        <v>0.65909090909090906</v>
      </c>
      <c r="R315" t="str" cm="1">
        <f t="array" ref="R315">_xlfn.IFS(Trainingsabschluss[[#This Row],[Quizergebnis_Prozent]]&lt;0.5, "Nicht bestanden",
Trainingsabschluss[[#This Row],[Quizergebnis_Prozent]]&lt;0.65, "Bestanden",
Trainingsabschluss[[#This Row],[Quizergebnis_Prozent]]&lt;0.8, "Gut bestanden",
TRUE, "Sehr gut bestanden")</f>
        <v>Gut bestanden</v>
      </c>
      <c r="S315" s="3">
        <v>8</v>
      </c>
      <c r="T315" s="3" t="str" cm="1">
        <f t="array" ref="T315">_xlfn.IFS(Trainingsabschluss[[#This Row],[Training_Bewertung]]&gt;=9, "Promotor", Trainingsabschluss[[#This Row],[Training_Bewertung]]
&lt;=6, "Detraktor",
TRUE, "Passiv")</f>
        <v>Passiv</v>
      </c>
      <c r="W315"/>
    </row>
    <row r="316" spans="1:23" x14ac:dyDescent="0.3">
      <c r="A316" s="13" t="s">
        <v>348</v>
      </c>
      <c r="B316" s="2">
        <v>3.5</v>
      </c>
      <c r="C316" s="2">
        <v>3</v>
      </c>
      <c r="D316" s="2">
        <v>4</v>
      </c>
      <c r="E316" s="2">
        <v>4</v>
      </c>
      <c r="F316" s="2">
        <v>2</v>
      </c>
      <c r="G316" s="2" t="str">
        <f>_xlfn.XLOOKUP(Trainingsabschluss[[#This Row],[UserID]], Teilnehmende[UserID], Teilnehmende[Branche], "UserID nicht gefunden")</f>
        <v>Immobilien</v>
      </c>
      <c r="H316" t="str">
        <f>_xlfn.XLOOKUP(Trainingsabschluss[[#This Row],[UserID]], Teilnehmende[UserID], Teilnehmende[Bildungsabschluss], "UserID nicht gefunden")</f>
        <v>Bachelor</v>
      </c>
      <c r="I316" s="3">
        <f>_xlfn.XLOOKUP(Trainingsabschluss[[#This Row],[UserID]], Teilnehmende[UserID], Teilnehmende[Berufserfahrung])</f>
        <v>2</v>
      </c>
      <c r="J316" s="3" t="str" cm="1">
        <f t="array" ref="J31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16" s="11">
        <f>Trainingsabschluss[[#This Row],[Quiz_Frage1_Punkte]]/Max_Frage1</f>
        <v>0.7</v>
      </c>
      <c r="L316" s="11">
        <f>Trainingsabschluss[[#This Row],[Quiz_Frage2_Punkte]]/Max_Frage2</f>
        <v>0.6</v>
      </c>
      <c r="M316" s="11">
        <f>Trainingsabschluss[[#This Row],[Quiz_Frage3_Punkte]]/Max_Frage3</f>
        <v>0.8</v>
      </c>
      <c r="N316" s="11">
        <f>Trainingsabschluss[[#This Row],[Quiz_Frage4_Punkte]]/Max_Frage4</f>
        <v>1</v>
      </c>
      <c r="O316" s="11">
        <f>Trainingsabschluss[[#This Row],[Quiz_Frage5_Punkte]]/Max_Frage5</f>
        <v>0.66666666666666663</v>
      </c>
      <c r="P316" s="2">
        <f>Trainingsabschluss[[#This Row],[Quiz_Frage1_Punkte]]+Trainingsabschluss[[#This Row],[Quiz_Frage2_Punkte]]+Trainingsabschluss[[#This Row],[Quiz_Frage3_Punkte]]+Trainingsabschluss[[#This Row],[Quiz_Frage4_Punkte]]+Trainingsabschluss[[#This Row],[Quiz_Frage5_Punkte]]</f>
        <v>16.5</v>
      </c>
      <c r="Q316" s="8">
        <f>Trainingsabschluss[[#This Row],[Quizergebnis]]/Max_Quizergebnis</f>
        <v>0.75</v>
      </c>
      <c r="R316" t="str" cm="1">
        <f t="array" ref="R316">_xlfn.IFS(Trainingsabschluss[[#This Row],[Quizergebnis_Prozent]]&lt;0.5, "Nicht bestanden",
Trainingsabschluss[[#This Row],[Quizergebnis_Prozent]]&lt;0.65, "Bestanden",
Trainingsabschluss[[#This Row],[Quizergebnis_Prozent]]&lt;0.8, "Gut bestanden",
TRUE, "Sehr gut bestanden")</f>
        <v>Gut bestanden</v>
      </c>
      <c r="S316" s="3">
        <v>8</v>
      </c>
      <c r="T316" s="3" t="str" cm="1">
        <f t="array" ref="T316">_xlfn.IFS(Trainingsabschluss[[#This Row],[Training_Bewertung]]&gt;=9, "Promotor", Trainingsabschluss[[#This Row],[Training_Bewertung]]
&lt;=6, "Detraktor",
TRUE, "Passiv")</f>
        <v>Passiv</v>
      </c>
      <c r="W316"/>
    </row>
    <row r="317" spans="1:23" x14ac:dyDescent="0.3">
      <c r="A317" s="13" t="s">
        <v>349</v>
      </c>
      <c r="B317" s="2">
        <v>5</v>
      </c>
      <c r="C317" s="2">
        <v>4.5</v>
      </c>
      <c r="D317" s="2">
        <v>1.5</v>
      </c>
      <c r="E317" s="2">
        <v>3</v>
      </c>
      <c r="F317" s="2">
        <v>0.5</v>
      </c>
      <c r="G317" s="2" t="str">
        <f>_xlfn.XLOOKUP(Trainingsabschluss[[#This Row],[UserID]], Teilnehmende[UserID], Teilnehmende[Branche], "UserID nicht gefunden")</f>
        <v>Immobilien</v>
      </c>
      <c r="H317" t="str">
        <f>_xlfn.XLOOKUP(Trainingsabschluss[[#This Row],[UserID]], Teilnehmende[UserID], Teilnehmende[Bildungsabschluss], "UserID nicht gefunden")</f>
        <v>Bachelor</v>
      </c>
      <c r="I317" s="3">
        <f>_xlfn.XLOOKUP(Trainingsabschluss[[#This Row],[UserID]], Teilnehmende[UserID], Teilnehmende[Berufserfahrung])</f>
        <v>18</v>
      </c>
      <c r="J317" s="3" t="str" cm="1">
        <f t="array" ref="J317">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17" s="11">
        <f>Trainingsabschluss[[#This Row],[Quiz_Frage1_Punkte]]/Max_Frage1</f>
        <v>1</v>
      </c>
      <c r="L317" s="11">
        <f>Trainingsabschluss[[#This Row],[Quiz_Frage2_Punkte]]/Max_Frage2</f>
        <v>0.9</v>
      </c>
      <c r="M317" s="11">
        <f>Trainingsabschluss[[#This Row],[Quiz_Frage3_Punkte]]/Max_Frage3</f>
        <v>0.3</v>
      </c>
      <c r="N317" s="11">
        <f>Trainingsabschluss[[#This Row],[Quiz_Frage4_Punkte]]/Max_Frage4</f>
        <v>0.75</v>
      </c>
      <c r="O317" s="11">
        <f>Trainingsabschluss[[#This Row],[Quiz_Frage5_Punkte]]/Max_Frage5</f>
        <v>0.16666666666666666</v>
      </c>
      <c r="P317" s="2">
        <f>Trainingsabschluss[[#This Row],[Quiz_Frage1_Punkte]]+Trainingsabschluss[[#This Row],[Quiz_Frage2_Punkte]]+Trainingsabschluss[[#This Row],[Quiz_Frage3_Punkte]]+Trainingsabschluss[[#This Row],[Quiz_Frage4_Punkte]]+Trainingsabschluss[[#This Row],[Quiz_Frage5_Punkte]]</f>
        <v>14.5</v>
      </c>
      <c r="Q317" s="8">
        <f>Trainingsabschluss[[#This Row],[Quizergebnis]]/Max_Quizergebnis</f>
        <v>0.65909090909090906</v>
      </c>
      <c r="R317" t="str" cm="1">
        <f t="array" ref="R317">_xlfn.IFS(Trainingsabschluss[[#This Row],[Quizergebnis_Prozent]]&lt;0.5, "Nicht bestanden",
Trainingsabschluss[[#This Row],[Quizergebnis_Prozent]]&lt;0.65, "Bestanden",
Trainingsabschluss[[#This Row],[Quizergebnis_Prozent]]&lt;0.8, "Gut bestanden",
TRUE, "Sehr gut bestanden")</f>
        <v>Gut bestanden</v>
      </c>
      <c r="S317" s="3">
        <v>8</v>
      </c>
      <c r="T317" s="3" t="str" cm="1">
        <f t="array" ref="T317">_xlfn.IFS(Trainingsabschluss[[#This Row],[Training_Bewertung]]&gt;=9, "Promotor", Trainingsabschluss[[#This Row],[Training_Bewertung]]
&lt;=6, "Detraktor",
TRUE, "Passiv")</f>
        <v>Passiv</v>
      </c>
      <c r="W317"/>
    </row>
    <row r="318" spans="1:23" x14ac:dyDescent="0.3">
      <c r="A318" s="13" t="s">
        <v>352</v>
      </c>
      <c r="B318" s="2">
        <v>3</v>
      </c>
      <c r="C318" s="2">
        <v>4.5</v>
      </c>
      <c r="D318" s="2">
        <v>1</v>
      </c>
      <c r="E318" s="2">
        <v>3</v>
      </c>
      <c r="F318" s="2">
        <v>3</v>
      </c>
      <c r="G318" s="2" t="str">
        <f>_xlfn.XLOOKUP(Trainingsabschluss[[#This Row],[UserID]], Teilnehmende[UserID], Teilnehmende[Branche], "UserID nicht gefunden")</f>
        <v>Immobilien</v>
      </c>
      <c r="H318" t="str">
        <f>_xlfn.XLOOKUP(Trainingsabschluss[[#This Row],[UserID]], Teilnehmende[UserID], Teilnehmende[Bildungsabschluss], "UserID nicht gefunden")</f>
        <v>Bachelor</v>
      </c>
      <c r="I318" s="3">
        <f>_xlfn.XLOOKUP(Trainingsabschluss[[#This Row],[UserID]], Teilnehmende[UserID], Teilnehmende[Berufserfahrung])</f>
        <v>15</v>
      </c>
      <c r="J318" s="3" t="str" cm="1">
        <f t="array" ref="J318">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18" s="11">
        <f>Trainingsabschluss[[#This Row],[Quiz_Frage1_Punkte]]/Max_Frage1</f>
        <v>0.6</v>
      </c>
      <c r="L318" s="11">
        <f>Trainingsabschluss[[#This Row],[Quiz_Frage2_Punkte]]/Max_Frage2</f>
        <v>0.9</v>
      </c>
      <c r="M318" s="11">
        <f>Trainingsabschluss[[#This Row],[Quiz_Frage3_Punkte]]/Max_Frage3</f>
        <v>0.2</v>
      </c>
      <c r="N318" s="11">
        <f>Trainingsabschluss[[#This Row],[Quiz_Frage4_Punkte]]/Max_Frage4</f>
        <v>0.75</v>
      </c>
      <c r="O318" s="11">
        <f>Trainingsabschluss[[#This Row],[Quiz_Frage5_Punkte]]/Max_Frage5</f>
        <v>1</v>
      </c>
      <c r="P318" s="2">
        <f>Trainingsabschluss[[#This Row],[Quiz_Frage1_Punkte]]+Trainingsabschluss[[#This Row],[Quiz_Frage2_Punkte]]+Trainingsabschluss[[#This Row],[Quiz_Frage3_Punkte]]+Trainingsabschluss[[#This Row],[Quiz_Frage4_Punkte]]+Trainingsabschluss[[#This Row],[Quiz_Frage5_Punkte]]</f>
        <v>14.5</v>
      </c>
      <c r="Q318" s="8">
        <f>Trainingsabschluss[[#This Row],[Quizergebnis]]/Max_Quizergebnis</f>
        <v>0.65909090909090906</v>
      </c>
      <c r="R318" t="str" cm="1">
        <f t="array" ref="R318">_xlfn.IFS(Trainingsabschluss[[#This Row],[Quizergebnis_Prozent]]&lt;0.5, "Nicht bestanden",
Trainingsabschluss[[#This Row],[Quizergebnis_Prozent]]&lt;0.65, "Bestanden",
Trainingsabschluss[[#This Row],[Quizergebnis_Prozent]]&lt;0.8, "Gut bestanden",
TRUE, "Sehr gut bestanden")</f>
        <v>Gut bestanden</v>
      </c>
      <c r="S318" s="3">
        <v>8</v>
      </c>
      <c r="T318" s="3" t="str" cm="1">
        <f t="array" ref="T318">_xlfn.IFS(Trainingsabschluss[[#This Row],[Training_Bewertung]]&gt;=9, "Promotor", Trainingsabschluss[[#This Row],[Training_Bewertung]]
&lt;=6, "Detraktor",
TRUE, "Passiv")</f>
        <v>Passiv</v>
      </c>
      <c r="W318"/>
    </row>
    <row r="319" spans="1:23" x14ac:dyDescent="0.3">
      <c r="A319" s="13" t="s">
        <v>356</v>
      </c>
      <c r="B319" s="2">
        <v>4.5</v>
      </c>
      <c r="C319" s="2">
        <v>2</v>
      </c>
      <c r="D319" s="2">
        <v>5</v>
      </c>
      <c r="E319" s="2">
        <v>4</v>
      </c>
      <c r="F319" s="2">
        <v>1.5</v>
      </c>
      <c r="G319" s="2" t="str">
        <f>_xlfn.XLOOKUP(Trainingsabschluss[[#This Row],[UserID]], Teilnehmende[UserID], Teilnehmende[Branche], "UserID nicht gefunden")</f>
        <v>Immobilien</v>
      </c>
      <c r="H319" t="str">
        <f>_xlfn.XLOOKUP(Trainingsabschluss[[#This Row],[UserID]], Teilnehmende[UserID], Teilnehmende[Bildungsabschluss], "UserID nicht gefunden")</f>
        <v>Bachelor</v>
      </c>
      <c r="I319" s="3">
        <f>_xlfn.XLOOKUP(Trainingsabschluss[[#This Row],[UserID]], Teilnehmende[UserID], Teilnehmende[Berufserfahrung])</f>
        <v>4</v>
      </c>
      <c r="J319" s="3" t="str" cm="1">
        <f t="array" ref="J31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19" s="11">
        <f>Trainingsabschluss[[#This Row],[Quiz_Frage1_Punkte]]/Max_Frage1</f>
        <v>0.9</v>
      </c>
      <c r="L319" s="11">
        <f>Trainingsabschluss[[#This Row],[Quiz_Frage2_Punkte]]/Max_Frage2</f>
        <v>0.4</v>
      </c>
      <c r="M319" s="11">
        <f>Trainingsabschluss[[#This Row],[Quiz_Frage3_Punkte]]/Max_Frage3</f>
        <v>1</v>
      </c>
      <c r="N319" s="11">
        <f>Trainingsabschluss[[#This Row],[Quiz_Frage4_Punkte]]/Max_Frage4</f>
        <v>1</v>
      </c>
      <c r="O319" s="11">
        <f>Trainingsabschluss[[#This Row],[Quiz_Frage5_Punkte]]/Max_Frage5</f>
        <v>0.5</v>
      </c>
      <c r="P319" s="2">
        <f>Trainingsabschluss[[#This Row],[Quiz_Frage1_Punkte]]+Trainingsabschluss[[#This Row],[Quiz_Frage2_Punkte]]+Trainingsabschluss[[#This Row],[Quiz_Frage3_Punkte]]+Trainingsabschluss[[#This Row],[Quiz_Frage4_Punkte]]+Trainingsabschluss[[#This Row],[Quiz_Frage5_Punkte]]</f>
        <v>17</v>
      </c>
      <c r="Q319" s="8">
        <f>Trainingsabschluss[[#This Row],[Quizergebnis]]/Max_Quizergebnis</f>
        <v>0.77272727272727271</v>
      </c>
      <c r="R319" t="str" cm="1">
        <f t="array" ref="R319">_xlfn.IFS(Trainingsabschluss[[#This Row],[Quizergebnis_Prozent]]&lt;0.5, "Nicht bestanden",
Trainingsabschluss[[#This Row],[Quizergebnis_Prozent]]&lt;0.65, "Bestanden",
Trainingsabschluss[[#This Row],[Quizergebnis_Prozent]]&lt;0.8, "Gut bestanden",
TRUE, "Sehr gut bestanden")</f>
        <v>Gut bestanden</v>
      </c>
      <c r="S319" s="3">
        <v>8</v>
      </c>
      <c r="T319" s="3" t="str" cm="1">
        <f t="array" ref="T319">_xlfn.IFS(Trainingsabschluss[[#This Row],[Training_Bewertung]]&gt;=9, "Promotor", Trainingsabschluss[[#This Row],[Training_Bewertung]]
&lt;=6, "Detraktor",
TRUE, "Passiv")</f>
        <v>Passiv</v>
      </c>
      <c r="W319"/>
    </row>
    <row r="320" spans="1:23" x14ac:dyDescent="0.3">
      <c r="A320" s="13" t="s">
        <v>357</v>
      </c>
      <c r="B320" s="2">
        <v>5</v>
      </c>
      <c r="C320" s="2">
        <v>4</v>
      </c>
      <c r="D320" s="2">
        <v>2</v>
      </c>
      <c r="E320" s="2">
        <v>4</v>
      </c>
      <c r="F320" s="2">
        <v>2</v>
      </c>
      <c r="G320" s="2" t="str">
        <f>_xlfn.XLOOKUP(Trainingsabschluss[[#This Row],[UserID]], Teilnehmende[UserID], Teilnehmende[Branche], "UserID nicht gefunden")</f>
        <v>Immobilien</v>
      </c>
      <c r="H320" t="str">
        <f>_xlfn.XLOOKUP(Trainingsabschluss[[#This Row],[UserID]], Teilnehmende[UserID], Teilnehmende[Bildungsabschluss], "UserID nicht gefunden")</f>
        <v>Bachelor</v>
      </c>
      <c r="I320" s="3">
        <f>_xlfn.XLOOKUP(Trainingsabschluss[[#This Row],[UserID]], Teilnehmende[UserID], Teilnehmende[Berufserfahrung])</f>
        <v>20</v>
      </c>
      <c r="J320" s="3" t="str" cm="1">
        <f t="array" ref="J320">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320" s="11">
        <f>Trainingsabschluss[[#This Row],[Quiz_Frage1_Punkte]]/Max_Frage1</f>
        <v>1</v>
      </c>
      <c r="L320" s="11">
        <f>Trainingsabschluss[[#This Row],[Quiz_Frage2_Punkte]]/Max_Frage2</f>
        <v>0.8</v>
      </c>
      <c r="M320" s="11">
        <f>Trainingsabschluss[[#This Row],[Quiz_Frage3_Punkte]]/Max_Frage3</f>
        <v>0.4</v>
      </c>
      <c r="N320" s="11">
        <f>Trainingsabschluss[[#This Row],[Quiz_Frage4_Punkte]]/Max_Frage4</f>
        <v>1</v>
      </c>
      <c r="O320" s="11">
        <f>Trainingsabschluss[[#This Row],[Quiz_Frage5_Punkte]]/Max_Frage5</f>
        <v>0.66666666666666663</v>
      </c>
      <c r="P320" s="2">
        <f>Trainingsabschluss[[#This Row],[Quiz_Frage1_Punkte]]+Trainingsabschluss[[#This Row],[Quiz_Frage2_Punkte]]+Trainingsabschluss[[#This Row],[Quiz_Frage3_Punkte]]+Trainingsabschluss[[#This Row],[Quiz_Frage4_Punkte]]+Trainingsabschluss[[#This Row],[Quiz_Frage5_Punkte]]</f>
        <v>17</v>
      </c>
      <c r="Q320" s="8">
        <f>Trainingsabschluss[[#This Row],[Quizergebnis]]/Max_Quizergebnis</f>
        <v>0.77272727272727271</v>
      </c>
      <c r="R320" t="str" cm="1">
        <f t="array" ref="R320">_xlfn.IFS(Trainingsabschluss[[#This Row],[Quizergebnis_Prozent]]&lt;0.5, "Nicht bestanden",
Trainingsabschluss[[#This Row],[Quizergebnis_Prozent]]&lt;0.65, "Bestanden",
Trainingsabschluss[[#This Row],[Quizergebnis_Prozent]]&lt;0.8, "Gut bestanden",
TRUE, "Sehr gut bestanden")</f>
        <v>Gut bestanden</v>
      </c>
      <c r="S320" s="3">
        <v>8</v>
      </c>
      <c r="T320" s="3" t="str" cm="1">
        <f t="array" ref="T320">_xlfn.IFS(Trainingsabschluss[[#This Row],[Training_Bewertung]]&gt;=9, "Promotor", Trainingsabschluss[[#This Row],[Training_Bewertung]]
&lt;=6, "Detraktor",
TRUE, "Passiv")</f>
        <v>Passiv</v>
      </c>
      <c r="W320"/>
    </row>
    <row r="321" spans="1:23" x14ac:dyDescent="0.3">
      <c r="A321" s="13" t="s">
        <v>362</v>
      </c>
      <c r="B321" s="2">
        <v>5</v>
      </c>
      <c r="C321" s="2">
        <v>3.5</v>
      </c>
      <c r="D321" s="2">
        <v>1</v>
      </c>
      <c r="E321" s="2">
        <v>2.5</v>
      </c>
      <c r="F321" s="2">
        <v>2</v>
      </c>
      <c r="G321" s="2" t="str">
        <f>_xlfn.XLOOKUP(Trainingsabschluss[[#This Row],[UserID]], Teilnehmende[UserID], Teilnehmende[Branche], "UserID nicht gefunden")</f>
        <v>Immobilien</v>
      </c>
      <c r="H321" t="str">
        <f>_xlfn.XLOOKUP(Trainingsabschluss[[#This Row],[UserID]], Teilnehmende[UserID], Teilnehmende[Bildungsabschluss], "UserID nicht gefunden")</f>
        <v>Bachelor</v>
      </c>
      <c r="I321" s="3">
        <f>_xlfn.XLOOKUP(Trainingsabschluss[[#This Row],[UserID]], Teilnehmende[UserID], Teilnehmende[Berufserfahrung])</f>
        <v>13</v>
      </c>
      <c r="J321" s="3" t="str" cm="1">
        <f t="array" ref="J32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21" s="11">
        <f>Trainingsabschluss[[#This Row],[Quiz_Frage1_Punkte]]/Max_Frage1</f>
        <v>1</v>
      </c>
      <c r="L321" s="11">
        <f>Trainingsabschluss[[#This Row],[Quiz_Frage2_Punkte]]/Max_Frage2</f>
        <v>0.7</v>
      </c>
      <c r="M321" s="11">
        <f>Trainingsabschluss[[#This Row],[Quiz_Frage3_Punkte]]/Max_Frage3</f>
        <v>0.2</v>
      </c>
      <c r="N321" s="11">
        <f>Trainingsabschluss[[#This Row],[Quiz_Frage4_Punkte]]/Max_Frage4</f>
        <v>0.625</v>
      </c>
      <c r="O321" s="11">
        <f>Trainingsabschluss[[#This Row],[Quiz_Frage5_Punkte]]/Max_Frage5</f>
        <v>0.66666666666666663</v>
      </c>
      <c r="P321" s="2">
        <f>Trainingsabschluss[[#This Row],[Quiz_Frage1_Punkte]]+Trainingsabschluss[[#This Row],[Quiz_Frage2_Punkte]]+Trainingsabschluss[[#This Row],[Quiz_Frage3_Punkte]]+Trainingsabschluss[[#This Row],[Quiz_Frage4_Punkte]]+Trainingsabschluss[[#This Row],[Quiz_Frage5_Punkte]]</f>
        <v>14</v>
      </c>
      <c r="Q321" s="8">
        <f>Trainingsabschluss[[#This Row],[Quizergebnis]]/Max_Quizergebnis</f>
        <v>0.63636363636363635</v>
      </c>
      <c r="R321" t="str" cm="1">
        <f t="array" ref="R321">_xlfn.IFS(Trainingsabschluss[[#This Row],[Quizergebnis_Prozent]]&lt;0.5, "Nicht bestanden",
Trainingsabschluss[[#This Row],[Quizergebnis_Prozent]]&lt;0.65, "Bestanden",
Trainingsabschluss[[#This Row],[Quizergebnis_Prozent]]&lt;0.8, "Gut bestanden",
TRUE, "Sehr gut bestanden")</f>
        <v>Bestanden</v>
      </c>
      <c r="S321" s="3">
        <v>9</v>
      </c>
      <c r="T321" s="3" t="str" cm="1">
        <f t="array" ref="T321">_xlfn.IFS(Trainingsabschluss[[#This Row],[Training_Bewertung]]&gt;=9, "Promotor", Trainingsabschluss[[#This Row],[Training_Bewertung]]
&lt;=6, "Detraktor",
TRUE, "Passiv")</f>
        <v>Promotor</v>
      </c>
      <c r="W321"/>
    </row>
    <row r="322" spans="1:23" x14ac:dyDescent="0.3">
      <c r="A322" s="13" t="s">
        <v>364</v>
      </c>
      <c r="B322" s="2">
        <v>1</v>
      </c>
      <c r="C322" s="2">
        <v>1</v>
      </c>
      <c r="D322" s="2">
        <v>0</v>
      </c>
      <c r="E322" s="2">
        <v>2</v>
      </c>
      <c r="F322" s="2">
        <v>1.5</v>
      </c>
      <c r="G322" s="2" t="str">
        <f>_xlfn.XLOOKUP(Trainingsabschluss[[#This Row],[UserID]], Teilnehmende[UserID], Teilnehmende[Branche], "UserID nicht gefunden")</f>
        <v>Immobilien</v>
      </c>
      <c r="H322" t="str">
        <f>_xlfn.XLOOKUP(Trainingsabschluss[[#This Row],[UserID]], Teilnehmende[UserID], Teilnehmende[Bildungsabschluss], "UserID nicht gefunden")</f>
        <v>Bachelor</v>
      </c>
      <c r="I322" s="3">
        <f>_xlfn.XLOOKUP(Trainingsabschluss[[#This Row],[UserID]], Teilnehmende[UserID], Teilnehmende[Berufserfahrung])</f>
        <v>16</v>
      </c>
      <c r="J322" s="3" t="str" cm="1">
        <f t="array" ref="J322">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22" s="11">
        <f>Trainingsabschluss[[#This Row],[Quiz_Frage1_Punkte]]/Max_Frage1</f>
        <v>0.2</v>
      </c>
      <c r="L322" s="11">
        <f>Trainingsabschluss[[#This Row],[Quiz_Frage2_Punkte]]/Max_Frage2</f>
        <v>0.2</v>
      </c>
      <c r="M322" s="11">
        <f>Trainingsabschluss[[#This Row],[Quiz_Frage3_Punkte]]/Max_Frage3</f>
        <v>0</v>
      </c>
      <c r="N322" s="11">
        <f>Trainingsabschluss[[#This Row],[Quiz_Frage4_Punkte]]/Max_Frage4</f>
        <v>0.5</v>
      </c>
      <c r="O322" s="11">
        <f>Trainingsabschluss[[#This Row],[Quiz_Frage5_Punkte]]/Max_Frage5</f>
        <v>0.5</v>
      </c>
      <c r="P322" s="2">
        <f>Trainingsabschluss[[#This Row],[Quiz_Frage1_Punkte]]+Trainingsabschluss[[#This Row],[Quiz_Frage2_Punkte]]+Trainingsabschluss[[#This Row],[Quiz_Frage3_Punkte]]+Trainingsabschluss[[#This Row],[Quiz_Frage4_Punkte]]+Trainingsabschluss[[#This Row],[Quiz_Frage5_Punkte]]</f>
        <v>5.5</v>
      </c>
      <c r="Q322" s="8">
        <f>Trainingsabschluss[[#This Row],[Quizergebnis]]/Max_Quizergebnis</f>
        <v>0.25</v>
      </c>
      <c r="R322" t="str" cm="1">
        <f t="array" ref="R322">_xlfn.IFS(Trainingsabschluss[[#This Row],[Quizergebnis_Prozent]]&lt;0.5, "Nicht bestanden",
Trainingsabschluss[[#This Row],[Quizergebnis_Prozent]]&lt;0.65, "Bestanden",
Trainingsabschluss[[#This Row],[Quizergebnis_Prozent]]&lt;0.8, "Gut bestanden",
TRUE, "Sehr gut bestanden")</f>
        <v>Nicht bestanden</v>
      </c>
      <c r="S322" s="3">
        <v>9</v>
      </c>
      <c r="T322" s="3" t="str" cm="1">
        <f t="array" ref="T322">_xlfn.IFS(Trainingsabschluss[[#This Row],[Training_Bewertung]]&gt;=9, "Promotor", Trainingsabschluss[[#This Row],[Training_Bewertung]]
&lt;=6, "Detraktor",
TRUE, "Passiv")</f>
        <v>Promotor</v>
      </c>
      <c r="W322"/>
    </row>
    <row r="323" spans="1:23" x14ac:dyDescent="0.3">
      <c r="A323" s="13" t="s">
        <v>141</v>
      </c>
      <c r="B323" s="2">
        <v>3.5</v>
      </c>
      <c r="C323" s="2">
        <v>0</v>
      </c>
      <c r="D323" s="2">
        <v>3.5</v>
      </c>
      <c r="E323" s="2">
        <v>3</v>
      </c>
      <c r="F323" s="2">
        <v>1.5</v>
      </c>
      <c r="G323" s="2" t="str">
        <f>_xlfn.XLOOKUP(Trainingsabschluss[[#This Row],[UserID]], Teilnehmende[UserID], Teilnehmende[Branche], "UserID nicht gefunden")</f>
        <v>Bauwesen</v>
      </c>
      <c r="H323" t="str">
        <f>_xlfn.XLOOKUP(Trainingsabschluss[[#This Row],[UserID]], Teilnehmende[UserID], Teilnehmende[Bildungsabschluss], "UserID nicht gefunden")</f>
        <v>Bachelor</v>
      </c>
      <c r="I323" s="3">
        <f>_xlfn.XLOOKUP(Trainingsabschluss[[#This Row],[UserID]], Teilnehmende[UserID], Teilnehmende[Berufserfahrung])</f>
        <v>14</v>
      </c>
      <c r="J323" s="3" t="str" cm="1">
        <f t="array" ref="J32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23" s="11">
        <f>Trainingsabschluss[[#This Row],[Quiz_Frage1_Punkte]]/Max_Frage1</f>
        <v>0.7</v>
      </c>
      <c r="L323" s="11">
        <f>Trainingsabschluss[[#This Row],[Quiz_Frage2_Punkte]]/Max_Frage2</f>
        <v>0</v>
      </c>
      <c r="M323" s="11">
        <f>Trainingsabschluss[[#This Row],[Quiz_Frage3_Punkte]]/Max_Frage3</f>
        <v>0.7</v>
      </c>
      <c r="N323" s="11">
        <f>Trainingsabschluss[[#This Row],[Quiz_Frage4_Punkte]]/Max_Frage4</f>
        <v>0.75</v>
      </c>
      <c r="O323" s="11">
        <f>Trainingsabschluss[[#This Row],[Quiz_Frage5_Punkte]]/Max_Frage5</f>
        <v>0.5</v>
      </c>
      <c r="P323" s="2">
        <f>Trainingsabschluss[[#This Row],[Quiz_Frage1_Punkte]]+Trainingsabschluss[[#This Row],[Quiz_Frage2_Punkte]]+Trainingsabschluss[[#This Row],[Quiz_Frage3_Punkte]]+Trainingsabschluss[[#This Row],[Quiz_Frage4_Punkte]]+Trainingsabschluss[[#This Row],[Quiz_Frage5_Punkte]]</f>
        <v>11.5</v>
      </c>
      <c r="Q323" s="8">
        <f>Trainingsabschluss[[#This Row],[Quizergebnis]]/Max_Quizergebnis</f>
        <v>0.52272727272727271</v>
      </c>
      <c r="R323" t="str" cm="1">
        <f t="array" ref="R323">_xlfn.IFS(Trainingsabschluss[[#This Row],[Quizergebnis_Prozent]]&lt;0.5, "Nicht bestanden",
Trainingsabschluss[[#This Row],[Quizergebnis_Prozent]]&lt;0.65, "Bestanden",
Trainingsabschluss[[#This Row],[Quizergebnis_Prozent]]&lt;0.8, "Gut bestanden",
TRUE, "Sehr gut bestanden")</f>
        <v>Bestanden</v>
      </c>
      <c r="S323" s="3">
        <v>9</v>
      </c>
      <c r="T323" s="3" t="str" cm="1">
        <f t="array" ref="T323">_xlfn.IFS(Trainingsabschluss[[#This Row],[Training_Bewertung]]&gt;=9, "Promotor", Trainingsabschluss[[#This Row],[Training_Bewertung]]
&lt;=6, "Detraktor",
TRUE, "Passiv")</f>
        <v>Promotor</v>
      </c>
      <c r="W323"/>
    </row>
    <row r="324" spans="1:23" x14ac:dyDescent="0.3">
      <c r="A324" s="13" t="s">
        <v>143</v>
      </c>
      <c r="B324" s="2">
        <v>4.5</v>
      </c>
      <c r="C324" s="2">
        <v>5</v>
      </c>
      <c r="D324" s="2">
        <v>1.5</v>
      </c>
      <c r="E324" s="2">
        <v>3.5</v>
      </c>
      <c r="F324" s="2">
        <v>2.5</v>
      </c>
      <c r="G324" s="2" t="str">
        <f>_xlfn.XLOOKUP(Trainingsabschluss[[#This Row],[UserID]], Teilnehmende[UserID], Teilnehmende[Branche], "UserID nicht gefunden")</f>
        <v>Bauwesen</v>
      </c>
      <c r="H324" t="str">
        <f>_xlfn.XLOOKUP(Trainingsabschluss[[#This Row],[UserID]], Teilnehmende[UserID], Teilnehmende[Bildungsabschluss], "UserID nicht gefunden")</f>
        <v>Bachelor</v>
      </c>
      <c r="I324" s="3">
        <f>_xlfn.XLOOKUP(Trainingsabschluss[[#This Row],[UserID]], Teilnehmende[UserID], Teilnehmende[Berufserfahrung])</f>
        <v>7</v>
      </c>
      <c r="J324" s="3" t="str" cm="1">
        <f t="array" ref="J32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24" s="11">
        <f>Trainingsabschluss[[#This Row],[Quiz_Frage1_Punkte]]/Max_Frage1</f>
        <v>0.9</v>
      </c>
      <c r="L324" s="11">
        <f>Trainingsabschluss[[#This Row],[Quiz_Frage2_Punkte]]/Max_Frage2</f>
        <v>1</v>
      </c>
      <c r="M324" s="11">
        <f>Trainingsabschluss[[#This Row],[Quiz_Frage3_Punkte]]/Max_Frage3</f>
        <v>0.3</v>
      </c>
      <c r="N324" s="11">
        <f>Trainingsabschluss[[#This Row],[Quiz_Frage4_Punkte]]/Max_Frage4</f>
        <v>0.875</v>
      </c>
      <c r="O324" s="11">
        <f>Trainingsabschluss[[#This Row],[Quiz_Frage5_Punkte]]/Max_Frage5</f>
        <v>0.83333333333333337</v>
      </c>
      <c r="P324" s="2">
        <f>Trainingsabschluss[[#This Row],[Quiz_Frage1_Punkte]]+Trainingsabschluss[[#This Row],[Quiz_Frage2_Punkte]]+Trainingsabschluss[[#This Row],[Quiz_Frage3_Punkte]]+Trainingsabschluss[[#This Row],[Quiz_Frage4_Punkte]]+Trainingsabschluss[[#This Row],[Quiz_Frage5_Punkte]]</f>
        <v>17</v>
      </c>
      <c r="Q324" s="8">
        <f>Trainingsabschluss[[#This Row],[Quizergebnis]]/Max_Quizergebnis</f>
        <v>0.77272727272727271</v>
      </c>
      <c r="R324" t="str" cm="1">
        <f t="array" ref="R324">_xlfn.IFS(Trainingsabschluss[[#This Row],[Quizergebnis_Prozent]]&lt;0.5, "Nicht bestanden",
Trainingsabschluss[[#This Row],[Quizergebnis_Prozent]]&lt;0.65, "Bestanden",
Trainingsabschluss[[#This Row],[Quizergebnis_Prozent]]&lt;0.8, "Gut bestanden",
TRUE, "Sehr gut bestanden")</f>
        <v>Gut bestanden</v>
      </c>
      <c r="S324" s="3">
        <v>9</v>
      </c>
      <c r="T324" s="3" t="str" cm="1">
        <f t="array" ref="T324">_xlfn.IFS(Trainingsabschluss[[#This Row],[Training_Bewertung]]&gt;=9, "Promotor", Trainingsabschluss[[#This Row],[Training_Bewertung]]
&lt;=6, "Detraktor",
TRUE, "Passiv")</f>
        <v>Promotor</v>
      </c>
      <c r="W324"/>
    </row>
    <row r="325" spans="1:23" x14ac:dyDescent="0.3">
      <c r="A325" s="13" t="s">
        <v>145</v>
      </c>
      <c r="B325" s="2">
        <v>2.5</v>
      </c>
      <c r="C325" s="2">
        <v>2.5</v>
      </c>
      <c r="D325" s="2">
        <v>1.5</v>
      </c>
      <c r="E325" s="2">
        <v>2</v>
      </c>
      <c r="F325" s="2">
        <v>3</v>
      </c>
      <c r="G325" s="2" t="str">
        <f>_xlfn.XLOOKUP(Trainingsabschluss[[#This Row],[UserID]], Teilnehmende[UserID], Teilnehmende[Branche], "UserID nicht gefunden")</f>
        <v>Bauwesen</v>
      </c>
      <c r="H325" t="str">
        <f>_xlfn.XLOOKUP(Trainingsabschluss[[#This Row],[UserID]], Teilnehmende[UserID], Teilnehmende[Bildungsabschluss], "UserID nicht gefunden")</f>
        <v>Bachelor</v>
      </c>
      <c r="I325" s="3">
        <f>_xlfn.XLOOKUP(Trainingsabschluss[[#This Row],[UserID]], Teilnehmende[UserID], Teilnehmende[Berufserfahrung])</f>
        <v>12</v>
      </c>
      <c r="J325" s="3" t="str" cm="1">
        <f t="array" ref="J32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25" s="11">
        <f>Trainingsabschluss[[#This Row],[Quiz_Frage1_Punkte]]/Max_Frage1</f>
        <v>0.5</v>
      </c>
      <c r="L325" s="11">
        <f>Trainingsabschluss[[#This Row],[Quiz_Frage2_Punkte]]/Max_Frage2</f>
        <v>0.5</v>
      </c>
      <c r="M325" s="11">
        <f>Trainingsabschluss[[#This Row],[Quiz_Frage3_Punkte]]/Max_Frage3</f>
        <v>0.3</v>
      </c>
      <c r="N325" s="11">
        <f>Trainingsabschluss[[#This Row],[Quiz_Frage4_Punkte]]/Max_Frage4</f>
        <v>0.5</v>
      </c>
      <c r="O325" s="11">
        <f>Trainingsabschluss[[#This Row],[Quiz_Frage5_Punkte]]/Max_Frage5</f>
        <v>1</v>
      </c>
      <c r="P325" s="2">
        <f>Trainingsabschluss[[#This Row],[Quiz_Frage1_Punkte]]+Trainingsabschluss[[#This Row],[Quiz_Frage2_Punkte]]+Trainingsabschluss[[#This Row],[Quiz_Frage3_Punkte]]+Trainingsabschluss[[#This Row],[Quiz_Frage4_Punkte]]+Trainingsabschluss[[#This Row],[Quiz_Frage5_Punkte]]</f>
        <v>11.5</v>
      </c>
      <c r="Q325" s="8">
        <f>Trainingsabschluss[[#This Row],[Quizergebnis]]/Max_Quizergebnis</f>
        <v>0.52272727272727271</v>
      </c>
      <c r="R325" t="str" cm="1">
        <f t="array" ref="R325">_xlfn.IFS(Trainingsabschluss[[#This Row],[Quizergebnis_Prozent]]&lt;0.5, "Nicht bestanden",
Trainingsabschluss[[#This Row],[Quizergebnis_Prozent]]&lt;0.65, "Bestanden",
Trainingsabschluss[[#This Row],[Quizergebnis_Prozent]]&lt;0.8, "Gut bestanden",
TRUE, "Sehr gut bestanden")</f>
        <v>Bestanden</v>
      </c>
      <c r="S325" s="3">
        <v>9</v>
      </c>
      <c r="T325" s="3" t="str" cm="1">
        <f t="array" ref="T325">_xlfn.IFS(Trainingsabschluss[[#This Row],[Training_Bewertung]]&gt;=9, "Promotor", Trainingsabschluss[[#This Row],[Training_Bewertung]]
&lt;=6, "Detraktor",
TRUE, "Passiv")</f>
        <v>Promotor</v>
      </c>
      <c r="W325"/>
    </row>
    <row r="326" spans="1:23" x14ac:dyDescent="0.3">
      <c r="A326" s="13" t="s">
        <v>146</v>
      </c>
      <c r="B326" s="2">
        <v>4.5</v>
      </c>
      <c r="C326" s="2">
        <v>3.5</v>
      </c>
      <c r="D326" s="2">
        <v>4</v>
      </c>
      <c r="E326" s="2">
        <v>2.5</v>
      </c>
      <c r="F326" s="2">
        <v>1.5</v>
      </c>
      <c r="G326" s="2" t="str">
        <f>_xlfn.XLOOKUP(Trainingsabschluss[[#This Row],[UserID]], Teilnehmende[UserID], Teilnehmende[Branche], "UserID nicht gefunden")</f>
        <v>Bauwesen</v>
      </c>
      <c r="H326" t="str">
        <f>_xlfn.XLOOKUP(Trainingsabschluss[[#This Row],[UserID]], Teilnehmende[UserID], Teilnehmende[Bildungsabschluss], "UserID nicht gefunden")</f>
        <v>Bachelor</v>
      </c>
      <c r="I326" s="3">
        <f>_xlfn.XLOOKUP(Trainingsabschluss[[#This Row],[UserID]], Teilnehmende[UserID], Teilnehmende[Berufserfahrung])</f>
        <v>7</v>
      </c>
      <c r="J326" s="3" t="str" cm="1">
        <f t="array" ref="J32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26" s="11">
        <f>Trainingsabschluss[[#This Row],[Quiz_Frage1_Punkte]]/Max_Frage1</f>
        <v>0.9</v>
      </c>
      <c r="L326" s="11">
        <f>Trainingsabschluss[[#This Row],[Quiz_Frage2_Punkte]]/Max_Frage2</f>
        <v>0.7</v>
      </c>
      <c r="M326" s="11">
        <f>Trainingsabschluss[[#This Row],[Quiz_Frage3_Punkte]]/Max_Frage3</f>
        <v>0.8</v>
      </c>
      <c r="N326" s="11">
        <f>Trainingsabschluss[[#This Row],[Quiz_Frage4_Punkte]]/Max_Frage4</f>
        <v>0.625</v>
      </c>
      <c r="O326" s="11">
        <f>Trainingsabschluss[[#This Row],[Quiz_Frage5_Punkte]]/Max_Frage5</f>
        <v>0.5</v>
      </c>
      <c r="P326" s="2">
        <f>Trainingsabschluss[[#This Row],[Quiz_Frage1_Punkte]]+Trainingsabschluss[[#This Row],[Quiz_Frage2_Punkte]]+Trainingsabschluss[[#This Row],[Quiz_Frage3_Punkte]]+Trainingsabschluss[[#This Row],[Quiz_Frage4_Punkte]]+Trainingsabschluss[[#This Row],[Quiz_Frage5_Punkte]]</f>
        <v>16</v>
      </c>
      <c r="Q326" s="8">
        <f>Trainingsabschluss[[#This Row],[Quizergebnis]]/Max_Quizergebnis</f>
        <v>0.72727272727272729</v>
      </c>
      <c r="R326" t="str" cm="1">
        <f t="array" ref="R326">_xlfn.IFS(Trainingsabschluss[[#This Row],[Quizergebnis_Prozent]]&lt;0.5, "Nicht bestanden",
Trainingsabschluss[[#This Row],[Quizergebnis_Prozent]]&lt;0.65, "Bestanden",
Trainingsabschluss[[#This Row],[Quizergebnis_Prozent]]&lt;0.8, "Gut bestanden",
TRUE, "Sehr gut bestanden")</f>
        <v>Gut bestanden</v>
      </c>
      <c r="S326" s="3">
        <v>9</v>
      </c>
      <c r="T326" s="3" t="str" cm="1">
        <f t="array" ref="T326">_xlfn.IFS(Trainingsabschluss[[#This Row],[Training_Bewertung]]&gt;=9, "Promotor", Trainingsabschluss[[#This Row],[Training_Bewertung]]
&lt;=6, "Detraktor",
TRUE, "Passiv")</f>
        <v>Promotor</v>
      </c>
      <c r="W326"/>
    </row>
    <row r="327" spans="1:23" x14ac:dyDescent="0.3">
      <c r="A327" s="13" t="s">
        <v>147</v>
      </c>
      <c r="B327" s="2">
        <v>5</v>
      </c>
      <c r="C327" s="2">
        <v>4</v>
      </c>
      <c r="D327" s="2">
        <v>0</v>
      </c>
      <c r="E327" s="2">
        <v>4</v>
      </c>
      <c r="F327" s="2">
        <v>1.5</v>
      </c>
      <c r="G327" s="2" t="str">
        <f>_xlfn.XLOOKUP(Trainingsabschluss[[#This Row],[UserID]], Teilnehmende[UserID], Teilnehmende[Branche], "UserID nicht gefunden")</f>
        <v>Bauwesen</v>
      </c>
      <c r="H327" t="str">
        <f>_xlfn.XLOOKUP(Trainingsabschluss[[#This Row],[UserID]], Teilnehmende[UserID], Teilnehmende[Bildungsabschluss], "UserID nicht gefunden")</f>
        <v>Bachelor</v>
      </c>
      <c r="I327" s="3">
        <f>_xlfn.XLOOKUP(Trainingsabschluss[[#This Row],[UserID]], Teilnehmende[UserID], Teilnehmende[Berufserfahrung])</f>
        <v>6</v>
      </c>
      <c r="J327" s="3" t="str" cm="1">
        <f t="array" ref="J32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27" s="11">
        <f>Trainingsabschluss[[#This Row],[Quiz_Frage1_Punkte]]/Max_Frage1</f>
        <v>1</v>
      </c>
      <c r="L327" s="11">
        <f>Trainingsabschluss[[#This Row],[Quiz_Frage2_Punkte]]/Max_Frage2</f>
        <v>0.8</v>
      </c>
      <c r="M327" s="11">
        <f>Trainingsabschluss[[#This Row],[Quiz_Frage3_Punkte]]/Max_Frage3</f>
        <v>0</v>
      </c>
      <c r="N327" s="11">
        <f>Trainingsabschluss[[#This Row],[Quiz_Frage4_Punkte]]/Max_Frage4</f>
        <v>1</v>
      </c>
      <c r="O327" s="11">
        <f>Trainingsabschluss[[#This Row],[Quiz_Frage5_Punkte]]/Max_Frage5</f>
        <v>0.5</v>
      </c>
      <c r="P327" s="2">
        <f>Trainingsabschluss[[#This Row],[Quiz_Frage1_Punkte]]+Trainingsabschluss[[#This Row],[Quiz_Frage2_Punkte]]+Trainingsabschluss[[#This Row],[Quiz_Frage3_Punkte]]+Trainingsabschluss[[#This Row],[Quiz_Frage4_Punkte]]+Trainingsabschluss[[#This Row],[Quiz_Frage5_Punkte]]</f>
        <v>14.5</v>
      </c>
      <c r="Q327" s="8">
        <f>Trainingsabschluss[[#This Row],[Quizergebnis]]/Max_Quizergebnis</f>
        <v>0.65909090909090906</v>
      </c>
      <c r="R327" t="str" cm="1">
        <f t="array" ref="R327">_xlfn.IFS(Trainingsabschluss[[#This Row],[Quizergebnis_Prozent]]&lt;0.5, "Nicht bestanden",
Trainingsabschluss[[#This Row],[Quizergebnis_Prozent]]&lt;0.65, "Bestanden",
Trainingsabschluss[[#This Row],[Quizergebnis_Prozent]]&lt;0.8, "Gut bestanden",
TRUE, "Sehr gut bestanden")</f>
        <v>Gut bestanden</v>
      </c>
      <c r="S327" s="3">
        <v>9</v>
      </c>
      <c r="T327" s="3" t="str" cm="1">
        <f t="array" ref="T327">_xlfn.IFS(Trainingsabschluss[[#This Row],[Training_Bewertung]]&gt;=9, "Promotor", Trainingsabschluss[[#This Row],[Training_Bewertung]]
&lt;=6, "Detraktor",
TRUE, "Passiv")</f>
        <v>Promotor</v>
      </c>
      <c r="W327"/>
    </row>
    <row r="328" spans="1:23" x14ac:dyDescent="0.3">
      <c r="A328" s="13" t="s">
        <v>150</v>
      </c>
      <c r="B328" s="2">
        <v>5</v>
      </c>
      <c r="C328" s="2">
        <v>5</v>
      </c>
      <c r="D328" s="2">
        <v>4.5</v>
      </c>
      <c r="E328" s="2">
        <v>3</v>
      </c>
      <c r="F328" s="2">
        <v>0.5</v>
      </c>
      <c r="G328" s="2" t="str">
        <f>_xlfn.XLOOKUP(Trainingsabschluss[[#This Row],[UserID]], Teilnehmende[UserID], Teilnehmende[Branche], "UserID nicht gefunden")</f>
        <v>Bauwesen</v>
      </c>
      <c r="H328" t="str">
        <f>_xlfn.XLOOKUP(Trainingsabschluss[[#This Row],[UserID]], Teilnehmende[UserID], Teilnehmende[Bildungsabschluss], "UserID nicht gefunden")</f>
        <v>Bachelor</v>
      </c>
      <c r="I328" s="3">
        <f>_xlfn.XLOOKUP(Trainingsabschluss[[#This Row],[UserID]], Teilnehmende[UserID], Teilnehmende[Berufserfahrung])</f>
        <v>23</v>
      </c>
      <c r="J328" s="3" t="str" cm="1">
        <f t="array" ref="J328">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328" s="11">
        <f>Trainingsabschluss[[#This Row],[Quiz_Frage1_Punkte]]/Max_Frage1</f>
        <v>1</v>
      </c>
      <c r="L328" s="11">
        <f>Trainingsabschluss[[#This Row],[Quiz_Frage2_Punkte]]/Max_Frage2</f>
        <v>1</v>
      </c>
      <c r="M328" s="11">
        <f>Trainingsabschluss[[#This Row],[Quiz_Frage3_Punkte]]/Max_Frage3</f>
        <v>0.9</v>
      </c>
      <c r="N328" s="11">
        <f>Trainingsabschluss[[#This Row],[Quiz_Frage4_Punkte]]/Max_Frage4</f>
        <v>0.75</v>
      </c>
      <c r="O328" s="11">
        <f>Trainingsabschluss[[#This Row],[Quiz_Frage5_Punkte]]/Max_Frage5</f>
        <v>0.16666666666666666</v>
      </c>
      <c r="P328" s="2">
        <f>Trainingsabschluss[[#This Row],[Quiz_Frage1_Punkte]]+Trainingsabschluss[[#This Row],[Quiz_Frage2_Punkte]]+Trainingsabschluss[[#This Row],[Quiz_Frage3_Punkte]]+Trainingsabschluss[[#This Row],[Quiz_Frage4_Punkte]]+Trainingsabschluss[[#This Row],[Quiz_Frage5_Punkte]]</f>
        <v>18</v>
      </c>
      <c r="Q328" s="8">
        <f>Trainingsabschluss[[#This Row],[Quizergebnis]]/Max_Quizergebnis</f>
        <v>0.81818181818181823</v>
      </c>
      <c r="R328" t="str" cm="1">
        <f t="array" ref="R328">_xlfn.IFS(Trainingsabschluss[[#This Row],[Quizergebnis_Prozent]]&lt;0.5, "Nicht bestanden",
Trainingsabschluss[[#This Row],[Quizergebnis_Prozent]]&lt;0.65, "Bestanden",
Trainingsabschluss[[#This Row],[Quizergebnis_Prozent]]&lt;0.8, "Gut bestanden",
TRUE, "Sehr gut bestanden")</f>
        <v>Sehr gut bestanden</v>
      </c>
      <c r="S328" s="3">
        <v>10</v>
      </c>
      <c r="T328" s="3" t="str" cm="1">
        <f t="array" ref="T328">_xlfn.IFS(Trainingsabschluss[[#This Row],[Training_Bewertung]]&gt;=9, "Promotor", Trainingsabschluss[[#This Row],[Training_Bewertung]]
&lt;=6, "Detraktor",
TRUE, "Passiv")</f>
        <v>Promotor</v>
      </c>
      <c r="W328"/>
    </row>
    <row r="329" spans="1:23" x14ac:dyDescent="0.3">
      <c r="A329" s="13" t="s">
        <v>152</v>
      </c>
      <c r="B329" s="2">
        <v>5</v>
      </c>
      <c r="C329" s="2">
        <v>3.5</v>
      </c>
      <c r="D329" s="2">
        <v>2</v>
      </c>
      <c r="E329" s="2">
        <v>4</v>
      </c>
      <c r="F329" s="2">
        <v>0.5</v>
      </c>
      <c r="G329" s="2" t="str">
        <f>_xlfn.XLOOKUP(Trainingsabschluss[[#This Row],[UserID]], Teilnehmende[UserID], Teilnehmende[Branche], "UserID nicht gefunden")</f>
        <v>Bauwesen</v>
      </c>
      <c r="H329" t="str">
        <f>_xlfn.XLOOKUP(Trainingsabschluss[[#This Row],[UserID]], Teilnehmende[UserID], Teilnehmende[Bildungsabschluss], "UserID nicht gefunden")</f>
        <v>Bachelor</v>
      </c>
      <c r="I329" s="3">
        <f>_xlfn.XLOOKUP(Trainingsabschluss[[#This Row],[UserID]], Teilnehmende[UserID], Teilnehmende[Berufserfahrung])</f>
        <v>18</v>
      </c>
      <c r="J329" s="3" t="str" cm="1">
        <f t="array" ref="J329">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29" s="11">
        <f>Trainingsabschluss[[#This Row],[Quiz_Frage1_Punkte]]/Max_Frage1</f>
        <v>1</v>
      </c>
      <c r="L329" s="11">
        <f>Trainingsabschluss[[#This Row],[Quiz_Frage2_Punkte]]/Max_Frage2</f>
        <v>0.7</v>
      </c>
      <c r="M329" s="11">
        <f>Trainingsabschluss[[#This Row],[Quiz_Frage3_Punkte]]/Max_Frage3</f>
        <v>0.4</v>
      </c>
      <c r="N329" s="11">
        <f>Trainingsabschluss[[#This Row],[Quiz_Frage4_Punkte]]/Max_Frage4</f>
        <v>1</v>
      </c>
      <c r="O329" s="11">
        <f>Trainingsabschluss[[#This Row],[Quiz_Frage5_Punkte]]/Max_Frage5</f>
        <v>0.16666666666666666</v>
      </c>
      <c r="P329" s="2">
        <f>Trainingsabschluss[[#This Row],[Quiz_Frage1_Punkte]]+Trainingsabschluss[[#This Row],[Quiz_Frage2_Punkte]]+Trainingsabschluss[[#This Row],[Quiz_Frage3_Punkte]]+Trainingsabschluss[[#This Row],[Quiz_Frage4_Punkte]]+Trainingsabschluss[[#This Row],[Quiz_Frage5_Punkte]]</f>
        <v>15</v>
      </c>
      <c r="Q329" s="8">
        <f>Trainingsabschluss[[#This Row],[Quizergebnis]]/Max_Quizergebnis</f>
        <v>0.68181818181818177</v>
      </c>
      <c r="R329" t="str" cm="1">
        <f t="array" ref="R329">_xlfn.IFS(Trainingsabschluss[[#This Row],[Quizergebnis_Prozent]]&lt;0.5, "Nicht bestanden",
Trainingsabschluss[[#This Row],[Quizergebnis_Prozent]]&lt;0.65, "Bestanden",
Trainingsabschluss[[#This Row],[Quizergebnis_Prozent]]&lt;0.8, "Gut bestanden",
TRUE, "Sehr gut bestanden")</f>
        <v>Gut bestanden</v>
      </c>
      <c r="S329" s="3">
        <v>10</v>
      </c>
      <c r="T329" s="3" t="str" cm="1">
        <f t="array" ref="T329">_xlfn.IFS(Trainingsabschluss[[#This Row],[Training_Bewertung]]&gt;=9, "Promotor", Trainingsabschluss[[#This Row],[Training_Bewertung]]
&lt;=6, "Detraktor",
TRUE, "Passiv")</f>
        <v>Promotor</v>
      </c>
      <c r="W329"/>
    </row>
    <row r="330" spans="1:23" x14ac:dyDescent="0.3">
      <c r="A330" s="13" t="s">
        <v>269</v>
      </c>
      <c r="B330" s="2">
        <v>5</v>
      </c>
      <c r="C330" s="2">
        <v>4</v>
      </c>
      <c r="D330" s="2">
        <v>2</v>
      </c>
      <c r="E330" s="2">
        <v>3.5</v>
      </c>
      <c r="F330" s="2">
        <v>1</v>
      </c>
      <c r="G330" s="2" t="str">
        <f>_xlfn.XLOOKUP(Trainingsabschluss[[#This Row],[UserID]], Teilnehmende[UserID], Teilnehmende[Branche], "UserID nicht gefunden")</f>
        <v>Bildung</v>
      </c>
      <c r="H330" t="str">
        <f>_xlfn.XLOOKUP(Trainingsabschluss[[#This Row],[UserID]], Teilnehmende[UserID], Teilnehmende[Bildungsabschluss], "UserID nicht gefunden")</f>
        <v>Bachelor</v>
      </c>
      <c r="I330" s="3">
        <f>_xlfn.XLOOKUP(Trainingsabschluss[[#This Row],[UserID]], Teilnehmende[UserID], Teilnehmende[Berufserfahrung])</f>
        <v>3</v>
      </c>
      <c r="J330" s="3" t="str" cm="1">
        <f t="array" ref="J33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30" s="11">
        <f>Trainingsabschluss[[#This Row],[Quiz_Frage1_Punkte]]/Max_Frage1</f>
        <v>1</v>
      </c>
      <c r="L330" s="11">
        <f>Trainingsabschluss[[#This Row],[Quiz_Frage2_Punkte]]/Max_Frage2</f>
        <v>0.8</v>
      </c>
      <c r="M330" s="11">
        <f>Trainingsabschluss[[#This Row],[Quiz_Frage3_Punkte]]/Max_Frage3</f>
        <v>0.4</v>
      </c>
      <c r="N330" s="11">
        <f>Trainingsabschluss[[#This Row],[Quiz_Frage4_Punkte]]/Max_Frage4</f>
        <v>0.875</v>
      </c>
      <c r="O330" s="11">
        <f>Trainingsabschluss[[#This Row],[Quiz_Frage5_Punkte]]/Max_Frage5</f>
        <v>0.33333333333333331</v>
      </c>
      <c r="P330" s="2">
        <f>Trainingsabschluss[[#This Row],[Quiz_Frage1_Punkte]]+Trainingsabschluss[[#This Row],[Quiz_Frage2_Punkte]]+Trainingsabschluss[[#This Row],[Quiz_Frage3_Punkte]]+Trainingsabschluss[[#This Row],[Quiz_Frage4_Punkte]]+Trainingsabschluss[[#This Row],[Quiz_Frage5_Punkte]]</f>
        <v>15.5</v>
      </c>
      <c r="Q330" s="8">
        <f>Trainingsabschluss[[#This Row],[Quizergebnis]]/Max_Quizergebnis</f>
        <v>0.70454545454545459</v>
      </c>
      <c r="R330" t="str" cm="1">
        <f t="array" ref="R330">_xlfn.IFS(Trainingsabschluss[[#This Row],[Quizergebnis_Prozent]]&lt;0.5, "Nicht bestanden",
Trainingsabschluss[[#This Row],[Quizergebnis_Prozent]]&lt;0.65, "Bestanden",
Trainingsabschluss[[#This Row],[Quizergebnis_Prozent]]&lt;0.8, "Gut bestanden",
TRUE, "Sehr gut bestanden")</f>
        <v>Gut bestanden</v>
      </c>
      <c r="S330" s="3">
        <v>9</v>
      </c>
      <c r="T330" s="3" t="str" cm="1">
        <f t="array" ref="T330">_xlfn.IFS(Trainingsabschluss[[#This Row],[Training_Bewertung]]&gt;=9, "Promotor", Trainingsabschluss[[#This Row],[Training_Bewertung]]
&lt;=6, "Detraktor",
TRUE, "Passiv")</f>
        <v>Promotor</v>
      </c>
      <c r="W330"/>
    </row>
    <row r="331" spans="1:23" x14ac:dyDescent="0.3">
      <c r="A331" s="13" t="s">
        <v>272</v>
      </c>
      <c r="B331" s="2">
        <v>4</v>
      </c>
      <c r="C331" s="2">
        <v>5</v>
      </c>
      <c r="D331" s="2">
        <v>1</v>
      </c>
      <c r="E331" s="2">
        <v>3.5</v>
      </c>
      <c r="F331" s="2">
        <v>2</v>
      </c>
      <c r="G331" s="2" t="str">
        <f>_xlfn.XLOOKUP(Trainingsabschluss[[#This Row],[UserID]], Teilnehmende[UserID], Teilnehmende[Branche], "UserID nicht gefunden")</f>
        <v>Bildung</v>
      </c>
      <c r="H331" t="str">
        <f>_xlfn.XLOOKUP(Trainingsabschluss[[#This Row],[UserID]], Teilnehmende[UserID], Teilnehmende[Bildungsabschluss], "UserID nicht gefunden")</f>
        <v>Bachelor</v>
      </c>
      <c r="I331" s="3">
        <f>_xlfn.XLOOKUP(Trainingsabschluss[[#This Row],[UserID]], Teilnehmende[UserID], Teilnehmende[Berufserfahrung])</f>
        <v>10</v>
      </c>
      <c r="J331" s="3" t="str" cm="1">
        <f t="array" ref="J33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31" s="11">
        <f>Trainingsabschluss[[#This Row],[Quiz_Frage1_Punkte]]/Max_Frage1</f>
        <v>0.8</v>
      </c>
      <c r="L331" s="11">
        <f>Trainingsabschluss[[#This Row],[Quiz_Frage2_Punkte]]/Max_Frage2</f>
        <v>1</v>
      </c>
      <c r="M331" s="11">
        <f>Trainingsabschluss[[#This Row],[Quiz_Frage3_Punkte]]/Max_Frage3</f>
        <v>0.2</v>
      </c>
      <c r="N331" s="11">
        <f>Trainingsabschluss[[#This Row],[Quiz_Frage4_Punkte]]/Max_Frage4</f>
        <v>0.875</v>
      </c>
      <c r="O331" s="11">
        <f>Trainingsabschluss[[#This Row],[Quiz_Frage5_Punkte]]/Max_Frage5</f>
        <v>0.66666666666666663</v>
      </c>
      <c r="P331" s="2">
        <f>Trainingsabschluss[[#This Row],[Quiz_Frage1_Punkte]]+Trainingsabschluss[[#This Row],[Quiz_Frage2_Punkte]]+Trainingsabschluss[[#This Row],[Quiz_Frage3_Punkte]]+Trainingsabschluss[[#This Row],[Quiz_Frage4_Punkte]]+Trainingsabschluss[[#This Row],[Quiz_Frage5_Punkte]]</f>
        <v>15.5</v>
      </c>
      <c r="Q331" s="8">
        <f>Trainingsabschluss[[#This Row],[Quizergebnis]]/Max_Quizergebnis</f>
        <v>0.70454545454545459</v>
      </c>
      <c r="R331" t="str" cm="1">
        <f t="array" ref="R331">_xlfn.IFS(Trainingsabschluss[[#This Row],[Quizergebnis_Prozent]]&lt;0.5, "Nicht bestanden",
Trainingsabschluss[[#This Row],[Quizergebnis_Prozent]]&lt;0.65, "Bestanden",
Trainingsabschluss[[#This Row],[Quizergebnis_Prozent]]&lt;0.8, "Gut bestanden",
TRUE, "Sehr gut bestanden")</f>
        <v>Gut bestanden</v>
      </c>
      <c r="S331" s="3">
        <v>10</v>
      </c>
      <c r="T331" s="3" t="str" cm="1">
        <f t="array" ref="T331">_xlfn.IFS(Trainingsabschluss[[#This Row],[Training_Bewertung]]&gt;=9, "Promotor", Trainingsabschluss[[#This Row],[Training_Bewertung]]
&lt;=6, "Detraktor",
TRUE, "Passiv")</f>
        <v>Promotor</v>
      </c>
      <c r="W331"/>
    </row>
    <row r="332" spans="1:23" x14ac:dyDescent="0.3">
      <c r="A332" s="13" t="s">
        <v>493</v>
      </c>
      <c r="B332" s="2">
        <v>5</v>
      </c>
      <c r="C332" s="2">
        <v>5</v>
      </c>
      <c r="D332" s="2">
        <v>3.5</v>
      </c>
      <c r="E332" s="2">
        <v>3.5</v>
      </c>
      <c r="F332" s="2">
        <v>0.5</v>
      </c>
      <c r="G332" s="2" t="str">
        <f>_xlfn.XLOOKUP(Trainingsabschluss[[#This Row],[UserID]], Teilnehmende[UserID], Teilnehmende[Branche], "UserID nicht gefunden")</f>
        <v>Öffentlicher Dienst</v>
      </c>
      <c r="H332" t="str">
        <f>_xlfn.XLOOKUP(Trainingsabschluss[[#This Row],[UserID]], Teilnehmende[UserID], Teilnehmende[Bildungsabschluss], "UserID nicht gefunden")</f>
        <v>Bachelor</v>
      </c>
      <c r="I332" s="3">
        <f>_xlfn.XLOOKUP(Trainingsabschluss[[#This Row],[UserID]], Teilnehmende[UserID], Teilnehmende[Berufserfahrung])</f>
        <v>2</v>
      </c>
      <c r="J332" s="3" t="str" cm="1">
        <f t="array" ref="J33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32" s="11">
        <f>Trainingsabschluss[[#This Row],[Quiz_Frage1_Punkte]]/Max_Frage1</f>
        <v>1</v>
      </c>
      <c r="L332" s="11">
        <f>Trainingsabschluss[[#This Row],[Quiz_Frage2_Punkte]]/Max_Frage2</f>
        <v>1</v>
      </c>
      <c r="M332" s="11">
        <f>Trainingsabschluss[[#This Row],[Quiz_Frage3_Punkte]]/Max_Frage3</f>
        <v>0.7</v>
      </c>
      <c r="N332" s="11">
        <f>Trainingsabschluss[[#This Row],[Quiz_Frage4_Punkte]]/Max_Frage4</f>
        <v>0.875</v>
      </c>
      <c r="O332" s="11">
        <f>Trainingsabschluss[[#This Row],[Quiz_Frage5_Punkte]]/Max_Frage5</f>
        <v>0.16666666666666666</v>
      </c>
      <c r="P332" s="2">
        <f>Trainingsabschluss[[#This Row],[Quiz_Frage1_Punkte]]+Trainingsabschluss[[#This Row],[Quiz_Frage2_Punkte]]+Trainingsabschluss[[#This Row],[Quiz_Frage3_Punkte]]+Trainingsabschluss[[#This Row],[Quiz_Frage4_Punkte]]+Trainingsabschluss[[#This Row],[Quiz_Frage5_Punkte]]</f>
        <v>17.5</v>
      </c>
      <c r="Q332" s="8">
        <f>Trainingsabschluss[[#This Row],[Quizergebnis]]/Max_Quizergebnis</f>
        <v>0.79545454545454541</v>
      </c>
      <c r="R332" t="str" cm="1">
        <f t="array" ref="R332">_xlfn.IFS(Trainingsabschluss[[#This Row],[Quizergebnis_Prozent]]&lt;0.5, "Nicht bestanden",
Trainingsabschluss[[#This Row],[Quizergebnis_Prozent]]&lt;0.65, "Bestanden",
Trainingsabschluss[[#This Row],[Quizergebnis_Prozent]]&lt;0.8, "Gut bestanden",
TRUE, "Sehr gut bestanden")</f>
        <v>Gut bestanden</v>
      </c>
      <c r="S332" s="3">
        <v>9</v>
      </c>
      <c r="T332" s="3" t="str" cm="1">
        <f t="array" ref="T332">_xlfn.IFS(Trainingsabschluss[[#This Row],[Training_Bewertung]]&gt;=9, "Promotor", Trainingsabschluss[[#This Row],[Training_Bewertung]]
&lt;=6, "Detraktor",
TRUE, "Passiv")</f>
        <v>Promotor</v>
      </c>
      <c r="W332"/>
    </row>
    <row r="333" spans="1:23" x14ac:dyDescent="0.3">
      <c r="A333" s="13" t="s">
        <v>494</v>
      </c>
      <c r="B333" s="2">
        <v>4</v>
      </c>
      <c r="C333" s="2">
        <v>2.5</v>
      </c>
      <c r="D333" s="2">
        <v>1.5</v>
      </c>
      <c r="E333" s="2">
        <v>3</v>
      </c>
      <c r="F333" s="2">
        <v>2.5</v>
      </c>
      <c r="G333" s="2" t="str">
        <f>_xlfn.XLOOKUP(Trainingsabschluss[[#This Row],[UserID]], Teilnehmende[UserID], Teilnehmende[Branche], "UserID nicht gefunden")</f>
        <v>Öffentlicher Dienst</v>
      </c>
      <c r="H333" t="str">
        <f>_xlfn.XLOOKUP(Trainingsabschluss[[#This Row],[UserID]], Teilnehmende[UserID], Teilnehmende[Bildungsabschluss], "UserID nicht gefunden")</f>
        <v>Bachelor</v>
      </c>
      <c r="I333" s="3">
        <f>_xlfn.XLOOKUP(Trainingsabschluss[[#This Row],[UserID]], Teilnehmende[UserID], Teilnehmende[Berufserfahrung])</f>
        <v>4</v>
      </c>
      <c r="J333" s="3" t="str" cm="1">
        <f t="array" ref="J333">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33" s="11">
        <f>Trainingsabschluss[[#This Row],[Quiz_Frage1_Punkte]]/Max_Frage1</f>
        <v>0.8</v>
      </c>
      <c r="L333" s="11">
        <f>Trainingsabschluss[[#This Row],[Quiz_Frage2_Punkte]]/Max_Frage2</f>
        <v>0.5</v>
      </c>
      <c r="M333" s="11">
        <f>Trainingsabschluss[[#This Row],[Quiz_Frage3_Punkte]]/Max_Frage3</f>
        <v>0.3</v>
      </c>
      <c r="N333" s="11">
        <f>Trainingsabschluss[[#This Row],[Quiz_Frage4_Punkte]]/Max_Frage4</f>
        <v>0.75</v>
      </c>
      <c r="O333" s="11">
        <f>Trainingsabschluss[[#This Row],[Quiz_Frage5_Punkte]]/Max_Frage5</f>
        <v>0.83333333333333337</v>
      </c>
      <c r="P333" s="2">
        <f>Trainingsabschluss[[#This Row],[Quiz_Frage1_Punkte]]+Trainingsabschluss[[#This Row],[Quiz_Frage2_Punkte]]+Trainingsabschluss[[#This Row],[Quiz_Frage3_Punkte]]+Trainingsabschluss[[#This Row],[Quiz_Frage4_Punkte]]+Trainingsabschluss[[#This Row],[Quiz_Frage5_Punkte]]</f>
        <v>13.5</v>
      </c>
      <c r="Q333" s="8">
        <f>Trainingsabschluss[[#This Row],[Quizergebnis]]/Max_Quizergebnis</f>
        <v>0.61363636363636365</v>
      </c>
      <c r="R333" t="str" cm="1">
        <f t="array" ref="R333">_xlfn.IFS(Trainingsabschluss[[#This Row],[Quizergebnis_Prozent]]&lt;0.5, "Nicht bestanden",
Trainingsabschluss[[#This Row],[Quizergebnis_Prozent]]&lt;0.65, "Bestanden",
Trainingsabschluss[[#This Row],[Quizergebnis_Prozent]]&lt;0.8, "Gut bestanden",
TRUE, "Sehr gut bestanden")</f>
        <v>Bestanden</v>
      </c>
      <c r="S333" s="3">
        <v>9</v>
      </c>
      <c r="T333" s="3" t="str" cm="1">
        <f t="array" ref="T333">_xlfn.IFS(Trainingsabschluss[[#This Row],[Training_Bewertung]]&gt;=9, "Promotor", Trainingsabschluss[[#This Row],[Training_Bewertung]]
&lt;=6, "Detraktor",
TRUE, "Passiv")</f>
        <v>Promotor</v>
      </c>
      <c r="W333"/>
    </row>
    <row r="334" spans="1:23" x14ac:dyDescent="0.3">
      <c r="A334" s="13" t="s">
        <v>495</v>
      </c>
      <c r="B334" s="2">
        <v>4</v>
      </c>
      <c r="C334" s="2">
        <v>3.5</v>
      </c>
      <c r="D334" s="2">
        <v>2.5</v>
      </c>
      <c r="E334" s="2">
        <v>2</v>
      </c>
      <c r="F334" s="2">
        <v>1.5</v>
      </c>
      <c r="G334" s="2" t="str">
        <f>_xlfn.XLOOKUP(Trainingsabschluss[[#This Row],[UserID]], Teilnehmende[UserID], Teilnehmende[Branche], "UserID nicht gefunden")</f>
        <v>Öffentlicher Dienst</v>
      </c>
      <c r="H334" t="str">
        <f>_xlfn.XLOOKUP(Trainingsabschluss[[#This Row],[UserID]], Teilnehmende[UserID], Teilnehmende[Bildungsabschluss], "UserID nicht gefunden")</f>
        <v>Bachelor</v>
      </c>
      <c r="I334" s="3">
        <f>_xlfn.XLOOKUP(Trainingsabschluss[[#This Row],[UserID]], Teilnehmende[UserID], Teilnehmende[Berufserfahrung])</f>
        <v>3</v>
      </c>
      <c r="J334" s="3" t="str" cm="1">
        <f t="array" ref="J33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34" s="11">
        <f>Trainingsabschluss[[#This Row],[Quiz_Frage1_Punkte]]/Max_Frage1</f>
        <v>0.8</v>
      </c>
      <c r="L334" s="11">
        <f>Trainingsabschluss[[#This Row],[Quiz_Frage2_Punkte]]/Max_Frage2</f>
        <v>0.7</v>
      </c>
      <c r="M334" s="11">
        <f>Trainingsabschluss[[#This Row],[Quiz_Frage3_Punkte]]/Max_Frage3</f>
        <v>0.5</v>
      </c>
      <c r="N334" s="11">
        <f>Trainingsabschluss[[#This Row],[Quiz_Frage4_Punkte]]/Max_Frage4</f>
        <v>0.5</v>
      </c>
      <c r="O334" s="11">
        <f>Trainingsabschluss[[#This Row],[Quiz_Frage5_Punkte]]/Max_Frage5</f>
        <v>0.5</v>
      </c>
      <c r="P334" s="2">
        <f>Trainingsabschluss[[#This Row],[Quiz_Frage1_Punkte]]+Trainingsabschluss[[#This Row],[Quiz_Frage2_Punkte]]+Trainingsabschluss[[#This Row],[Quiz_Frage3_Punkte]]+Trainingsabschluss[[#This Row],[Quiz_Frage4_Punkte]]+Trainingsabschluss[[#This Row],[Quiz_Frage5_Punkte]]</f>
        <v>13.5</v>
      </c>
      <c r="Q334" s="8">
        <f>Trainingsabschluss[[#This Row],[Quizergebnis]]/Max_Quizergebnis</f>
        <v>0.61363636363636365</v>
      </c>
      <c r="R334" t="str" cm="1">
        <f t="array" ref="R334">_xlfn.IFS(Trainingsabschluss[[#This Row],[Quizergebnis_Prozent]]&lt;0.5, "Nicht bestanden",
Trainingsabschluss[[#This Row],[Quizergebnis_Prozent]]&lt;0.65, "Bestanden",
Trainingsabschluss[[#This Row],[Quizergebnis_Prozent]]&lt;0.8, "Gut bestanden",
TRUE, "Sehr gut bestanden")</f>
        <v>Bestanden</v>
      </c>
      <c r="S334" s="3">
        <v>10</v>
      </c>
      <c r="T334" s="3" t="str" cm="1">
        <f t="array" ref="T334">_xlfn.IFS(Trainingsabschluss[[#This Row],[Training_Bewertung]]&gt;=9, "Promotor", Trainingsabschluss[[#This Row],[Training_Bewertung]]
&lt;=6, "Detraktor",
TRUE, "Passiv")</f>
        <v>Promotor</v>
      </c>
      <c r="W334"/>
    </row>
    <row r="335" spans="1:23" x14ac:dyDescent="0.3">
      <c r="A335" s="13" t="s">
        <v>496</v>
      </c>
      <c r="B335" s="2">
        <v>3.5</v>
      </c>
      <c r="C335" s="2">
        <v>3</v>
      </c>
      <c r="D335" s="2">
        <v>4</v>
      </c>
      <c r="E335" s="2">
        <v>3.5</v>
      </c>
      <c r="F335" s="2">
        <v>1.5</v>
      </c>
      <c r="G335" s="2" t="str">
        <f>_xlfn.XLOOKUP(Trainingsabschluss[[#This Row],[UserID]], Teilnehmende[UserID], Teilnehmende[Branche], "UserID nicht gefunden")</f>
        <v>Öffentlicher Dienst</v>
      </c>
      <c r="H335" t="str">
        <f>_xlfn.XLOOKUP(Trainingsabschluss[[#This Row],[UserID]], Teilnehmende[UserID], Teilnehmende[Bildungsabschluss], "UserID nicht gefunden")</f>
        <v>Bachelor</v>
      </c>
      <c r="I335" s="3">
        <f>_xlfn.XLOOKUP(Trainingsabschluss[[#This Row],[UserID]], Teilnehmende[UserID], Teilnehmende[Berufserfahrung])</f>
        <v>10</v>
      </c>
      <c r="J335" s="3" t="str" cm="1">
        <f t="array" ref="J33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35" s="11">
        <f>Trainingsabschluss[[#This Row],[Quiz_Frage1_Punkte]]/Max_Frage1</f>
        <v>0.7</v>
      </c>
      <c r="L335" s="11">
        <f>Trainingsabschluss[[#This Row],[Quiz_Frage2_Punkte]]/Max_Frage2</f>
        <v>0.6</v>
      </c>
      <c r="M335" s="11">
        <f>Trainingsabschluss[[#This Row],[Quiz_Frage3_Punkte]]/Max_Frage3</f>
        <v>0.8</v>
      </c>
      <c r="N335" s="11">
        <f>Trainingsabschluss[[#This Row],[Quiz_Frage4_Punkte]]/Max_Frage4</f>
        <v>0.875</v>
      </c>
      <c r="O335" s="11">
        <f>Trainingsabschluss[[#This Row],[Quiz_Frage5_Punkte]]/Max_Frage5</f>
        <v>0.5</v>
      </c>
      <c r="P335" s="2">
        <f>Trainingsabschluss[[#This Row],[Quiz_Frage1_Punkte]]+Trainingsabschluss[[#This Row],[Quiz_Frage2_Punkte]]+Trainingsabschluss[[#This Row],[Quiz_Frage3_Punkte]]+Trainingsabschluss[[#This Row],[Quiz_Frage4_Punkte]]+Trainingsabschluss[[#This Row],[Quiz_Frage5_Punkte]]</f>
        <v>15.5</v>
      </c>
      <c r="Q335" s="8">
        <f>Trainingsabschluss[[#This Row],[Quizergebnis]]/Max_Quizergebnis</f>
        <v>0.70454545454545459</v>
      </c>
      <c r="R335" t="str" cm="1">
        <f t="array" ref="R335">_xlfn.IFS(Trainingsabschluss[[#This Row],[Quizergebnis_Prozent]]&lt;0.5, "Nicht bestanden",
Trainingsabschluss[[#This Row],[Quizergebnis_Prozent]]&lt;0.65, "Bestanden",
Trainingsabschluss[[#This Row],[Quizergebnis_Prozent]]&lt;0.8, "Gut bestanden",
TRUE, "Sehr gut bestanden")</f>
        <v>Gut bestanden</v>
      </c>
      <c r="S335" s="3">
        <v>10</v>
      </c>
      <c r="T335" s="3" t="str" cm="1">
        <f t="array" ref="T335">_xlfn.IFS(Trainingsabschluss[[#This Row],[Training_Bewertung]]&gt;=9, "Promotor", Trainingsabschluss[[#This Row],[Training_Bewertung]]
&lt;=6, "Detraktor",
TRUE, "Passiv")</f>
        <v>Promotor</v>
      </c>
      <c r="W335"/>
    </row>
    <row r="336" spans="1:23" x14ac:dyDescent="0.3">
      <c r="A336" s="13" t="s">
        <v>497</v>
      </c>
      <c r="B336" s="2">
        <v>4</v>
      </c>
      <c r="C336" s="2">
        <v>1.5</v>
      </c>
      <c r="D336" s="2">
        <v>4</v>
      </c>
      <c r="E336" s="2">
        <v>4</v>
      </c>
      <c r="F336" s="2">
        <v>2</v>
      </c>
      <c r="G336" s="2" t="str">
        <f>_xlfn.XLOOKUP(Trainingsabschluss[[#This Row],[UserID]], Teilnehmende[UserID], Teilnehmende[Branche], "UserID nicht gefunden")</f>
        <v>Öffentlicher Dienst</v>
      </c>
      <c r="H336" t="str">
        <f>_xlfn.XLOOKUP(Trainingsabschluss[[#This Row],[UserID]], Teilnehmende[UserID], Teilnehmende[Bildungsabschluss], "UserID nicht gefunden")</f>
        <v>Bachelor</v>
      </c>
      <c r="I336" s="3">
        <f>_xlfn.XLOOKUP(Trainingsabschluss[[#This Row],[UserID]], Teilnehmende[UserID], Teilnehmende[Berufserfahrung])</f>
        <v>18</v>
      </c>
      <c r="J336" s="3" t="str" cm="1">
        <f t="array" ref="J336">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36" s="11">
        <f>Trainingsabschluss[[#This Row],[Quiz_Frage1_Punkte]]/Max_Frage1</f>
        <v>0.8</v>
      </c>
      <c r="L336" s="11">
        <f>Trainingsabschluss[[#This Row],[Quiz_Frage2_Punkte]]/Max_Frage2</f>
        <v>0.3</v>
      </c>
      <c r="M336" s="11">
        <f>Trainingsabschluss[[#This Row],[Quiz_Frage3_Punkte]]/Max_Frage3</f>
        <v>0.8</v>
      </c>
      <c r="N336" s="11">
        <f>Trainingsabschluss[[#This Row],[Quiz_Frage4_Punkte]]/Max_Frage4</f>
        <v>1</v>
      </c>
      <c r="O336" s="11">
        <f>Trainingsabschluss[[#This Row],[Quiz_Frage5_Punkte]]/Max_Frage5</f>
        <v>0.66666666666666663</v>
      </c>
      <c r="P336" s="2">
        <f>Trainingsabschluss[[#This Row],[Quiz_Frage1_Punkte]]+Trainingsabschluss[[#This Row],[Quiz_Frage2_Punkte]]+Trainingsabschluss[[#This Row],[Quiz_Frage3_Punkte]]+Trainingsabschluss[[#This Row],[Quiz_Frage4_Punkte]]+Trainingsabschluss[[#This Row],[Quiz_Frage5_Punkte]]</f>
        <v>15.5</v>
      </c>
      <c r="Q336" s="8">
        <f>Trainingsabschluss[[#This Row],[Quizergebnis]]/Max_Quizergebnis</f>
        <v>0.70454545454545459</v>
      </c>
      <c r="R336" t="str" cm="1">
        <f t="array" ref="R336">_xlfn.IFS(Trainingsabschluss[[#This Row],[Quizergebnis_Prozent]]&lt;0.5, "Nicht bestanden",
Trainingsabschluss[[#This Row],[Quizergebnis_Prozent]]&lt;0.65, "Bestanden",
Trainingsabschluss[[#This Row],[Quizergebnis_Prozent]]&lt;0.8, "Gut bestanden",
TRUE, "Sehr gut bestanden")</f>
        <v>Gut bestanden</v>
      </c>
      <c r="S336" s="3">
        <v>10</v>
      </c>
      <c r="T336" s="3" t="str" cm="1">
        <f t="array" ref="T336">_xlfn.IFS(Trainingsabschluss[[#This Row],[Training_Bewertung]]&gt;=9, "Promotor", Trainingsabschluss[[#This Row],[Training_Bewertung]]
&lt;=6, "Detraktor",
TRUE, "Passiv")</f>
        <v>Promotor</v>
      </c>
      <c r="W336"/>
    </row>
    <row r="337" spans="1:23" x14ac:dyDescent="0.3">
      <c r="A337" s="13" t="s">
        <v>500</v>
      </c>
      <c r="B337" s="2">
        <v>4.5</v>
      </c>
      <c r="C337" s="2">
        <v>2.5</v>
      </c>
      <c r="D337" s="2">
        <v>1</v>
      </c>
      <c r="E337" s="2">
        <v>3</v>
      </c>
      <c r="F337" s="2">
        <v>1</v>
      </c>
      <c r="G337" s="2" t="str">
        <f>_xlfn.XLOOKUP(Trainingsabschluss[[#This Row],[UserID]], Teilnehmende[UserID], Teilnehmende[Branche], "UserID nicht gefunden")</f>
        <v>Öffentlicher Dienst</v>
      </c>
      <c r="H337" t="str">
        <f>_xlfn.XLOOKUP(Trainingsabschluss[[#This Row],[UserID]], Teilnehmende[UserID], Teilnehmende[Bildungsabschluss], "UserID nicht gefunden")</f>
        <v>Bachelor</v>
      </c>
      <c r="I337" s="3">
        <f>_xlfn.XLOOKUP(Trainingsabschluss[[#This Row],[UserID]], Teilnehmende[UserID], Teilnehmende[Berufserfahrung])</f>
        <v>18</v>
      </c>
      <c r="J337" s="3" t="str" cm="1">
        <f t="array" ref="J337">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37" s="11">
        <f>Trainingsabschluss[[#This Row],[Quiz_Frage1_Punkte]]/Max_Frage1</f>
        <v>0.9</v>
      </c>
      <c r="L337" s="11">
        <f>Trainingsabschluss[[#This Row],[Quiz_Frage2_Punkte]]/Max_Frage2</f>
        <v>0.5</v>
      </c>
      <c r="M337" s="11">
        <f>Trainingsabschluss[[#This Row],[Quiz_Frage3_Punkte]]/Max_Frage3</f>
        <v>0.2</v>
      </c>
      <c r="N337" s="11">
        <f>Trainingsabschluss[[#This Row],[Quiz_Frage4_Punkte]]/Max_Frage4</f>
        <v>0.75</v>
      </c>
      <c r="O337" s="11">
        <f>Trainingsabschluss[[#This Row],[Quiz_Frage5_Punkte]]/Max_Frage5</f>
        <v>0.33333333333333331</v>
      </c>
      <c r="P337" s="2">
        <f>Trainingsabschluss[[#This Row],[Quiz_Frage1_Punkte]]+Trainingsabschluss[[#This Row],[Quiz_Frage2_Punkte]]+Trainingsabschluss[[#This Row],[Quiz_Frage3_Punkte]]+Trainingsabschluss[[#This Row],[Quiz_Frage4_Punkte]]+Trainingsabschluss[[#This Row],[Quiz_Frage5_Punkte]]</f>
        <v>12</v>
      </c>
      <c r="Q337" s="8">
        <f>Trainingsabschluss[[#This Row],[Quizergebnis]]/Max_Quizergebnis</f>
        <v>0.54545454545454541</v>
      </c>
      <c r="R337" t="str" cm="1">
        <f t="array" ref="R337">_xlfn.IFS(Trainingsabschluss[[#This Row],[Quizergebnis_Prozent]]&lt;0.5, "Nicht bestanden",
Trainingsabschluss[[#This Row],[Quizergebnis_Prozent]]&lt;0.65, "Bestanden",
Trainingsabschluss[[#This Row],[Quizergebnis_Prozent]]&lt;0.8, "Gut bestanden",
TRUE, "Sehr gut bestanden")</f>
        <v>Bestanden</v>
      </c>
      <c r="S337" s="3">
        <v>10</v>
      </c>
      <c r="T337" s="3" t="str" cm="1">
        <f t="array" ref="T337">_xlfn.IFS(Trainingsabschluss[[#This Row],[Training_Bewertung]]&gt;=9, "Promotor", Trainingsabschluss[[#This Row],[Training_Bewertung]]
&lt;=6, "Detraktor",
TRUE, "Passiv")</f>
        <v>Promotor</v>
      </c>
      <c r="W337"/>
    </row>
    <row r="338" spans="1:23" x14ac:dyDescent="0.3">
      <c r="A338" s="13" t="s">
        <v>503</v>
      </c>
      <c r="B338" s="2">
        <v>4.5</v>
      </c>
      <c r="C338" s="2">
        <v>2.5</v>
      </c>
      <c r="D338" s="2">
        <v>2</v>
      </c>
      <c r="E338" s="2">
        <v>2.5</v>
      </c>
      <c r="F338" s="2">
        <v>2</v>
      </c>
      <c r="G338" s="2" t="str">
        <f>_xlfn.XLOOKUP(Trainingsabschluss[[#This Row],[UserID]], Teilnehmende[UserID], Teilnehmende[Branche], "UserID nicht gefunden")</f>
        <v>Öffentlicher Dienst</v>
      </c>
      <c r="H338" t="str">
        <f>_xlfn.XLOOKUP(Trainingsabschluss[[#This Row],[UserID]], Teilnehmende[UserID], Teilnehmende[Bildungsabschluss], "UserID nicht gefunden")</f>
        <v>Bachelor</v>
      </c>
      <c r="I338" s="3">
        <f>_xlfn.XLOOKUP(Trainingsabschluss[[#This Row],[UserID]], Teilnehmende[UserID], Teilnehmende[Berufserfahrung])</f>
        <v>8</v>
      </c>
      <c r="J338" s="3" t="str" cm="1">
        <f t="array" ref="J33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38" s="11">
        <f>Trainingsabschluss[[#This Row],[Quiz_Frage1_Punkte]]/Max_Frage1</f>
        <v>0.9</v>
      </c>
      <c r="L338" s="11">
        <f>Trainingsabschluss[[#This Row],[Quiz_Frage2_Punkte]]/Max_Frage2</f>
        <v>0.5</v>
      </c>
      <c r="M338" s="11">
        <f>Trainingsabschluss[[#This Row],[Quiz_Frage3_Punkte]]/Max_Frage3</f>
        <v>0.4</v>
      </c>
      <c r="N338" s="11">
        <f>Trainingsabschluss[[#This Row],[Quiz_Frage4_Punkte]]/Max_Frage4</f>
        <v>0.625</v>
      </c>
      <c r="O338" s="11">
        <f>Trainingsabschluss[[#This Row],[Quiz_Frage5_Punkte]]/Max_Frage5</f>
        <v>0.66666666666666663</v>
      </c>
      <c r="P338" s="2">
        <f>Trainingsabschluss[[#This Row],[Quiz_Frage1_Punkte]]+Trainingsabschluss[[#This Row],[Quiz_Frage2_Punkte]]+Trainingsabschluss[[#This Row],[Quiz_Frage3_Punkte]]+Trainingsabschluss[[#This Row],[Quiz_Frage4_Punkte]]+Trainingsabschluss[[#This Row],[Quiz_Frage5_Punkte]]</f>
        <v>13.5</v>
      </c>
      <c r="Q338" s="8">
        <f>Trainingsabschluss[[#This Row],[Quizergebnis]]/Max_Quizergebnis</f>
        <v>0.61363636363636365</v>
      </c>
      <c r="R338" t="str" cm="1">
        <f t="array" ref="R338">_xlfn.IFS(Trainingsabschluss[[#This Row],[Quizergebnis_Prozent]]&lt;0.5, "Nicht bestanden",
Trainingsabschluss[[#This Row],[Quizergebnis_Prozent]]&lt;0.65, "Bestanden",
Trainingsabschluss[[#This Row],[Quizergebnis_Prozent]]&lt;0.8, "Gut bestanden",
TRUE, "Sehr gut bestanden")</f>
        <v>Bestanden</v>
      </c>
      <c r="S338" s="3">
        <v>10</v>
      </c>
      <c r="T338" s="3" t="str" cm="1">
        <f t="array" ref="T338">_xlfn.IFS(Trainingsabschluss[[#This Row],[Training_Bewertung]]&gt;=9, "Promotor", Trainingsabschluss[[#This Row],[Training_Bewertung]]
&lt;=6, "Detraktor",
TRUE, "Passiv")</f>
        <v>Promotor</v>
      </c>
      <c r="W338"/>
    </row>
    <row r="339" spans="1:23" x14ac:dyDescent="0.3">
      <c r="A339" s="13" t="s">
        <v>505</v>
      </c>
      <c r="B339" s="2">
        <v>4.5</v>
      </c>
      <c r="C339" s="2">
        <v>2.5</v>
      </c>
      <c r="D339" s="2">
        <v>1</v>
      </c>
      <c r="E339" s="2">
        <v>2.5</v>
      </c>
      <c r="F339" s="2">
        <v>0.5</v>
      </c>
      <c r="G339" s="2" t="str">
        <f>_xlfn.XLOOKUP(Trainingsabschluss[[#This Row],[UserID]], Teilnehmende[UserID], Teilnehmende[Branche], "UserID nicht gefunden")</f>
        <v>Öffentlicher Dienst</v>
      </c>
      <c r="H339" t="str">
        <f>_xlfn.XLOOKUP(Trainingsabschluss[[#This Row],[UserID]], Teilnehmende[UserID], Teilnehmende[Bildungsabschluss], "UserID nicht gefunden")</f>
        <v>Bachelor</v>
      </c>
      <c r="I339" s="3">
        <f>_xlfn.XLOOKUP(Trainingsabschluss[[#This Row],[UserID]], Teilnehmende[UserID], Teilnehmende[Berufserfahrung])</f>
        <v>10</v>
      </c>
      <c r="J339" s="3" t="str" cm="1">
        <f t="array" ref="J33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39" s="11">
        <f>Trainingsabschluss[[#This Row],[Quiz_Frage1_Punkte]]/Max_Frage1</f>
        <v>0.9</v>
      </c>
      <c r="L339" s="11">
        <f>Trainingsabschluss[[#This Row],[Quiz_Frage2_Punkte]]/Max_Frage2</f>
        <v>0.5</v>
      </c>
      <c r="M339" s="11">
        <f>Trainingsabschluss[[#This Row],[Quiz_Frage3_Punkte]]/Max_Frage3</f>
        <v>0.2</v>
      </c>
      <c r="N339" s="11">
        <f>Trainingsabschluss[[#This Row],[Quiz_Frage4_Punkte]]/Max_Frage4</f>
        <v>0.625</v>
      </c>
      <c r="O339" s="11">
        <f>Trainingsabschluss[[#This Row],[Quiz_Frage5_Punkte]]/Max_Frage5</f>
        <v>0.16666666666666666</v>
      </c>
      <c r="P339" s="2">
        <f>Trainingsabschluss[[#This Row],[Quiz_Frage1_Punkte]]+Trainingsabschluss[[#This Row],[Quiz_Frage2_Punkte]]+Trainingsabschluss[[#This Row],[Quiz_Frage3_Punkte]]+Trainingsabschluss[[#This Row],[Quiz_Frage4_Punkte]]+Trainingsabschluss[[#This Row],[Quiz_Frage5_Punkte]]</f>
        <v>11</v>
      </c>
      <c r="Q339" s="8">
        <f>Trainingsabschluss[[#This Row],[Quizergebnis]]/Max_Quizergebnis</f>
        <v>0.5</v>
      </c>
      <c r="R339" t="str" cm="1">
        <f t="array" ref="R339">_xlfn.IFS(Trainingsabschluss[[#This Row],[Quizergebnis_Prozent]]&lt;0.5, "Nicht bestanden",
Trainingsabschluss[[#This Row],[Quizergebnis_Prozent]]&lt;0.65, "Bestanden",
Trainingsabschluss[[#This Row],[Quizergebnis_Prozent]]&lt;0.8, "Gut bestanden",
TRUE, "Sehr gut bestanden")</f>
        <v>Bestanden</v>
      </c>
      <c r="S339" s="3">
        <v>10</v>
      </c>
      <c r="T339" s="3" t="str" cm="1">
        <f t="array" ref="T339">_xlfn.IFS(Trainingsabschluss[[#This Row],[Training_Bewertung]]&gt;=9, "Promotor", Trainingsabschluss[[#This Row],[Training_Bewertung]]
&lt;=6, "Detraktor",
TRUE, "Passiv")</f>
        <v>Promotor</v>
      </c>
      <c r="W339"/>
    </row>
    <row r="340" spans="1:23" x14ac:dyDescent="0.3">
      <c r="A340" s="13" t="s">
        <v>506</v>
      </c>
      <c r="B340" s="2">
        <v>5</v>
      </c>
      <c r="C340" s="2">
        <v>3</v>
      </c>
      <c r="D340" s="2">
        <v>0</v>
      </c>
      <c r="E340" s="2">
        <v>2</v>
      </c>
      <c r="F340" s="2">
        <v>0</v>
      </c>
      <c r="G340" s="2" t="str">
        <f>_xlfn.XLOOKUP(Trainingsabschluss[[#This Row],[UserID]], Teilnehmende[UserID], Teilnehmende[Branche], "UserID nicht gefunden")</f>
        <v>Öffentlicher Dienst</v>
      </c>
      <c r="H340" t="str">
        <f>_xlfn.XLOOKUP(Trainingsabschluss[[#This Row],[UserID]], Teilnehmende[UserID], Teilnehmende[Bildungsabschluss], "UserID nicht gefunden")</f>
        <v>Bachelor</v>
      </c>
      <c r="I340" s="3">
        <f>_xlfn.XLOOKUP(Trainingsabschluss[[#This Row],[UserID]], Teilnehmende[UserID], Teilnehmende[Berufserfahrung])</f>
        <v>15</v>
      </c>
      <c r="J340" s="3" t="str" cm="1">
        <f t="array" ref="J340">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40" s="11">
        <f>Trainingsabschluss[[#This Row],[Quiz_Frage1_Punkte]]/Max_Frage1</f>
        <v>1</v>
      </c>
      <c r="L340" s="11">
        <f>Trainingsabschluss[[#This Row],[Quiz_Frage2_Punkte]]/Max_Frage2</f>
        <v>0.6</v>
      </c>
      <c r="M340" s="11">
        <f>Trainingsabschluss[[#This Row],[Quiz_Frage3_Punkte]]/Max_Frage3</f>
        <v>0</v>
      </c>
      <c r="N340" s="11">
        <f>Trainingsabschluss[[#This Row],[Quiz_Frage4_Punkte]]/Max_Frage4</f>
        <v>0.5</v>
      </c>
      <c r="O340" s="11">
        <f>Trainingsabschluss[[#This Row],[Quiz_Frage5_Punkte]]/Max_Frage5</f>
        <v>0</v>
      </c>
      <c r="P340" s="2">
        <f>Trainingsabschluss[[#This Row],[Quiz_Frage1_Punkte]]+Trainingsabschluss[[#This Row],[Quiz_Frage2_Punkte]]+Trainingsabschluss[[#This Row],[Quiz_Frage3_Punkte]]+Trainingsabschluss[[#This Row],[Quiz_Frage4_Punkte]]+Trainingsabschluss[[#This Row],[Quiz_Frage5_Punkte]]</f>
        <v>10</v>
      </c>
      <c r="Q340" s="8">
        <f>Trainingsabschluss[[#This Row],[Quizergebnis]]/Max_Quizergebnis</f>
        <v>0.45454545454545453</v>
      </c>
      <c r="R340" t="str" cm="1">
        <f t="array" ref="R340">_xlfn.IFS(Trainingsabschluss[[#This Row],[Quizergebnis_Prozent]]&lt;0.5, "Nicht bestanden",
Trainingsabschluss[[#This Row],[Quizergebnis_Prozent]]&lt;0.65, "Bestanden",
Trainingsabschluss[[#This Row],[Quizergebnis_Prozent]]&lt;0.8, "Gut bestanden",
TRUE, "Sehr gut bestanden")</f>
        <v>Nicht bestanden</v>
      </c>
      <c r="S340" s="3">
        <v>10</v>
      </c>
      <c r="T340" s="3" t="str" cm="1">
        <f t="array" ref="T340">_xlfn.IFS(Trainingsabschluss[[#This Row],[Training_Bewertung]]&gt;=9, "Promotor", Trainingsabschluss[[#This Row],[Training_Bewertung]]
&lt;=6, "Detraktor",
TRUE, "Passiv")</f>
        <v>Promotor</v>
      </c>
      <c r="W340"/>
    </row>
    <row r="341" spans="1:23" x14ac:dyDescent="0.3">
      <c r="A341" s="13" t="s">
        <v>209</v>
      </c>
      <c r="B341" s="2">
        <v>5</v>
      </c>
      <c r="C341" s="2">
        <v>4.5</v>
      </c>
      <c r="D341" s="2">
        <v>3</v>
      </c>
      <c r="E341" s="2">
        <v>1.5</v>
      </c>
      <c r="F341" s="2">
        <v>1</v>
      </c>
      <c r="G341" s="2" t="str">
        <f>_xlfn.XLOOKUP(Trainingsabschluss[[#This Row],[UserID]], Teilnehmende[UserID], Teilnehmende[Branche], "UserID nicht gefunden")</f>
        <v>Beratung</v>
      </c>
      <c r="H341" t="str">
        <f>_xlfn.XLOOKUP(Trainingsabschluss[[#This Row],[UserID]], Teilnehmende[UserID], Teilnehmende[Bildungsabschluss], "UserID nicht gefunden")</f>
        <v>Master</v>
      </c>
      <c r="I341" s="3">
        <f>_xlfn.XLOOKUP(Trainingsabschluss[[#This Row],[UserID]], Teilnehmende[UserID], Teilnehmende[Berufserfahrung])</f>
        <v>8</v>
      </c>
      <c r="J341" s="3" t="str" cm="1">
        <f t="array" ref="J34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41" s="11">
        <f>Trainingsabschluss[[#This Row],[Quiz_Frage1_Punkte]]/Max_Frage1</f>
        <v>1</v>
      </c>
      <c r="L341" s="11">
        <f>Trainingsabschluss[[#This Row],[Quiz_Frage2_Punkte]]/Max_Frage2</f>
        <v>0.9</v>
      </c>
      <c r="M341" s="11">
        <f>Trainingsabschluss[[#This Row],[Quiz_Frage3_Punkte]]/Max_Frage3</f>
        <v>0.6</v>
      </c>
      <c r="N341" s="11">
        <f>Trainingsabschluss[[#This Row],[Quiz_Frage4_Punkte]]/Max_Frage4</f>
        <v>0.375</v>
      </c>
      <c r="O341" s="11">
        <f>Trainingsabschluss[[#This Row],[Quiz_Frage5_Punkte]]/Max_Frage5</f>
        <v>0.33333333333333331</v>
      </c>
      <c r="P341" s="2">
        <f>Trainingsabschluss[[#This Row],[Quiz_Frage1_Punkte]]+Trainingsabschluss[[#This Row],[Quiz_Frage2_Punkte]]+Trainingsabschluss[[#This Row],[Quiz_Frage3_Punkte]]+Trainingsabschluss[[#This Row],[Quiz_Frage4_Punkte]]+Trainingsabschluss[[#This Row],[Quiz_Frage5_Punkte]]</f>
        <v>15</v>
      </c>
      <c r="Q341" s="8">
        <f>Trainingsabschluss[[#This Row],[Quizergebnis]]/Max_Quizergebnis</f>
        <v>0.68181818181818177</v>
      </c>
      <c r="R341" t="str" cm="1">
        <f t="array" ref="R341">_xlfn.IFS(Trainingsabschluss[[#This Row],[Quizergebnis_Prozent]]&lt;0.5, "Nicht bestanden",
Trainingsabschluss[[#This Row],[Quizergebnis_Prozent]]&lt;0.65, "Bestanden",
Trainingsabschluss[[#This Row],[Quizergebnis_Prozent]]&lt;0.8, "Gut bestanden",
TRUE, "Sehr gut bestanden")</f>
        <v>Gut bestanden</v>
      </c>
      <c r="S341" s="3">
        <v>4</v>
      </c>
      <c r="T341" s="3" t="str" cm="1">
        <f t="array" ref="T341">_xlfn.IFS(Trainingsabschluss[[#This Row],[Training_Bewertung]]&gt;=9, "Promotor", Trainingsabschluss[[#This Row],[Training_Bewertung]]
&lt;=6, "Detraktor",
TRUE, "Passiv")</f>
        <v>Detraktor</v>
      </c>
      <c r="W341"/>
    </row>
    <row r="342" spans="1:23" x14ac:dyDescent="0.3">
      <c r="A342" s="13" t="s">
        <v>162</v>
      </c>
      <c r="B342" s="2">
        <v>5</v>
      </c>
      <c r="C342" s="2">
        <v>5</v>
      </c>
      <c r="D342" s="2">
        <v>4</v>
      </c>
      <c r="E342" s="2">
        <v>4</v>
      </c>
      <c r="F342" s="2">
        <v>0.5</v>
      </c>
      <c r="G342" s="2" t="str">
        <f>_xlfn.XLOOKUP(Trainingsabschluss[[#This Row],[UserID]], Teilnehmende[UserID], Teilnehmende[Branche], "UserID nicht gefunden")</f>
        <v>Beratung</v>
      </c>
      <c r="H342" t="str">
        <f>_xlfn.XLOOKUP(Trainingsabschluss[[#This Row],[UserID]], Teilnehmende[UserID], Teilnehmende[Bildungsabschluss], "UserID nicht gefunden")</f>
        <v>Master</v>
      </c>
      <c r="I342" s="3">
        <f>_xlfn.XLOOKUP(Trainingsabschluss[[#This Row],[UserID]], Teilnehmende[UserID], Teilnehmende[Berufserfahrung])</f>
        <v>8</v>
      </c>
      <c r="J342" s="3" t="str" cm="1">
        <f t="array" ref="J34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42" s="11">
        <f>Trainingsabschluss[[#This Row],[Quiz_Frage1_Punkte]]/Max_Frage1</f>
        <v>1</v>
      </c>
      <c r="L342" s="11">
        <f>Trainingsabschluss[[#This Row],[Quiz_Frage2_Punkte]]/Max_Frage2</f>
        <v>1</v>
      </c>
      <c r="M342" s="11">
        <f>Trainingsabschluss[[#This Row],[Quiz_Frage3_Punkte]]/Max_Frage3</f>
        <v>0.8</v>
      </c>
      <c r="N342" s="11">
        <f>Trainingsabschluss[[#This Row],[Quiz_Frage4_Punkte]]/Max_Frage4</f>
        <v>1</v>
      </c>
      <c r="O342" s="11">
        <f>Trainingsabschluss[[#This Row],[Quiz_Frage5_Punkte]]/Max_Frage5</f>
        <v>0.16666666666666666</v>
      </c>
      <c r="P342" s="2">
        <f>Trainingsabschluss[[#This Row],[Quiz_Frage1_Punkte]]+Trainingsabschluss[[#This Row],[Quiz_Frage2_Punkte]]+Trainingsabschluss[[#This Row],[Quiz_Frage3_Punkte]]+Trainingsabschluss[[#This Row],[Quiz_Frage4_Punkte]]+Trainingsabschluss[[#This Row],[Quiz_Frage5_Punkte]]</f>
        <v>18.5</v>
      </c>
      <c r="Q342" s="8">
        <f>Trainingsabschluss[[#This Row],[Quizergebnis]]/Max_Quizergebnis</f>
        <v>0.84090909090909094</v>
      </c>
      <c r="R342" t="str" cm="1">
        <f t="array" ref="R342">_xlfn.IFS(Trainingsabschluss[[#This Row],[Quizergebnis_Prozent]]&lt;0.5, "Nicht bestanden",
Trainingsabschluss[[#This Row],[Quizergebnis_Prozent]]&lt;0.65, "Bestanden",
Trainingsabschluss[[#This Row],[Quizergebnis_Prozent]]&lt;0.8, "Gut bestanden",
TRUE, "Sehr gut bestanden")</f>
        <v>Sehr gut bestanden</v>
      </c>
      <c r="S342" s="3">
        <v>5</v>
      </c>
      <c r="T342" s="3" t="str" cm="1">
        <f t="array" ref="T342">_xlfn.IFS(Trainingsabschluss[[#This Row],[Training_Bewertung]]&gt;=9, "Promotor", Trainingsabschluss[[#This Row],[Training_Bewertung]]
&lt;=6, "Detraktor",
TRUE, "Passiv")</f>
        <v>Detraktor</v>
      </c>
      <c r="W342"/>
    </row>
    <row r="343" spans="1:23" x14ac:dyDescent="0.3">
      <c r="A343" s="13" t="s">
        <v>252</v>
      </c>
      <c r="B343" s="2">
        <v>5</v>
      </c>
      <c r="C343" s="2">
        <v>3</v>
      </c>
      <c r="D343" s="2">
        <v>5</v>
      </c>
      <c r="E343" s="2">
        <v>0</v>
      </c>
      <c r="F343" s="2">
        <v>1.5</v>
      </c>
      <c r="G343" s="2" t="str">
        <f>_xlfn.XLOOKUP(Trainingsabschluss[[#This Row],[UserID]], Teilnehmende[UserID], Teilnehmende[Branche], "UserID nicht gefunden")</f>
        <v>Beratung</v>
      </c>
      <c r="H343" t="str">
        <f>_xlfn.XLOOKUP(Trainingsabschluss[[#This Row],[UserID]], Teilnehmende[UserID], Teilnehmende[Bildungsabschluss], "UserID nicht gefunden")</f>
        <v>Master</v>
      </c>
      <c r="I343" s="3">
        <f>_xlfn.XLOOKUP(Trainingsabschluss[[#This Row],[UserID]], Teilnehmende[UserID], Teilnehmende[Berufserfahrung])</f>
        <v>10</v>
      </c>
      <c r="J343" s="3" t="str" cm="1">
        <f t="array" ref="J34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43" s="11">
        <f>Trainingsabschluss[[#This Row],[Quiz_Frage1_Punkte]]/Max_Frage1</f>
        <v>1</v>
      </c>
      <c r="L343" s="11">
        <f>Trainingsabschluss[[#This Row],[Quiz_Frage2_Punkte]]/Max_Frage2</f>
        <v>0.6</v>
      </c>
      <c r="M343" s="11">
        <f>Trainingsabschluss[[#This Row],[Quiz_Frage3_Punkte]]/Max_Frage3</f>
        <v>1</v>
      </c>
      <c r="N343" s="11">
        <f>Trainingsabschluss[[#This Row],[Quiz_Frage4_Punkte]]/Max_Frage4</f>
        <v>0</v>
      </c>
      <c r="O343" s="11">
        <f>Trainingsabschluss[[#This Row],[Quiz_Frage5_Punkte]]/Max_Frage5</f>
        <v>0.5</v>
      </c>
      <c r="P343" s="2">
        <f>Trainingsabschluss[[#This Row],[Quiz_Frage1_Punkte]]+Trainingsabschluss[[#This Row],[Quiz_Frage2_Punkte]]+Trainingsabschluss[[#This Row],[Quiz_Frage3_Punkte]]+Trainingsabschluss[[#This Row],[Quiz_Frage4_Punkte]]+Trainingsabschluss[[#This Row],[Quiz_Frage5_Punkte]]</f>
        <v>14.5</v>
      </c>
      <c r="Q343" s="8">
        <f>Trainingsabschluss[[#This Row],[Quizergebnis]]/Max_Quizergebnis</f>
        <v>0.65909090909090906</v>
      </c>
      <c r="R343" t="str" cm="1">
        <f t="array" ref="R343">_xlfn.IFS(Trainingsabschluss[[#This Row],[Quizergebnis_Prozent]]&lt;0.5, "Nicht bestanden",
Trainingsabschluss[[#This Row],[Quizergebnis_Prozent]]&lt;0.65, "Bestanden",
Trainingsabschluss[[#This Row],[Quizergebnis_Prozent]]&lt;0.8, "Gut bestanden",
TRUE, "Sehr gut bestanden")</f>
        <v>Gut bestanden</v>
      </c>
      <c r="S343" s="3">
        <v>5</v>
      </c>
      <c r="T343" s="3" t="str" cm="1">
        <f t="array" ref="T343">_xlfn.IFS(Trainingsabschluss[[#This Row],[Training_Bewertung]]&gt;=9, "Promotor", Trainingsabschluss[[#This Row],[Training_Bewertung]]
&lt;=6, "Detraktor",
TRUE, "Passiv")</f>
        <v>Detraktor</v>
      </c>
      <c r="W343"/>
    </row>
    <row r="344" spans="1:23" x14ac:dyDescent="0.3">
      <c r="A344" s="13" t="s">
        <v>253</v>
      </c>
      <c r="B344" s="2">
        <v>5</v>
      </c>
      <c r="C344" s="2">
        <v>3</v>
      </c>
      <c r="D344" s="2">
        <v>1.5</v>
      </c>
      <c r="E344" s="2">
        <v>3</v>
      </c>
      <c r="F344" s="2">
        <v>0</v>
      </c>
      <c r="G344" s="2" t="str">
        <f>_xlfn.XLOOKUP(Trainingsabschluss[[#This Row],[UserID]], Teilnehmende[UserID], Teilnehmende[Branche], "UserID nicht gefunden")</f>
        <v>Beratung</v>
      </c>
      <c r="H344" t="str">
        <f>_xlfn.XLOOKUP(Trainingsabschluss[[#This Row],[UserID]], Teilnehmende[UserID], Teilnehmende[Bildungsabschluss], "UserID nicht gefunden")</f>
        <v>Master</v>
      </c>
      <c r="I344" s="3">
        <f>_xlfn.XLOOKUP(Trainingsabschluss[[#This Row],[UserID]], Teilnehmende[UserID], Teilnehmende[Berufserfahrung])</f>
        <v>9</v>
      </c>
      <c r="J344" s="3" t="str" cm="1">
        <f t="array" ref="J34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44" s="11">
        <f>Trainingsabschluss[[#This Row],[Quiz_Frage1_Punkte]]/Max_Frage1</f>
        <v>1</v>
      </c>
      <c r="L344" s="11">
        <f>Trainingsabschluss[[#This Row],[Quiz_Frage2_Punkte]]/Max_Frage2</f>
        <v>0.6</v>
      </c>
      <c r="M344" s="11">
        <f>Trainingsabschluss[[#This Row],[Quiz_Frage3_Punkte]]/Max_Frage3</f>
        <v>0.3</v>
      </c>
      <c r="N344" s="11">
        <f>Trainingsabschluss[[#This Row],[Quiz_Frage4_Punkte]]/Max_Frage4</f>
        <v>0.75</v>
      </c>
      <c r="O344" s="11">
        <f>Trainingsabschluss[[#This Row],[Quiz_Frage5_Punkte]]/Max_Frage5</f>
        <v>0</v>
      </c>
      <c r="P344" s="2">
        <f>Trainingsabschluss[[#This Row],[Quiz_Frage1_Punkte]]+Trainingsabschluss[[#This Row],[Quiz_Frage2_Punkte]]+Trainingsabschluss[[#This Row],[Quiz_Frage3_Punkte]]+Trainingsabschluss[[#This Row],[Quiz_Frage4_Punkte]]+Trainingsabschluss[[#This Row],[Quiz_Frage5_Punkte]]</f>
        <v>12.5</v>
      </c>
      <c r="Q344" s="8">
        <f>Trainingsabschluss[[#This Row],[Quizergebnis]]/Max_Quizergebnis</f>
        <v>0.56818181818181823</v>
      </c>
      <c r="R344" t="str" cm="1">
        <f t="array" ref="R344">_xlfn.IFS(Trainingsabschluss[[#This Row],[Quizergebnis_Prozent]]&lt;0.5, "Nicht bestanden",
Trainingsabschluss[[#This Row],[Quizergebnis_Prozent]]&lt;0.65, "Bestanden",
Trainingsabschluss[[#This Row],[Quizergebnis_Prozent]]&lt;0.8, "Gut bestanden",
TRUE, "Sehr gut bestanden")</f>
        <v>Bestanden</v>
      </c>
      <c r="S344" s="3">
        <v>5</v>
      </c>
      <c r="T344" s="3" t="str" cm="1">
        <f t="array" ref="T344">_xlfn.IFS(Trainingsabschluss[[#This Row],[Training_Bewertung]]&gt;=9, "Promotor", Trainingsabschluss[[#This Row],[Training_Bewertung]]
&lt;=6, "Detraktor",
TRUE, "Passiv")</f>
        <v>Detraktor</v>
      </c>
      <c r="W344"/>
    </row>
    <row r="345" spans="1:23" x14ac:dyDescent="0.3">
      <c r="A345" s="13" t="s">
        <v>164</v>
      </c>
      <c r="B345" s="2">
        <v>5</v>
      </c>
      <c r="C345" s="2">
        <v>3</v>
      </c>
      <c r="D345" s="2">
        <v>1</v>
      </c>
      <c r="E345" s="2">
        <v>3.5</v>
      </c>
      <c r="F345" s="2">
        <v>3</v>
      </c>
      <c r="G345" s="2" t="str">
        <f>_xlfn.XLOOKUP(Trainingsabschluss[[#This Row],[UserID]], Teilnehmende[UserID], Teilnehmende[Branche], "UserID nicht gefunden")</f>
        <v>Beratung</v>
      </c>
      <c r="H345" t="str">
        <f>_xlfn.XLOOKUP(Trainingsabschluss[[#This Row],[UserID]], Teilnehmende[UserID], Teilnehmende[Bildungsabschluss], "UserID nicht gefunden")</f>
        <v>Master</v>
      </c>
      <c r="I345" s="3">
        <f>_xlfn.XLOOKUP(Trainingsabschluss[[#This Row],[UserID]], Teilnehmende[UserID], Teilnehmende[Berufserfahrung])</f>
        <v>4</v>
      </c>
      <c r="J345" s="3" t="str" cm="1">
        <f t="array" ref="J34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45" s="11">
        <f>Trainingsabschluss[[#This Row],[Quiz_Frage1_Punkte]]/Max_Frage1</f>
        <v>1</v>
      </c>
      <c r="L345" s="11">
        <f>Trainingsabschluss[[#This Row],[Quiz_Frage2_Punkte]]/Max_Frage2</f>
        <v>0.6</v>
      </c>
      <c r="M345" s="11">
        <f>Trainingsabschluss[[#This Row],[Quiz_Frage3_Punkte]]/Max_Frage3</f>
        <v>0.2</v>
      </c>
      <c r="N345" s="11">
        <f>Trainingsabschluss[[#This Row],[Quiz_Frage4_Punkte]]/Max_Frage4</f>
        <v>0.875</v>
      </c>
      <c r="O345" s="11">
        <f>Trainingsabschluss[[#This Row],[Quiz_Frage5_Punkte]]/Max_Frage5</f>
        <v>1</v>
      </c>
      <c r="P345" s="2">
        <f>Trainingsabschluss[[#This Row],[Quiz_Frage1_Punkte]]+Trainingsabschluss[[#This Row],[Quiz_Frage2_Punkte]]+Trainingsabschluss[[#This Row],[Quiz_Frage3_Punkte]]+Trainingsabschluss[[#This Row],[Quiz_Frage4_Punkte]]+Trainingsabschluss[[#This Row],[Quiz_Frage5_Punkte]]</f>
        <v>15.5</v>
      </c>
      <c r="Q345" s="8">
        <f>Trainingsabschluss[[#This Row],[Quizergebnis]]/Max_Quizergebnis</f>
        <v>0.70454545454545459</v>
      </c>
      <c r="R345" t="str" cm="1">
        <f t="array" ref="R345">_xlfn.IFS(Trainingsabschluss[[#This Row],[Quizergebnis_Prozent]]&lt;0.5, "Nicht bestanden",
Trainingsabschluss[[#This Row],[Quizergebnis_Prozent]]&lt;0.65, "Bestanden",
Trainingsabschluss[[#This Row],[Quizergebnis_Prozent]]&lt;0.8, "Gut bestanden",
TRUE, "Sehr gut bestanden")</f>
        <v>Gut bestanden</v>
      </c>
      <c r="S345" s="3">
        <v>7</v>
      </c>
      <c r="T345" s="3" t="str" cm="1">
        <f t="array" ref="T345">_xlfn.IFS(Trainingsabschluss[[#This Row],[Training_Bewertung]]&gt;=9, "Promotor", Trainingsabschluss[[#This Row],[Training_Bewertung]]
&lt;=6, "Detraktor",
TRUE, "Passiv")</f>
        <v>Passiv</v>
      </c>
      <c r="W345"/>
    </row>
    <row r="346" spans="1:23" x14ac:dyDescent="0.3">
      <c r="A346" s="13" t="s">
        <v>169</v>
      </c>
      <c r="B346" s="2">
        <v>4</v>
      </c>
      <c r="C346" s="2">
        <v>5</v>
      </c>
      <c r="D346" s="2">
        <v>4.5</v>
      </c>
      <c r="E346" s="2">
        <v>3.5</v>
      </c>
      <c r="F346" s="2">
        <v>0.5</v>
      </c>
      <c r="G346" s="2" t="str">
        <f>_xlfn.XLOOKUP(Trainingsabschluss[[#This Row],[UserID]], Teilnehmende[UserID], Teilnehmende[Branche], "UserID nicht gefunden")</f>
        <v>Beratung</v>
      </c>
      <c r="H346" t="str">
        <f>_xlfn.XLOOKUP(Trainingsabschluss[[#This Row],[UserID]], Teilnehmende[UserID], Teilnehmende[Bildungsabschluss], "UserID nicht gefunden")</f>
        <v>Master</v>
      </c>
      <c r="I346" s="3">
        <f>_xlfn.XLOOKUP(Trainingsabschluss[[#This Row],[UserID]], Teilnehmende[UserID], Teilnehmende[Berufserfahrung])</f>
        <v>11</v>
      </c>
      <c r="J346" s="3" t="str" cm="1">
        <f t="array" ref="J34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46" s="11">
        <f>Trainingsabschluss[[#This Row],[Quiz_Frage1_Punkte]]/Max_Frage1</f>
        <v>0.8</v>
      </c>
      <c r="L346" s="11">
        <f>Trainingsabschluss[[#This Row],[Quiz_Frage2_Punkte]]/Max_Frage2</f>
        <v>1</v>
      </c>
      <c r="M346" s="11">
        <f>Trainingsabschluss[[#This Row],[Quiz_Frage3_Punkte]]/Max_Frage3</f>
        <v>0.9</v>
      </c>
      <c r="N346" s="11">
        <f>Trainingsabschluss[[#This Row],[Quiz_Frage4_Punkte]]/Max_Frage4</f>
        <v>0.875</v>
      </c>
      <c r="O346" s="11">
        <f>Trainingsabschluss[[#This Row],[Quiz_Frage5_Punkte]]/Max_Frage5</f>
        <v>0.16666666666666666</v>
      </c>
      <c r="P346" s="2">
        <f>Trainingsabschluss[[#This Row],[Quiz_Frage1_Punkte]]+Trainingsabschluss[[#This Row],[Quiz_Frage2_Punkte]]+Trainingsabschluss[[#This Row],[Quiz_Frage3_Punkte]]+Trainingsabschluss[[#This Row],[Quiz_Frage4_Punkte]]+Trainingsabschluss[[#This Row],[Quiz_Frage5_Punkte]]</f>
        <v>17.5</v>
      </c>
      <c r="Q346" s="8">
        <f>Trainingsabschluss[[#This Row],[Quizergebnis]]/Max_Quizergebnis</f>
        <v>0.79545454545454541</v>
      </c>
      <c r="R346" t="str" cm="1">
        <f t="array" ref="R346">_xlfn.IFS(Trainingsabschluss[[#This Row],[Quizergebnis_Prozent]]&lt;0.5, "Nicht bestanden",
Trainingsabschluss[[#This Row],[Quizergebnis_Prozent]]&lt;0.65, "Bestanden",
Trainingsabschluss[[#This Row],[Quizergebnis_Prozent]]&lt;0.8, "Gut bestanden",
TRUE, "Sehr gut bestanden")</f>
        <v>Gut bestanden</v>
      </c>
      <c r="S346" s="3">
        <v>7</v>
      </c>
      <c r="T346" s="3" t="str" cm="1">
        <f t="array" ref="T346">_xlfn.IFS(Trainingsabschluss[[#This Row],[Training_Bewertung]]&gt;=9, "Promotor", Trainingsabschluss[[#This Row],[Training_Bewertung]]
&lt;=6, "Detraktor",
TRUE, "Passiv")</f>
        <v>Passiv</v>
      </c>
      <c r="W346"/>
    </row>
    <row r="347" spans="1:23" x14ac:dyDescent="0.3">
      <c r="A347" s="13" t="s">
        <v>178</v>
      </c>
      <c r="B347" s="2">
        <v>5</v>
      </c>
      <c r="C347" s="2">
        <v>5</v>
      </c>
      <c r="D347" s="2">
        <v>2</v>
      </c>
      <c r="E347" s="2">
        <v>1</v>
      </c>
      <c r="F347" s="2">
        <v>2</v>
      </c>
      <c r="G347" s="2" t="str">
        <f>_xlfn.XLOOKUP(Trainingsabschluss[[#This Row],[UserID]], Teilnehmende[UserID], Teilnehmende[Branche], "UserID nicht gefunden")</f>
        <v>Beratung</v>
      </c>
      <c r="H347" t="str">
        <f>_xlfn.XLOOKUP(Trainingsabschluss[[#This Row],[UserID]], Teilnehmende[UserID], Teilnehmende[Bildungsabschluss], "UserID nicht gefunden")</f>
        <v>Master</v>
      </c>
      <c r="I347" s="3">
        <f>_xlfn.XLOOKUP(Trainingsabschluss[[#This Row],[UserID]], Teilnehmende[UserID], Teilnehmende[Berufserfahrung])</f>
        <v>7</v>
      </c>
      <c r="J347" s="3" t="str" cm="1">
        <f t="array" ref="J34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47" s="11">
        <f>Trainingsabschluss[[#This Row],[Quiz_Frage1_Punkte]]/Max_Frage1</f>
        <v>1</v>
      </c>
      <c r="L347" s="11">
        <f>Trainingsabschluss[[#This Row],[Quiz_Frage2_Punkte]]/Max_Frage2</f>
        <v>1</v>
      </c>
      <c r="M347" s="11">
        <f>Trainingsabschluss[[#This Row],[Quiz_Frage3_Punkte]]/Max_Frage3</f>
        <v>0.4</v>
      </c>
      <c r="N347" s="11">
        <f>Trainingsabschluss[[#This Row],[Quiz_Frage4_Punkte]]/Max_Frage4</f>
        <v>0.25</v>
      </c>
      <c r="O347" s="11">
        <f>Trainingsabschluss[[#This Row],[Quiz_Frage5_Punkte]]/Max_Frage5</f>
        <v>0.66666666666666663</v>
      </c>
      <c r="P347" s="2">
        <f>Trainingsabschluss[[#This Row],[Quiz_Frage1_Punkte]]+Trainingsabschluss[[#This Row],[Quiz_Frage2_Punkte]]+Trainingsabschluss[[#This Row],[Quiz_Frage3_Punkte]]+Trainingsabschluss[[#This Row],[Quiz_Frage4_Punkte]]+Trainingsabschluss[[#This Row],[Quiz_Frage5_Punkte]]</f>
        <v>15</v>
      </c>
      <c r="Q347" s="8">
        <f>Trainingsabschluss[[#This Row],[Quizergebnis]]/Max_Quizergebnis</f>
        <v>0.68181818181818177</v>
      </c>
      <c r="R347" t="str" cm="1">
        <f t="array" ref="R347">_xlfn.IFS(Trainingsabschluss[[#This Row],[Quizergebnis_Prozent]]&lt;0.5, "Nicht bestanden",
Trainingsabschluss[[#This Row],[Quizergebnis_Prozent]]&lt;0.65, "Bestanden",
Trainingsabschluss[[#This Row],[Quizergebnis_Prozent]]&lt;0.8, "Gut bestanden",
TRUE, "Sehr gut bestanden")</f>
        <v>Gut bestanden</v>
      </c>
      <c r="S347" s="3">
        <v>7</v>
      </c>
      <c r="T347" s="3" t="str" cm="1">
        <f t="array" ref="T347">_xlfn.IFS(Trainingsabschluss[[#This Row],[Training_Bewertung]]&gt;=9, "Promotor", Trainingsabschluss[[#This Row],[Training_Bewertung]]
&lt;=6, "Detraktor",
TRUE, "Passiv")</f>
        <v>Passiv</v>
      </c>
      <c r="W347"/>
    </row>
    <row r="348" spans="1:23" x14ac:dyDescent="0.3">
      <c r="A348" s="13" t="s">
        <v>185</v>
      </c>
      <c r="B348" s="2">
        <v>5</v>
      </c>
      <c r="C348" s="2">
        <v>3.5</v>
      </c>
      <c r="D348" s="2">
        <v>1.5</v>
      </c>
      <c r="E348" s="2">
        <v>3</v>
      </c>
      <c r="F348" s="2">
        <v>2</v>
      </c>
      <c r="G348" s="2" t="str">
        <f>_xlfn.XLOOKUP(Trainingsabschluss[[#This Row],[UserID]], Teilnehmende[UserID], Teilnehmende[Branche], "UserID nicht gefunden")</f>
        <v>Beratung</v>
      </c>
      <c r="H348" t="str">
        <f>_xlfn.XLOOKUP(Trainingsabschluss[[#This Row],[UserID]], Teilnehmende[UserID], Teilnehmende[Bildungsabschluss], "UserID nicht gefunden")</f>
        <v>Master</v>
      </c>
      <c r="I348" s="3">
        <f>_xlfn.XLOOKUP(Trainingsabschluss[[#This Row],[UserID]], Teilnehmende[UserID], Teilnehmende[Berufserfahrung])</f>
        <v>10</v>
      </c>
      <c r="J348" s="3" t="str" cm="1">
        <f t="array" ref="J34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48" s="11">
        <f>Trainingsabschluss[[#This Row],[Quiz_Frage1_Punkte]]/Max_Frage1</f>
        <v>1</v>
      </c>
      <c r="L348" s="11">
        <f>Trainingsabschluss[[#This Row],[Quiz_Frage2_Punkte]]/Max_Frage2</f>
        <v>0.7</v>
      </c>
      <c r="M348" s="11">
        <f>Trainingsabschluss[[#This Row],[Quiz_Frage3_Punkte]]/Max_Frage3</f>
        <v>0.3</v>
      </c>
      <c r="N348" s="11">
        <f>Trainingsabschluss[[#This Row],[Quiz_Frage4_Punkte]]/Max_Frage4</f>
        <v>0.75</v>
      </c>
      <c r="O348" s="11">
        <f>Trainingsabschluss[[#This Row],[Quiz_Frage5_Punkte]]/Max_Frage5</f>
        <v>0.66666666666666663</v>
      </c>
      <c r="P348" s="2">
        <f>Trainingsabschluss[[#This Row],[Quiz_Frage1_Punkte]]+Trainingsabschluss[[#This Row],[Quiz_Frage2_Punkte]]+Trainingsabschluss[[#This Row],[Quiz_Frage3_Punkte]]+Trainingsabschluss[[#This Row],[Quiz_Frage4_Punkte]]+Trainingsabschluss[[#This Row],[Quiz_Frage5_Punkte]]</f>
        <v>15</v>
      </c>
      <c r="Q348" s="8">
        <f>Trainingsabschluss[[#This Row],[Quizergebnis]]/Max_Quizergebnis</f>
        <v>0.68181818181818177</v>
      </c>
      <c r="R348" t="str" cm="1">
        <f t="array" ref="R348">_xlfn.IFS(Trainingsabschluss[[#This Row],[Quizergebnis_Prozent]]&lt;0.5, "Nicht bestanden",
Trainingsabschluss[[#This Row],[Quizergebnis_Prozent]]&lt;0.65, "Bestanden",
Trainingsabschluss[[#This Row],[Quizergebnis_Prozent]]&lt;0.8, "Gut bestanden",
TRUE, "Sehr gut bestanden")</f>
        <v>Gut bestanden</v>
      </c>
      <c r="S348" s="3">
        <v>8</v>
      </c>
      <c r="T348" s="3" t="str" cm="1">
        <f t="array" ref="T348">_xlfn.IFS(Trainingsabschluss[[#This Row],[Training_Bewertung]]&gt;=9, "Promotor", Trainingsabschluss[[#This Row],[Training_Bewertung]]
&lt;=6, "Detraktor",
TRUE, "Passiv")</f>
        <v>Passiv</v>
      </c>
      <c r="W348"/>
    </row>
    <row r="349" spans="1:23" x14ac:dyDescent="0.3">
      <c r="A349" s="13" t="s">
        <v>186</v>
      </c>
      <c r="B349" s="2">
        <v>4.5</v>
      </c>
      <c r="C349" s="2">
        <v>3.5</v>
      </c>
      <c r="D349" s="2">
        <v>2.5</v>
      </c>
      <c r="E349" s="2">
        <v>2.5</v>
      </c>
      <c r="F349" s="2">
        <v>0.5</v>
      </c>
      <c r="G349" s="2" t="str">
        <f>_xlfn.XLOOKUP(Trainingsabschluss[[#This Row],[UserID]], Teilnehmende[UserID], Teilnehmende[Branche], "UserID nicht gefunden")</f>
        <v>Beratung</v>
      </c>
      <c r="H349" t="str">
        <f>_xlfn.XLOOKUP(Trainingsabschluss[[#This Row],[UserID]], Teilnehmende[UserID], Teilnehmende[Bildungsabschluss], "UserID nicht gefunden")</f>
        <v>Master</v>
      </c>
      <c r="I349" s="3">
        <f>_xlfn.XLOOKUP(Trainingsabschluss[[#This Row],[UserID]], Teilnehmende[UserID], Teilnehmende[Berufserfahrung])</f>
        <v>4</v>
      </c>
      <c r="J349" s="3" t="str" cm="1">
        <f t="array" ref="J34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49" s="11">
        <f>Trainingsabschluss[[#This Row],[Quiz_Frage1_Punkte]]/Max_Frage1</f>
        <v>0.9</v>
      </c>
      <c r="L349" s="11">
        <f>Trainingsabschluss[[#This Row],[Quiz_Frage2_Punkte]]/Max_Frage2</f>
        <v>0.7</v>
      </c>
      <c r="M349" s="11">
        <f>Trainingsabschluss[[#This Row],[Quiz_Frage3_Punkte]]/Max_Frage3</f>
        <v>0.5</v>
      </c>
      <c r="N349" s="11">
        <f>Trainingsabschluss[[#This Row],[Quiz_Frage4_Punkte]]/Max_Frage4</f>
        <v>0.625</v>
      </c>
      <c r="O349" s="11">
        <f>Trainingsabschluss[[#This Row],[Quiz_Frage5_Punkte]]/Max_Frage5</f>
        <v>0.16666666666666666</v>
      </c>
      <c r="P349" s="2">
        <f>Trainingsabschluss[[#This Row],[Quiz_Frage1_Punkte]]+Trainingsabschluss[[#This Row],[Quiz_Frage2_Punkte]]+Trainingsabschluss[[#This Row],[Quiz_Frage3_Punkte]]+Trainingsabschluss[[#This Row],[Quiz_Frage4_Punkte]]+Trainingsabschluss[[#This Row],[Quiz_Frage5_Punkte]]</f>
        <v>13.5</v>
      </c>
      <c r="Q349" s="8">
        <f>Trainingsabschluss[[#This Row],[Quizergebnis]]/Max_Quizergebnis</f>
        <v>0.61363636363636365</v>
      </c>
      <c r="R349" t="str" cm="1">
        <f t="array" ref="R349">_xlfn.IFS(Trainingsabschluss[[#This Row],[Quizergebnis_Prozent]]&lt;0.5, "Nicht bestanden",
Trainingsabschluss[[#This Row],[Quizergebnis_Prozent]]&lt;0.65, "Bestanden",
Trainingsabschluss[[#This Row],[Quizergebnis_Prozent]]&lt;0.8, "Gut bestanden",
TRUE, "Sehr gut bestanden")</f>
        <v>Bestanden</v>
      </c>
      <c r="S349" s="3">
        <v>8</v>
      </c>
      <c r="T349" s="3" t="str" cm="1">
        <f t="array" ref="T349">_xlfn.IFS(Trainingsabschluss[[#This Row],[Training_Bewertung]]&gt;=9, "Promotor", Trainingsabschluss[[#This Row],[Training_Bewertung]]
&lt;=6, "Detraktor",
TRUE, "Passiv")</f>
        <v>Passiv</v>
      </c>
      <c r="W349"/>
    </row>
    <row r="350" spans="1:23" x14ac:dyDescent="0.3">
      <c r="A350" s="13" t="s">
        <v>191</v>
      </c>
      <c r="B350" s="2">
        <v>5</v>
      </c>
      <c r="C350" s="2">
        <v>4</v>
      </c>
      <c r="D350" s="2">
        <v>1.5</v>
      </c>
      <c r="E350" s="2">
        <v>4</v>
      </c>
      <c r="F350" s="2">
        <v>1.5</v>
      </c>
      <c r="G350" s="2" t="str">
        <f>_xlfn.XLOOKUP(Trainingsabschluss[[#This Row],[UserID]], Teilnehmende[UserID], Teilnehmende[Branche], "UserID nicht gefunden")</f>
        <v>Beratung</v>
      </c>
      <c r="H350" t="str">
        <f>_xlfn.XLOOKUP(Trainingsabschluss[[#This Row],[UserID]], Teilnehmende[UserID], Teilnehmende[Bildungsabschluss], "UserID nicht gefunden")</f>
        <v>Master</v>
      </c>
      <c r="I350" s="3">
        <f>_xlfn.XLOOKUP(Trainingsabschluss[[#This Row],[UserID]], Teilnehmende[UserID], Teilnehmende[Berufserfahrung])</f>
        <v>4</v>
      </c>
      <c r="J350" s="3" t="str" cm="1">
        <f t="array" ref="J35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50" s="11">
        <f>Trainingsabschluss[[#This Row],[Quiz_Frage1_Punkte]]/Max_Frage1</f>
        <v>1</v>
      </c>
      <c r="L350" s="11">
        <f>Trainingsabschluss[[#This Row],[Quiz_Frage2_Punkte]]/Max_Frage2</f>
        <v>0.8</v>
      </c>
      <c r="M350" s="11">
        <f>Trainingsabschluss[[#This Row],[Quiz_Frage3_Punkte]]/Max_Frage3</f>
        <v>0.3</v>
      </c>
      <c r="N350" s="11">
        <f>Trainingsabschluss[[#This Row],[Quiz_Frage4_Punkte]]/Max_Frage4</f>
        <v>1</v>
      </c>
      <c r="O350" s="11">
        <f>Trainingsabschluss[[#This Row],[Quiz_Frage5_Punkte]]/Max_Frage5</f>
        <v>0.5</v>
      </c>
      <c r="P350" s="2">
        <f>Trainingsabschluss[[#This Row],[Quiz_Frage1_Punkte]]+Trainingsabschluss[[#This Row],[Quiz_Frage2_Punkte]]+Trainingsabschluss[[#This Row],[Quiz_Frage3_Punkte]]+Trainingsabschluss[[#This Row],[Quiz_Frage4_Punkte]]+Trainingsabschluss[[#This Row],[Quiz_Frage5_Punkte]]</f>
        <v>16</v>
      </c>
      <c r="Q350" s="8">
        <f>Trainingsabschluss[[#This Row],[Quizergebnis]]/Max_Quizergebnis</f>
        <v>0.72727272727272729</v>
      </c>
      <c r="R350" t="str" cm="1">
        <f t="array" ref="R350">_xlfn.IFS(Trainingsabschluss[[#This Row],[Quizergebnis_Prozent]]&lt;0.5, "Nicht bestanden",
Trainingsabschluss[[#This Row],[Quizergebnis_Prozent]]&lt;0.65, "Bestanden",
Trainingsabschluss[[#This Row],[Quizergebnis_Prozent]]&lt;0.8, "Gut bestanden",
TRUE, "Sehr gut bestanden")</f>
        <v>Gut bestanden</v>
      </c>
      <c r="S350" s="3">
        <v>8</v>
      </c>
      <c r="T350" s="3" t="str" cm="1">
        <f t="array" ref="T350">_xlfn.IFS(Trainingsabschluss[[#This Row],[Training_Bewertung]]&gt;=9, "Promotor", Trainingsabschluss[[#This Row],[Training_Bewertung]]
&lt;=6, "Detraktor",
TRUE, "Passiv")</f>
        <v>Passiv</v>
      </c>
      <c r="W350"/>
    </row>
    <row r="351" spans="1:23" x14ac:dyDescent="0.3">
      <c r="A351" s="13" t="s">
        <v>192</v>
      </c>
      <c r="B351" s="2">
        <v>5</v>
      </c>
      <c r="C351" s="2">
        <v>5</v>
      </c>
      <c r="D351" s="2">
        <v>1</v>
      </c>
      <c r="E351" s="2">
        <v>3.5</v>
      </c>
      <c r="F351" s="2">
        <v>2</v>
      </c>
      <c r="G351" s="2" t="str">
        <f>_xlfn.XLOOKUP(Trainingsabschluss[[#This Row],[UserID]], Teilnehmende[UserID], Teilnehmende[Branche], "UserID nicht gefunden")</f>
        <v>Beratung</v>
      </c>
      <c r="H351" t="str">
        <f>_xlfn.XLOOKUP(Trainingsabschluss[[#This Row],[UserID]], Teilnehmende[UserID], Teilnehmende[Bildungsabschluss], "UserID nicht gefunden")</f>
        <v>Master</v>
      </c>
      <c r="I351" s="3">
        <f>_xlfn.XLOOKUP(Trainingsabschluss[[#This Row],[UserID]], Teilnehmende[UserID], Teilnehmende[Berufserfahrung])</f>
        <v>13</v>
      </c>
      <c r="J351" s="3" t="str" cm="1">
        <f t="array" ref="J35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51" s="11">
        <f>Trainingsabschluss[[#This Row],[Quiz_Frage1_Punkte]]/Max_Frage1</f>
        <v>1</v>
      </c>
      <c r="L351" s="11">
        <f>Trainingsabschluss[[#This Row],[Quiz_Frage2_Punkte]]/Max_Frage2</f>
        <v>1</v>
      </c>
      <c r="M351" s="11">
        <f>Trainingsabschluss[[#This Row],[Quiz_Frage3_Punkte]]/Max_Frage3</f>
        <v>0.2</v>
      </c>
      <c r="N351" s="11">
        <f>Trainingsabschluss[[#This Row],[Quiz_Frage4_Punkte]]/Max_Frage4</f>
        <v>0.875</v>
      </c>
      <c r="O351" s="11">
        <f>Trainingsabschluss[[#This Row],[Quiz_Frage5_Punkte]]/Max_Frage5</f>
        <v>0.66666666666666663</v>
      </c>
      <c r="P351" s="2">
        <f>Trainingsabschluss[[#This Row],[Quiz_Frage1_Punkte]]+Trainingsabschluss[[#This Row],[Quiz_Frage2_Punkte]]+Trainingsabschluss[[#This Row],[Quiz_Frage3_Punkte]]+Trainingsabschluss[[#This Row],[Quiz_Frage4_Punkte]]+Trainingsabschluss[[#This Row],[Quiz_Frage5_Punkte]]</f>
        <v>16.5</v>
      </c>
      <c r="Q351" s="8">
        <f>Trainingsabschluss[[#This Row],[Quizergebnis]]/Max_Quizergebnis</f>
        <v>0.75</v>
      </c>
      <c r="R351" t="str" cm="1">
        <f t="array" ref="R351">_xlfn.IFS(Trainingsabschluss[[#This Row],[Quizergebnis_Prozent]]&lt;0.5, "Nicht bestanden",
Trainingsabschluss[[#This Row],[Quizergebnis_Prozent]]&lt;0.65, "Bestanden",
Trainingsabschluss[[#This Row],[Quizergebnis_Prozent]]&lt;0.8, "Gut bestanden",
TRUE, "Sehr gut bestanden")</f>
        <v>Gut bestanden</v>
      </c>
      <c r="S351" s="3">
        <v>8</v>
      </c>
      <c r="T351" s="3" t="str" cm="1">
        <f t="array" ref="T351">_xlfn.IFS(Trainingsabschluss[[#This Row],[Training_Bewertung]]&gt;=9, "Promotor", Trainingsabschluss[[#This Row],[Training_Bewertung]]
&lt;=6, "Detraktor",
TRUE, "Passiv")</f>
        <v>Passiv</v>
      </c>
      <c r="W351"/>
    </row>
    <row r="352" spans="1:23" x14ac:dyDescent="0.3">
      <c r="A352" s="13" t="s">
        <v>195</v>
      </c>
      <c r="B352" s="2">
        <v>1.5</v>
      </c>
      <c r="C352" s="2">
        <v>2</v>
      </c>
      <c r="D352" s="2">
        <v>0</v>
      </c>
      <c r="E352" s="2">
        <v>1</v>
      </c>
      <c r="F352" s="2">
        <v>0</v>
      </c>
      <c r="G352" s="2" t="str">
        <f>_xlfn.XLOOKUP(Trainingsabschluss[[#This Row],[UserID]], Teilnehmende[UserID], Teilnehmende[Branche], "UserID nicht gefunden")</f>
        <v>Beratung</v>
      </c>
      <c r="H352" t="str">
        <f>_xlfn.XLOOKUP(Trainingsabschluss[[#This Row],[UserID]], Teilnehmende[UserID], Teilnehmende[Bildungsabschluss], "UserID nicht gefunden")</f>
        <v>Master</v>
      </c>
      <c r="I352" s="3">
        <f>_xlfn.XLOOKUP(Trainingsabschluss[[#This Row],[UserID]], Teilnehmende[UserID], Teilnehmende[Berufserfahrung])</f>
        <v>8</v>
      </c>
      <c r="J352" s="3" t="str" cm="1">
        <f t="array" ref="J35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52" s="11">
        <f>Trainingsabschluss[[#This Row],[Quiz_Frage1_Punkte]]/Max_Frage1</f>
        <v>0.3</v>
      </c>
      <c r="L352" s="11">
        <f>Trainingsabschluss[[#This Row],[Quiz_Frage2_Punkte]]/Max_Frage2</f>
        <v>0.4</v>
      </c>
      <c r="M352" s="11">
        <f>Trainingsabschluss[[#This Row],[Quiz_Frage3_Punkte]]/Max_Frage3</f>
        <v>0</v>
      </c>
      <c r="N352" s="11">
        <f>Trainingsabschluss[[#This Row],[Quiz_Frage4_Punkte]]/Max_Frage4</f>
        <v>0.25</v>
      </c>
      <c r="O352" s="11">
        <f>Trainingsabschluss[[#This Row],[Quiz_Frage5_Punkte]]/Max_Frage5</f>
        <v>0</v>
      </c>
      <c r="P352" s="2">
        <f>Trainingsabschluss[[#This Row],[Quiz_Frage1_Punkte]]+Trainingsabschluss[[#This Row],[Quiz_Frage2_Punkte]]+Trainingsabschluss[[#This Row],[Quiz_Frage3_Punkte]]+Trainingsabschluss[[#This Row],[Quiz_Frage4_Punkte]]+Trainingsabschluss[[#This Row],[Quiz_Frage5_Punkte]]</f>
        <v>4.5</v>
      </c>
      <c r="Q352" s="8">
        <f>Trainingsabschluss[[#This Row],[Quizergebnis]]/Max_Quizergebnis</f>
        <v>0.20454545454545456</v>
      </c>
      <c r="R352" t="str" cm="1">
        <f t="array" ref="R352">_xlfn.IFS(Trainingsabschluss[[#This Row],[Quizergebnis_Prozent]]&lt;0.5, "Nicht bestanden",
Trainingsabschluss[[#This Row],[Quizergebnis_Prozent]]&lt;0.65, "Bestanden",
Trainingsabschluss[[#This Row],[Quizergebnis_Prozent]]&lt;0.8, "Gut bestanden",
TRUE, "Sehr gut bestanden")</f>
        <v>Nicht bestanden</v>
      </c>
      <c r="S352" s="3">
        <v>8</v>
      </c>
      <c r="T352" s="3" t="str" cm="1">
        <f t="array" ref="T352">_xlfn.IFS(Trainingsabschluss[[#This Row],[Training_Bewertung]]&gt;=9, "Promotor", Trainingsabschluss[[#This Row],[Training_Bewertung]]
&lt;=6, "Detraktor",
TRUE, "Passiv")</f>
        <v>Passiv</v>
      </c>
      <c r="W352"/>
    </row>
    <row r="353" spans="1:23" x14ac:dyDescent="0.3">
      <c r="A353" s="13" t="s">
        <v>197</v>
      </c>
      <c r="B353" s="2">
        <v>5</v>
      </c>
      <c r="C353" s="2">
        <v>3</v>
      </c>
      <c r="D353" s="2">
        <v>3.5</v>
      </c>
      <c r="E353" s="2">
        <v>2.5</v>
      </c>
      <c r="F353" s="2">
        <v>3</v>
      </c>
      <c r="G353" s="2" t="str">
        <f>_xlfn.XLOOKUP(Trainingsabschluss[[#This Row],[UserID]], Teilnehmende[UserID], Teilnehmende[Branche], "UserID nicht gefunden")</f>
        <v>Beratung</v>
      </c>
      <c r="H353" t="str">
        <f>_xlfn.XLOOKUP(Trainingsabschluss[[#This Row],[UserID]], Teilnehmende[UserID], Teilnehmende[Bildungsabschluss], "UserID nicht gefunden")</f>
        <v>Master</v>
      </c>
      <c r="I353" s="3">
        <f>_xlfn.XLOOKUP(Trainingsabschluss[[#This Row],[UserID]], Teilnehmende[UserID], Teilnehmende[Berufserfahrung])</f>
        <v>21</v>
      </c>
      <c r="J353" s="3" t="str" cm="1">
        <f t="array" ref="J353">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353" s="11">
        <f>Trainingsabschluss[[#This Row],[Quiz_Frage1_Punkte]]/Max_Frage1</f>
        <v>1</v>
      </c>
      <c r="L353" s="11">
        <f>Trainingsabschluss[[#This Row],[Quiz_Frage2_Punkte]]/Max_Frage2</f>
        <v>0.6</v>
      </c>
      <c r="M353" s="11">
        <f>Trainingsabschluss[[#This Row],[Quiz_Frage3_Punkte]]/Max_Frage3</f>
        <v>0.7</v>
      </c>
      <c r="N353" s="11">
        <f>Trainingsabschluss[[#This Row],[Quiz_Frage4_Punkte]]/Max_Frage4</f>
        <v>0.625</v>
      </c>
      <c r="O353" s="11">
        <f>Trainingsabschluss[[#This Row],[Quiz_Frage5_Punkte]]/Max_Frage5</f>
        <v>1</v>
      </c>
      <c r="P353" s="2">
        <f>Trainingsabschluss[[#This Row],[Quiz_Frage1_Punkte]]+Trainingsabschluss[[#This Row],[Quiz_Frage2_Punkte]]+Trainingsabschluss[[#This Row],[Quiz_Frage3_Punkte]]+Trainingsabschluss[[#This Row],[Quiz_Frage4_Punkte]]+Trainingsabschluss[[#This Row],[Quiz_Frage5_Punkte]]</f>
        <v>17</v>
      </c>
      <c r="Q353" s="8">
        <f>Trainingsabschluss[[#This Row],[Quizergebnis]]/Max_Quizergebnis</f>
        <v>0.77272727272727271</v>
      </c>
      <c r="R353" t="str" cm="1">
        <f t="array" ref="R353">_xlfn.IFS(Trainingsabschluss[[#This Row],[Quizergebnis_Prozent]]&lt;0.5, "Nicht bestanden",
Trainingsabschluss[[#This Row],[Quizergebnis_Prozent]]&lt;0.65, "Bestanden",
Trainingsabschluss[[#This Row],[Quizergebnis_Prozent]]&lt;0.8, "Gut bestanden",
TRUE, "Sehr gut bestanden")</f>
        <v>Gut bestanden</v>
      </c>
      <c r="S353" s="3">
        <v>8</v>
      </c>
      <c r="T353" s="3" t="str" cm="1">
        <f t="array" ref="T353">_xlfn.IFS(Trainingsabschluss[[#This Row],[Training_Bewertung]]&gt;=9, "Promotor", Trainingsabschluss[[#This Row],[Training_Bewertung]]
&lt;=6, "Detraktor",
TRUE, "Passiv")</f>
        <v>Passiv</v>
      </c>
      <c r="W353"/>
    </row>
    <row r="354" spans="1:23" x14ac:dyDescent="0.3">
      <c r="A354" s="13" t="s">
        <v>202</v>
      </c>
      <c r="B354" s="2">
        <v>5</v>
      </c>
      <c r="C354" s="2">
        <v>4</v>
      </c>
      <c r="D354" s="2">
        <v>3</v>
      </c>
      <c r="E354" s="2">
        <v>4</v>
      </c>
      <c r="F354" s="2">
        <v>2</v>
      </c>
      <c r="G354" s="2" t="str">
        <f>_xlfn.XLOOKUP(Trainingsabschluss[[#This Row],[UserID]], Teilnehmende[UserID], Teilnehmende[Branche], "UserID nicht gefunden")</f>
        <v>Beratung</v>
      </c>
      <c r="H354" t="str">
        <f>_xlfn.XLOOKUP(Trainingsabschluss[[#This Row],[UserID]], Teilnehmende[UserID], Teilnehmende[Bildungsabschluss], "UserID nicht gefunden")</f>
        <v>Master</v>
      </c>
      <c r="I354" s="3">
        <f>_xlfn.XLOOKUP(Trainingsabschluss[[#This Row],[UserID]], Teilnehmende[UserID], Teilnehmende[Berufserfahrung])</f>
        <v>7</v>
      </c>
      <c r="J354" s="3" t="str" cm="1">
        <f t="array" ref="J35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54" s="11">
        <f>Trainingsabschluss[[#This Row],[Quiz_Frage1_Punkte]]/Max_Frage1</f>
        <v>1</v>
      </c>
      <c r="L354" s="11">
        <f>Trainingsabschluss[[#This Row],[Quiz_Frage2_Punkte]]/Max_Frage2</f>
        <v>0.8</v>
      </c>
      <c r="M354" s="11">
        <f>Trainingsabschluss[[#This Row],[Quiz_Frage3_Punkte]]/Max_Frage3</f>
        <v>0.6</v>
      </c>
      <c r="N354" s="11">
        <f>Trainingsabschluss[[#This Row],[Quiz_Frage4_Punkte]]/Max_Frage4</f>
        <v>1</v>
      </c>
      <c r="O354" s="11">
        <f>Trainingsabschluss[[#This Row],[Quiz_Frage5_Punkte]]/Max_Frage5</f>
        <v>0.66666666666666663</v>
      </c>
      <c r="P354" s="2">
        <f>Trainingsabschluss[[#This Row],[Quiz_Frage1_Punkte]]+Trainingsabschluss[[#This Row],[Quiz_Frage2_Punkte]]+Trainingsabschluss[[#This Row],[Quiz_Frage3_Punkte]]+Trainingsabschluss[[#This Row],[Quiz_Frage4_Punkte]]+Trainingsabschluss[[#This Row],[Quiz_Frage5_Punkte]]</f>
        <v>18</v>
      </c>
      <c r="Q354" s="8">
        <f>Trainingsabschluss[[#This Row],[Quizergebnis]]/Max_Quizergebnis</f>
        <v>0.81818181818181823</v>
      </c>
      <c r="R354" t="str" cm="1">
        <f t="array" ref="R354">_xlfn.IFS(Trainingsabschluss[[#This Row],[Quizergebnis_Prozent]]&lt;0.5, "Nicht bestanden",
Trainingsabschluss[[#This Row],[Quizergebnis_Prozent]]&lt;0.65, "Bestanden",
Trainingsabschluss[[#This Row],[Quizergebnis_Prozent]]&lt;0.8, "Gut bestanden",
TRUE, "Sehr gut bestanden")</f>
        <v>Sehr gut bestanden</v>
      </c>
      <c r="S354" s="3">
        <v>8</v>
      </c>
      <c r="T354" s="3" t="str" cm="1">
        <f t="array" ref="T354">_xlfn.IFS(Trainingsabschluss[[#This Row],[Training_Bewertung]]&gt;=9, "Promotor", Trainingsabschluss[[#This Row],[Training_Bewertung]]
&lt;=6, "Detraktor",
TRUE, "Passiv")</f>
        <v>Passiv</v>
      </c>
      <c r="W354"/>
    </row>
    <row r="355" spans="1:23" x14ac:dyDescent="0.3">
      <c r="A355" s="13" t="s">
        <v>203</v>
      </c>
      <c r="B355" s="2">
        <v>4</v>
      </c>
      <c r="C355" s="2">
        <v>3.5</v>
      </c>
      <c r="D355" s="2">
        <v>2.5</v>
      </c>
      <c r="E355" s="2">
        <v>3.5</v>
      </c>
      <c r="F355" s="2">
        <v>2</v>
      </c>
      <c r="G355" s="2" t="str">
        <f>_xlfn.XLOOKUP(Trainingsabschluss[[#This Row],[UserID]], Teilnehmende[UserID], Teilnehmende[Branche], "UserID nicht gefunden")</f>
        <v>Beratung</v>
      </c>
      <c r="H355" t="str">
        <f>_xlfn.XLOOKUP(Trainingsabschluss[[#This Row],[UserID]], Teilnehmende[UserID], Teilnehmende[Bildungsabschluss], "UserID nicht gefunden")</f>
        <v>Master</v>
      </c>
      <c r="I355" s="3">
        <f>_xlfn.XLOOKUP(Trainingsabschluss[[#This Row],[UserID]], Teilnehmende[UserID], Teilnehmende[Berufserfahrung])</f>
        <v>4</v>
      </c>
      <c r="J355" s="3" t="str" cm="1">
        <f t="array" ref="J35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55" s="11">
        <f>Trainingsabschluss[[#This Row],[Quiz_Frage1_Punkte]]/Max_Frage1</f>
        <v>0.8</v>
      </c>
      <c r="L355" s="11">
        <f>Trainingsabschluss[[#This Row],[Quiz_Frage2_Punkte]]/Max_Frage2</f>
        <v>0.7</v>
      </c>
      <c r="M355" s="11">
        <f>Trainingsabschluss[[#This Row],[Quiz_Frage3_Punkte]]/Max_Frage3</f>
        <v>0.5</v>
      </c>
      <c r="N355" s="11">
        <f>Trainingsabschluss[[#This Row],[Quiz_Frage4_Punkte]]/Max_Frage4</f>
        <v>0.875</v>
      </c>
      <c r="O355" s="11">
        <f>Trainingsabschluss[[#This Row],[Quiz_Frage5_Punkte]]/Max_Frage5</f>
        <v>0.66666666666666663</v>
      </c>
      <c r="P355" s="2">
        <f>Trainingsabschluss[[#This Row],[Quiz_Frage1_Punkte]]+Trainingsabschluss[[#This Row],[Quiz_Frage2_Punkte]]+Trainingsabschluss[[#This Row],[Quiz_Frage3_Punkte]]+Trainingsabschluss[[#This Row],[Quiz_Frage4_Punkte]]+Trainingsabschluss[[#This Row],[Quiz_Frage5_Punkte]]</f>
        <v>15.5</v>
      </c>
      <c r="Q355" s="8">
        <f>Trainingsabschluss[[#This Row],[Quizergebnis]]/Max_Quizergebnis</f>
        <v>0.70454545454545459</v>
      </c>
      <c r="R355" t="str" cm="1">
        <f t="array" ref="R355">_xlfn.IFS(Trainingsabschluss[[#This Row],[Quizergebnis_Prozent]]&lt;0.5, "Nicht bestanden",
Trainingsabschluss[[#This Row],[Quizergebnis_Prozent]]&lt;0.65, "Bestanden",
Trainingsabschluss[[#This Row],[Quizergebnis_Prozent]]&lt;0.8, "Gut bestanden",
TRUE, "Sehr gut bestanden")</f>
        <v>Gut bestanden</v>
      </c>
      <c r="S355" s="3">
        <v>8</v>
      </c>
      <c r="T355" s="3" t="str" cm="1">
        <f t="array" ref="T355">_xlfn.IFS(Trainingsabschluss[[#This Row],[Training_Bewertung]]&gt;=9, "Promotor", Trainingsabschluss[[#This Row],[Training_Bewertung]]
&lt;=6, "Detraktor",
TRUE, "Passiv")</f>
        <v>Passiv</v>
      </c>
      <c r="W355"/>
    </row>
    <row r="356" spans="1:23" x14ac:dyDescent="0.3">
      <c r="A356" s="13" t="s">
        <v>211</v>
      </c>
      <c r="B356" s="2">
        <v>5</v>
      </c>
      <c r="C356" s="2">
        <v>4</v>
      </c>
      <c r="D356" s="2">
        <v>4</v>
      </c>
      <c r="E356" s="2">
        <v>3</v>
      </c>
      <c r="F356" s="2">
        <v>3</v>
      </c>
      <c r="G356" s="2" t="str">
        <f>_xlfn.XLOOKUP(Trainingsabschluss[[#This Row],[UserID]], Teilnehmende[UserID], Teilnehmende[Branche], "UserID nicht gefunden")</f>
        <v>Beratung</v>
      </c>
      <c r="H356" t="str">
        <f>_xlfn.XLOOKUP(Trainingsabschluss[[#This Row],[UserID]], Teilnehmende[UserID], Teilnehmende[Bildungsabschluss], "UserID nicht gefunden")</f>
        <v>Master</v>
      </c>
      <c r="I356" s="3">
        <f>_xlfn.XLOOKUP(Trainingsabschluss[[#This Row],[UserID]], Teilnehmende[UserID], Teilnehmende[Berufserfahrung])</f>
        <v>13</v>
      </c>
      <c r="J356" s="3" t="str" cm="1">
        <f t="array" ref="J35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56" s="11">
        <f>Trainingsabschluss[[#This Row],[Quiz_Frage1_Punkte]]/Max_Frage1</f>
        <v>1</v>
      </c>
      <c r="L356" s="11">
        <f>Trainingsabschluss[[#This Row],[Quiz_Frage2_Punkte]]/Max_Frage2</f>
        <v>0.8</v>
      </c>
      <c r="M356" s="11">
        <f>Trainingsabschluss[[#This Row],[Quiz_Frage3_Punkte]]/Max_Frage3</f>
        <v>0.8</v>
      </c>
      <c r="N356" s="11">
        <f>Trainingsabschluss[[#This Row],[Quiz_Frage4_Punkte]]/Max_Frage4</f>
        <v>0.75</v>
      </c>
      <c r="O356" s="11">
        <f>Trainingsabschluss[[#This Row],[Quiz_Frage5_Punkte]]/Max_Frage5</f>
        <v>1</v>
      </c>
      <c r="P356" s="2">
        <f>Trainingsabschluss[[#This Row],[Quiz_Frage1_Punkte]]+Trainingsabschluss[[#This Row],[Quiz_Frage2_Punkte]]+Trainingsabschluss[[#This Row],[Quiz_Frage3_Punkte]]+Trainingsabschluss[[#This Row],[Quiz_Frage4_Punkte]]+Trainingsabschluss[[#This Row],[Quiz_Frage5_Punkte]]</f>
        <v>19</v>
      </c>
      <c r="Q356" s="8">
        <f>Trainingsabschluss[[#This Row],[Quizergebnis]]/Max_Quizergebnis</f>
        <v>0.86363636363636365</v>
      </c>
      <c r="R356" t="str" cm="1">
        <f t="array" ref="R356">_xlfn.IFS(Trainingsabschluss[[#This Row],[Quizergebnis_Prozent]]&lt;0.5, "Nicht bestanden",
Trainingsabschluss[[#This Row],[Quizergebnis_Prozent]]&lt;0.65, "Bestanden",
Trainingsabschluss[[#This Row],[Quizergebnis_Prozent]]&lt;0.8, "Gut bestanden",
TRUE, "Sehr gut bestanden")</f>
        <v>Sehr gut bestanden</v>
      </c>
      <c r="S356" s="3">
        <v>9</v>
      </c>
      <c r="T356" s="3" t="str" cm="1">
        <f t="array" ref="T356">_xlfn.IFS(Trainingsabschluss[[#This Row],[Training_Bewertung]]&gt;=9, "Promotor", Trainingsabschluss[[#This Row],[Training_Bewertung]]
&lt;=6, "Detraktor",
TRUE, "Passiv")</f>
        <v>Promotor</v>
      </c>
      <c r="W356"/>
    </row>
    <row r="357" spans="1:23" x14ac:dyDescent="0.3">
      <c r="A357" s="13" t="s">
        <v>214</v>
      </c>
      <c r="B357" s="2">
        <v>5</v>
      </c>
      <c r="C357" s="2">
        <v>4</v>
      </c>
      <c r="D357" s="2">
        <v>2</v>
      </c>
      <c r="E357" s="2">
        <v>4</v>
      </c>
      <c r="F357" s="2">
        <v>3</v>
      </c>
      <c r="G357" s="2" t="str">
        <f>_xlfn.XLOOKUP(Trainingsabschluss[[#This Row],[UserID]], Teilnehmende[UserID], Teilnehmende[Branche], "UserID nicht gefunden")</f>
        <v>Beratung</v>
      </c>
      <c r="H357" t="str">
        <f>_xlfn.XLOOKUP(Trainingsabschluss[[#This Row],[UserID]], Teilnehmende[UserID], Teilnehmende[Bildungsabschluss], "UserID nicht gefunden")</f>
        <v>Master</v>
      </c>
      <c r="I357" s="3">
        <f>_xlfn.XLOOKUP(Trainingsabschluss[[#This Row],[UserID]], Teilnehmende[UserID], Teilnehmende[Berufserfahrung])</f>
        <v>11</v>
      </c>
      <c r="J357" s="3" t="str" cm="1">
        <f t="array" ref="J357">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57" s="11">
        <f>Trainingsabschluss[[#This Row],[Quiz_Frage1_Punkte]]/Max_Frage1</f>
        <v>1</v>
      </c>
      <c r="L357" s="11">
        <f>Trainingsabschluss[[#This Row],[Quiz_Frage2_Punkte]]/Max_Frage2</f>
        <v>0.8</v>
      </c>
      <c r="M357" s="11">
        <f>Trainingsabschluss[[#This Row],[Quiz_Frage3_Punkte]]/Max_Frage3</f>
        <v>0.4</v>
      </c>
      <c r="N357" s="11">
        <f>Trainingsabschluss[[#This Row],[Quiz_Frage4_Punkte]]/Max_Frage4</f>
        <v>1</v>
      </c>
      <c r="O357" s="11">
        <f>Trainingsabschluss[[#This Row],[Quiz_Frage5_Punkte]]/Max_Frage5</f>
        <v>1</v>
      </c>
      <c r="P357" s="2">
        <f>Trainingsabschluss[[#This Row],[Quiz_Frage1_Punkte]]+Trainingsabschluss[[#This Row],[Quiz_Frage2_Punkte]]+Trainingsabschluss[[#This Row],[Quiz_Frage3_Punkte]]+Trainingsabschluss[[#This Row],[Quiz_Frage4_Punkte]]+Trainingsabschluss[[#This Row],[Quiz_Frage5_Punkte]]</f>
        <v>18</v>
      </c>
      <c r="Q357" s="8">
        <f>Trainingsabschluss[[#This Row],[Quizergebnis]]/Max_Quizergebnis</f>
        <v>0.81818181818181823</v>
      </c>
      <c r="R357" t="str" cm="1">
        <f t="array" ref="R357">_xlfn.IFS(Trainingsabschluss[[#This Row],[Quizergebnis_Prozent]]&lt;0.5, "Nicht bestanden",
Trainingsabschluss[[#This Row],[Quizergebnis_Prozent]]&lt;0.65, "Bestanden",
Trainingsabschluss[[#This Row],[Quizergebnis_Prozent]]&lt;0.8, "Gut bestanden",
TRUE, "Sehr gut bestanden")</f>
        <v>Sehr gut bestanden</v>
      </c>
      <c r="S357" s="3">
        <v>9</v>
      </c>
      <c r="T357" s="3" t="str" cm="1">
        <f t="array" ref="T357">_xlfn.IFS(Trainingsabschluss[[#This Row],[Training_Bewertung]]&gt;=9, "Promotor", Trainingsabschluss[[#This Row],[Training_Bewertung]]
&lt;=6, "Detraktor",
TRUE, "Passiv")</f>
        <v>Promotor</v>
      </c>
      <c r="W357"/>
    </row>
    <row r="358" spans="1:23" x14ac:dyDescent="0.3">
      <c r="A358" s="13" t="s">
        <v>219</v>
      </c>
      <c r="B358" s="2">
        <v>4.5</v>
      </c>
      <c r="C358" s="2">
        <v>2.5</v>
      </c>
      <c r="D358" s="2">
        <v>3.5</v>
      </c>
      <c r="E358" s="2">
        <v>2</v>
      </c>
      <c r="F358" s="2">
        <v>1.5</v>
      </c>
      <c r="G358" s="2" t="str">
        <f>_xlfn.XLOOKUP(Trainingsabschluss[[#This Row],[UserID]], Teilnehmende[UserID], Teilnehmende[Branche], "UserID nicht gefunden")</f>
        <v>Beratung</v>
      </c>
      <c r="H358" t="str">
        <f>_xlfn.XLOOKUP(Trainingsabschluss[[#This Row],[UserID]], Teilnehmende[UserID], Teilnehmende[Bildungsabschluss], "UserID nicht gefunden")</f>
        <v>Master</v>
      </c>
      <c r="I358" s="3">
        <f>_xlfn.XLOOKUP(Trainingsabschluss[[#This Row],[UserID]], Teilnehmende[UserID], Teilnehmende[Berufserfahrung])</f>
        <v>4</v>
      </c>
      <c r="J358" s="3" t="str" cm="1">
        <f t="array" ref="J35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58" s="11">
        <f>Trainingsabschluss[[#This Row],[Quiz_Frage1_Punkte]]/Max_Frage1</f>
        <v>0.9</v>
      </c>
      <c r="L358" s="11">
        <f>Trainingsabschluss[[#This Row],[Quiz_Frage2_Punkte]]/Max_Frage2</f>
        <v>0.5</v>
      </c>
      <c r="M358" s="11">
        <f>Trainingsabschluss[[#This Row],[Quiz_Frage3_Punkte]]/Max_Frage3</f>
        <v>0.7</v>
      </c>
      <c r="N358" s="11">
        <f>Trainingsabschluss[[#This Row],[Quiz_Frage4_Punkte]]/Max_Frage4</f>
        <v>0.5</v>
      </c>
      <c r="O358" s="11">
        <f>Trainingsabschluss[[#This Row],[Quiz_Frage5_Punkte]]/Max_Frage5</f>
        <v>0.5</v>
      </c>
      <c r="P358" s="2">
        <f>Trainingsabschluss[[#This Row],[Quiz_Frage1_Punkte]]+Trainingsabschluss[[#This Row],[Quiz_Frage2_Punkte]]+Trainingsabschluss[[#This Row],[Quiz_Frage3_Punkte]]+Trainingsabschluss[[#This Row],[Quiz_Frage4_Punkte]]+Trainingsabschluss[[#This Row],[Quiz_Frage5_Punkte]]</f>
        <v>14</v>
      </c>
      <c r="Q358" s="8">
        <f>Trainingsabschluss[[#This Row],[Quizergebnis]]/Max_Quizergebnis</f>
        <v>0.63636363636363635</v>
      </c>
      <c r="R358" t="str" cm="1">
        <f t="array" ref="R358">_xlfn.IFS(Trainingsabschluss[[#This Row],[Quizergebnis_Prozent]]&lt;0.5, "Nicht bestanden",
Trainingsabschluss[[#This Row],[Quizergebnis_Prozent]]&lt;0.65, "Bestanden",
Trainingsabschluss[[#This Row],[Quizergebnis_Prozent]]&lt;0.8, "Gut bestanden",
TRUE, "Sehr gut bestanden")</f>
        <v>Bestanden</v>
      </c>
      <c r="S358" s="3">
        <v>9</v>
      </c>
      <c r="T358" s="3" t="str" cm="1">
        <f t="array" ref="T358">_xlfn.IFS(Trainingsabschluss[[#This Row],[Training_Bewertung]]&gt;=9, "Promotor", Trainingsabschluss[[#This Row],[Training_Bewertung]]
&lt;=6, "Detraktor",
TRUE, "Passiv")</f>
        <v>Promotor</v>
      </c>
      <c r="W358"/>
    </row>
    <row r="359" spans="1:23" x14ac:dyDescent="0.3">
      <c r="A359" s="13" t="s">
        <v>221</v>
      </c>
      <c r="B359" s="2">
        <v>5</v>
      </c>
      <c r="C359" s="2">
        <v>3.5</v>
      </c>
      <c r="D359" s="2">
        <v>1</v>
      </c>
      <c r="E359" s="2">
        <v>2.5</v>
      </c>
      <c r="F359" s="2">
        <v>1.5</v>
      </c>
      <c r="G359" s="2" t="str">
        <f>_xlfn.XLOOKUP(Trainingsabschluss[[#This Row],[UserID]], Teilnehmende[UserID], Teilnehmende[Branche], "UserID nicht gefunden")</f>
        <v>Beratung</v>
      </c>
      <c r="H359" t="str">
        <f>_xlfn.XLOOKUP(Trainingsabschluss[[#This Row],[UserID]], Teilnehmende[UserID], Teilnehmende[Bildungsabschluss], "UserID nicht gefunden")</f>
        <v>Master</v>
      </c>
      <c r="I359" s="3">
        <f>_xlfn.XLOOKUP(Trainingsabschluss[[#This Row],[UserID]], Teilnehmende[UserID], Teilnehmende[Berufserfahrung])</f>
        <v>6</v>
      </c>
      <c r="J359" s="3" t="str" cm="1">
        <f t="array" ref="J35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59" s="11">
        <f>Trainingsabschluss[[#This Row],[Quiz_Frage1_Punkte]]/Max_Frage1</f>
        <v>1</v>
      </c>
      <c r="L359" s="11">
        <f>Trainingsabschluss[[#This Row],[Quiz_Frage2_Punkte]]/Max_Frage2</f>
        <v>0.7</v>
      </c>
      <c r="M359" s="11">
        <f>Trainingsabschluss[[#This Row],[Quiz_Frage3_Punkte]]/Max_Frage3</f>
        <v>0.2</v>
      </c>
      <c r="N359" s="11">
        <f>Trainingsabschluss[[#This Row],[Quiz_Frage4_Punkte]]/Max_Frage4</f>
        <v>0.625</v>
      </c>
      <c r="O359" s="11">
        <f>Trainingsabschluss[[#This Row],[Quiz_Frage5_Punkte]]/Max_Frage5</f>
        <v>0.5</v>
      </c>
      <c r="P359" s="2">
        <f>Trainingsabschluss[[#This Row],[Quiz_Frage1_Punkte]]+Trainingsabschluss[[#This Row],[Quiz_Frage2_Punkte]]+Trainingsabschluss[[#This Row],[Quiz_Frage3_Punkte]]+Trainingsabschluss[[#This Row],[Quiz_Frage4_Punkte]]+Trainingsabschluss[[#This Row],[Quiz_Frage5_Punkte]]</f>
        <v>13.5</v>
      </c>
      <c r="Q359" s="8">
        <f>Trainingsabschluss[[#This Row],[Quizergebnis]]/Max_Quizergebnis</f>
        <v>0.61363636363636365</v>
      </c>
      <c r="R359" t="str" cm="1">
        <f t="array" ref="R359">_xlfn.IFS(Trainingsabschluss[[#This Row],[Quizergebnis_Prozent]]&lt;0.5, "Nicht bestanden",
Trainingsabschluss[[#This Row],[Quizergebnis_Prozent]]&lt;0.65, "Bestanden",
Trainingsabschluss[[#This Row],[Quizergebnis_Prozent]]&lt;0.8, "Gut bestanden",
TRUE, "Sehr gut bestanden")</f>
        <v>Bestanden</v>
      </c>
      <c r="S359" s="3">
        <v>9</v>
      </c>
      <c r="T359" s="3" t="str" cm="1">
        <f t="array" ref="T359">_xlfn.IFS(Trainingsabschluss[[#This Row],[Training_Bewertung]]&gt;=9, "Promotor", Trainingsabschluss[[#This Row],[Training_Bewertung]]
&lt;=6, "Detraktor",
TRUE, "Passiv")</f>
        <v>Promotor</v>
      </c>
      <c r="W359"/>
    </row>
    <row r="360" spans="1:23" x14ac:dyDescent="0.3">
      <c r="A360" s="13" t="s">
        <v>225</v>
      </c>
      <c r="B360" s="2">
        <v>5</v>
      </c>
      <c r="C360" s="2">
        <v>5</v>
      </c>
      <c r="D360" s="2">
        <v>3.5</v>
      </c>
      <c r="E360" s="2">
        <v>3.5</v>
      </c>
      <c r="F360" s="2">
        <v>2</v>
      </c>
      <c r="G360" s="2" t="str">
        <f>_xlfn.XLOOKUP(Trainingsabschluss[[#This Row],[UserID]], Teilnehmende[UserID], Teilnehmende[Branche], "UserID nicht gefunden")</f>
        <v>Beratung</v>
      </c>
      <c r="H360" t="str">
        <f>_xlfn.XLOOKUP(Trainingsabschluss[[#This Row],[UserID]], Teilnehmende[UserID], Teilnehmende[Bildungsabschluss], "UserID nicht gefunden")</f>
        <v>Master</v>
      </c>
      <c r="I360" s="3">
        <f>_xlfn.XLOOKUP(Trainingsabschluss[[#This Row],[UserID]], Teilnehmende[UserID], Teilnehmende[Berufserfahrung])</f>
        <v>13</v>
      </c>
      <c r="J360" s="3" t="str" cm="1">
        <f t="array" ref="J360">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60" s="11">
        <f>Trainingsabschluss[[#This Row],[Quiz_Frage1_Punkte]]/Max_Frage1</f>
        <v>1</v>
      </c>
      <c r="L360" s="11">
        <f>Trainingsabschluss[[#This Row],[Quiz_Frage2_Punkte]]/Max_Frage2</f>
        <v>1</v>
      </c>
      <c r="M360" s="11">
        <f>Trainingsabschluss[[#This Row],[Quiz_Frage3_Punkte]]/Max_Frage3</f>
        <v>0.7</v>
      </c>
      <c r="N360" s="11">
        <f>Trainingsabschluss[[#This Row],[Quiz_Frage4_Punkte]]/Max_Frage4</f>
        <v>0.875</v>
      </c>
      <c r="O360" s="11">
        <f>Trainingsabschluss[[#This Row],[Quiz_Frage5_Punkte]]/Max_Frage5</f>
        <v>0.66666666666666663</v>
      </c>
      <c r="P360" s="2">
        <f>Trainingsabschluss[[#This Row],[Quiz_Frage1_Punkte]]+Trainingsabschluss[[#This Row],[Quiz_Frage2_Punkte]]+Trainingsabschluss[[#This Row],[Quiz_Frage3_Punkte]]+Trainingsabschluss[[#This Row],[Quiz_Frage4_Punkte]]+Trainingsabschluss[[#This Row],[Quiz_Frage5_Punkte]]</f>
        <v>19</v>
      </c>
      <c r="Q360" s="8">
        <f>Trainingsabschluss[[#This Row],[Quizergebnis]]/Max_Quizergebnis</f>
        <v>0.86363636363636365</v>
      </c>
      <c r="R360" t="str" cm="1">
        <f t="array" ref="R360">_xlfn.IFS(Trainingsabschluss[[#This Row],[Quizergebnis_Prozent]]&lt;0.5, "Nicht bestanden",
Trainingsabschluss[[#This Row],[Quizergebnis_Prozent]]&lt;0.65, "Bestanden",
Trainingsabschluss[[#This Row],[Quizergebnis_Prozent]]&lt;0.8, "Gut bestanden",
TRUE, "Sehr gut bestanden")</f>
        <v>Sehr gut bestanden</v>
      </c>
      <c r="S360" s="3">
        <v>9</v>
      </c>
      <c r="T360" s="3" t="str" cm="1">
        <f t="array" ref="T360">_xlfn.IFS(Trainingsabschluss[[#This Row],[Training_Bewertung]]&gt;=9, "Promotor", Trainingsabschluss[[#This Row],[Training_Bewertung]]
&lt;=6, "Detraktor",
TRUE, "Passiv")</f>
        <v>Promotor</v>
      </c>
      <c r="W360"/>
    </row>
    <row r="361" spans="1:23" x14ac:dyDescent="0.3">
      <c r="A361" s="13" t="s">
        <v>229</v>
      </c>
      <c r="B361" s="2">
        <v>5</v>
      </c>
      <c r="C361" s="2">
        <v>5</v>
      </c>
      <c r="D361" s="2">
        <v>3.5</v>
      </c>
      <c r="E361" s="2">
        <v>3</v>
      </c>
      <c r="F361" s="2">
        <v>2</v>
      </c>
      <c r="G361" s="2" t="str">
        <f>_xlfn.XLOOKUP(Trainingsabschluss[[#This Row],[UserID]], Teilnehmende[UserID], Teilnehmende[Branche], "UserID nicht gefunden")</f>
        <v>Beratung</v>
      </c>
      <c r="H361" t="str">
        <f>_xlfn.XLOOKUP(Trainingsabschluss[[#This Row],[UserID]], Teilnehmende[UserID], Teilnehmende[Bildungsabschluss], "UserID nicht gefunden")</f>
        <v>Master</v>
      </c>
      <c r="I361" s="3">
        <f>_xlfn.XLOOKUP(Trainingsabschluss[[#This Row],[UserID]], Teilnehmende[UserID], Teilnehmende[Berufserfahrung])</f>
        <v>5</v>
      </c>
      <c r="J361" s="3" t="str" cm="1">
        <f t="array" ref="J36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61" s="11">
        <f>Trainingsabschluss[[#This Row],[Quiz_Frage1_Punkte]]/Max_Frage1</f>
        <v>1</v>
      </c>
      <c r="L361" s="11">
        <f>Trainingsabschluss[[#This Row],[Quiz_Frage2_Punkte]]/Max_Frage2</f>
        <v>1</v>
      </c>
      <c r="M361" s="11">
        <f>Trainingsabschluss[[#This Row],[Quiz_Frage3_Punkte]]/Max_Frage3</f>
        <v>0.7</v>
      </c>
      <c r="N361" s="11">
        <f>Trainingsabschluss[[#This Row],[Quiz_Frage4_Punkte]]/Max_Frage4</f>
        <v>0.75</v>
      </c>
      <c r="O361" s="11">
        <f>Trainingsabschluss[[#This Row],[Quiz_Frage5_Punkte]]/Max_Frage5</f>
        <v>0.66666666666666663</v>
      </c>
      <c r="P361" s="2">
        <f>Trainingsabschluss[[#This Row],[Quiz_Frage1_Punkte]]+Trainingsabschluss[[#This Row],[Quiz_Frage2_Punkte]]+Trainingsabschluss[[#This Row],[Quiz_Frage3_Punkte]]+Trainingsabschluss[[#This Row],[Quiz_Frage4_Punkte]]+Trainingsabschluss[[#This Row],[Quiz_Frage5_Punkte]]</f>
        <v>18.5</v>
      </c>
      <c r="Q361" s="8">
        <f>Trainingsabschluss[[#This Row],[Quizergebnis]]/Max_Quizergebnis</f>
        <v>0.84090909090909094</v>
      </c>
      <c r="R361" t="str" cm="1">
        <f t="array" ref="R361">_xlfn.IFS(Trainingsabschluss[[#This Row],[Quizergebnis_Prozent]]&lt;0.5, "Nicht bestanden",
Trainingsabschluss[[#This Row],[Quizergebnis_Prozent]]&lt;0.65, "Bestanden",
Trainingsabschluss[[#This Row],[Quizergebnis_Prozent]]&lt;0.8, "Gut bestanden",
TRUE, "Sehr gut bestanden")</f>
        <v>Sehr gut bestanden</v>
      </c>
      <c r="S361" s="3">
        <v>9</v>
      </c>
      <c r="T361" s="3" t="str" cm="1">
        <f t="array" ref="T361">_xlfn.IFS(Trainingsabschluss[[#This Row],[Training_Bewertung]]&gt;=9, "Promotor", Trainingsabschluss[[#This Row],[Training_Bewertung]]
&lt;=6, "Detraktor",
TRUE, "Passiv")</f>
        <v>Promotor</v>
      </c>
      <c r="W361"/>
    </row>
    <row r="362" spans="1:23" x14ac:dyDescent="0.3">
      <c r="A362" s="13" t="s">
        <v>232</v>
      </c>
      <c r="B362" s="2">
        <v>5</v>
      </c>
      <c r="C362" s="2">
        <v>2</v>
      </c>
      <c r="D362" s="2">
        <v>1</v>
      </c>
      <c r="E362" s="2">
        <v>2.5</v>
      </c>
      <c r="F362" s="2">
        <v>2.5</v>
      </c>
      <c r="G362" s="2" t="str">
        <f>_xlfn.XLOOKUP(Trainingsabschluss[[#This Row],[UserID]], Teilnehmende[UserID], Teilnehmende[Branche], "UserID nicht gefunden")</f>
        <v>Beratung</v>
      </c>
      <c r="H362" t="str">
        <f>_xlfn.XLOOKUP(Trainingsabschluss[[#This Row],[UserID]], Teilnehmende[UserID], Teilnehmende[Bildungsabschluss], "UserID nicht gefunden")</f>
        <v>Master</v>
      </c>
      <c r="I362" s="3">
        <f>_xlfn.XLOOKUP(Trainingsabschluss[[#This Row],[UserID]], Teilnehmende[UserID], Teilnehmende[Berufserfahrung])</f>
        <v>4</v>
      </c>
      <c r="J362" s="3" t="str" cm="1">
        <f t="array" ref="J36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62" s="11">
        <f>Trainingsabschluss[[#This Row],[Quiz_Frage1_Punkte]]/Max_Frage1</f>
        <v>1</v>
      </c>
      <c r="L362" s="11">
        <f>Trainingsabschluss[[#This Row],[Quiz_Frage2_Punkte]]/Max_Frage2</f>
        <v>0.4</v>
      </c>
      <c r="M362" s="11">
        <f>Trainingsabschluss[[#This Row],[Quiz_Frage3_Punkte]]/Max_Frage3</f>
        <v>0.2</v>
      </c>
      <c r="N362" s="11">
        <f>Trainingsabschluss[[#This Row],[Quiz_Frage4_Punkte]]/Max_Frage4</f>
        <v>0.625</v>
      </c>
      <c r="O362" s="11">
        <f>Trainingsabschluss[[#This Row],[Quiz_Frage5_Punkte]]/Max_Frage5</f>
        <v>0.83333333333333337</v>
      </c>
      <c r="P362" s="2">
        <f>Trainingsabschluss[[#This Row],[Quiz_Frage1_Punkte]]+Trainingsabschluss[[#This Row],[Quiz_Frage2_Punkte]]+Trainingsabschluss[[#This Row],[Quiz_Frage3_Punkte]]+Trainingsabschluss[[#This Row],[Quiz_Frage4_Punkte]]+Trainingsabschluss[[#This Row],[Quiz_Frage5_Punkte]]</f>
        <v>13</v>
      </c>
      <c r="Q362" s="8">
        <f>Trainingsabschluss[[#This Row],[Quizergebnis]]/Max_Quizergebnis</f>
        <v>0.59090909090909094</v>
      </c>
      <c r="R362" t="str" cm="1">
        <f t="array" ref="R362">_xlfn.IFS(Trainingsabschluss[[#This Row],[Quizergebnis_Prozent]]&lt;0.5, "Nicht bestanden",
Trainingsabschluss[[#This Row],[Quizergebnis_Prozent]]&lt;0.65, "Bestanden",
Trainingsabschluss[[#This Row],[Quizergebnis_Prozent]]&lt;0.8, "Gut bestanden",
TRUE, "Sehr gut bestanden")</f>
        <v>Bestanden</v>
      </c>
      <c r="S362" s="3">
        <v>9</v>
      </c>
      <c r="T362" s="3" t="str" cm="1">
        <f t="array" ref="T362">_xlfn.IFS(Trainingsabschluss[[#This Row],[Training_Bewertung]]&gt;=9, "Promotor", Trainingsabschluss[[#This Row],[Training_Bewertung]]
&lt;=6, "Detraktor",
TRUE, "Passiv")</f>
        <v>Promotor</v>
      </c>
      <c r="W362"/>
    </row>
    <row r="363" spans="1:23" x14ac:dyDescent="0.3">
      <c r="A363" s="13" t="s">
        <v>236</v>
      </c>
      <c r="B363" s="2">
        <v>5</v>
      </c>
      <c r="C363" s="2">
        <v>3.5</v>
      </c>
      <c r="D363" s="2">
        <v>2</v>
      </c>
      <c r="E363" s="2">
        <v>1</v>
      </c>
      <c r="F363" s="2">
        <v>0</v>
      </c>
      <c r="G363" s="2" t="str">
        <f>_xlfn.XLOOKUP(Trainingsabschluss[[#This Row],[UserID]], Teilnehmende[UserID], Teilnehmende[Branche], "UserID nicht gefunden")</f>
        <v>Beratung</v>
      </c>
      <c r="H363" t="str">
        <f>_xlfn.XLOOKUP(Trainingsabschluss[[#This Row],[UserID]], Teilnehmende[UserID], Teilnehmende[Bildungsabschluss], "UserID nicht gefunden")</f>
        <v>Master</v>
      </c>
      <c r="I363" s="3">
        <f>_xlfn.XLOOKUP(Trainingsabschluss[[#This Row],[UserID]], Teilnehmende[UserID], Teilnehmende[Berufserfahrung])</f>
        <v>7</v>
      </c>
      <c r="J363" s="3" t="str" cm="1">
        <f t="array" ref="J36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63" s="11">
        <f>Trainingsabschluss[[#This Row],[Quiz_Frage1_Punkte]]/Max_Frage1</f>
        <v>1</v>
      </c>
      <c r="L363" s="11">
        <f>Trainingsabschluss[[#This Row],[Quiz_Frage2_Punkte]]/Max_Frage2</f>
        <v>0.7</v>
      </c>
      <c r="M363" s="11">
        <f>Trainingsabschluss[[#This Row],[Quiz_Frage3_Punkte]]/Max_Frage3</f>
        <v>0.4</v>
      </c>
      <c r="N363" s="11">
        <f>Trainingsabschluss[[#This Row],[Quiz_Frage4_Punkte]]/Max_Frage4</f>
        <v>0.25</v>
      </c>
      <c r="O363" s="11">
        <f>Trainingsabschluss[[#This Row],[Quiz_Frage5_Punkte]]/Max_Frage5</f>
        <v>0</v>
      </c>
      <c r="P363" s="2">
        <f>Trainingsabschluss[[#This Row],[Quiz_Frage1_Punkte]]+Trainingsabschluss[[#This Row],[Quiz_Frage2_Punkte]]+Trainingsabschluss[[#This Row],[Quiz_Frage3_Punkte]]+Trainingsabschluss[[#This Row],[Quiz_Frage4_Punkte]]+Trainingsabschluss[[#This Row],[Quiz_Frage5_Punkte]]</f>
        <v>11.5</v>
      </c>
      <c r="Q363" s="8">
        <f>Trainingsabschluss[[#This Row],[Quizergebnis]]/Max_Quizergebnis</f>
        <v>0.52272727272727271</v>
      </c>
      <c r="R363" t="str" cm="1">
        <f t="array" ref="R363">_xlfn.IFS(Trainingsabschluss[[#This Row],[Quizergebnis_Prozent]]&lt;0.5, "Nicht bestanden",
Trainingsabschluss[[#This Row],[Quizergebnis_Prozent]]&lt;0.65, "Bestanden",
Trainingsabschluss[[#This Row],[Quizergebnis_Prozent]]&lt;0.8, "Gut bestanden",
TRUE, "Sehr gut bestanden")</f>
        <v>Bestanden</v>
      </c>
      <c r="S363" s="3">
        <v>9</v>
      </c>
      <c r="T363" s="3" t="str" cm="1">
        <f t="array" ref="T363">_xlfn.IFS(Trainingsabschluss[[#This Row],[Training_Bewertung]]&gt;=9, "Promotor", Trainingsabschluss[[#This Row],[Training_Bewertung]]
&lt;=6, "Detraktor",
TRUE, "Passiv")</f>
        <v>Promotor</v>
      </c>
      <c r="W363"/>
    </row>
    <row r="364" spans="1:23" x14ac:dyDescent="0.3">
      <c r="A364" s="13" t="s">
        <v>239</v>
      </c>
      <c r="B364" s="2">
        <v>3.5</v>
      </c>
      <c r="C364" s="2">
        <v>4</v>
      </c>
      <c r="D364" s="2">
        <v>1.5</v>
      </c>
      <c r="E364" s="2">
        <v>4</v>
      </c>
      <c r="F364" s="2">
        <v>2</v>
      </c>
      <c r="G364" s="2" t="str">
        <f>_xlfn.XLOOKUP(Trainingsabschluss[[#This Row],[UserID]], Teilnehmende[UserID], Teilnehmende[Branche], "UserID nicht gefunden")</f>
        <v>Beratung</v>
      </c>
      <c r="H364" t="str">
        <f>_xlfn.XLOOKUP(Trainingsabschluss[[#This Row],[UserID]], Teilnehmende[UserID], Teilnehmende[Bildungsabschluss], "UserID nicht gefunden")</f>
        <v>Master</v>
      </c>
      <c r="I364" s="3">
        <f>_xlfn.XLOOKUP(Trainingsabschluss[[#This Row],[UserID]], Teilnehmende[UserID], Teilnehmende[Berufserfahrung])</f>
        <v>13</v>
      </c>
      <c r="J364" s="3" t="str" cm="1">
        <f t="array" ref="J364">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64" s="11">
        <f>Trainingsabschluss[[#This Row],[Quiz_Frage1_Punkte]]/Max_Frage1</f>
        <v>0.7</v>
      </c>
      <c r="L364" s="11">
        <f>Trainingsabschluss[[#This Row],[Quiz_Frage2_Punkte]]/Max_Frage2</f>
        <v>0.8</v>
      </c>
      <c r="M364" s="11">
        <f>Trainingsabschluss[[#This Row],[Quiz_Frage3_Punkte]]/Max_Frage3</f>
        <v>0.3</v>
      </c>
      <c r="N364" s="11">
        <f>Trainingsabschluss[[#This Row],[Quiz_Frage4_Punkte]]/Max_Frage4</f>
        <v>1</v>
      </c>
      <c r="O364" s="11">
        <f>Trainingsabschluss[[#This Row],[Quiz_Frage5_Punkte]]/Max_Frage5</f>
        <v>0.66666666666666663</v>
      </c>
      <c r="P364" s="2">
        <f>Trainingsabschluss[[#This Row],[Quiz_Frage1_Punkte]]+Trainingsabschluss[[#This Row],[Quiz_Frage2_Punkte]]+Trainingsabschluss[[#This Row],[Quiz_Frage3_Punkte]]+Trainingsabschluss[[#This Row],[Quiz_Frage4_Punkte]]+Trainingsabschluss[[#This Row],[Quiz_Frage5_Punkte]]</f>
        <v>15</v>
      </c>
      <c r="Q364" s="8">
        <f>Trainingsabschluss[[#This Row],[Quizergebnis]]/Max_Quizergebnis</f>
        <v>0.68181818181818177</v>
      </c>
      <c r="R364" t="str" cm="1">
        <f t="array" ref="R364">_xlfn.IFS(Trainingsabschluss[[#This Row],[Quizergebnis_Prozent]]&lt;0.5, "Nicht bestanden",
Trainingsabschluss[[#This Row],[Quizergebnis_Prozent]]&lt;0.65, "Bestanden",
Trainingsabschluss[[#This Row],[Quizergebnis_Prozent]]&lt;0.8, "Gut bestanden",
TRUE, "Sehr gut bestanden")</f>
        <v>Gut bestanden</v>
      </c>
      <c r="S364" s="3">
        <v>9</v>
      </c>
      <c r="T364" s="3" t="str" cm="1">
        <f t="array" ref="T364">_xlfn.IFS(Trainingsabschluss[[#This Row],[Training_Bewertung]]&gt;=9, "Promotor", Trainingsabschluss[[#This Row],[Training_Bewertung]]
&lt;=6, "Detraktor",
TRUE, "Passiv")</f>
        <v>Promotor</v>
      </c>
      <c r="W364"/>
    </row>
    <row r="365" spans="1:23" x14ac:dyDescent="0.3">
      <c r="A365" s="13" t="s">
        <v>245</v>
      </c>
      <c r="B365" s="2">
        <v>5</v>
      </c>
      <c r="C365" s="2">
        <v>5</v>
      </c>
      <c r="D365" s="2">
        <v>4.5</v>
      </c>
      <c r="E365" s="2">
        <v>2.5</v>
      </c>
      <c r="F365" s="2">
        <v>0</v>
      </c>
      <c r="G365" s="2" t="str">
        <f>_xlfn.XLOOKUP(Trainingsabschluss[[#This Row],[UserID]], Teilnehmende[UserID], Teilnehmende[Branche], "UserID nicht gefunden")</f>
        <v>Beratung</v>
      </c>
      <c r="H365" t="str">
        <f>_xlfn.XLOOKUP(Trainingsabschluss[[#This Row],[UserID]], Teilnehmende[UserID], Teilnehmende[Bildungsabschluss], "UserID nicht gefunden")</f>
        <v>Master</v>
      </c>
      <c r="I365" s="3">
        <f>_xlfn.XLOOKUP(Trainingsabschluss[[#This Row],[UserID]], Teilnehmende[UserID], Teilnehmende[Berufserfahrung])</f>
        <v>4</v>
      </c>
      <c r="J365" s="3" t="str" cm="1">
        <f t="array" ref="J365">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65" s="11">
        <f>Trainingsabschluss[[#This Row],[Quiz_Frage1_Punkte]]/Max_Frage1</f>
        <v>1</v>
      </c>
      <c r="L365" s="11">
        <f>Trainingsabschluss[[#This Row],[Quiz_Frage2_Punkte]]/Max_Frage2</f>
        <v>1</v>
      </c>
      <c r="M365" s="11">
        <f>Trainingsabschluss[[#This Row],[Quiz_Frage3_Punkte]]/Max_Frage3</f>
        <v>0.9</v>
      </c>
      <c r="N365" s="11">
        <f>Trainingsabschluss[[#This Row],[Quiz_Frage4_Punkte]]/Max_Frage4</f>
        <v>0.625</v>
      </c>
      <c r="O365" s="11">
        <f>Trainingsabschluss[[#This Row],[Quiz_Frage5_Punkte]]/Max_Frage5</f>
        <v>0</v>
      </c>
      <c r="P365" s="2">
        <f>Trainingsabschluss[[#This Row],[Quiz_Frage1_Punkte]]+Trainingsabschluss[[#This Row],[Quiz_Frage2_Punkte]]+Trainingsabschluss[[#This Row],[Quiz_Frage3_Punkte]]+Trainingsabschluss[[#This Row],[Quiz_Frage4_Punkte]]+Trainingsabschluss[[#This Row],[Quiz_Frage5_Punkte]]</f>
        <v>17</v>
      </c>
      <c r="Q365" s="8">
        <f>Trainingsabschluss[[#This Row],[Quizergebnis]]/Max_Quizergebnis</f>
        <v>0.77272727272727271</v>
      </c>
      <c r="R365" t="str" cm="1">
        <f t="array" ref="R365">_xlfn.IFS(Trainingsabschluss[[#This Row],[Quizergebnis_Prozent]]&lt;0.5, "Nicht bestanden",
Trainingsabschluss[[#This Row],[Quizergebnis_Prozent]]&lt;0.65, "Bestanden",
Trainingsabschluss[[#This Row],[Quizergebnis_Prozent]]&lt;0.8, "Gut bestanden",
TRUE, "Sehr gut bestanden")</f>
        <v>Gut bestanden</v>
      </c>
      <c r="S365" s="3">
        <v>9</v>
      </c>
      <c r="T365" s="3" t="str" cm="1">
        <f t="array" ref="T365">_xlfn.IFS(Trainingsabschluss[[#This Row],[Training_Bewertung]]&gt;=9, "Promotor", Trainingsabschluss[[#This Row],[Training_Bewertung]]
&lt;=6, "Detraktor",
TRUE, "Passiv")</f>
        <v>Promotor</v>
      </c>
      <c r="W365"/>
    </row>
    <row r="366" spans="1:23" x14ac:dyDescent="0.3">
      <c r="A366" s="13" t="s">
        <v>249</v>
      </c>
      <c r="B366" s="2">
        <v>5</v>
      </c>
      <c r="C366" s="2">
        <v>3</v>
      </c>
      <c r="D366" s="2">
        <v>3.5</v>
      </c>
      <c r="E366" s="2">
        <v>3</v>
      </c>
      <c r="F366" s="2">
        <v>0</v>
      </c>
      <c r="G366" s="2" t="str">
        <f>_xlfn.XLOOKUP(Trainingsabschluss[[#This Row],[UserID]], Teilnehmende[UserID], Teilnehmende[Branche], "UserID nicht gefunden")</f>
        <v>Beratung</v>
      </c>
      <c r="H366" t="str">
        <f>_xlfn.XLOOKUP(Trainingsabschluss[[#This Row],[UserID]], Teilnehmende[UserID], Teilnehmende[Bildungsabschluss], "UserID nicht gefunden")</f>
        <v>Master</v>
      </c>
      <c r="I366" s="3">
        <f>_xlfn.XLOOKUP(Trainingsabschluss[[#This Row],[UserID]], Teilnehmende[UserID], Teilnehmende[Berufserfahrung])</f>
        <v>4</v>
      </c>
      <c r="J366" s="3" t="str" cm="1">
        <f t="array" ref="J36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66" s="11">
        <f>Trainingsabschluss[[#This Row],[Quiz_Frage1_Punkte]]/Max_Frage1</f>
        <v>1</v>
      </c>
      <c r="L366" s="11">
        <f>Trainingsabschluss[[#This Row],[Quiz_Frage2_Punkte]]/Max_Frage2</f>
        <v>0.6</v>
      </c>
      <c r="M366" s="11">
        <f>Trainingsabschluss[[#This Row],[Quiz_Frage3_Punkte]]/Max_Frage3</f>
        <v>0.7</v>
      </c>
      <c r="N366" s="11">
        <f>Trainingsabschluss[[#This Row],[Quiz_Frage4_Punkte]]/Max_Frage4</f>
        <v>0.75</v>
      </c>
      <c r="O366" s="11">
        <f>Trainingsabschluss[[#This Row],[Quiz_Frage5_Punkte]]/Max_Frage5</f>
        <v>0</v>
      </c>
      <c r="P366" s="2">
        <f>Trainingsabschluss[[#This Row],[Quiz_Frage1_Punkte]]+Trainingsabschluss[[#This Row],[Quiz_Frage2_Punkte]]+Trainingsabschluss[[#This Row],[Quiz_Frage3_Punkte]]+Trainingsabschluss[[#This Row],[Quiz_Frage4_Punkte]]+Trainingsabschluss[[#This Row],[Quiz_Frage5_Punkte]]</f>
        <v>14.5</v>
      </c>
      <c r="Q366" s="8">
        <f>Trainingsabschluss[[#This Row],[Quizergebnis]]/Max_Quizergebnis</f>
        <v>0.65909090909090906</v>
      </c>
      <c r="R366" t="str" cm="1">
        <f t="array" ref="R366">_xlfn.IFS(Trainingsabschluss[[#This Row],[Quizergebnis_Prozent]]&lt;0.5, "Nicht bestanden",
Trainingsabschluss[[#This Row],[Quizergebnis_Prozent]]&lt;0.65, "Bestanden",
Trainingsabschluss[[#This Row],[Quizergebnis_Prozent]]&lt;0.8, "Gut bestanden",
TRUE, "Sehr gut bestanden")</f>
        <v>Gut bestanden</v>
      </c>
      <c r="S366" s="3">
        <v>9</v>
      </c>
      <c r="T366" s="3" t="str" cm="1">
        <f t="array" ref="T366">_xlfn.IFS(Trainingsabschluss[[#This Row],[Training_Bewertung]]&gt;=9, "Promotor", Trainingsabschluss[[#This Row],[Training_Bewertung]]
&lt;=6, "Detraktor",
TRUE, "Passiv")</f>
        <v>Promotor</v>
      </c>
      <c r="W366"/>
    </row>
    <row r="367" spans="1:23" x14ac:dyDescent="0.3">
      <c r="A367" s="13" t="s">
        <v>160</v>
      </c>
      <c r="B367" s="2">
        <v>3.5</v>
      </c>
      <c r="C367" s="2">
        <v>4</v>
      </c>
      <c r="D367" s="2">
        <v>4.5</v>
      </c>
      <c r="E367" s="2">
        <v>4</v>
      </c>
      <c r="F367" s="2">
        <v>2.5</v>
      </c>
      <c r="G367" s="2" t="str">
        <f>_xlfn.XLOOKUP(Trainingsabschluss[[#This Row],[UserID]], Teilnehmende[UserID], Teilnehmende[Branche], "UserID nicht gefunden")</f>
        <v>Beratung</v>
      </c>
      <c r="H367" t="str">
        <f>_xlfn.XLOOKUP(Trainingsabschluss[[#This Row],[UserID]], Teilnehmende[UserID], Teilnehmende[Bildungsabschluss], "UserID nicht gefunden")</f>
        <v>Master</v>
      </c>
      <c r="I367" s="3">
        <f>_xlfn.XLOOKUP(Trainingsabschluss[[#This Row],[UserID]], Teilnehmende[UserID], Teilnehmende[Berufserfahrung])</f>
        <v>4</v>
      </c>
      <c r="J367" s="3" t="str" cm="1">
        <f t="array" ref="J36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67" s="11">
        <f>Trainingsabschluss[[#This Row],[Quiz_Frage1_Punkte]]/Max_Frage1</f>
        <v>0.7</v>
      </c>
      <c r="L367" s="11">
        <f>Trainingsabschluss[[#This Row],[Quiz_Frage2_Punkte]]/Max_Frage2</f>
        <v>0.8</v>
      </c>
      <c r="M367" s="11">
        <f>Trainingsabschluss[[#This Row],[Quiz_Frage3_Punkte]]/Max_Frage3</f>
        <v>0.9</v>
      </c>
      <c r="N367" s="11">
        <f>Trainingsabschluss[[#This Row],[Quiz_Frage4_Punkte]]/Max_Frage4</f>
        <v>1</v>
      </c>
      <c r="O367" s="11">
        <f>Trainingsabschluss[[#This Row],[Quiz_Frage5_Punkte]]/Max_Frage5</f>
        <v>0.83333333333333337</v>
      </c>
      <c r="P367" s="2">
        <f>Trainingsabschluss[[#This Row],[Quiz_Frage1_Punkte]]+Trainingsabschluss[[#This Row],[Quiz_Frage2_Punkte]]+Trainingsabschluss[[#This Row],[Quiz_Frage3_Punkte]]+Trainingsabschluss[[#This Row],[Quiz_Frage4_Punkte]]+Trainingsabschluss[[#This Row],[Quiz_Frage5_Punkte]]</f>
        <v>18.5</v>
      </c>
      <c r="Q367" s="8">
        <f>Trainingsabschluss[[#This Row],[Quizergebnis]]/Max_Quizergebnis</f>
        <v>0.84090909090909094</v>
      </c>
      <c r="R367" t="str" cm="1">
        <f t="array" ref="R367">_xlfn.IFS(Trainingsabschluss[[#This Row],[Quizergebnis_Prozent]]&lt;0.5, "Nicht bestanden",
Trainingsabschluss[[#This Row],[Quizergebnis_Prozent]]&lt;0.65, "Bestanden",
Trainingsabschluss[[#This Row],[Quizergebnis_Prozent]]&lt;0.8, "Gut bestanden",
TRUE, "Sehr gut bestanden")</f>
        <v>Sehr gut bestanden</v>
      </c>
      <c r="S367" s="3">
        <v>9</v>
      </c>
      <c r="T367" s="3" t="str" cm="1">
        <f t="array" ref="T367">_xlfn.IFS(Trainingsabschluss[[#This Row],[Training_Bewertung]]&gt;=9, "Promotor", Trainingsabschluss[[#This Row],[Training_Bewertung]]
&lt;=6, "Detraktor",
TRUE, "Passiv")</f>
        <v>Promotor</v>
      </c>
      <c r="W367"/>
    </row>
    <row r="368" spans="1:23" x14ac:dyDescent="0.3">
      <c r="A368" s="13" t="s">
        <v>257</v>
      </c>
      <c r="B368" s="2">
        <v>4.5</v>
      </c>
      <c r="C368" s="2">
        <v>4.5</v>
      </c>
      <c r="D368" s="2">
        <v>3.5</v>
      </c>
      <c r="E368" s="2">
        <v>3.5</v>
      </c>
      <c r="F368" s="2">
        <v>2</v>
      </c>
      <c r="G368" s="2" t="str">
        <f>_xlfn.XLOOKUP(Trainingsabschluss[[#This Row],[UserID]], Teilnehmende[UserID], Teilnehmende[Branche], "UserID nicht gefunden")</f>
        <v>Beratung</v>
      </c>
      <c r="H368" t="str">
        <f>_xlfn.XLOOKUP(Trainingsabschluss[[#This Row],[UserID]], Teilnehmende[UserID], Teilnehmende[Bildungsabschluss], "UserID nicht gefunden")</f>
        <v>Master</v>
      </c>
      <c r="I368" s="3">
        <f>_xlfn.XLOOKUP(Trainingsabschluss[[#This Row],[UserID]], Teilnehmende[UserID], Teilnehmende[Berufserfahrung])</f>
        <v>10</v>
      </c>
      <c r="J368" s="3" t="str" cm="1">
        <f t="array" ref="J36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68" s="11">
        <f>Trainingsabschluss[[#This Row],[Quiz_Frage1_Punkte]]/Max_Frage1</f>
        <v>0.9</v>
      </c>
      <c r="L368" s="11">
        <f>Trainingsabschluss[[#This Row],[Quiz_Frage2_Punkte]]/Max_Frage2</f>
        <v>0.9</v>
      </c>
      <c r="M368" s="11">
        <f>Trainingsabschluss[[#This Row],[Quiz_Frage3_Punkte]]/Max_Frage3</f>
        <v>0.7</v>
      </c>
      <c r="N368" s="11">
        <f>Trainingsabschluss[[#This Row],[Quiz_Frage4_Punkte]]/Max_Frage4</f>
        <v>0.875</v>
      </c>
      <c r="O368" s="11">
        <f>Trainingsabschluss[[#This Row],[Quiz_Frage5_Punkte]]/Max_Frage5</f>
        <v>0.66666666666666663</v>
      </c>
      <c r="P368" s="2">
        <f>Trainingsabschluss[[#This Row],[Quiz_Frage1_Punkte]]+Trainingsabschluss[[#This Row],[Quiz_Frage2_Punkte]]+Trainingsabschluss[[#This Row],[Quiz_Frage3_Punkte]]+Trainingsabschluss[[#This Row],[Quiz_Frage4_Punkte]]+Trainingsabschluss[[#This Row],[Quiz_Frage5_Punkte]]</f>
        <v>18</v>
      </c>
      <c r="Q368" s="8">
        <f>Trainingsabschluss[[#This Row],[Quizergebnis]]/Max_Quizergebnis</f>
        <v>0.81818181818181823</v>
      </c>
      <c r="R368" t="str" cm="1">
        <f t="array" ref="R368">_xlfn.IFS(Trainingsabschluss[[#This Row],[Quizergebnis_Prozent]]&lt;0.5, "Nicht bestanden",
Trainingsabschluss[[#This Row],[Quizergebnis_Prozent]]&lt;0.65, "Bestanden",
Trainingsabschluss[[#This Row],[Quizergebnis_Prozent]]&lt;0.8, "Gut bestanden",
TRUE, "Sehr gut bestanden")</f>
        <v>Sehr gut bestanden</v>
      </c>
      <c r="S368" s="3">
        <v>9</v>
      </c>
      <c r="T368" s="3" t="str" cm="1">
        <f t="array" ref="T368">_xlfn.IFS(Trainingsabschluss[[#This Row],[Training_Bewertung]]&gt;=9, "Promotor", Trainingsabschluss[[#This Row],[Training_Bewertung]]
&lt;=6, "Detraktor",
TRUE, "Passiv")</f>
        <v>Promotor</v>
      </c>
      <c r="W368"/>
    </row>
    <row r="369" spans="1:23" x14ac:dyDescent="0.3">
      <c r="A369" s="13" t="s">
        <v>261</v>
      </c>
      <c r="B369" s="2">
        <v>3.5</v>
      </c>
      <c r="C369" s="2">
        <v>2</v>
      </c>
      <c r="D369" s="2">
        <v>0</v>
      </c>
      <c r="E369" s="2">
        <v>2</v>
      </c>
      <c r="F369" s="2">
        <v>0</v>
      </c>
      <c r="G369" s="2" t="str">
        <f>_xlfn.XLOOKUP(Trainingsabschluss[[#This Row],[UserID]], Teilnehmende[UserID], Teilnehmende[Branche], "UserID nicht gefunden")</f>
        <v>Beratung</v>
      </c>
      <c r="H369" t="str">
        <f>_xlfn.XLOOKUP(Trainingsabschluss[[#This Row],[UserID]], Teilnehmende[UserID], Teilnehmende[Bildungsabschluss], "UserID nicht gefunden")</f>
        <v>Master</v>
      </c>
      <c r="I369" s="3">
        <f>_xlfn.XLOOKUP(Trainingsabschluss[[#This Row],[UserID]], Teilnehmende[UserID], Teilnehmende[Berufserfahrung])</f>
        <v>10</v>
      </c>
      <c r="J369" s="3" t="str" cm="1">
        <f t="array" ref="J36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69" s="11">
        <f>Trainingsabschluss[[#This Row],[Quiz_Frage1_Punkte]]/Max_Frage1</f>
        <v>0.7</v>
      </c>
      <c r="L369" s="11">
        <f>Trainingsabschluss[[#This Row],[Quiz_Frage2_Punkte]]/Max_Frage2</f>
        <v>0.4</v>
      </c>
      <c r="M369" s="11">
        <f>Trainingsabschluss[[#This Row],[Quiz_Frage3_Punkte]]/Max_Frage3</f>
        <v>0</v>
      </c>
      <c r="N369" s="11">
        <f>Trainingsabschluss[[#This Row],[Quiz_Frage4_Punkte]]/Max_Frage4</f>
        <v>0.5</v>
      </c>
      <c r="O369" s="11">
        <f>Trainingsabschluss[[#This Row],[Quiz_Frage5_Punkte]]/Max_Frage5</f>
        <v>0</v>
      </c>
      <c r="P369" s="2">
        <f>Trainingsabschluss[[#This Row],[Quiz_Frage1_Punkte]]+Trainingsabschluss[[#This Row],[Quiz_Frage2_Punkte]]+Trainingsabschluss[[#This Row],[Quiz_Frage3_Punkte]]+Trainingsabschluss[[#This Row],[Quiz_Frage4_Punkte]]+Trainingsabschluss[[#This Row],[Quiz_Frage5_Punkte]]</f>
        <v>7.5</v>
      </c>
      <c r="Q369" s="8">
        <f>Trainingsabschluss[[#This Row],[Quizergebnis]]/Max_Quizergebnis</f>
        <v>0.34090909090909088</v>
      </c>
      <c r="R369" t="str" cm="1">
        <f t="array" ref="R369">_xlfn.IFS(Trainingsabschluss[[#This Row],[Quizergebnis_Prozent]]&lt;0.5, "Nicht bestanden",
Trainingsabschluss[[#This Row],[Quizergebnis_Prozent]]&lt;0.65, "Bestanden",
Trainingsabschluss[[#This Row],[Quizergebnis_Prozent]]&lt;0.8, "Gut bestanden",
TRUE, "Sehr gut bestanden")</f>
        <v>Nicht bestanden</v>
      </c>
      <c r="S369" s="3">
        <v>10</v>
      </c>
      <c r="T369" s="3" t="str" cm="1">
        <f t="array" ref="T369">_xlfn.IFS(Trainingsabschluss[[#This Row],[Training_Bewertung]]&gt;=9, "Promotor", Trainingsabschluss[[#This Row],[Training_Bewertung]]
&lt;=6, "Detraktor",
TRUE, "Passiv")</f>
        <v>Promotor</v>
      </c>
      <c r="W369"/>
    </row>
    <row r="370" spans="1:23" x14ac:dyDescent="0.3">
      <c r="A370" s="13" t="s">
        <v>21</v>
      </c>
      <c r="B370" s="2">
        <v>3</v>
      </c>
      <c r="C370" s="2">
        <v>4</v>
      </c>
      <c r="D370" s="2">
        <v>4</v>
      </c>
      <c r="E370" s="2">
        <v>1.5</v>
      </c>
      <c r="F370" s="2">
        <v>1.5</v>
      </c>
      <c r="G370" s="2" t="str">
        <f>_xlfn.XLOOKUP(Trainingsabschluss[[#This Row],[UserID]], Teilnehmende[UserID], Teilnehmende[Branche], "UserID nicht gefunden")</f>
        <v>Großhandel</v>
      </c>
      <c r="H370" t="str">
        <f>_xlfn.XLOOKUP(Trainingsabschluss[[#This Row],[UserID]], Teilnehmende[UserID], Teilnehmende[Bildungsabschluss], "UserID nicht gefunden")</f>
        <v>Master</v>
      </c>
      <c r="I370" s="3">
        <f>_xlfn.XLOOKUP(Trainingsabschluss[[#This Row],[UserID]], Teilnehmende[UserID], Teilnehmende[Berufserfahrung])</f>
        <v>6</v>
      </c>
      <c r="J370" s="3" t="str" cm="1">
        <f t="array" ref="J37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70" s="11">
        <f>Trainingsabschluss[[#This Row],[Quiz_Frage1_Punkte]]/Max_Frage1</f>
        <v>0.6</v>
      </c>
      <c r="L370" s="11">
        <f>Trainingsabschluss[[#This Row],[Quiz_Frage2_Punkte]]/Max_Frage2</f>
        <v>0.8</v>
      </c>
      <c r="M370" s="11">
        <f>Trainingsabschluss[[#This Row],[Quiz_Frage3_Punkte]]/Max_Frage3</f>
        <v>0.8</v>
      </c>
      <c r="N370" s="11">
        <f>Trainingsabschluss[[#This Row],[Quiz_Frage4_Punkte]]/Max_Frage4</f>
        <v>0.375</v>
      </c>
      <c r="O370" s="11">
        <f>Trainingsabschluss[[#This Row],[Quiz_Frage5_Punkte]]/Max_Frage5</f>
        <v>0.5</v>
      </c>
      <c r="P370" s="2">
        <f>Trainingsabschluss[[#This Row],[Quiz_Frage1_Punkte]]+Trainingsabschluss[[#This Row],[Quiz_Frage2_Punkte]]+Trainingsabschluss[[#This Row],[Quiz_Frage3_Punkte]]+Trainingsabschluss[[#This Row],[Quiz_Frage4_Punkte]]+Trainingsabschluss[[#This Row],[Quiz_Frage5_Punkte]]</f>
        <v>14</v>
      </c>
      <c r="Q370" s="8">
        <f>Trainingsabschluss[[#This Row],[Quizergebnis]]/Max_Quizergebnis</f>
        <v>0.63636363636363635</v>
      </c>
      <c r="R370" t="str" cm="1">
        <f t="array" ref="R370">_xlfn.IFS(Trainingsabschluss[[#This Row],[Quizergebnis_Prozent]]&lt;0.5, "Nicht bestanden",
Trainingsabschluss[[#This Row],[Quizergebnis_Prozent]]&lt;0.65, "Bestanden",
Trainingsabschluss[[#This Row],[Quizergebnis_Prozent]]&lt;0.8, "Gut bestanden",
TRUE, "Sehr gut bestanden")</f>
        <v>Bestanden</v>
      </c>
      <c r="S370" s="3">
        <v>3</v>
      </c>
      <c r="T370" s="3" t="str" cm="1">
        <f t="array" ref="T370">_xlfn.IFS(Trainingsabschluss[[#This Row],[Training_Bewertung]]&gt;=9, "Promotor", Trainingsabschluss[[#This Row],[Training_Bewertung]]
&lt;=6, "Detraktor",
TRUE, "Passiv")</f>
        <v>Detraktor</v>
      </c>
      <c r="W370"/>
    </row>
    <row r="371" spans="1:23" x14ac:dyDescent="0.3">
      <c r="A371" s="13" t="s">
        <v>55</v>
      </c>
      <c r="B371" s="2">
        <v>5</v>
      </c>
      <c r="C371" s="2">
        <v>5</v>
      </c>
      <c r="D371" s="2">
        <v>2</v>
      </c>
      <c r="E371" s="2">
        <v>2.5</v>
      </c>
      <c r="F371" s="2">
        <v>3</v>
      </c>
      <c r="G371" s="2" t="str">
        <f>_xlfn.XLOOKUP(Trainingsabschluss[[#This Row],[UserID]], Teilnehmende[UserID], Teilnehmende[Branche], "UserID nicht gefunden")</f>
        <v>Einzelhandel</v>
      </c>
      <c r="H371" t="str">
        <f>_xlfn.XLOOKUP(Trainingsabschluss[[#This Row],[UserID]], Teilnehmende[UserID], Teilnehmende[Bildungsabschluss], "UserID nicht gefunden")</f>
        <v>Master</v>
      </c>
      <c r="I371" s="3">
        <f>_xlfn.XLOOKUP(Trainingsabschluss[[#This Row],[UserID]], Teilnehmende[UserID], Teilnehmende[Berufserfahrung])</f>
        <v>13</v>
      </c>
      <c r="J371" s="3" t="str" cm="1">
        <f t="array" ref="J37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71" s="11">
        <f>Trainingsabschluss[[#This Row],[Quiz_Frage1_Punkte]]/Max_Frage1</f>
        <v>1</v>
      </c>
      <c r="L371" s="11">
        <f>Trainingsabschluss[[#This Row],[Quiz_Frage2_Punkte]]/Max_Frage2</f>
        <v>1</v>
      </c>
      <c r="M371" s="11">
        <f>Trainingsabschluss[[#This Row],[Quiz_Frage3_Punkte]]/Max_Frage3</f>
        <v>0.4</v>
      </c>
      <c r="N371" s="11">
        <f>Trainingsabschluss[[#This Row],[Quiz_Frage4_Punkte]]/Max_Frage4</f>
        <v>0.625</v>
      </c>
      <c r="O371" s="11">
        <f>Trainingsabschluss[[#This Row],[Quiz_Frage5_Punkte]]/Max_Frage5</f>
        <v>1</v>
      </c>
      <c r="P371" s="2">
        <f>Trainingsabschluss[[#This Row],[Quiz_Frage1_Punkte]]+Trainingsabschluss[[#This Row],[Quiz_Frage2_Punkte]]+Trainingsabschluss[[#This Row],[Quiz_Frage3_Punkte]]+Trainingsabschluss[[#This Row],[Quiz_Frage4_Punkte]]+Trainingsabschluss[[#This Row],[Quiz_Frage5_Punkte]]</f>
        <v>17.5</v>
      </c>
      <c r="Q371" s="8">
        <f>Trainingsabschluss[[#This Row],[Quizergebnis]]/Max_Quizergebnis</f>
        <v>0.79545454545454541</v>
      </c>
      <c r="R371" t="str" cm="1">
        <f t="array" ref="R371">_xlfn.IFS(Trainingsabschluss[[#This Row],[Quizergebnis_Prozent]]&lt;0.5, "Nicht bestanden",
Trainingsabschluss[[#This Row],[Quizergebnis_Prozent]]&lt;0.65, "Bestanden",
Trainingsabschluss[[#This Row],[Quizergebnis_Prozent]]&lt;0.8, "Gut bestanden",
TRUE, "Sehr gut bestanden")</f>
        <v>Gut bestanden</v>
      </c>
      <c r="S371" s="3">
        <v>5</v>
      </c>
      <c r="T371" s="3" t="str" cm="1">
        <f t="array" ref="T371">_xlfn.IFS(Trainingsabschluss[[#This Row],[Training_Bewertung]]&gt;=9, "Promotor", Trainingsabschluss[[#This Row],[Training_Bewertung]]
&lt;=6, "Detraktor",
TRUE, "Passiv")</f>
        <v>Detraktor</v>
      </c>
      <c r="W371"/>
    </row>
    <row r="372" spans="1:23" x14ac:dyDescent="0.3">
      <c r="A372" s="13" t="s">
        <v>11</v>
      </c>
      <c r="B372" s="2">
        <v>5</v>
      </c>
      <c r="C372" s="2">
        <v>4</v>
      </c>
      <c r="D372" s="2">
        <v>1</v>
      </c>
      <c r="E372" s="2">
        <v>2</v>
      </c>
      <c r="F372" s="2">
        <v>1</v>
      </c>
      <c r="G372" s="2" t="str">
        <f>_xlfn.XLOOKUP(Trainingsabschluss[[#This Row],[UserID]], Teilnehmende[UserID], Teilnehmende[Branche], "UserID nicht gefunden")</f>
        <v>E-Commerce</v>
      </c>
      <c r="H372" t="str">
        <f>_xlfn.XLOOKUP(Trainingsabschluss[[#This Row],[UserID]], Teilnehmende[UserID], Teilnehmende[Bildungsabschluss], "UserID nicht gefunden")</f>
        <v>Master</v>
      </c>
      <c r="I372" s="3">
        <f>_xlfn.XLOOKUP(Trainingsabschluss[[#This Row],[UserID]], Teilnehmende[UserID], Teilnehmende[Berufserfahrung])</f>
        <v>4</v>
      </c>
      <c r="J372" s="3" t="str" cm="1">
        <f t="array" ref="J37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72" s="11">
        <f>Trainingsabschluss[[#This Row],[Quiz_Frage1_Punkte]]/Max_Frage1</f>
        <v>1</v>
      </c>
      <c r="L372" s="11">
        <f>Trainingsabschluss[[#This Row],[Quiz_Frage2_Punkte]]/Max_Frage2</f>
        <v>0.8</v>
      </c>
      <c r="M372" s="11">
        <f>Trainingsabschluss[[#This Row],[Quiz_Frage3_Punkte]]/Max_Frage3</f>
        <v>0.2</v>
      </c>
      <c r="N372" s="11">
        <f>Trainingsabschluss[[#This Row],[Quiz_Frage4_Punkte]]/Max_Frage4</f>
        <v>0.5</v>
      </c>
      <c r="O372" s="11">
        <f>Trainingsabschluss[[#This Row],[Quiz_Frage5_Punkte]]/Max_Frage5</f>
        <v>0.33333333333333331</v>
      </c>
      <c r="P372" s="2">
        <f>Trainingsabschluss[[#This Row],[Quiz_Frage1_Punkte]]+Trainingsabschluss[[#This Row],[Quiz_Frage2_Punkte]]+Trainingsabschluss[[#This Row],[Quiz_Frage3_Punkte]]+Trainingsabschluss[[#This Row],[Quiz_Frage4_Punkte]]+Trainingsabschluss[[#This Row],[Quiz_Frage5_Punkte]]</f>
        <v>13</v>
      </c>
      <c r="Q372" s="8">
        <f>Trainingsabschluss[[#This Row],[Quizergebnis]]/Max_Quizergebnis</f>
        <v>0.59090909090909094</v>
      </c>
      <c r="R372" t="str" cm="1">
        <f t="array" ref="R372">_xlfn.IFS(Trainingsabschluss[[#This Row],[Quizergebnis_Prozent]]&lt;0.5, "Nicht bestanden",
Trainingsabschluss[[#This Row],[Quizergebnis_Prozent]]&lt;0.65, "Bestanden",
Trainingsabschluss[[#This Row],[Quizergebnis_Prozent]]&lt;0.8, "Gut bestanden",
TRUE, "Sehr gut bestanden")</f>
        <v>Bestanden</v>
      </c>
      <c r="S372" s="3">
        <v>6</v>
      </c>
      <c r="T372" s="3" t="str" cm="1">
        <f t="array" ref="T372">_xlfn.IFS(Trainingsabschluss[[#This Row],[Training_Bewertung]]&gt;=9, "Promotor", Trainingsabschluss[[#This Row],[Training_Bewertung]]
&lt;=6, "Detraktor",
TRUE, "Passiv")</f>
        <v>Detraktor</v>
      </c>
      <c r="W372"/>
    </row>
    <row r="373" spans="1:23" x14ac:dyDescent="0.3">
      <c r="A373" s="13" t="s">
        <v>70</v>
      </c>
      <c r="B373" s="2">
        <v>5</v>
      </c>
      <c r="C373" s="2">
        <v>2.5</v>
      </c>
      <c r="D373" s="2">
        <v>5</v>
      </c>
      <c r="E373" s="2">
        <v>3.5</v>
      </c>
      <c r="F373" s="2">
        <v>1</v>
      </c>
      <c r="G373" s="2" t="str">
        <f>_xlfn.XLOOKUP(Trainingsabschluss[[#This Row],[UserID]], Teilnehmende[UserID], Teilnehmende[Branche], "UserID nicht gefunden")</f>
        <v>Großhandel</v>
      </c>
      <c r="H373" t="str">
        <f>_xlfn.XLOOKUP(Trainingsabschluss[[#This Row],[UserID]], Teilnehmende[UserID], Teilnehmende[Bildungsabschluss], "UserID nicht gefunden")</f>
        <v>Master</v>
      </c>
      <c r="I373" s="3">
        <f>_xlfn.XLOOKUP(Trainingsabschluss[[#This Row],[UserID]], Teilnehmende[UserID], Teilnehmende[Berufserfahrung])</f>
        <v>7</v>
      </c>
      <c r="J373" s="3" t="str" cm="1">
        <f t="array" ref="J37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73" s="11">
        <f>Trainingsabschluss[[#This Row],[Quiz_Frage1_Punkte]]/Max_Frage1</f>
        <v>1</v>
      </c>
      <c r="L373" s="11">
        <f>Trainingsabschluss[[#This Row],[Quiz_Frage2_Punkte]]/Max_Frage2</f>
        <v>0.5</v>
      </c>
      <c r="M373" s="11">
        <f>Trainingsabschluss[[#This Row],[Quiz_Frage3_Punkte]]/Max_Frage3</f>
        <v>1</v>
      </c>
      <c r="N373" s="11">
        <f>Trainingsabschluss[[#This Row],[Quiz_Frage4_Punkte]]/Max_Frage4</f>
        <v>0.875</v>
      </c>
      <c r="O373" s="11">
        <f>Trainingsabschluss[[#This Row],[Quiz_Frage5_Punkte]]/Max_Frage5</f>
        <v>0.33333333333333331</v>
      </c>
      <c r="P373" s="2">
        <f>Trainingsabschluss[[#This Row],[Quiz_Frage1_Punkte]]+Trainingsabschluss[[#This Row],[Quiz_Frage2_Punkte]]+Trainingsabschluss[[#This Row],[Quiz_Frage3_Punkte]]+Trainingsabschluss[[#This Row],[Quiz_Frage4_Punkte]]+Trainingsabschluss[[#This Row],[Quiz_Frage5_Punkte]]</f>
        <v>17</v>
      </c>
      <c r="Q373" s="8">
        <f>Trainingsabschluss[[#This Row],[Quizergebnis]]/Max_Quizergebnis</f>
        <v>0.77272727272727271</v>
      </c>
      <c r="R373" t="str" cm="1">
        <f t="array" ref="R373">_xlfn.IFS(Trainingsabschluss[[#This Row],[Quizergebnis_Prozent]]&lt;0.5, "Nicht bestanden",
Trainingsabschluss[[#This Row],[Quizergebnis_Prozent]]&lt;0.65, "Bestanden",
Trainingsabschluss[[#This Row],[Quizergebnis_Prozent]]&lt;0.8, "Gut bestanden",
TRUE, "Sehr gut bestanden")</f>
        <v>Gut bestanden</v>
      </c>
      <c r="S373" s="3">
        <v>3</v>
      </c>
      <c r="T373" s="3" t="str" cm="1">
        <f t="array" ref="T373">_xlfn.IFS(Trainingsabschluss[[#This Row],[Training_Bewertung]]&gt;=9, "Promotor", Trainingsabschluss[[#This Row],[Training_Bewertung]]
&lt;=6, "Detraktor",
TRUE, "Passiv")</f>
        <v>Detraktor</v>
      </c>
      <c r="W373"/>
    </row>
    <row r="374" spans="1:23" x14ac:dyDescent="0.3">
      <c r="A374" s="13" t="s">
        <v>73</v>
      </c>
      <c r="B374" s="2">
        <v>5</v>
      </c>
      <c r="C374" s="2">
        <v>3.5</v>
      </c>
      <c r="D374" s="2">
        <v>2.5</v>
      </c>
      <c r="E374" s="2">
        <v>2.5</v>
      </c>
      <c r="F374" s="2">
        <v>1.5</v>
      </c>
      <c r="G374" s="2" t="str">
        <f>_xlfn.XLOOKUP(Trainingsabschluss[[#This Row],[UserID]], Teilnehmende[UserID], Teilnehmende[Branche], "UserID nicht gefunden")</f>
        <v>E-Commerce</v>
      </c>
      <c r="H374" t="str">
        <f>_xlfn.XLOOKUP(Trainingsabschluss[[#This Row],[UserID]], Teilnehmende[UserID], Teilnehmende[Bildungsabschluss], "UserID nicht gefunden")</f>
        <v>Master</v>
      </c>
      <c r="I374" s="3">
        <f>_xlfn.XLOOKUP(Trainingsabschluss[[#This Row],[UserID]], Teilnehmende[UserID], Teilnehmende[Berufserfahrung])</f>
        <v>4</v>
      </c>
      <c r="J374" s="3" t="str" cm="1">
        <f t="array" ref="J37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74" s="11">
        <f>Trainingsabschluss[[#This Row],[Quiz_Frage1_Punkte]]/Max_Frage1</f>
        <v>1</v>
      </c>
      <c r="L374" s="11">
        <f>Trainingsabschluss[[#This Row],[Quiz_Frage2_Punkte]]/Max_Frage2</f>
        <v>0.7</v>
      </c>
      <c r="M374" s="11">
        <f>Trainingsabschluss[[#This Row],[Quiz_Frage3_Punkte]]/Max_Frage3</f>
        <v>0.5</v>
      </c>
      <c r="N374" s="11">
        <f>Trainingsabschluss[[#This Row],[Quiz_Frage4_Punkte]]/Max_Frage4</f>
        <v>0.625</v>
      </c>
      <c r="O374" s="11">
        <f>Trainingsabschluss[[#This Row],[Quiz_Frage5_Punkte]]/Max_Frage5</f>
        <v>0.5</v>
      </c>
      <c r="P374" s="2">
        <f>Trainingsabschluss[[#This Row],[Quiz_Frage1_Punkte]]+Trainingsabschluss[[#This Row],[Quiz_Frage2_Punkte]]+Trainingsabschluss[[#This Row],[Quiz_Frage3_Punkte]]+Trainingsabschluss[[#This Row],[Quiz_Frage4_Punkte]]+Trainingsabschluss[[#This Row],[Quiz_Frage5_Punkte]]</f>
        <v>15</v>
      </c>
      <c r="Q374" s="8">
        <f>Trainingsabschluss[[#This Row],[Quizergebnis]]/Max_Quizergebnis</f>
        <v>0.68181818181818177</v>
      </c>
      <c r="R374" t="str" cm="1">
        <f t="array" ref="R374">_xlfn.IFS(Trainingsabschluss[[#This Row],[Quizergebnis_Prozent]]&lt;0.5, "Nicht bestanden",
Trainingsabschluss[[#This Row],[Quizergebnis_Prozent]]&lt;0.65, "Bestanden",
Trainingsabschluss[[#This Row],[Quizergebnis_Prozent]]&lt;0.8, "Gut bestanden",
TRUE, "Sehr gut bestanden")</f>
        <v>Gut bestanden</v>
      </c>
      <c r="S374" s="3">
        <v>6</v>
      </c>
      <c r="T374" s="3" t="str" cm="1">
        <f t="array" ref="T374">_xlfn.IFS(Trainingsabschluss[[#This Row],[Training_Bewertung]]&gt;=9, "Promotor", Trainingsabschluss[[#This Row],[Training_Bewertung]]
&lt;=6, "Detraktor",
TRUE, "Passiv")</f>
        <v>Detraktor</v>
      </c>
      <c r="W374"/>
    </row>
    <row r="375" spans="1:23" x14ac:dyDescent="0.3">
      <c r="A375" s="13" t="s">
        <v>20</v>
      </c>
      <c r="B375" s="2">
        <v>3.5</v>
      </c>
      <c r="C375" s="2">
        <v>4.5</v>
      </c>
      <c r="D375" s="2">
        <v>4.5</v>
      </c>
      <c r="E375" s="2">
        <v>4</v>
      </c>
      <c r="F375" s="2">
        <v>1</v>
      </c>
      <c r="G375" s="2" t="str">
        <f>_xlfn.XLOOKUP(Trainingsabschluss[[#This Row],[UserID]], Teilnehmende[UserID], Teilnehmende[Branche], "UserID nicht gefunden")</f>
        <v>E-Commerce</v>
      </c>
      <c r="H375" t="str">
        <f>_xlfn.XLOOKUP(Trainingsabschluss[[#This Row],[UserID]], Teilnehmende[UserID], Teilnehmende[Bildungsabschluss], "UserID nicht gefunden")</f>
        <v>Master</v>
      </c>
      <c r="I375" s="3">
        <f>_xlfn.XLOOKUP(Trainingsabschluss[[#This Row],[UserID]], Teilnehmende[UserID], Teilnehmende[Berufserfahrung])</f>
        <v>11</v>
      </c>
      <c r="J375" s="3" t="str" cm="1">
        <f t="array" ref="J37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75" s="11">
        <f>Trainingsabschluss[[#This Row],[Quiz_Frage1_Punkte]]/Max_Frage1</f>
        <v>0.7</v>
      </c>
      <c r="L375" s="11">
        <f>Trainingsabschluss[[#This Row],[Quiz_Frage2_Punkte]]/Max_Frage2</f>
        <v>0.9</v>
      </c>
      <c r="M375" s="11">
        <f>Trainingsabschluss[[#This Row],[Quiz_Frage3_Punkte]]/Max_Frage3</f>
        <v>0.9</v>
      </c>
      <c r="N375" s="11">
        <f>Trainingsabschluss[[#This Row],[Quiz_Frage4_Punkte]]/Max_Frage4</f>
        <v>1</v>
      </c>
      <c r="O375" s="11">
        <f>Trainingsabschluss[[#This Row],[Quiz_Frage5_Punkte]]/Max_Frage5</f>
        <v>0.33333333333333331</v>
      </c>
      <c r="P375" s="2">
        <f>Trainingsabschluss[[#This Row],[Quiz_Frage1_Punkte]]+Trainingsabschluss[[#This Row],[Quiz_Frage2_Punkte]]+Trainingsabschluss[[#This Row],[Quiz_Frage3_Punkte]]+Trainingsabschluss[[#This Row],[Quiz_Frage4_Punkte]]+Trainingsabschluss[[#This Row],[Quiz_Frage5_Punkte]]</f>
        <v>17.5</v>
      </c>
      <c r="Q375" s="8">
        <f>Trainingsabschluss[[#This Row],[Quizergebnis]]/Max_Quizergebnis</f>
        <v>0.79545454545454541</v>
      </c>
      <c r="R375" t="str" cm="1">
        <f t="array" ref="R375">_xlfn.IFS(Trainingsabschluss[[#This Row],[Quizergebnis_Prozent]]&lt;0.5, "Nicht bestanden",
Trainingsabschluss[[#This Row],[Quizergebnis_Prozent]]&lt;0.65, "Bestanden",
Trainingsabschluss[[#This Row],[Quizergebnis_Prozent]]&lt;0.8, "Gut bestanden",
TRUE, "Sehr gut bestanden")</f>
        <v>Gut bestanden</v>
      </c>
      <c r="S375" s="3">
        <v>7</v>
      </c>
      <c r="T375" s="3" t="str" cm="1">
        <f t="array" ref="T375">_xlfn.IFS(Trainingsabschluss[[#This Row],[Training_Bewertung]]&gt;=9, "Promotor", Trainingsabschluss[[#This Row],[Training_Bewertung]]
&lt;=6, "Detraktor",
TRUE, "Passiv")</f>
        <v>Passiv</v>
      </c>
      <c r="W375"/>
    </row>
    <row r="376" spans="1:23" x14ac:dyDescent="0.3">
      <c r="A376" s="13" t="s">
        <v>74</v>
      </c>
      <c r="B376" s="2">
        <v>2</v>
      </c>
      <c r="C376" s="2">
        <v>0</v>
      </c>
      <c r="D376" s="2">
        <v>0</v>
      </c>
      <c r="E376" s="2">
        <v>1</v>
      </c>
      <c r="F376" s="2">
        <v>1</v>
      </c>
      <c r="G376" s="2" t="str">
        <f>_xlfn.XLOOKUP(Trainingsabschluss[[#This Row],[UserID]], Teilnehmende[UserID], Teilnehmende[Branche], "UserID nicht gefunden")</f>
        <v>E-Commerce</v>
      </c>
      <c r="H376" t="str">
        <f>_xlfn.XLOOKUP(Trainingsabschluss[[#This Row],[UserID]], Teilnehmende[UserID], Teilnehmende[Bildungsabschluss], "UserID nicht gefunden")</f>
        <v>Master</v>
      </c>
      <c r="I376" s="3">
        <f>_xlfn.XLOOKUP(Trainingsabschluss[[#This Row],[UserID]], Teilnehmende[UserID], Teilnehmende[Berufserfahrung])</f>
        <v>4</v>
      </c>
      <c r="J376" s="3" t="str" cm="1">
        <f t="array" ref="J37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76" s="11">
        <f>Trainingsabschluss[[#This Row],[Quiz_Frage1_Punkte]]/Max_Frage1</f>
        <v>0.4</v>
      </c>
      <c r="L376" s="11">
        <f>Trainingsabschluss[[#This Row],[Quiz_Frage2_Punkte]]/Max_Frage2</f>
        <v>0</v>
      </c>
      <c r="M376" s="11">
        <f>Trainingsabschluss[[#This Row],[Quiz_Frage3_Punkte]]/Max_Frage3</f>
        <v>0</v>
      </c>
      <c r="N376" s="11">
        <f>Trainingsabschluss[[#This Row],[Quiz_Frage4_Punkte]]/Max_Frage4</f>
        <v>0.25</v>
      </c>
      <c r="O376" s="11">
        <f>Trainingsabschluss[[#This Row],[Quiz_Frage5_Punkte]]/Max_Frage5</f>
        <v>0.33333333333333331</v>
      </c>
      <c r="P376" s="2">
        <f>Trainingsabschluss[[#This Row],[Quiz_Frage1_Punkte]]+Trainingsabschluss[[#This Row],[Quiz_Frage2_Punkte]]+Trainingsabschluss[[#This Row],[Quiz_Frage3_Punkte]]+Trainingsabschluss[[#This Row],[Quiz_Frage4_Punkte]]+Trainingsabschluss[[#This Row],[Quiz_Frage5_Punkte]]</f>
        <v>4</v>
      </c>
      <c r="Q376" s="8">
        <f>Trainingsabschluss[[#This Row],[Quizergebnis]]/Max_Quizergebnis</f>
        <v>0.18181818181818182</v>
      </c>
      <c r="R376" t="str" cm="1">
        <f t="array" ref="R376">_xlfn.IFS(Trainingsabschluss[[#This Row],[Quizergebnis_Prozent]]&lt;0.5, "Nicht bestanden",
Trainingsabschluss[[#This Row],[Quizergebnis_Prozent]]&lt;0.65, "Bestanden",
Trainingsabschluss[[#This Row],[Quizergebnis_Prozent]]&lt;0.8, "Gut bestanden",
TRUE, "Sehr gut bestanden")</f>
        <v>Nicht bestanden</v>
      </c>
      <c r="S376" s="3">
        <v>7</v>
      </c>
      <c r="T376" s="3" t="str" cm="1">
        <f t="array" ref="T376">_xlfn.IFS(Trainingsabschluss[[#This Row],[Training_Bewertung]]&gt;=9, "Promotor", Trainingsabschluss[[#This Row],[Training_Bewertung]]
&lt;=6, "Detraktor",
TRUE, "Passiv")</f>
        <v>Passiv</v>
      </c>
      <c r="W376"/>
    </row>
    <row r="377" spans="1:23" x14ac:dyDescent="0.3">
      <c r="A377" s="13" t="s">
        <v>75</v>
      </c>
      <c r="B377" s="2">
        <v>5</v>
      </c>
      <c r="C377" s="2">
        <v>3.5</v>
      </c>
      <c r="D377" s="2">
        <v>0.5</v>
      </c>
      <c r="E377" s="2">
        <v>2</v>
      </c>
      <c r="F377" s="2">
        <v>3</v>
      </c>
      <c r="G377" s="2" t="str">
        <f>_xlfn.XLOOKUP(Trainingsabschluss[[#This Row],[UserID]], Teilnehmende[UserID], Teilnehmende[Branche], "UserID nicht gefunden")</f>
        <v>E-Commerce</v>
      </c>
      <c r="H377" t="str">
        <f>_xlfn.XLOOKUP(Trainingsabschluss[[#This Row],[UserID]], Teilnehmende[UserID], Teilnehmende[Bildungsabschluss], "UserID nicht gefunden")</f>
        <v>Master</v>
      </c>
      <c r="I377" s="3">
        <f>_xlfn.XLOOKUP(Trainingsabschluss[[#This Row],[UserID]], Teilnehmende[UserID], Teilnehmende[Berufserfahrung])</f>
        <v>4</v>
      </c>
      <c r="J377" s="3" t="str" cm="1">
        <f t="array" ref="J37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77" s="11">
        <f>Trainingsabschluss[[#This Row],[Quiz_Frage1_Punkte]]/Max_Frage1</f>
        <v>1</v>
      </c>
      <c r="L377" s="11">
        <f>Trainingsabschluss[[#This Row],[Quiz_Frage2_Punkte]]/Max_Frage2</f>
        <v>0.7</v>
      </c>
      <c r="M377" s="11">
        <f>Trainingsabschluss[[#This Row],[Quiz_Frage3_Punkte]]/Max_Frage3</f>
        <v>0.1</v>
      </c>
      <c r="N377" s="11">
        <f>Trainingsabschluss[[#This Row],[Quiz_Frage4_Punkte]]/Max_Frage4</f>
        <v>0.5</v>
      </c>
      <c r="O377" s="11">
        <f>Trainingsabschluss[[#This Row],[Quiz_Frage5_Punkte]]/Max_Frage5</f>
        <v>1</v>
      </c>
      <c r="P377" s="2">
        <f>Trainingsabschluss[[#This Row],[Quiz_Frage1_Punkte]]+Trainingsabschluss[[#This Row],[Quiz_Frage2_Punkte]]+Trainingsabschluss[[#This Row],[Quiz_Frage3_Punkte]]+Trainingsabschluss[[#This Row],[Quiz_Frage4_Punkte]]+Trainingsabschluss[[#This Row],[Quiz_Frage5_Punkte]]</f>
        <v>14</v>
      </c>
      <c r="Q377" s="8">
        <f>Trainingsabschluss[[#This Row],[Quizergebnis]]/Max_Quizergebnis</f>
        <v>0.63636363636363635</v>
      </c>
      <c r="R377" t="str" cm="1">
        <f t="array" ref="R377">_xlfn.IFS(Trainingsabschluss[[#This Row],[Quizergebnis_Prozent]]&lt;0.5, "Nicht bestanden",
Trainingsabschluss[[#This Row],[Quizergebnis_Prozent]]&lt;0.65, "Bestanden",
Trainingsabschluss[[#This Row],[Quizergebnis_Prozent]]&lt;0.8, "Gut bestanden",
TRUE, "Sehr gut bestanden")</f>
        <v>Bestanden</v>
      </c>
      <c r="S377" s="3">
        <v>7</v>
      </c>
      <c r="T377" s="3" t="str" cm="1">
        <f t="array" ref="T377">_xlfn.IFS(Trainingsabschluss[[#This Row],[Training_Bewertung]]&gt;=9, "Promotor", Trainingsabschluss[[#This Row],[Training_Bewertung]]
&lt;=6, "Detraktor",
TRUE, "Passiv")</f>
        <v>Passiv</v>
      </c>
      <c r="W377"/>
    </row>
    <row r="378" spans="1:23" x14ac:dyDescent="0.3">
      <c r="A378" s="13" t="s">
        <v>77</v>
      </c>
      <c r="B378" s="2">
        <v>5</v>
      </c>
      <c r="C378" s="2">
        <v>3</v>
      </c>
      <c r="D378" s="2">
        <v>2</v>
      </c>
      <c r="E378" s="2">
        <v>4</v>
      </c>
      <c r="F378" s="2">
        <v>3</v>
      </c>
      <c r="G378" s="2" t="str">
        <f>_xlfn.XLOOKUP(Trainingsabschluss[[#This Row],[UserID]], Teilnehmende[UserID], Teilnehmende[Branche], "UserID nicht gefunden")</f>
        <v>Großhandel</v>
      </c>
      <c r="H378" t="str">
        <f>_xlfn.XLOOKUP(Trainingsabschluss[[#This Row],[UserID]], Teilnehmende[UserID], Teilnehmende[Bildungsabschluss], "UserID nicht gefunden")</f>
        <v>Master</v>
      </c>
      <c r="I378" s="3">
        <f>_xlfn.XLOOKUP(Trainingsabschluss[[#This Row],[UserID]], Teilnehmende[UserID], Teilnehmende[Berufserfahrung])</f>
        <v>4</v>
      </c>
      <c r="J378" s="3" t="str" cm="1">
        <f t="array" ref="J378">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78" s="11">
        <f>Trainingsabschluss[[#This Row],[Quiz_Frage1_Punkte]]/Max_Frage1</f>
        <v>1</v>
      </c>
      <c r="L378" s="11">
        <f>Trainingsabschluss[[#This Row],[Quiz_Frage2_Punkte]]/Max_Frage2</f>
        <v>0.6</v>
      </c>
      <c r="M378" s="11">
        <f>Trainingsabschluss[[#This Row],[Quiz_Frage3_Punkte]]/Max_Frage3</f>
        <v>0.4</v>
      </c>
      <c r="N378" s="11">
        <f>Trainingsabschluss[[#This Row],[Quiz_Frage4_Punkte]]/Max_Frage4</f>
        <v>1</v>
      </c>
      <c r="O378" s="11">
        <f>Trainingsabschluss[[#This Row],[Quiz_Frage5_Punkte]]/Max_Frage5</f>
        <v>1</v>
      </c>
      <c r="P378" s="2">
        <f>Trainingsabschluss[[#This Row],[Quiz_Frage1_Punkte]]+Trainingsabschluss[[#This Row],[Quiz_Frage2_Punkte]]+Trainingsabschluss[[#This Row],[Quiz_Frage3_Punkte]]+Trainingsabschluss[[#This Row],[Quiz_Frage4_Punkte]]+Trainingsabschluss[[#This Row],[Quiz_Frage5_Punkte]]</f>
        <v>17</v>
      </c>
      <c r="Q378" s="8">
        <f>Trainingsabschluss[[#This Row],[Quizergebnis]]/Max_Quizergebnis</f>
        <v>0.77272727272727271</v>
      </c>
      <c r="R378" t="str" cm="1">
        <f t="array" ref="R378">_xlfn.IFS(Trainingsabschluss[[#This Row],[Quizergebnis_Prozent]]&lt;0.5, "Nicht bestanden",
Trainingsabschluss[[#This Row],[Quizergebnis_Prozent]]&lt;0.65, "Bestanden",
Trainingsabschluss[[#This Row],[Quizergebnis_Prozent]]&lt;0.8, "Gut bestanden",
TRUE, "Sehr gut bestanden")</f>
        <v>Gut bestanden</v>
      </c>
      <c r="S378" s="3">
        <v>7</v>
      </c>
      <c r="T378" s="3" t="str" cm="1">
        <f t="array" ref="T378">_xlfn.IFS(Trainingsabschluss[[#This Row],[Training_Bewertung]]&gt;=9, "Promotor", Trainingsabschluss[[#This Row],[Training_Bewertung]]
&lt;=6, "Detraktor",
TRUE, "Passiv")</f>
        <v>Passiv</v>
      </c>
      <c r="W378"/>
    </row>
    <row r="379" spans="1:23" x14ac:dyDescent="0.3">
      <c r="A379" s="13" t="s">
        <v>78</v>
      </c>
      <c r="B379" s="2">
        <v>5</v>
      </c>
      <c r="C379" s="2">
        <v>4.5</v>
      </c>
      <c r="D379" s="2">
        <v>3.5</v>
      </c>
      <c r="E379" s="2">
        <v>2</v>
      </c>
      <c r="F379" s="2">
        <v>0.5</v>
      </c>
      <c r="G379" s="2" t="str">
        <f>_xlfn.XLOOKUP(Trainingsabschluss[[#This Row],[UserID]], Teilnehmende[UserID], Teilnehmende[Branche], "UserID nicht gefunden")</f>
        <v>E-Commerce</v>
      </c>
      <c r="H379" t="str">
        <f>_xlfn.XLOOKUP(Trainingsabschluss[[#This Row],[UserID]], Teilnehmende[UserID], Teilnehmende[Bildungsabschluss], "UserID nicht gefunden")</f>
        <v>Master</v>
      </c>
      <c r="I379" s="3">
        <f>_xlfn.XLOOKUP(Trainingsabschluss[[#This Row],[UserID]], Teilnehmende[UserID], Teilnehmende[Berufserfahrung])</f>
        <v>16</v>
      </c>
      <c r="J379" s="3" t="str" cm="1">
        <f t="array" ref="J379">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79" s="11">
        <f>Trainingsabschluss[[#This Row],[Quiz_Frage1_Punkte]]/Max_Frage1</f>
        <v>1</v>
      </c>
      <c r="L379" s="11">
        <f>Trainingsabschluss[[#This Row],[Quiz_Frage2_Punkte]]/Max_Frage2</f>
        <v>0.9</v>
      </c>
      <c r="M379" s="11">
        <f>Trainingsabschluss[[#This Row],[Quiz_Frage3_Punkte]]/Max_Frage3</f>
        <v>0.7</v>
      </c>
      <c r="N379" s="11">
        <f>Trainingsabschluss[[#This Row],[Quiz_Frage4_Punkte]]/Max_Frage4</f>
        <v>0.5</v>
      </c>
      <c r="O379" s="11">
        <f>Trainingsabschluss[[#This Row],[Quiz_Frage5_Punkte]]/Max_Frage5</f>
        <v>0.16666666666666666</v>
      </c>
      <c r="P379" s="2">
        <f>Trainingsabschluss[[#This Row],[Quiz_Frage1_Punkte]]+Trainingsabschluss[[#This Row],[Quiz_Frage2_Punkte]]+Trainingsabschluss[[#This Row],[Quiz_Frage3_Punkte]]+Trainingsabschluss[[#This Row],[Quiz_Frage4_Punkte]]+Trainingsabschluss[[#This Row],[Quiz_Frage5_Punkte]]</f>
        <v>15.5</v>
      </c>
      <c r="Q379" s="8">
        <f>Trainingsabschluss[[#This Row],[Quizergebnis]]/Max_Quizergebnis</f>
        <v>0.70454545454545459</v>
      </c>
      <c r="R379" t="str" cm="1">
        <f t="array" ref="R379">_xlfn.IFS(Trainingsabschluss[[#This Row],[Quizergebnis_Prozent]]&lt;0.5, "Nicht bestanden",
Trainingsabschluss[[#This Row],[Quizergebnis_Prozent]]&lt;0.65, "Bestanden",
Trainingsabschluss[[#This Row],[Quizergebnis_Prozent]]&lt;0.8, "Gut bestanden",
TRUE, "Sehr gut bestanden")</f>
        <v>Gut bestanden</v>
      </c>
      <c r="S379" s="3">
        <v>7</v>
      </c>
      <c r="T379" s="3" t="str" cm="1">
        <f t="array" ref="T379">_xlfn.IFS(Trainingsabschluss[[#This Row],[Training_Bewertung]]&gt;=9, "Promotor", Trainingsabschluss[[#This Row],[Training_Bewertung]]
&lt;=6, "Detraktor",
TRUE, "Passiv")</f>
        <v>Passiv</v>
      </c>
      <c r="W379"/>
    </row>
    <row r="380" spans="1:23" x14ac:dyDescent="0.3">
      <c r="A380" s="13" t="s">
        <v>80</v>
      </c>
      <c r="B380" s="2">
        <v>5</v>
      </c>
      <c r="C380" s="2">
        <v>3.5</v>
      </c>
      <c r="D380" s="2">
        <v>3</v>
      </c>
      <c r="E380" s="2">
        <v>3.5</v>
      </c>
      <c r="F380" s="2">
        <v>2.5</v>
      </c>
      <c r="G380" s="2" t="str">
        <f>_xlfn.XLOOKUP(Trainingsabschluss[[#This Row],[UserID]], Teilnehmende[UserID], Teilnehmende[Branche], "UserID nicht gefunden")</f>
        <v>Einzelhandel</v>
      </c>
      <c r="H380" t="str">
        <f>_xlfn.XLOOKUP(Trainingsabschluss[[#This Row],[UserID]], Teilnehmende[UserID], Teilnehmende[Bildungsabschluss], "UserID nicht gefunden")</f>
        <v>Master</v>
      </c>
      <c r="I380" s="3">
        <f>_xlfn.XLOOKUP(Trainingsabschluss[[#This Row],[UserID]], Teilnehmende[UserID], Teilnehmende[Berufserfahrung])</f>
        <v>16</v>
      </c>
      <c r="J380" s="3" t="str" cm="1">
        <f t="array" ref="J380">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80" s="11">
        <f>Trainingsabschluss[[#This Row],[Quiz_Frage1_Punkte]]/Max_Frage1</f>
        <v>1</v>
      </c>
      <c r="L380" s="11">
        <f>Trainingsabschluss[[#This Row],[Quiz_Frage2_Punkte]]/Max_Frage2</f>
        <v>0.7</v>
      </c>
      <c r="M380" s="11">
        <f>Trainingsabschluss[[#This Row],[Quiz_Frage3_Punkte]]/Max_Frage3</f>
        <v>0.6</v>
      </c>
      <c r="N380" s="11">
        <f>Trainingsabschluss[[#This Row],[Quiz_Frage4_Punkte]]/Max_Frage4</f>
        <v>0.875</v>
      </c>
      <c r="O380" s="11">
        <f>Trainingsabschluss[[#This Row],[Quiz_Frage5_Punkte]]/Max_Frage5</f>
        <v>0.83333333333333337</v>
      </c>
      <c r="P380" s="2">
        <f>Trainingsabschluss[[#This Row],[Quiz_Frage1_Punkte]]+Trainingsabschluss[[#This Row],[Quiz_Frage2_Punkte]]+Trainingsabschluss[[#This Row],[Quiz_Frage3_Punkte]]+Trainingsabschluss[[#This Row],[Quiz_Frage4_Punkte]]+Trainingsabschluss[[#This Row],[Quiz_Frage5_Punkte]]</f>
        <v>17.5</v>
      </c>
      <c r="Q380" s="8">
        <f>Trainingsabschluss[[#This Row],[Quizergebnis]]/Max_Quizergebnis</f>
        <v>0.79545454545454541</v>
      </c>
      <c r="R380" t="str" cm="1">
        <f t="array" ref="R380">_xlfn.IFS(Trainingsabschluss[[#This Row],[Quizergebnis_Prozent]]&lt;0.5, "Nicht bestanden",
Trainingsabschluss[[#This Row],[Quizergebnis_Prozent]]&lt;0.65, "Bestanden",
Trainingsabschluss[[#This Row],[Quizergebnis_Prozent]]&lt;0.8, "Gut bestanden",
TRUE, "Sehr gut bestanden")</f>
        <v>Gut bestanden</v>
      </c>
      <c r="S380" s="3">
        <v>7</v>
      </c>
      <c r="T380" s="3" t="str" cm="1">
        <f t="array" ref="T380">_xlfn.IFS(Trainingsabschluss[[#This Row],[Training_Bewertung]]&gt;=9, "Promotor", Trainingsabschluss[[#This Row],[Training_Bewertung]]
&lt;=6, "Detraktor",
TRUE, "Passiv")</f>
        <v>Passiv</v>
      </c>
      <c r="W380"/>
    </row>
    <row r="381" spans="1:23" x14ac:dyDescent="0.3">
      <c r="A381" s="13" t="s">
        <v>24</v>
      </c>
      <c r="B381" s="2">
        <v>5</v>
      </c>
      <c r="C381" s="2">
        <v>4</v>
      </c>
      <c r="D381" s="2">
        <v>3</v>
      </c>
      <c r="E381" s="2">
        <v>0.5</v>
      </c>
      <c r="F381" s="2">
        <v>3</v>
      </c>
      <c r="G381" s="2" t="str">
        <f>_xlfn.XLOOKUP(Trainingsabschluss[[#This Row],[UserID]], Teilnehmende[UserID], Teilnehmende[Branche], "UserID nicht gefunden")</f>
        <v>E-Commerce</v>
      </c>
      <c r="H381" t="str">
        <f>_xlfn.XLOOKUP(Trainingsabschluss[[#This Row],[UserID]], Teilnehmende[UserID], Teilnehmende[Bildungsabschluss], "UserID nicht gefunden")</f>
        <v>Master</v>
      </c>
      <c r="I381" s="3">
        <f>_xlfn.XLOOKUP(Trainingsabschluss[[#This Row],[UserID]], Teilnehmende[UserID], Teilnehmende[Berufserfahrung])</f>
        <v>4</v>
      </c>
      <c r="J381" s="3" t="str" cm="1">
        <f t="array" ref="J38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81" s="11">
        <f>Trainingsabschluss[[#This Row],[Quiz_Frage1_Punkte]]/Max_Frage1</f>
        <v>1</v>
      </c>
      <c r="L381" s="11">
        <f>Trainingsabschluss[[#This Row],[Quiz_Frage2_Punkte]]/Max_Frage2</f>
        <v>0.8</v>
      </c>
      <c r="M381" s="11">
        <f>Trainingsabschluss[[#This Row],[Quiz_Frage3_Punkte]]/Max_Frage3</f>
        <v>0.6</v>
      </c>
      <c r="N381" s="11">
        <f>Trainingsabschluss[[#This Row],[Quiz_Frage4_Punkte]]/Max_Frage4</f>
        <v>0.125</v>
      </c>
      <c r="O381" s="11">
        <f>Trainingsabschluss[[#This Row],[Quiz_Frage5_Punkte]]/Max_Frage5</f>
        <v>1</v>
      </c>
      <c r="P381" s="2">
        <f>Trainingsabschluss[[#This Row],[Quiz_Frage1_Punkte]]+Trainingsabschluss[[#This Row],[Quiz_Frage2_Punkte]]+Trainingsabschluss[[#This Row],[Quiz_Frage3_Punkte]]+Trainingsabschluss[[#This Row],[Quiz_Frage4_Punkte]]+Trainingsabschluss[[#This Row],[Quiz_Frage5_Punkte]]</f>
        <v>15.5</v>
      </c>
      <c r="Q381" s="8">
        <f>Trainingsabschluss[[#This Row],[Quizergebnis]]/Max_Quizergebnis</f>
        <v>0.70454545454545459</v>
      </c>
      <c r="R381" t="str" cm="1">
        <f t="array" ref="R381">_xlfn.IFS(Trainingsabschluss[[#This Row],[Quizergebnis_Prozent]]&lt;0.5, "Nicht bestanden",
Trainingsabschluss[[#This Row],[Quizergebnis_Prozent]]&lt;0.65, "Bestanden",
Trainingsabschluss[[#This Row],[Quizergebnis_Prozent]]&lt;0.8, "Gut bestanden",
TRUE, "Sehr gut bestanden")</f>
        <v>Gut bestanden</v>
      </c>
      <c r="S381" s="3">
        <v>4</v>
      </c>
      <c r="T381" s="3" t="str" cm="1">
        <f t="array" ref="T381">_xlfn.IFS(Trainingsabschluss[[#This Row],[Training_Bewertung]]&gt;=9, "Promotor", Trainingsabschluss[[#This Row],[Training_Bewertung]]
&lt;=6, "Detraktor",
TRUE, "Passiv")</f>
        <v>Detraktor</v>
      </c>
      <c r="W381"/>
    </row>
    <row r="382" spans="1:23" x14ac:dyDescent="0.3">
      <c r="A382" s="13" t="s">
        <v>27</v>
      </c>
      <c r="B382" s="2">
        <v>5</v>
      </c>
      <c r="C382" s="2">
        <v>2</v>
      </c>
      <c r="D382" s="2">
        <v>3.5</v>
      </c>
      <c r="E382" s="2">
        <v>3.5</v>
      </c>
      <c r="F382" s="2">
        <v>2.5</v>
      </c>
      <c r="G382" s="2" t="str">
        <f>_xlfn.XLOOKUP(Trainingsabschluss[[#This Row],[UserID]], Teilnehmende[UserID], Teilnehmende[Branche], "UserID nicht gefunden")</f>
        <v>Großhandel</v>
      </c>
      <c r="H382" t="str">
        <f>_xlfn.XLOOKUP(Trainingsabschluss[[#This Row],[UserID]], Teilnehmende[UserID], Teilnehmende[Bildungsabschluss], "UserID nicht gefunden")</f>
        <v>Master</v>
      </c>
      <c r="I382" s="3">
        <f>_xlfn.XLOOKUP(Trainingsabschluss[[#This Row],[UserID]], Teilnehmende[UserID], Teilnehmende[Berufserfahrung])</f>
        <v>7</v>
      </c>
      <c r="J382" s="3" t="str" cm="1">
        <f t="array" ref="J38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82" s="11">
        <f>Trainingsabschluss[[#This Row],[Quiz_Frage1_Punkte]]/Max_Frage1</f>
        <v>1</v>
      </c>
      <c r="L382" s="11">
        <f>Trainingsabschluss[[#This Row],[Quiz_Frage2_Punkte]]/Max_Frage2</f>
        <v>0.4</v>
      </c>
      <c r="M382" s="11">
        <f>Trainingsabschluss[[#This Row],[Quiz_Frage3_Punkte]]/Max_Frage3</f>
        <v>0.7</v>
      </c>
      <c r="N382" s="11">
        <f>Trainingsabschluss[[#This Row],[Quiz_Frage4_Punkte]]/Max_Frage4</f>
        <v>0.875</v>
      </c>
      <c r="O382" s="11">
        <f>Trainingsabschluss[[#This Row],[Quiz_Frage5_Punkte]]/Max_Frage5</f>
        <v>0.83333333333333337</v>
      </c>
      <c r="P382" s="2">
        <f>Trainingsabschluss[[#This Row],[Quiz_Frage1_Punkte]]+Trainingsabschluss[[#This Row],[Quiz_Frage2_Punkte]]+Trainingsabschluss[[#This Row],[Quiz_Frage3_Punkte]]+Trainingsabschluss[[#This Row],[Quiz_Frage4_Punkte]]+Trainingsabschluss[[#This Row],[Quiz_Frage5_Punkte]]</f>
        <v>16.5</v>
      </c>
      <c r="Q382" s="8">
        <f>Trainingsabschluss[[#This Row],[Quizergebnis]]/Max_Quizergebnis</f>
        <v>0.75</v>
      </c>
      <c r="R382" t="str" cm="1">
        <f t="array" ref="R382">_xlfn.IFS(Trainingsabschluss[[#This Row],[Quizergebnis_Prozent]]&lt;0.5, "Nicht bestanden",
Trainingsabschluss[[#This Row],[Quizergebnis_Prozent]]&lt;0.65, "Bestanden",
Trainingsabschluss[[#This Row],[Quizergebnis_Prozent]]&lt;0.8, "Gut bestanden",
TRUE, "Sehr gut bestanden")</f>
        <v>Gut bestanden</v>
      </c>
      <c r="S382" s="3">
        <v>6</v>
      </c>
      <c r="T382" s="3" t="str" cm="1">
        <f t="array" ref="T382">_xlfn.IFS(Trainingsabschluss[[#This Row],[Training_Bewertung]]&gt;=9, "Promotor", Trainingsabschluss[[#This Row],[Training_Bewertung]]
&lt;=6, "Detraktor",
TRUE, "Passiv")</f>
        <v>Detraktor</v>
      </c>
      <c r="W382"/>
    </row>
    <row r="383" spans="1:23" x14ac:dyDescent="0.3">
      <c r="A383" s="13" t="s">
        <v>28</v>
      </c>
      <c r="B383" s="2">
        <v>5</v>
      </c>
      <c r="C383" s="2">
        <v>4</v>
      </c>
      <c r="D383" s="2">
        <v>0.5</v>
      </c>
      <c r="E383" s="2">
        <v>4</v>
      </c>
      <c r="F383" s="2">
        <v>0.5</v>
      </c>
      <c r="G383" s="2" t="str">
        <f>_xlfn.XLOOKUP(Trainingsabschluss[[#This Row],[UserID]], Teilnehmende[UserID], Teilnehmende[Branche], "UserID nicht gefunden")</f>
        <v>Großhandel</v>
      </c>
      <c r="H383" t="str">
        <f>_xlfn.XLOOKUP(Trainingsabschluss[[#This Row],[UserID]], Teilnehmende[UserID], Teilnehmende[Bildungsabschluss], "UserID nicht gefunden")</f>
        <v>Master</v>
      </c>
      <c r="I383" s="3">
        <f>_xlfn.XLOOKUP(Trainingsabschluss[[#This Row],[UserID]], Teilnehmende[UserID], Teilnehmende[Berufserfahrung])</f>
        <v>8</v>
      </c>
      <c r="J383" s="3" t="str" cm="1">
        <f t="array" ref="J38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83" s="11">
        <f>Trainingsabschluss[[#This Row],[Quiz_Frage1_Punkte]]/Max_Frage1</f>
        <v>1</v>
      </c>
      <c r="L383" s="11">
        <f>Trainingsabschluss[[#This Row],[Quiz_Frage2_Punkte]]/Max_Frage2</f>
        <v>0.8</v>
      </c>
      <c r="M383" s="11">
        <f>Trainingsabschluss[[#This Row],[Quiz_Frage3_Punkte]]/Max_Frage3</f>
        <v>0.1</v>
      </c>
      <c r="N383" s="11">
        <f>Trainingsabschluss[[#This Row],[Quiz_Frage4_Punkte]]/Max_Frage4</f>
        <v>1</v>
      </c>
      <c r="O383" s="11">
        <f>Trainingsabschluss[[#This Row],[Quiz_Frage5_Punkte]]/Max_Frage5</f>
        <v>0.16666666666666666</v>
      </c>
      <c r="P383" s="2">
        <f>Trainingsabschluss[[#This Row],[Quiz_Frage1_Punkte]]+Trainingsabschluss[[#This Row],[Quiz_Frage2_Punkte]]+Trainingsabschluss[[#This Row],[Quiz_Frage3_Punkte]]+Trainingsabschluss[[#This Row],[Quiz_Frage4_Punkte]]+Trainingsabschluss[[#This Row],[Quiz_Frage5_Punkte]]</f>
        <v>14</v>
      </c>
      <c r="Q383" s="8">
        <f>Trainingsabschluss[[#This Row],[Quizergebnis]]/Max_Quizergebnis</f>
        <v>0.63636363636363635</v>
      </c>
      <c r="R383" t="str" cm="1">
        <f t="array" ref="R383">_xlfn.IFS(Trainingsabschluss[[#This Row],[Quizergebnis_Prozent]]&lt;0.5, "Nicht bestanden",
Trainingsabschluss[[#This Row],[Quizergebnis_Prozent]]&lt;0.65, "Bestanden",
Trainingsabschluss[[#This Row],[Quizergebnis_Prozent]]&lt;0.8, "Gut bestanden",
TRUE, "Sehr gut bestanden")</f>
        <v>Bestanden</v>
      </c>
      <c r="S383" s="3">
        <v>6</v>
      </c>
      <c r="T383" s="3" t="str" cm="1">
        <f t="array" ref="T383">_xlfn.IFS(Trainingsabschluss[[#This Row],[Training_Bewertung]]&gt;=9, "Promotor", Trainingsabschluss[[#This Row],[Training_Bewertung]]
&lt;=6, "Detraktor",
TRUE, "Passiv")</f>
        <v>Detraktor</v>
      </c>
      <c r="W383"/>
    </row>
    <row r="384" spans="1:23" x14ac:dyDescent="0.3">
      <c r="A384" s="13" t="s">
        <v>87</v>
      </c>
      <c r="B384" s="2">
        <v>4.5</v>
      </c>
      <c r="C384" s="2">
        <v>3</v>
      </c>
      <c r="D384" s="2">
        <v>1</v>
      </c>
      <c r="E384" s="2">
        <v>0.5</v>
      </c>
      <c r="F384" s="2">
        <v>2</v>
      </c>
      <c r="G384" s="2" t="str">
        <f>_xlfn.XLOOKUP(Trainingsabschluss[[#This Row],[UserID]], Teilnehmende[UserID], Teilnehmende[Branche], "UserID nicht gefunden")</f>
        <v>Großhandel</v>
      </c>
      <c r="H384" t="str">
        <f>_xlfn.XLOOKUP(Trainingsabschluss[[#This Row],[UserID]], Teilnehmende[UserID], Teilnehmende[Bildungsabschluss], "UserID nicht gefunden")</f>
        <v>Master</v>
      </c>
      <c r="I384" s="3">
        <f>_xlfn.XLOOKUP(Trainingsabschluss[[#This Row],[UserID]], Teilnehmende[UserID], Teilnehmende[Berufserfahrung])</f>
        <v>4</v>
      </c>
      <c r="J384" s="3" t="str" cm="1">
        <f t="array" ref="J38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84" s="11">
        <f>Trainingsabschluss[[#This Row],[Quiz_Frage1_Punkte]]/Max_Frage1</f>
        <v>0.9</v>
      </c>
      <c r="L384" s="11">
        <f>Trainingsabschluss[[#This Row],[Quiz_Frage2_Punkte]]/Max_Frage2</f>
        <v>0.6</v>
      </c>
      <c r="M384" s="11">
        <f>Trainingsabschluss[[#This Row],[Quiz_Frage3_Punkte]]/Max_Frage3</f>
        <v>0.2</v>
      </c>
      <c r="N384" s="11">
        <f>Trainingsabschluss[[#This Row],[Quiz_Frage4_Punkte]]/Max_Frage4</f>
        <v>0.125</v>
      </c>
      <c r="O384" s="11">
        <f>Trainingsabschluss[[#This Row],[Quiz_Frage5_Punkte]]/Max_Frage5</f>
        <v>0.66666666666666663</v>
      </c>
      <c r="P384" s="2">
        <f>Trainingsabschluss[[#This Row],[Quiz_Frage1_Punkte]]+Trainingsabschluss[[#This Row],[Quiz_Frage2_Punkte]]+Trainingsabschluss[[#This Row],[Quiz_Frage3_Punkte]]+Trainingsabschluss[[#This Row],[Quiz_Frage4_Punkte]]+Trainingsabschluss[[#This Row],[Quiz_Frage5_Punkte]]</f>
        <v>11</v>
      </c>
      <c r="Q384" s="8">
        <f>Trainingsabschluss[[#This Row],[Quizergebnis]]/Max_Quizergebnis</f>
        <v>0.5</v>
      </c>
      <c r="R384" t="str" cm="1">
        <f t="array" ref="R384">_xlfn.IFS(Trainingsabschluss[[#This Row],[Quizergebnis_Prozent]]&lt;0.5, "Nicht bestanden",
Trainingsabschluss[[#This Row],[Quizergebnis_Prozent]]&lt;0.65, "Bestanden",
Trainingsabschluss[[#This Row],[Quizergebnis_Prozent]]&lt;0.8, "Gut bestanden",
TRUE, "Sehr gut bestanden")</f>
        <v>Bestanden</v>
      </c>
      <c r="S384" s="3">
        <v>8</v>
      </c>
      <c r="T384" s="3" t="str" cm="1">
        <f t="array" ref="T384">_xlfn.IFS(Trainingsabschluss[[#This Row],[Training_Bewertung]]&gt;=9, "Promotor", Trainingsabschluss[[#This Row],[Training_Bewertung]]
&lt;=6, "Detraktor",
TRUE, "Passiv")</f>
        <v>Passiv</v>
      </c>
      <c r="W384"/>
    </row>
    <row r="385" spans="1:23" x14ac:dyDescent="0.3">
      <c r="A385" s="13" t="s">
        <v>95</v>
      </c>
      <c r="B385" s="2">
        <v>4</v>
      </c>
      <c r="C385" s="2">
        <v>2</v>
      </c>
      <c r="D385" s="2">
        <v>4</v>
      </c>
      <c r="E385" s="2">
        <v>1.5</v>
      </c>
      <c r="F385" s="2">
        <v>3</v>
      </c>
      <c r="G385" s="2" t="str">
        <f>_xlfn.XLOOKUP(Trainingsabschluss[[#This Row],[UserID]], Teilnehmende[UserID], Teilnehmende[Branche], "UserID nicht gefunden")</f>
        <v>Großhandel</v>
      </c>
      <c r="H385" t="str">
        <f>_xlfn.XLOOKUP(Trainingsabschluss[[#This Row],[UserID]], Teilnehmende[UserID], Teilnehmende[Bildungsabschluss], "UserID nicht gefunden")</f>
        <v>Master</v>
      </c>
      <c r="I385" s="3">
        <f>_xlfn.XLOOKUP(Trainingsabschluss[[#This Row],[UserID]], Teilnehmende[UserID], Teilnehmende[Berufserfahrung])</f>
        <v>15</v>
      </c>
      <c r="J385" s="3" t="str" cm="1">
        <f t="array" ref="J385">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85" s="11">
        <f>Trainingsabschluss[[#This Row],[Quiz_Frage1_Punkte]]/Max_Frage1</f>
        <v>0.8</v>
      </c>
      <c r="L385" s="11">
        <f>Trainingsabschluss[[#This Row],[Quiz_Frage2_Punkte]]/Max_Frage2</f>
        <v>0.4</v>
      </c>
      <c r="M385" s="11">
        <f>Trainingsabschluss[[#This Row],[Quiz_Frage3_Punkte]]/Max_Frage3</f>
        <v>0.8</v>
      </c>
      <c r="N385" s="11">
        <f>Trainingsabschluss[[#This Row],[Quiz_Frage4_Punkte]]/Max_Frage4</f>
        <v>0.375</v>
      </c>
      <c r="O385" s="11">
        <f>Trainingsabschluss[[#This Row],[Quiz_Frage5_Punkte]]/Max_Frage5</f>
        <v>1</v>
      </c>
      <c r="P385" s="2">
        <f>Trainingsabschluss[[#This Row],[Quiz_Frage1_Punkte]]+Trainingsabschluss[[#This Row],[Quiz_Frage2_Punkte]]+Trainingsabschluss[[#This Row],[Quiz_Frage3_Punkte]]+Trainingsabschluss[[#This Row],[Quiz_Frage4_Punkte]]+Trainingsabschluss[[#This Row],[Quiz_Frage5_Punkte]]</f>
        <v>14.5</v>
      </c>
      <c r="Q385" s="8">
        <f>Trainingsabschluss[[#This Row],[Quizergebnis]]/Max_Quizergebnis</f>
        <v>0.65909090909090906</v>
      </c>
      <c r="R385" t="str" cm="1">
        <f t="array" ref="R385">_xlfn.IFS(Trainingsabschluss[[#This Row],[Quizergebnis_Prozent]]&lt;0.5, "Nicht bestanden",
Trainingsabschluss[[#This Row],[Quizergebnis_Prozent]]&lt;0.65, "Bestanden",
Trainingsabschluss[[#This Row],[Quizergebnis_Prozent]]&lt;0.8, "Gut bestanden",
TRUE, "Sehr gut bestanden")</f>
        <v>Gut bestanden</v>
      </c>
      <c r="S385" s="3">
        <v>8</v>
      </c>
      <c r="T385" s="3" t="str" cm="1">
        <f t="array" ref="T385">_xlfn.IFS(Trainingsabschluss[[#This Row],[Training_Bewertung]]&gt;=9, "Promotor", Trainingsabschluss[[#This Row],[Training_Bewertung]]
&lt;=6, "Detraktor",
TRUE, "Passiv")</f>
        <v>Passiv</v>
      </c>
      <c r="W385"/>
    </row>
    <row r="386" spans="1:23" x14ac:dyDescent="0.3">
      <c r="A386" s="13" t="s">
        <v>96</v>
      </c>
      <c r="B386" s="2">
        <v>4</v>
      </c>
      <c r="C386" s="2">
        <v>3.5</v>
      </c>
      <c r="D386" s="2">
        <v>3</v>
      </c>
      <c r="E386" s="2">
        <v>2</v>
      </c>
      <c r="F386" s="2">
        <v>1.5</v>
      </c>
      <c r="G386" s="2" t="str">
        <f>_xlfn.XLOOKUP(Trainingsabschluss[[#This Row],[UserID]], Teilnehmende[UserID], Teilnehmende[Branche], "UserID nicht gefunden")</f>
        <v>E-Commerce</v>
      </c>
      <c r="H386" t="str">
        <f>_xlfn.XLOOKUP(Trainingsabschluss[[#This Row],[UserID]], Teilnehmende[UserID], Teilnehmende[Bildungsabschluss], "UserID nicht gefunden")</f>
        <v>Master</v>
      </c>
      <c r="I386" s="3">
        <f>_xlfn.XLOOKUP(Trainingsabschluss[[#This Row],[UserID]], Teilnehmende[UserID], Teilnehmende[Berufserfahrung])</f>
        <v>4</v>
      </c>
      <c r="J386" s="3" t="str" cm="1">
        <f t="array" ref="J38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86" s="11">
        <f>Trainingsabschluss[[#This Row],[Quiz_Frage1_Punkte]]/Max_Frage1</f>
        <v>0.8</v>
      </c>
      <c r="L386" s="11">
        <f>Trainingsabschluss[[#This Row],[Quiz_Frage2_Punkte]]/Max_Frage2</f>
        <v>0.7</v>
      </c>
      <c r="M386" s="11">
        <f>Trainingsabschluss[[#This Row],[Quiz_Frage3_Punkte]]/Max_Frage3</f>
        <v>0.6</v>
      </c>
      <c r="N386" s="11">
        <f>Trainingsabschluss[[#This Row],[Quiz_Frage4_Punkte]]/Max_Frage4</f>
        <v>0.5</v>
      </c>
      <c r="O386" s="11">
        <f>Trainingsabschluss[[#This Row],[Quiz_Frage5_Punkte]]/Max_Frage5</f>
        <v>0.5</v>
      </c>
      <c r="P386" s="2">
        <f>Trainingsabschluss[[#This Row],[Quiz_Frage1_Punkte]]+Trainingsabschluss[[#This Row],[Quiz_Frage2_Punkte]]+Trainingsabschluss[[#This Row],[Quiz_Frage3_Punkte]]+Trainingsabschluss[[#This Row],[Quiz_Frage4_Punkte]]+Trainingsabschluss[[#This Row],[Quiz_Frage5_Punkte]]</f>
        <v>14</v>
      </c>
      <c r="Q386" s="8">
        <f>Trainingsabschluss[[#This Row],[Quizergebnis]]/Max_Quizergebnis</f>
        <v>0.63636363636363635</v>
      </c>
      <c r="R386" t="str" cm="1">
        <f t="array" ref="R386">_xlfn.IFS(Trainingsabschluss[[#This Row],[Quizergebnis_Prozent]]&lt;0.5, "Nicht bestanden",
Trainingsabschluss[[#This Row],[Quizergebnis_Prozent]]&lt;0.65, "Bestanden",
Trainingsabschluss[[#This Row],[Quizergebnis_Prozent]]&lt;0.8, "Gut bestanden",
TRUE, "Sehr gut bestanden")</f>
        <v>Bestanden</v>
      </c>
      <c r="S386" s="3">
        <v>8</v>
      </c>
      <c r="T386" s="3" t="str" cm="1">
        <f t="array" ref="T386">_xlfn.IFS(Trainingsabschluss[[#This Row],[Training_Bewertung]]&gt;=9, "Promotor", Trainingsabschluss[[#This Row],[Training_Bewertung]]
&lt;=6, "Detraktor",
TRUE, "Passiv")</f>
        <v>Passiv</v>
      </c>
      <c r="W386"/>
    </row>
    <row r="387" spans="1:23" x14ac:dyDescent="0.3">
      <c r="A387" s="13" t="s">
        <v>104</v>
      </c>
      <c r="B387" s="2">
        <v>3.5</v>
      </c>
      <c r="C387" s="2">
        <v>4.5</v>
      </c>
      <c r="D387" s="2">
        <v>2</v>
      </c>
      <c r="E387" s="2">
        <v>3.5</v>
      </c>
      <c r="F387" s="2">
        <v>2</v>
      </c>
      <c r="G387" s="2" t="str">
        <f>_xlfn.XLOOKUP(Trainingsabschluss[[#This Row],[UserID]], Teilnehmende[UserID], Teilnehmende[Branche], "UserID nicht gefunden")</f>
        <v>E-Commerce</v>
      </c>
      <c r="H387" t="str">
        <f>_xlfn.XLOOKUP(Trainingsabschluss[[#This Row],[UserID]], Teilnehmende[UserID], Teilnehmende[Bildungsabschluss], "UserID nicht gefunden")</f>
        <v>Master</v>
      </c>
      <c r="I387" s="3">
        <f>_xlfn.XLOOKUP(Trainingsabschluss[[#This Row],[UserID]], Teilnehmende[UserID], Teilnehmende[Berufserfahrung])</f>
        <v>8</v>
      </c>
      <c r="J387" s="3" t="str" cm="1">
        <f t="array" ref="J38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87" s="11">
        <f>Trainingsabschluss[[#This Row],[Quiz_Frage1_Punkte]]/Max_Frage1</f>
        <v>0.7</v>
      </c>
      <c r="L387" s="11">
        <f>Trainingsabschluss[[#This Row],[Quiz_Frage2_Punkte]]/Max_Frage2</f>
        <v>0.9</v>
      </c>
      <c r="M387" s="11">
        <f>Trainingsabschluss[[#This Row],[Quiz_Frage3_Punkte]]/Max_Frage3</f>
        <v>0.4</v>
      </c>
      <c r="N387" s="11">
        <f>Trainingsabschluss[[#This Row],[Quiz_Frage4_Punkte]]/Max_Frage4</f>
        <v>0.875</v>
      </c>
      <c r="O387" s="11">
        <f>Trainingsabschluss[[#This Row],[Quiz_Frage5_Punkte]]/Max_Frage5</f>
        <v>0.66666666666666663</v>
      </c>
      <c r="P387" s="2">
        <f>Trainingsabschluss[[#This Row],[Quiz_Frage1_Punkte]]+Trainingsabschluss[[#This Row],[Quiz_Frage2_Punkte]]+Trainingsabschluss[[#This Row],[Quiz_Frage3_Punkte]]+Trainingsabschluss[[#This Row],[Quiz_Frage4_Punkte]]+Trainingsabschluss[[#This Row],[Quiz_Frage5_Punkte]]</f>
        <v>15.5</v>
      </c>
      <c r="Q387" s="8">
        <f>Trainingsabschluss[[#This Row],[Quizergebnis]]/Max_Quizergebnis</f>
        <v>0.70454545454545459</v>
      </c>
      <c r="R387" t="str" cm="1">
        <f t="array" ref="R387">_xlfn.IFS(Trainingsabschluss[[#This Row],[Quizergebnis_Prozent]]&lt;0.5, "Nicht bestanden",
Trainingsabschluss[[#This Row],[Quizergebnis_Prozent]]&lt;0.65, "Bestanden",
Trainingsabschluss[[#This Row],[Quizergebnis_Prozent]]&lt;0.8, "Gut bestanden",
TRUE, "Sehr gut bestanden")</f>
        <v>Gut bestanden</v>
      </c>
      <c r="S387" s="3">
        <v>8</v>
      </c>
      <c r="T387" s="3" t="str" cm="1">
        <f t="array" ref="T387">_xlfn.IFS(Trainingsabschluss[[#This Row],[Training_Bewertung]]&gt;=9, "Promotor", Trainingsabschluss[[#This Row],[Training_Bewertung]]
&lt;=6, "Detraktor",
TRUE, "Passiv")</f>
        <v>Passiv</v>
      </c>
      <c r="W387"/>
    </row>
    <row r="388" spans="1:23" x14ac:dyDescent="0.3">
      <c r="A388" s="13" t="s">
        <v>35</v>
      </c>
      <c r="B388" s="2">
        <v>4</v>
      </c>
      <c r="C388" s="2">
        <v>3.5</v>
      </c>
      <c r="D388" s="2">
        <v>2.5</v>
      </c>
      <c r="E388" s="2">
        <v>1.5</v>
      </c>
      <c r="F388" s="2">
        <v>2</v>
      </c>
      <c r="G388" s="2" t="str">
        <f>_xlfn.XLOOKUP(Trainingsabschluss[[#This Row],[UserID]], Teilnehmende[UserID], Teilnehmende[Branche], "UserID nicht gefunden")</f>
        <v>Großhandel</v>
      </c>
      <c r="H388" t="str">
        <f>_xlfn.XLOOKUP(Trainingsabschluss[[#This Row],[UserID]], Teilnehmende[UserID], Teilnehmende[Bildungsabschluss], "UserID nicht gefunden")</f>
        <v>Master</v>
      </c>
      <c r="I388" s="3">
        <f>_xlfn.XLOOKUP(Trainingsabschluss[[#This Row],[UserID]], Teilnehmende[UserID], Teilnehmende[Berufserfahrung])</f>
        <v>10</v>
      </c>
      <c r="J388" s="3" t="str" cm="1">
        <f t="array" ref="J38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88" s="11">
        <f>Trainingsabschluss[[#This Row],[Quiz_Frage1_Punkte]]/Max_Frage1</f>
        <v>0.8</v>
      </c>
      <c r="L388" s="11">
        <f>Trainingsabschluss[[#This Row],[Quiz_Frage2_Punkte]]/Max_Frage2</f>
        <v>0.7</v>
      </c>
      <c r="M388" s="11">
        <f>Trainingsabschluss[[#This Row],[Quiz_Frage3_Punkte]]/Max_Frage3</f>
        <v>0.5</v>
      </c>
      <c r="N388" s="11">
        <f>Trainingsabschluss[[#This Row],[Quiz_Frage4_Punkte]]/Max_Frage4</f>
        <v>0.375</v>
      </c>
      <c r="O388" s="11">
        <f>Trainingsabschluss[[#This Row],[Quiz_Frage5_Punkte]]/Max_Frage5</f>
        <v>0.66666666666666663</v>
      </c>
      <c r="P388" s="2">
        <f>Trainingsabschluss[[#This Row],[Quiz_Frage1_Punkte]]+Trainingsabschluss[[#This Row],[Quiz_Frage2_Punkte]]+Trainingsabschluss[[#This Row],[Quiz_Frage3_Punkte]]+Trainingsabschluss[[#This Row],[Quiz_Frage4_Punkte]]+Trainingsabschluss[[#This Row],[Quiz_Frage5_Punkte]]</f>
        <v>13.5</v>
      </c>
      <c r="Q388" s="8">
        <f>Trainingsabschluss[[#This Row],[Quizergebnis]]/Max_Quizergebnis</f>
        <v>0.61363636363636365</v>
      </c>
      <c r="R388" t="str" cm="1">
        <f t="array" ref="R388">_xlfn.IFS(Trainingsabschluss[[#This Row],[Quizergebnis_Prozent]]&lt;0.5, "Nicht bestanden",
Trainingsabschluss[[#This Row],[Quizergebnis_Prozent]]&lt;0.65, "Bestanden",
Trainingsabschluss[[#This Row],[Quizergebnis_Prozent]]&lt;0.8, "Gut bestanden",
TRUE, "Sehr gut bestanden")</f>
        <v>Bestanden</v>
      </c>
      <c r="S388" s="3">
        <v>6</v>
      </c>
      <c r="T388" s="3" t="str" cm="1">
        <f t="array" ref="T388">_xlfn.IFS(Trainingsabschluss[[#This Row],[Training_Bewertung]]&gt;=9, "Promotor", Trainingsabschluss[[#This Row],[Training_Bewertung]]
&lt;=6, "Detraktor",
TRUE, "Passiv")</f>
        <v>Detraktor</v>
      </c>
      <c r="W388"/>
    </row>
    <row r="389" spans="1:23" x14ac:dyDescent="0.3">
      <c r="A389" s="13" t="s">
        <v>36</v>
      </c>
      <c r="B389" s="2">
        <v>5</v>
      </c>
      <c r="C389" s="2">
        <v>3.5</v>
      </c>
      <c r="D389" s="2">
        <v>4.5</v>
      </c>
      <c r="E389" s="2">
        <v>2.5</v>
      </c>
      <c r="F389" s="2">
        <v>2.5</v>
      </c>
      <c r="G389" s="2" t="str">
        <f>_xlfn.XLOOKUP(Trainingsabschluss[[#This Row],[UserID]], Teilnehmende[UserID], Teilnehmende[Branche], "UserID nicht gefunden")</f>
        <v>E-Commerce</v>
      </c>
      <c r="H389" t="str">
        <f>_xlfn.XLOOKUP(Trainingsabschluss[[#This Row],[UserID]], Teilnehmende[UserID], Teilnehmende[Bildungsabschluss], "UserID nicht gefunden")</f>
        <v>Master</v>
      </c>
      <c r="I389" s="3">
        <f>_xlfn.XLOOKUP(Trainingsabschluss[[#This Row],[UserID]], Teilnehmende[UserID], Teilnehmende[Berufserfahrung])</f>
        <v>5</v>
      </c>
      <c r="J389" s="3" t="str" cm="1">
        <f t="array" ref="J38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89" s="11">
        <f>Trainingsabschluss[[#This Row],[Quiz_Frage1_Punkte]]/Max_Frage1</f>
        <v>1</v>
      </c>
      <c r="L389" s="11">
        <f>Trainingsabschluss[[#This Row],[Quiz_Frage2_Punkte]]/Max_Frage2</f>
        <v>0.7</v>
      </c>
      <c r="M389" s="11">
        <f>Trainingsabschluss[[#This Row],[Quiz_Frage3_Punkte]]/Max_Frage3</f>
        <v>0.9</v>
      </c>
      <c r="N389" s="11">
        <f>Trainingsabschluss[[#This Row],[Quiz_Frage4_Punkte]]/Max_Frage4</f>
        <v>0.625</v>
      </c>
      <c r="O389" s="11">
        <f>Trainingsabschluss[[#This Row],[Quiz_Frage5_Punkte]]/Max_Frage5</f>
        <v>0.83333333333333337</v>
      </c>
      <c r="P389" s="2">
        <f>Trainingsabschluss[[#This Row],[Quiz_Frage1_Punkte]]+Trainingsabschluss[[#This Row],[Quiz_Frage2_Punkte]]+Trainingsabschluss[[#This Row],[Quiz_Frage3_Punkte]]+Trainingsabschluss[[#This Row],[Quiz_Frage4_Punkte]]+Trainingsabschluss[[#This Row],[Quiz_Frage5_Punkte]]</f>
        <v>18</v>
      </c>
      <c r="Q389" s="8">
        <f>Trainingsabschluss[[#This Row],[Quizergebnis]]/Max_Quizergebnis</f>
        <v>0.81818181818181823</v>
      </c>
      <c r="R389" t="str" cm="1">
        <f t="array" ref="R389">_xlfn.IFS(Trainingsabschluss[[#This Row],[Quizergebnis_Prozent]]&lt;0.5, "Nicht bestanden",
Trainingsabschluss[[#This Row],[Quizergebnis_Prozent]]&lt;0.65, "Bestanden",
Trainingsabschluss[[#This Row],[Quizergebnis_Prozent]]&lt;0.8, "Gut bestanden",
TRUE, "Sehr gut bestanden")</f>
        <v>Sehr gut bestanden</v>
      </c>
      <c r="S389" s="3">
        <v>5</v>
      </c>
      <c r="T389" s="3" t="str" cm="1">
        <f t="array" ref="T389">_xlfn.IFS(Trainingsabschluss[[#This Row],[Training_Bewertung]]&gt;=9, "Promotor", Trainingsabschluss[[#This Row],[Training_Bewertung]]
&lt;=6, "Detraktor",
TRUE, "Passiv")</f>
        <v>Detraktor</v>
      </c>
      <c r="W389"/>
    </row>
    <row r="390" spans="1:23" x14ac:dyDescent="0.3">
      <c r="A390" s="13" t="s">
        <v>41</v>
      </c>
      <c r="B390" s="2">
        <v>5</v>
      </c>
      <c r="C390" s="2">
        <v>3.5</v>
      </c>
      <c r="D390" s="2">
        <v>1.5</v>
      </c>
      <c r="E390" s="2">
        <v>1</v>
      </c>
      <c r="F390" s="2">
        <v>1</v>
      </c>
      <c r="G390" s="2" t="str">
        <f>_xlfn.XLOOKUP(Trainingsabschluss[[#This Row],[UserID]], Teilnehmende[UserID], Teilnehmende[Branche], "UserID nicht gefunden")</f>
        <v>Großhandel</v>
      </c>
      <c r="H390" t="str">
        <f>_xlfn.XLOOKUP(Trainingsabschluss[[#This Row],[UserID]], Teilnehmende[UserID], Teilnehmende[Bildungsabschluss], "UserID nicht gefunden")</f>
        <v>Master</v>
      </c>
      <c r="I390" s="3">
        <f>_xlfn.XLOOKUP(Trainingsabschluss[[#This Row],[UserID]], Teilnehmende[UserID], Teilnehmende[Berufserfahrung])</f>
        <v>4</v>
      </c>
      <c r="J390" s="3" t="str" cm="1">
        <f t="array" ref="J39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90" s="11">
        <f>Trainingsabschluss[[#This Row],[Quiz_Frage1_Punkte]]/Max_Frage1</f>
        <v>1</v>
      </c>
      <c r="L390" s="11">
        <f>Trainingsabschluss[[#This Row],[Quiz_Frage2_Punkte]]/Max_Frage2</f>
        <v>0.7</v>
      </c>
      <c r="M390" s="11">
        <f>Trainingsabschluss[[#This Row],[Quiz_Frage3_Punkte]]/Max_Frage3</f>
        <v>0.3</v>
      </c>
      <c r="N390" s="11">
        <f>Trainingsabschluss[[#This Row],[Quiz_Frage4_Punkte]]/Max_Frage4</f>
        <v>0.25</v>
      </c>
      <c r="O390" s="11">
        <f>Trainingsabschluss[[#This Row],[Quiz_Frage5_Punkte]]/Max_Frage5</f>
        <v>0.33333333333333331</v>
      </c>
      <c r="P390" s="2">
        <f>Trainingsabschluss[[#This Row],[Quiz_Frage1_Punkte]]+Trainingsabschluss[[#This Row],[Quiz_Frage2_Punkte]]+Trainingsabschluss[[#This Row],[Quiz_Frage3_Punkte]]+Trainingsabschluss[[#This Row],[Quiz_Frage4_Punkte]]+Trainingsabschluss[[#This Row],[Quiz_Frage5_Punkte]]</f>
        <v>12</v>
      </c>
      <c r="Q390" s="8">
        <f>Trainingsabschluss[[#This Row],[Quizergebnis]]/Max_Quizergebnis</f>
        <v>0.54545454545454541</v>
      </c>
      <c r="R390" t="str" cm="1">
        <f t="array" ref="R390">_xlfn.IFS(Trainingsabschluss[[#This Row],[Quizergebnis_Prozent]]&lt;0.5, "Nicht bestanden",
Trainingsabschluss[[#This Row],[Quizergebnis_Prozent]]&lt;0.65, "Bestanden",
Trainingsabschluss[[#This Row],[Quizergebnis_Prozent]]&lt;0.8, "Gut bestanden",
TRUE, "Sehr gut bestanden")</f>
        <v>Bestanden</v>
      </c>
      <c r="S390" s="3">
        <v>4</v>
      </c>
      <c r="T390" s="3" t="str" cm="1">
        <f t="array" ref="T390">_xlfn.IFS(Trainingsabschluss[[#This Row],[Training_Bewertung]]&gt;=9, "Promotor", Trainingsabschluss[[#This Row],[Training_Bewertung]]
&lt;=6, "Detraktor",
TRUE, "Passiv")</f>
        <v>Detraktor</v>
      </c>
      <c r="W390"/>
    </row>
    <row r="391" spans="1:23" x14ac:dyDescent="0.3">
      <c r="A391" s="13" t="s">
        <v>44</v>
      </c>
      <c r="B391" s="2">
        <v>2.5</v>
      </c>
      <c r="C391" s="2">
        <v>1.5</v>
      </c>
      <c r="D391" s="2">
        <v>0.5</v>
      </c>
      <c r="E391" s="2">
        <v>0</v>
      </c>
      <c r="F391" s="2">
        <v>1</v>
      </c>
      <c r="G391" s="2" t="str">
        <f>_xlfn.XLOOKUP(Trainingsabschluss[[#This Row],[UserID]], Teilnehmende[UserID], Teilnehmende[Branche], "UserID nicht gefunden")</f>
        <v>Einzelhandel</v>
      </c>
      <c r="H391" t="str">
        <f>_xlfn.XLOOKUP(Trainingsabschluss[[#This Row],[UserID]], Teilnehmende[UserID], Teilnehmende[Bildungsabschluss], "UserID nicht gefunden")</f>
        <v>Master</v>
      </c>
      <c r="I391" s="3">
        <f>_xlfn.XLOOKUP(Trainingsabschluss[[#This Row],[UserID]], Teilnehmende[UserID], Teilnehmende[Berufserfahrung])</f>
        <v>4</v>
      </c>
      <c r="J391" s="3" t="str" cm="1">
        <f t="array" ref="J39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391" s="11">
        <f>Trainingsabschluss[[#This Row],[Quiz_Frage1_Punkte]]/Max_Frage1</f>
        <v>0.5</v>
      </c>
      <c r="L391" s="11">
        <f>Trainingsabschluss[[#This Row],[Quiz_Frage2_Punkte]]/Max_Frage2</f>
        <v>0.3</v>
      </c>
      <c r="M391" s="11">
        <f>Trainingsabschluss[[#This Row],[Quiz_Frage3_Punkte]]/Max_Frage3</f>
        <v>0.1</v>
      </c>
      <c r="N391" s="11">
        <f>Trainingsabschluss[[#This Row],[Quiz_Frage4_Punkte]]/Max_Frage4</f>
        <v>0</v>
      </c>
      <c r="O391" s="11">
        <f>Trainingsabschluss[[#This Row],[Quiz_Frage5_Punkte]]/Max_Frage5</f>
        <v>0.33333333333333331</v>
      </c>
      <c r="P391" s="2">
        <f>Trainingsabschluss[[#This Row],[Quiz_Frage1_Punkte]]+Trainingsabschluss[[#This Row],[Quiz_Frage2_Punkte]]+Trainingsabschluss[[#This Row],[Quiz_Frage3_Punkte]]+Trainingsabschluss[[#This Row],[Quiz_Frage4_Punkte]]+Trainingsabschluss[[#This Row],[Quiz_Frage5_Punkte]]</f>
        <v>5.5</v>
      </c>
      <c r="Q391" s="8">
        <f>Trainingsabschluss[[#This Row],[Quizergebnis]]/Max_Quizergebnis</f>
        <v>0.25</v>
      </c>
      <c r="R391" t="str" cm="1">
        <f t="array" ref="R391">_xlfn.IFS(Trainingsabschluss[[#This Row],[Quizergebnis_Prozent]]&lt;0.5, "Nicht bestanden",
Trainingsabschluss[[#This Row],[Quizergebnis_Prozent]]&lt;0.65, "Bestanden",
Trainingsabschluss[[#This Row],[Quizergebnis_Prozent]]&lt;0.8, "Gut bestanden",
TRUE, "Sehr gut bestanden")</f>
        <v>Nicht bestanden</v>
      </c>
      <c r="S391" s="3">
        <v>4</v>
      </c>
      <c r="T391" s="3" t="str" cm="1">
        <f t="array" ref="T391">_xlfn.IFS(Trainingsabschluss[[#This Row],[Training_Bewertung]]&gt;=9, "Promotor", Trainingsabschluss[[#This Row],[Training_Bewertung]]
&lt;=6, "Detraktor",
TRUE, "Passiv")</f>
        <v>Detraktor</v>
      </c>
      <c r="W391"/>
    </row>
    <row r="392" spans="1:23" x14ac:dyDescent="0.3">
      <c r="A392" s="13" t="s">
        <v>45</v>
      </c>
      <c r="B392" s="2">
        <v>5</v>
      </c>
      <c r="C392" s="2">
        <v>2.5</v>
      </c>
      <c r="D392" s="2">
        <v>2.5</v>
      </c>
      <c r="E392" s="2">
        <v>2</v>
      </c>
      <c r="F392" s="2">
        <v>2</v>
      </c>
      <c r="G392" s="2" t="str">
        <f>_xlfn.XLOOKUP(Trainingsabschluss[[#This Row],[UserID]], Teilnehmende[UserID], Teilnehmende[Branche], "UserID nicht gefunden")</f>
        <v>Einzelhandel</v>
      </c>
      <c r="H392" t="str">
        <f>_xlfn.XLOOKUP(Trainingsabschluss[[#This Row],[UserID]], Teilnehmende[UserID], Teilnehmende[Bildungsabschluss], "UserID nicht gefunden")</f>
        <v>Master</v>
      </c>
      <c r="I392" s="3">
        <f>_xlfn.XLOOKUP(Trainingsabschluss[[#This Row],[UserID]], Teilnehmende[UserID], Teilnehmende[Berufserfahrung])</f>
        <v>6</v>
      </c>
      <c r="J392" s="3" t="str" cm="1">
        <f t="array" ref="J39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92" s="11">
        <f>Trainingsabschluss[[#This Row],[Quiz_Frage1_Punkte]]/Max_Frage1</f>
        <v>1</v>
      </c>
      <c r="L392" s="11">
        <f>Trainingsabschluss[[#This Row],[Quiz_Frage2_Punkte]]/Max_Frage2</f>
        <v>0.5</v>
      </c>
      <c r="M392" s="11">
        <f>Trainingsabschluss[[#This Row],[Quiz_Frage3_Punkte]]/Max_Frage3</f>
        <v>0.5</v>
      </c>
      <c r="N392" s="11">
        <f>Trainingsabschluss[[#This Row],[Quiz_Frage4_Punkte]]/Max_Frage4</f>
        <v>0.5</v>
      </c>
      <c r="O392" s="11">
        <f>Trainingsabschluss[[#This Row],[Quiz_Frage5_Punkte]]/Max_Frage5</f>
        <v>0.66666666666666663</v>
      </c>
      <c r="P392" s="2">
        <f>Trainingsabschluss[[#This Row],[Quiz_Frage1_Punkte]]+Trainingsabschluss[[#This Row],[Quiz_Frage2_Punkte]]+Trainingsabschluss[[#This Row],[Quiz_Frage3_Punkte]]+Trainingsabschluss[[#This Row],[Quiz_Frage4_Punkte]]+Trainingsabschluss[[#This Row],[Quiz_Frage5_Punkte]]</f>
        <v>14</v>
      </c>
      <c r="Q392" s="8">
        <f>Trainingsabschluss[[#This Row],[Quizergebnis]]/Max_Quizergebnis</f>
        <v>0.63636363636363635</v>
      </c>
      <c r="R392" t="str" cm="1">
        <f t="array" ref="R392">_xlfn.IFS(Trainingsabschluss[[#This Row],[Quizergebnis_Prozent]]&lt;0.5, "Nicht bestanden",
Trainingsabschluss[[#This Row],[Quizergebnis_Prozent]]&lt;0.65, "Bestanden",
Trainingsabschluss[[#This Row],[Quizergebnis_Prozent]]&lt;0.8, "Gut bestanden",
TRUE, "Sehr gut bestanden")</f>
        <v>Bestanden</v>
      </c>
      <c r="S392" s="3">
        <v>4</v>
      </c>
      <c r="T392" s="3" t="str" cm="1">
        <f t="array" ref="T392">_xlfn.IFS(Trainingsabschluss[[#This Row],[Training_Bewertung]]&gt;=9, "Promotor", Trainingsabschluss[[#This Row],[Training_Bewertung]]
&lt;=6, "Detraktor",
TRUE, "Passiv")</f>
        <v>Detraktor</v>
      </c>
      <c r="W392"/>
    </row>
    <row r="393" spans="1:23" x14ac:dyDescent="0.3">
      <c r="A393" s="13" t="s">
        <v>106</v>
      </c>
      <c r="B393" s="2">
        <v>5</v>
      </c>
      <c r="C393" s="2">
        <v>4.5</v>
      </c>
      <c r="D393" s="2">
        <v>1.5</v>
      </c>
      <c r="E393" s="2">
        <v>0.5</v>
      </c>
      <c r="F393" s="2">
        <v>3</v>
      </c>
      <c r="G393" s="2" t="str">
        <f>_xlfn.XLOOKUP(Trainingsabschluss[[#This Row],[UserID]], Teilnehmende[UserID], Teilnehmende[Branche], "UserID nicht gefunden")</f>
        <v>E-Commerce</v>
      </c>
      <c r="H393" t="str">
        <f>_xlfn.XLOOKUP(Trainingsabschluss[[#This Row],[UserID]], Teilnehmende[UserID], Teilnehmende[Bildungsabschluss], "UserID nicht gefunden")</f>
        <v>Master</v>
      </c>
      <c r="I393" s="3">
        <f>_xlfn.XLOOKUP(Trainingsabschluss[[#This Row],[UserID]], Teilnehmende[UserID], Teilnehmende[Berufserfahrung])</f>
        <v>7</v>
      </c>
      <c r="J393" s="3" t="str" cm="1">
        <f t="array" ref="J39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93" s="11">
        <f>Trainingsabschluss[[#This Row],[Quiz_Frage1_Punkte]]/Max_Frage1</f>
        <v>1</v>
      </c>
      <c r="L393" s="11">
        <f>Trainingsabschluss[[#This Row],[Quiz_Frage2_Punkte]]/Max_Frage2</f>
        <v>0.9</v>
      </c>
      <c r="M393" s="11">
        <f>Trainingsabschluss[[#This Row],[Quiz_Frage3_Punkte]]/Max_Frage3</f>
        <v>0.3</v>
      </c>
      <c r="N393" s="11">
        <f>Trainingsabschluss[[#This Row],[Quiz_Frage4_Punkte]]/Max_Frage4</f>
        <v>0.125</v>
      </c>
      <c r="O393" s="11">
        <f>Trainingsabschluss[[#This Row],[Quiz_Frage5_Punkte]]/Max_Frage5</f>
        <v>1</v>
      </c>
      <c r="P393" s="2">
        <f>Trainingsabschluss[[#This Row],[Quiz_Frage1_Punkte]]+Trainingsabschluss[[#This Row],[Quiz_Frage2_Punkte]]+Trainingsabschluss[[#This Row],[Quiz_Frage3_Punkte]]+Trainingsabschluss[[#This Row],[Quiz_Frage4_Punkte]]+Trainingsabschluss[[#This Row],[Quiz_Frage5_Punkte]]</f>
        <v>14.5</v>
      </c>
      <c r="Q393" s="8">
        <f>Trainingsabschluss[[#This Row],[Quizergebnis]]/Max_Quizergebnis</f>
        <v>0.65909090909090906</v>
      </c>
      <c r="R393" t="str" cm="1">
        <f t="array" ref="R393">_xlfn.IFS(Trainingsabschluss[[#This Row],[Quizergebnis_Prozent]]&lt;0.5, "Nicht bestanden",
Trainingsabschluss[[#This Row],[Quizergebnis_Prozent]]&lt;0.65, "Bestanden",
Trainingsabschluss[[#This Row],[Quizergebnis_Prozent]]&lt;0.8, "Gut bestanden",
TRUE, "Sehr gut bestanden")</f>
        <v>Gut bestanden</v>
      </c>
      <c r="S393" s="3">
        <v>9</v>
      </c>
      <c r="T393" s="3" t="str" cm="1">
        <f t="array" ref="T393">_xlfn.IFS(Trainingsabschluss[[#This Row],[Training_Bewertung]]&gt;=9, "Promotor", Trainingsabschluss[[#This Row],[Training_Bewertung]]
&lt;=6, "Detraktor",
TRUE, "Passiv")</f>
        <v>Promotor</v>
      </c>
      <c r="W393"/>
    </row>
    <row r="394" spans="1:23" x14ac:dyDescent="0.3">
      <c r="A394" s="13" t="s">
        <v>107</v>
      </c>
      <c r="B394" s="2">
        <v>5</v>
      </c>
      <c r="C394" s="2">
        <v>2</v>
      </c>
      <c r="D394" s="2">
        <v>2</v>
      </c>
      <c r="E394" s="2">
        <v>3.5</v>
      </c>
      <c r="F394" s="2">
        <v>1</v>
      </c>
      <c r="G394" s="2" t="str">
        <f>_xlfn.XLOOKUP(Trainingsabschluss[[#This Row],[UserID]], Teilnehmende[UserID], Teilnehmende[Branche], "UserID nicht gefunden")</f>
        <v>Großhandel</v>
      </c>
      <c r="H394" t="str">
        <f>_xlfn.XLOOKUP(Trainingsabschluss[[#This Row],[UserID]], Teilnehmende[UserID], Teilnehmende[Bildungsabschluss], "UserID nicht gefunden")</f>
        <v>Master</v>
      </c>
      <c r="I394" s="3">
        <f>_xlfn.XLOOKUP(Trainingsabschluss[[#This Row],[UserID]], Teilnehmende[UserID], Teilnehmende[Berufserfahrung])</f>
        <v>11</v>
      </c>
      <c r="J394" s="3" t="str" cm="1">
        <f t="array" ref="J394">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94" s="11">
        <f>Trainingsabschluss[[#This Row],[Quiz_Frage1_Punkte]]/Max_Frage1</f>
        <v>1</v>
      </c>
      <c r="L394" s="11">
        <f>Trainingsabschluss[[#This Row],[Quiz_Frage2_Punkte]]/Max_Frage2</f>
        <v>0.4</v>
      </c>
      <c r="M394" s="11">
        <f>Trainingsabschluss[[#This Row],[Quiz_Frage3_Punkte]]/Max_Frage3</f>
        <v>0.4</v>
      </c>
      <c r="N394" s="11">
        <f>Trainingsabschluss[[#This Row],[Quiz_Frage4_Punkte]]/Max_Frage4</f>
        <v>0.875</v>
      </c>
      <c r="O394" s="11">
        <f>Trainingsabschluss[[#This Row],[Quiz_Frage5_Punkte]]/Max_Frage5</f>
        <v>0.33333333333333331</v>
      </c>
      <c r="P394" s="2">
        <f>Trainingsabschluss[[#This Row],[Quiz_Frage1_Punkte]]+Trainingsabschluss[[#This Row],[Quiz_Frage2_Punkte]]+Trainingsabschluss[[#This Row],[Quiz_Frage3_Punkte]]+Trainingsabschluss[[#This Row],[Quiz_Frage4_Punkte]]+Trainingsabschluss[[#This Row],[Quiz_Frage5_Punkte]]</f>
        <v>13.5</v>
      </c>
      <c r="Q394" s="8">
        <f>Trainingsabschluss[[#This Row],[Quizergebnis]]/Max_Quizergebnis</f>
        <v>0.61363636363636365</v>
      </c>
      <c r="R394" t="str" cm="1">
        <f t="array" ref="R394">_xlfn.IFS(Trainingsabschluss[[#This Row],[Quizergebnis_Prozent]]&lt;0.5, "Nicht bestanden",
Trainingsabschluss[[#This Row],[Quizergebnis_Prozent]]&lt;0.65, "Bestanden",
Trainingsabschluss[[#This Row],[Quizergebnis_Prozent]]&lt;0.8, "Gut bestanden",
TRUE, "Sehr gut bestanden")</f>
        <v>Bestanden</v>
      </c>
      <c r="S394" s="3">
        <v>9</v>
      </c>
      <c r="T394" s="3" t="str" cm="1">
        <f t="array" ref="T394">_xlfn.IFS(Trainingsabschluss[[#This Row],[Training_Bewertung]]&gt;=9, "Promotor", Trainingsabschluss[[#This Row],[Training_Bewertung]]
&lt;=6, "Detraktor",
TRUE, "Passiv")</f>
        <v>Promotor</v>
      </c>
      <c r="W394"/>
    </row>
    <row r="395" spans="1:23" x14ac:dyDescent="0.3">
      <c r="A395" s="13" t="s">
        <v>109</v>
      </c>
      <c r="B395" s="2">
        <v>5</v>
      </c>
      <c r="C395" s="2">
        <v>2.5</v>
      </c>
      <c r="D395" s="2">
        <v>3</v>
      </c>
      <c r="E395" s="2">
        <v>2.5</v>
      </c>
      <c r="F395" s="2">
        <v>1</v>
      </c>
      <c r="G395" s="2" t="str">
        <f>_xlfn.XLOOKUP(Trainingsabschluss[[#This Row],[UserID]], Teilnehmende[UserID], Teilnehmende[Branche], "UserID nicht gefunden")</f>
        <v>Einzelhandel</v>
      </c>
      <c r="H395" t="str">
        <f>_xlfn.XLOOKUP(Trainingsabschluss[[#This Row],[UserID]], Teilnehmende[UserID], Teilnehmende[Bildungsabschluss], "UserID nicht gefunden")</f>
        <v>Master</v>
      </c>
      <c r="I395" s="3">
        <f>_xlfn.XLOOKUP(Trainingsabschluss[[#This Row],[UserID]], Teilnehmende[UserID], Teilnehmende[Berufserfahrung])</f>
        <v>13</v>
      </c>
      <c r="J395" s="3" t="str" cm="1">
        <f t="array" ref="J39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95" s="11">
        <f>Trainingsabschluss[[#This Row],[Quiz_Frage1_Punkte]]/Max_Frage1</f>
        <v>1</v>
      </c>
      <c r="L395" s="11">
        <f>Trainingsabschluss[[#This Row],[Quiz_Frage2_Punkte]]/Max_Frage2</f>
        <v>0.5</v>
      </c>
      <c r="M395" s="11">
        <f>Trainingsabschluss[[#This Row],[Quiz_Frage3_Punkte]]/Max_Frage3</f>
        <v>0.6</v>
      </c>
      <c r="N395" s="11">
        <f>Trainingsabschluss[[#This Row],[Quiz_Frage4_Punkte]]/Max_Frage4</f>
        <v>0.625</v>
      </c>
      <c r="O395" s="11">
        <f>Trainingsabschluss[[#This Row],[Quiz_Frage5_Punkte]]/Max_Frage5</f>
        <v>0.33333333333333331</v>
      </c>
      <c r="P395" s="2">
        <f>Trainingsabschluss[[#This Row],[Quiz_Frage1_Punkte]]+Trainingsabschluss[[#This Row],[Quiz_Frage2_Punkte]]+Trainingsabschluss[[#This Row],[Quiz_Frage3_Punkte]]+Trainingsabschluss[[#This Row],[Quiz_Frage4_Punkte]]+Trainingsabschluss[[#This Row],[Quiz_Frage5_Punkte]]</f>
        <v>14</v>
      </c>
      <c r="Q395" s="8">
        <f>Trainingsabschluss[[#This Row],[Quizergebnis]]/Max_Quizergebnis</f>
        <v>0.63636363636363635</v>
      </c>
      <c r="R395" t="str" cm="1">
        <f t="array" ref="R395">_xlfn.IFS(Trainingsabschluss[[#This Row],[Quizergebnis_Prozent]]&lt;0.5, "Nicht bestanden",
Trainingsabschluss[[#This Row],[Quizergebnis_Prozent]]&lt;0.65, "Bestanden",
Trainingsabschluss[[#This Row],[Quizergebnis_Prozent]]&lt;0.8, "Gut bestanden",
TRUE, "Sehr gut bestanden")</f>
        <v>Bestanden</v>
      </c>
      <c r="S395" s="3">
        <v>9</v>
      </c>
      <c r="T395" s="3" t="str" cm="1">
        <f t="array" ref="T395">_xlfn.IFS(Trainingsabschluss[[#This Row],[Training_Bewertung]]&gt;=9, "Promotor", Trainingsabschluss[[#This Row],[Training_Bewertung]]
&lt;=6, "Detraktor",
TRUE, "Passiv")</f>
        <v>Promotor</v>
      </c>
      <c r="W395"/>
    </row>
    <row r="396" spans="1:23" x14ac:dyDescent="0.3">
      <c r="A396" s="13" t="s">
        <v>119</v>
      </c>
      <c r="B396" s="2">
        <v>0</v>
      </c>
      <c r="C396" s="2">
        <v>2</v>
      </c>
      <c r="D396" s="2">
        <v>1</v>
      </c>
      <c r="E396" s="2">
        <v>1.5</v>
      </c>
      <c r="F396" s="2">
        <v>0</v>
      </c>
      <c r="G396" s="2" t="str">
        <f>_xlfn.XLOOKUP(Trainingsabschluss[[#This Row],[UserID]], Teilnehmende[UserID], Teilnehmende[Branche], "UserID nicht gefunden")</f>
        <v>E-Commerce</v>
      </c>
      <c r="H396" t="str">
        <f>_xlfn.XLOOKUP(Trainingsabschluss[[#This Row],[UserID]], Teilnehmende[UserID], Teilnehmende[Bildungsabschluss], "UserID nicht gefunden")</f>
        <v>Master</v>
      </c>
      <c r="I396" s="3">
        <f>_xlfn.XLOOKUP(Trainingsabschluss[[#This Row],[UserID]], Teilnehmende[UserID], Teilnehmende[Berufserfahrung])</f>
        <v>5</v>
      </c>
      <c r="J396" s="3" t="str" cm="1">
        <f t="array" ref="J39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96" s="11">
        <f>Trainingsabschluss[[#This Row],[Quiz_Frage1_Punkte]]/Max_Frage1</f>
        <v>0</v>
      </c>
      <c r="L396" s="11">
        <f>Trainingsabschluss[[#This Row],[Quiz_Frage2_Punkte]]/Max_Frage2</f>
        <v>0.4</v>
      </c>
      <c r="M396" s="11">
        <f>Trainingsabschluss[[#This Row],[Quiz_Frage3_Punkte]]/Max_Frage3</f>
        <v>0.2</v>
      </c>
      <c r="N396" s="11">
        <f>Trainingsabschluss[[#This Row],[Quiz_Frage4_Punkte]]/Max_Frage4</f>
        <v>0.375</v>
      </c>
      <c r="O396" s="11">
        <f>Trainingsabschluss[[#This Row],[Quiz_Frage5_Punkte]]/Max_Frage5</f>
        <v>0</v>
      </c>
      <c r="P396" s="2">
        <f>Trainingsabschluss[[#This Row],[Quiz_Frage1_Punkte]]+Trainingsabschluss[[#This Row],[Quiz_Frage2_Punkte]]+Trainingsabschluss[[#This Row],[Quiz_Frage3_Punkte]]+Trainingsabschluss[[#This Row],[Quiz_Frage4_Punkte]]+Trainingsabschluss[[#This Row],[Quiz_Frage5_Punkte]]</f>
        <v>4.5</v>
      </c>
      <c r="Q396" s="8">
        <f>Trainingsabschluss[[#This Row],[Quizergebnis]]/Max_Quizergebnis</f>
        <v>0.20454545454545456</v>
      </c>
      <c r="R396" t="str" cm="1">
        <f t="array" ref="R396">_xlfn.IFS(Trainingsabschluss[[#This Row],[Quizergebnis_Prozent]]&lt;0.5, "Nicht bestanden",
Trainingsabschluss[[#This Row],[Quizergebnis_Prozent]]&lt;0.65, "Bestanden",
Trainingsabschluss[[#This Row],[Quizergebnis_Prozent]]&lt;0.8, "Gut bestanden",
TRUE, "Sehr gut bestanden")</f>
        <v>Nicht bestanden</v>
      </c>
      <c r="S396" s="3">
        <v>9</v>
      </c>
      <c r="T396" s="3" t="str" cm="1">
        <f t="array" ref="T396">_xlfn.IFS(Trainingsabschluss[[#This Row],[Training_Bewertung]]&gt;=9, "Promotor", Trainingsabschluss[[#This Row],[Training_Bewertung]]
&lt;=6, "Detraktor",
TRUE, "Passiv")</f>
        <v>Promotor</v>
      </c>
      <c r="W396"/>
    </row>
    <row r="397" spans="1:23" x14ac:dyDescent="0.3">
      <c r="A397" s="13" t="s">
        <v>122</v>
      </c>
      <c r="B397" s="2">
        <v>4</v>
      </c>
      <c r="C397" s="2">
        <v>4.5</v>
      </c>
      <c r="D397" s="2">
        <v>2</v>
      </c>
      <c r="E397" s="2">
        <v>0.5</v>
      </c>
      <c r="F397" s="2">
        <v>2</v>
      </c>
      <c r="G397" s="2" t="str">
        <f>_xlfn.XLOOKUP(Trainingsabschluss[[#This Row],[UserID]], Teilnehmende[UserID], Teilnehmende[Branche], "UserID nicht gefunden")</f>
        <v>Einzelhandel</v>
      </c>
      <c r="H397" t="str">
        <f>_xlfn.XLOOKUP(Trainingsabschluss[[#This Row],[UserID]], Teilnehmende[UserID], Teilnehmende[Bildungsabschluss], "UserID nicht gefunden")</f>
        <v>Master</v>
      </c>
      <c r="I397" s="3">
        <f>_xlfn.XLOOKUP(Trainingsabschluss[[#This Row],[UserID]], Teilnehmende[UserID], Teilnehmende[Berufserfahrung])</f>
        <v>12</v>
      </c>
      <c r="J397" s="3" t="str" cm="1">
        <f t="array" ref="J397">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397" s="11">
        <f>Trainingsabschluss[[#This Row],[Quiz_Frage1_Punkte]]/Max_Frage1</f>
        <v>0.8</v>
      </c>
      <c r="L397" s="11">
        <f>Trainingsabschluss[[#This Row],[Quiz_Frage2_Punkte]]/Max_Frage2</f>
        <v>0.9</v>
      </c>
      <c r="M397" s="11">
        <f>Trainingsabschluss[[#This Row],[Quiz_Frage3_Punkte]]/Max_Frage3</f>
        <v>0.4</v>
      </c>
      <c r="N397" s="11">
        <f>Trainingsabschluss[[#This Row],[Quiz_Frage4_Punkte]]/Max_Frage4</f>
        <v>0.125</v>
      </c>
      <c r="O397" s="11">
        <f>Trainingsabschluss[[#This Row],[Quiz_Frage5_Punkte]]/Max_Frage5</f>
        <v>0.66666666666666663</v>
      </c>
      <c r="P397" s="2">
        <f>Trainingsabschluss[[#This Row],[Quiz_Frage1_Punkte]]+Trainingsabschluss[[#This Row],[Quiz_Frage2_Punkte]]+Trainingsabschluss[[#This Row],[Quiz_Frage3_Punkte]]+Trainingsabschluss[[#This Row],[Quiz_Frage4_Punkte]]+Trainingsabschluss[[#This Row],[Quiz_Frage5_Punkte]]</f>
        <v>13</v>
      </c>
      <c r="Q397" s="8">
        <f>Trainingsabschluss[[#This Row],[Quizergebnis]]/Max_Quizergebnis</f>
        <v>0.59090909090909094</v>
      </c>
      <c r="R397" t="str" cm="1">
        <f t="array" ref="R397">_xlfn.IFS(Trainingsabschluss[[#This Row],[Quizergebnis_Prozent]]&lt;0.5, "Nicht bestanden",
Trainingsabschluss[[#This Row],[Quizergebnis_Prozent]]&lt;0.65, "Bestanden",
Trainingsabschluss[[#This Row],[Quizergebnis_Prozent]]&lt;0.8, "Gut bestanden",
TRUE, "Sehr gut bestanden")</f>
        <v>Bestanden</v>
      </c>
      <c r="S397" s="3">
        <v>9</v>
      </c>
      <c r="T397" s="3" t="str" cm="1">
        <f t="array" ref="T397">_xlfn.IFS(Trainingsabschluss[[#This Row],[Training_Bewertung]]&gt;=9, "Promotor", Trainingsabschluss[[#This Row],[Training_Bewertung]]
&lt;=6, "Detraktor",
TRUE, "Passiv")</f>
        <v>Promotor</v>
      </c>
      <c r="W397"/>
    </row>
    <row r="398" spans="1:23" x14ac:dyDescent="0.3">
      <c r="A398" s="13" t="s">
        <v>123</v>
      </c>
      <c r="B398" s="2">
        <v>5</v>
      </c>
      <c r="C398" s="2">
        <v>4.5</v>
      </c>
      <c r="D398" s="2">
        <v>2</v>
      </c>
      <c r="E398" s="2">
        <v>2.5</v>
      </c>
      <c r="F398" s="2">
        <v>1.5</v>
      </c>
      <c r="G398" s="2" t="str">
        <f>_xlfn.XLOOKUP(Trainingsabschluss[[#This Row],[UserID]], Teilnehmende[UserID], Teilnehmende[Branche], "UserID nicht gefunden")</f>
        <v>Einzelhandel</v>
      </c>
      <c r="H398" t="str">
        <f>_xlfn.XLOOKUP(Trainingsabschluss[[#This Row],[UserID]], Teilnehmende[UserID], Teilnehmende[Bildungsabschluss], "UserID nicht gefunden")</f>
        <v>Master</v>
      </c>
      <c r="I398" s="3">
        <f>_xlfn.XLOOKUP(Trainingsabschluss[[#This Row],[UserID]], Teilnehmende[UserID], Teilnehmende[Berufserfahrung])</f>
        <v>17</v>
      </c>
      <c r="J398" s="3" t="str" cm="1">
        <f t="array" ref="J398">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398" s="11">
        <f>Trainingsabschluss[[#This Row],[Quiz_Frage1_Punkte]]/Max_Frage1</f>
        <v>1</v>
      </c>
      <c r="L398" s="11">
        <f>Trainingsabschluss[[#This Row],[Quiz_Frage2_Punkte]]/Max_Frage2</f>
        <v>0.9</v>
      </c>
      <c r="M398" s="11">
        <f>Trainingsabschluss[[#This Row],[Quiz_Frage3_Punkte]]/Max_Frage3</f>
        <v>0.4</v>
      </c>
      <c r="N398" s="11">
        <f>Trainingsabschluss[[#This Row],[Quiz_Frage4_Punkte]]/Max_Frage4</f>
        <v>0.625</v>
      </c>
      <c r="O398" s="11">
        <f>Trainingsabschluss[[#This Row],[Quiz_Frage5_Punkte]]/Max_Frage5</f>
        <v>0.5</v>
      </c>
      <c r="P398" s="2">
        <f>Trainingsabschluss[[#This Row],[Quiz_Frage1_Punkte]]+Trainingsabschluss[[#This Row],[Quiz_Frage2_Punkte]]+Trainingsabschluss[[#This Row],[Quiz_Frage3_Punkte]]+Trainingsabschluss[[#This Row],[Quiz_Frage4_Punkte]]+Trainingsabschluss[[#This Row],[Quiz_Frage5_Punkte]]</f>
        <v>15.5</v>
      </c>
      <c r="Q398" s="8">
        <f>Trainingsabschluss[[#This Row],[Quizergebnis]]/Max_Quizergebnis</f>
        <v>0.70454545454545459</v>
      </c>
      <c r="R398" t="str" cm="1">
        <f t="array" ref="R398">_xlfn.IFS(Trainingsabschluss[[#This Row],[Quizergebnis_Prozent]]&lt;0.5, "Nicht bestanden",
Trainingsabschluss[[#This Row],[Quizergebnis_Prozent]]&lt;0.65, "Bestanden",
Trainingsabschluss[[#This Row],[Quizergebnis_Prozent]]&lt;0.8, "Gut bestanden",
TRUE, "Sehr gut bestanden")</f>
        <v>Gut bestanden</v>
      </c>
      <c r="S398" s="3">
        <v>9</v>
      </c>
      <c r="T398" s="3" t="str" cm="1">
        <f t="array" ref="T398">_xlfn.IFS(Trainingsabschluss[[#This Row],[Training_Bewertung]]&gt;=9, "Promotor", Trainingsabschluss[[#This Row],[Training_Bewertung]]
&lt;=6, "Detraktor",
TRUE, "Passiv")</f>
        <v>Promotor</v>
      </c>
      <c r="W398"/>
    </row>
    <row r="399" spans="1:23" x14ac:dyDescent="0.3">
      <c r="A399" s="13" t="s">
        <v>126</v>
      </c>
      <c r="B399" s="2">
        <v>5</v>
      </c>
      <c r="C399" s="2">
        <v>2</v>
      </c>
      <c r="D399" s="2">
        <v>3</v>
      </c>
      <c r="E399" s="2">
        <v>3</v>
      </c>
      <c r="F399" s="2">
        <v>2</v>
      </c>
      <c r="G399" s="2" t="str">
        <f>_xlfn.XLOOKUP(Trainingsabschluss[[#This Row],[UserID]], Teilnehmende[UserID], Teilnehmende[Branche], "UserID nicht gefunden")</f>
        <v>Großhandel</v>
      </c>
      <c r="H399" t="str">
        <f>_xlfn.XLOOKUP(Trainingsabschluss[[#This Row],[UserID]], Teilnehmende[UserID], Teilnehmende[Bildungsabschluss], "UserID nicht gefunden")</f>
        <v>Master</v>
      </c>
      <c r="I399" s="3">
        <f>_xlfn.XLOOKUP(Trainingsabschluss[[#This Row],[UserID]], Teilnehmende[UserID], Teilnehmende[Berufserfahrung])</f>
        <v>5</v>
      </c>
      <c r="J399" s="3" t="str" cm="1">
        <f t="array" ref="J39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399" s="11">
        <f>Trainingsabschluss[[#This Row],[Quiz_Frage1_Punkte]]/Max_Frage1</f>
        <v>1</v>
      </c>
      <c r="L399" s="11">
        <f>Trainingsabschluss[[#This Row],[Quiz_Frage2_Punkte]]/Max_Frage2</f>
        <v>0.4</v>
      </c>
      <c r="M399" s="11">
        <f>Trainingsabschluss[[#This Row],[Quiz_Frage3_Punkte]]/Max_Frage3</f>
        <v>0.6</v>
      </c>
      <c r="N399" s="11">
        <f>Trainingsabschluss[[#This Row],[Quiz_Frage4_Punkte]]/Max_Frage4</f>
        <v>0.75</v>
      </c>
      <c r="O399" s="11">
        <f>Trainingsabschluss[[#This Row],[Quiz_Frage5_Punkte]]/Max_Frage5</f>
        <v>0.66666666666666663</v>
      </c>
      <c r="P399" s="2">
        <f>Trainingsabschluss[[#This Row],[Quiz_Frage1_Punkte]]+Trainingsabschluss[[#This Row],[Quiz_Frage2_Punkte]]+Trainingsabschluss[[#This Row],[Quiz_Frage3_Punkte]]+Trainingsabschluss[[#This Row],[Quiz_Frage4_Punkte]]+Trainingsabschluss[[#This Row],[Quiz_Frage5_Punkte]]</f>
        <v>15</v>
      </c>
      <c r="Q399" s="8">
        <f>Trainingsabschluss[[#This Row],[Quizergebnis]]/Max_Quizergebnis</f>
        <v>0.68181818181818177</v>
      </c>
      <c r="R399" t="str" cm="1">
        <f t="array" ref="R399">_xlfn.IFS(Trainingsabschluss[[#This Row],[Quizergebnis_Prozent]]&lt;0.5, "Nicht bestanden",
Trainingsabschluss[[#This Row],[Quizergebnis_Prozent]]&lt;0.65, "Bestanden",
Trainingsabschluss[[#This Row],[Quizergebnis_Prozent]]&lt;0.8, "Gut bestanden",
TRUE, "Sehr gut bestanden")</f>
        <v>Gut bestanden</v>
      </c>
      <c r="S399" s="3">
        <v>9</v>
      </c>
      <c r="T399" s="3" t="str" cm="1">
        <f t="array" ref="T399">_xlfn.IFS(Trainingsabschluss[[#This Row],[Training_Bewertung]]&gt;=9, "Promotor", Trainingsabschluss[[#This Row],[Training_Bewertung]]
&lt;=6, "Detraktor",
TRUE, "Passiv")</f>
        <v>Promotor</v>
      </c>
      <c r="W399"/>
    </row>
    <row r="400" spans="1:23" x14ac:dyDescent="0.3">
      <c r="A400" s="13" t="s">
        <v>131</v>
      </c>
      <c r="B400" s="2">
        <v>4</v>
      </c>
      <c r="C400" s="2">
        <v>5</v>
      </c>
      <c r="D400" s="2">
        <v>0.5</v>
      </c>
      <c r="E400" s="2">
        <v>3</v>
      </c>
      <c r="F400" s="2">
        <v>0.5</v>
      </c>
      <c r="G400" s="2" t="str">
        <f>_xlfn.XLOOKUP(Trainingsabschluss[[#This Row],[UserID]], Teilnehmende[UserID], Teilnehmende[Branche], "UserID nicht gefunden")</f>
        <v>Großhandel</v>
      </c>
      <c r="H400" t="str">
        <f>_xlfn.XLOOKUP(Trainingsabschluss[[#This Row],[UserID]], Teilnehmende[UserID], Teilnehmende[Bildungsabschluss], "UserID nicht gefunden")</f>
        <v>Master</v>
      </c>
      <c r="I400" s="3">
        <f>_xlfn.XLOOKUP(Trainingsabschluss[[#This Row],[UserID]], Teilnehmende[UserID], Teilnehmende[Berufserfahrung])</f>
        <v>7</v>
      </c>
      <c r="J400" s="3" t="str" cm="1">
        <f t="array" ref="J40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00" s="11">
        <f>Trainingsabschluss[[#This Row],[Quiz_Frage1_Punkte]]/Max_Frage1</f>
        <v>0.8</v>
      </c>
      <c r="L400" s="11">
        <f>Trainingsabschluss[[#This Row],[Quiz_Frage2_Punkte]]/Max_Frage2</f>
        <v>1</v>
      </c>
      <c r="M400" s="11">
        <f>Trainingsabschluss[[#This Row],[Quiz_Frage3_Punkte]]/Max_Frage3</f>
        <v>0.1</v>
      </c>
      <c r="N400" s="11">
        <f>Trainingsabschluss[[#This Row],[Quiz_Frage4_Punkte]]/Max_Frage4</f>
        <v>0.75</v>
      </c>
      <c r="O400" s="11">
        <f>Trainingsabschluss[[#This Row],[Quiz_Frage5_Punkte]]/Max_Frage5</f>
        <v>0.16666666666666666</v>
      </c>
      <c r="P400" s="2">
        <f>Trainingsabschluss[[#This Row],[Quiz_Frage1_Punkte]]+Trainingsabschluss[[#This Row],[Quiz_Frage2_Punkte]]+Trainingsabschluss[[#This Row],[Quiz_Frage3_Punkte]]+Trainingsabschluss[[#This Row],[Quiz_Frage4_Punkte]]+Trainingsabschluss[[#This Row],[Quiz_Frage5_Punkte]]</f>
        <v>13</v>
      </c>
      <c r="Q400" s="8">
        <f>Trainingsabschluss[[#This Row],[Quizergebnis]]/Max_Quizergebnis</f>
        <v>0.59090909090909094</v>
      </c>
      <c r="R400" t="str" cm="1">
        <f t="array" ref="R400">_xlfn.IFS(Trainingsabschluss[[#This Row],[Quizergebnis_Prozent]]&lt;0.5, "Nicht bestanden",
Trainingsabschluss[[#This Row],[Quizergebnis_Prozent]]&lt;0.65, "Bestanden",
Trainingsabschluss[[#This Row],[Quizergebnis_Prozent]]&lt;0.8, "Gut bestanden",
TRUE, "Sehr gut bestanden")</f>
        <v>Bestanden</v>
      </c>
      <c r="S400" s="3">
        <v>9</v>
      </c>
      <c r="T400" s="3" t="str" cm="1">
        <f t="array" ref="T400">_xlfn.IFS(Trainingsabschluss[[#This Row],[Training_Bewertung]]&gt;=9, "Promotor", Trainingsabschluss[[#This Row],[Training_Bewertung]]
&lt;=6, "Detraktor",
TRUE, "Passiv")</f>
        <v>Promotor</v>
      </c>
      <c r="W400"/>
    </row>
    <row r="401" spans="1:23" x14ac:dyDescent="0.3">
      <c r="A401" s="13" t="s">
        <v>63</v>
      </c>
      <c r="B401" s="2">
        <v>4.5</v>
      </c>
      <c r="C401" s="2">
        <v>2.5</v>
      </c>
      <c r="D401" s="2">
        <v>3</v>
      </c>
      <c r="E401" s="2">
        <v>3.5</v>
      </c>
      <c r="F401" s="2">
        <v>1.5</v>
      </c>
      <c r="G401" s="2" t="str">
        <f>_xlfn.XLOOKUP(Trainingsabschluss[[#This Row],[UserID]], Teilnehmende[UserID], Teilnehmende[Branche], "UserID nicht gefunden")</f>
        <v>Einzelhandel</v>
      </c>
      <c r="H401" t="str">
        <f>_xlfn.XLOOKUP(Trainingsabschluss[[#This Row],[UserID]], Teilnehmende[UserID], Teilnehmende[Bildungsabschluss], "UserID nicht gefunden")</f>
        <v>Master</v>
      </c>
      <c r="I401" s="3">
        <f>_xlfn.XLOOKUP(Trainingsabschluss[[#This Row],[UserID]], Teilnehmende[UserID], Teilnehmende[Berufserfahrung])</f>
        <v>23</v>
      </c>
      <c r="J401" s="3" t="str" cm="1">
        <f t="array" ref="J401">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401" s="11">
        <f>Trainingsabschluss[[#This Row],[Quiz_Frage1_Punkte]]/Max_Frage1</f>
        <v>0.9</v>
      </c>
      <c r="L401" s="11">
        <f>Trainingsabschluss[[#This Row],[Quiz_Frage2_Punkte]]/Max_Frage2</f>
        <v>0.5</v>
      </c>
      <c r="M401" s="11">
        <f>Trainingsabschluss[[#This Row],[Quiz_Frage3_Punkte]]/Max_Frage3</f>
        <v>0.6</v>
      </c>
      <c r="N401" s="11">
        <f>Trainingsabschluss[[#This Row],[Quiz_Frage4_Punkte]]/Max_Frage4</f>
        <v>0.875</v>
      </c>
      <c r="O401" s="11">
        <f>Trainingsabschluss[[#This Row],[Quiz_Frage5_Punkte]]/Max_Frage5</f>
        <v>0.5</v>
      </c>
      <c r="P401" s="2">
        <f>Trainingsabschluss[[#This Row],[Quiz_Frage1_Punkte]]+Trainingsabschluss[[#This Row],[Quiz_Frage2_Punkte]]+Trainingsabschluss[[#This Row],[Quiz_Frage3_Punkte]]+Trainingsabschluss[[#This Row],[Quiz_Frage4_Punkte]]+Trainingsabschluss[[#This Row],[Quiz_Frage5_Punkte]]</f>
        <v>15</v>
      </c>
      <c r="Q401" s="8">
        <f>Trainingsabschluss[[#This Row],[Quizergebnis]]/Max_Quizergebnis</f>
        <v>0.68181818181818177</v>
      </c>
      <c r="R401" t="str" cm="1">
        <f t="array" ref="R401">_xlfn.IFS(Trainingsabschluss[[#This Row],[Quizergebnis_Prozent]]&lt;0.5, "Nicht bestanden",
Trainingsabschluss[[#This Row],[Quizergebnis_Prozent]]&lt;0.65, "Bestanden",
Trainingsabschluss[[#This Row],[Quizergebnis_Prozent]]&lt;0.8, "Gut bestanden",
TRUE, "Sehr gut bestanden")</f>
        <v>Gut bestanden</v>
      </c>
      <c r="S401" s="3">
        <v>6</v>
      </c>
      <c r="T401" s="3" t="str" cm="1">
        <f t="array" ref="T401">_xlfn.IFS(Trainingsabschluss[[#This Row],[Training_Bewertung]]&gt;=9, "Promotor", Trainingsabschluss[[#This Row],[Training_Bewertung]]
&lt;=6, "Detraktor",
TRUE, "Passiv")</f>
        <v>Detraktor</v>
      </c>
      <c r="W401"/>
    </row>
    <row r="402" spans="1:23" x14ac:dyDescent="0.3">
      <c r="A402" s="13" t="s">
        <v>64</v>
      </c>
      <c r="B402" s="2">
        <v>5</v>
      </c>
      <c r="C402" s="2">
        <v>4.5</v>
      </c>
      <c r="D402" s="2">
        <v>4</v>
      </c>
      <c r="E402" s="2">
        <v>2</v>
      </c>
      <c r="F402" s="2">
        <v>0.5</v>
      </c>
      <c r="G402" s="2" t="str">
        <f>_xlfn.XLOOKUP(Trainingsabschluss[[#This Row],[UserID]], Teilnehmende[UserID], Teilnehmende[Branche], "UserID nicht gefunden")</f>
        <v>Großhandel</v>
      </c>
      <c r="H402" t="str">
        <f>_xlfn.XLOOKUP(Trainingsabschluss[[#This Row],[UserID]], Teilnehmende[UserID], Teilnehmende[Bildungsabschluss], "UserID nicht gefunden")</f>
        <v>Master</v>
      </c>
      <c r="I402" s="3">
        <f>_xlfn.XLOOKUP(Trainingsabschluss[[#This Row],[UserID]], Teilnehmende[UserID], Teilnehmende[Berufserfahrung])</f>
        <v>4</v>
      </c>
      <c r="J402" s="3" t="str" cm="1">
        <f t="array" ref="J40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02" s="11">
        <f>Trainingsabschluss[[#This Row],[Quiz_Frage1_Punkte]]/Max_Frage1</f>
        <v>1</v>
      </c>
      <c r="L402" s="11">
        <f>Trainingsabschluss[[#This Row],[Quiz_Frage2_Punkte]]/Max_Frage2</f>
        <v>0.9</v>
      </c>
      <c r="M402" s="11">
        <f>Trainingsabschluss[[#This Row],[Quiz_Frage3_Punkte]]/Max_Frage3</f>
        <v>0.8</v>
      </c>
      <c r="N402" s="11">
        <f>Trainingsabschluss[[#This Row],[Quiz_Frage4_Punkte]]/Max_Frage4</f>
        <v>0.5</v>
      </c>
      <c r="O402" s="11">
        <f>Trainingsabschluss[[#This Row],[Quiz_Frage5_Punkte]]/Max_Frage5</f>
        <v>0.16666666666666666</v>
      </c>
      <c r="P402" s="2">
        <f>Trainingsabschluss[[#This Row],[Quiz_Frage1_Punkte]]+Trainingsabschluss[[#This Row],[Quiz_Frage2_Punkte]]+Trainingsabschluss[[#This Row],[Quiz_Frage3_Punkte]]+Trainingsabschluss[[#This Row],[Quiz_Frage4_Punkte]]+Trainingsabschluss[[#This Row],[Quiz_Frage5_Punkte]]</f>
        <v>16</v>
      </c>
      <c r="Q402" s="8">
        <f>Trainingsabschluss[[#This Row],[Quizergebnis]]/Max_Quizergebnis</f>
        <v>0.72727272727272729</v>
      </c>
      <c r="R402" t="str" cm="1">
        <f t="array" ref="R402">_xlfn.IFS(Trainingsabschluss[[#This Row],[Quizergebnis_Prozent]]&lt;0.5, "Nicht bestanden",
Trainingsabschluss[[#This Row],[Quizergebnis_Prozent]]&lt;0.65, "Bestanden",
Trainingsabschluss[[#This Row],[Quizergebnis_Prozent]]&lt;0.8, "Gut bestanden",
TRUE, "Sehr gut bestanden")</f>
        <v>Gut bestanden</v>
      </c>
      <c r="S402" s="3">
        <v>10</v>
      </c>
      <c r="T402" s="3" t="str" cm="1">
        <f t="array" ref="T402">_xlfn.IFS(Trainingsabschluss[[#This Row],[Training_Bewertung]]&gt;=9, "Promotor", Trainingsabschluss[[#This Row],[Training_Bewertung]]
&lt;=6, "Detraktor",
TRUE, "Passiv")</f>
        <v>Promotor</v>
      </c>
      <c r="W402"/>
    </row>
    <row r="403" spans="1:23" x14ac:dyDescent="0.3">
      <c r="A403" s="13" t="s">
        <v>133</v>
      </c>
      <c r="B403" s="2">
        <v>2</v>
      </c>
      <c r="C403" s="2">
        <v>0</v>
      </c>
      <c r="D403" s="2">
        <v>0</v>
      </c>
      <c r="E403" s="2">
        <v>2</v>
      </c>
      <c r="F403" s="2">
        <v>0</v>
      </c>
      <c r="G403" s="2" t="str">
        <f>_xlfn.XLOOKUP(Trainingsabschluss[[#This Row],[UserID]], Teilnehmende[UserID], Teilnehmende[Branche], "UserID nicht gefunden")</f>
        <v>Einzelhandel</v>
      </c>
      <c r="H403" t="str">
        <f>_xlfn.XLOOKUP(Trainingsabschluss[[#This Row],[UserID]], Teilnehmende[UserID], Teilnehmende[Bildungsabschluss], "UserID nicht gefunden")</f>
        <v>Master</v>
      </c>
      <c r="I403" s="3">
        <f>_xlfn.XLOOKUP(Trainingsabschluss[[#This Row],[UserID]], Teilnehmende[UserID], Teilnehmende[Berufserfahrung])</f>
        <v>6</v>
      </c>
      <c r="J403" s="3" t="str" cm="1">
        <f t="array" ref="J40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03" s="11">
        <f>Trainingsabschluss[[#This Row],[Quiz_Frage1_Punkte]]/Max_Frage1</f>
        <v>0.4</v>
      </c>
      <c r="L403" s="11">
        <f>Trainingsabschluss[[#This Row],[Quiz_Frage2_Punkte]]/Max_Frage2</f>
        <v>0</v>
      </c>
      <c r="M403" s="11">
        <f>Trainingsabschluss[[#This Row],[Quiz_Frage3_Punkte]]/Max_Frage3</f>
        <v>0</v>
      </c>
      <c r="N403" s="11">
        <f>Trainingsabschluss[[#This Row],[Quiz_Frage4_Punkte]]/Max_Frage4</f>
        <v>0.5</v>
      </c>
      <c r="O403" s="11">
        <f>Trainingsabschluss[[#This Row],[Quiz_Frage5_Punkte]]/Max_Frage5</f>
        <v>0</v>
      </c>
      <c r="P403" s="2">
        <f>Trainingsabschluss[[#This Row],[Quiz_Frage1_Punkte]]+Trainingsabschluss[[#This Row],[Quiz_Frage2_Punkte]]+Trainingsabschluss[[#This Row],[Quiz_Frage3_Punkte]]+Trainingsabschluss[[#This Row],[Quiz_Frage4_Punkte]]+Trainingsabschluss[[#This Row],[Quiz_Frage5_Punkte]]</f>
        <v>4</v>
      </c>
      <c r="Q403" s="8">
        <f>Trainingsabschluss[[#This Row],[Quizergebnis]]/Max_Quizergebnis</f>
        <v>0.18181818181818182</v>
      </c>
      <c r="R403" t="str" cm="1">
        <f t="array" ref="R403">_xlfn.IFS(Trainingsabschluss[[#This Row],[Quizergebnis_Prozent]]&lt;0.5, "Nicht bestanden",
Trainingsabschluss[[#This Row],[Quizergebnis_Prozent]]&lt;0.65, "Bestanden",
Trainingsabschluss[[#This Row],[Quizergebnis_Prozent]]&lt;0.8, "Gut bestanden",
TRUE, "Sehr gut bestanden")</f>
        <v>Nicht bestanden</v>
      </c>
      <c r="S403" s="3">
        <v>10</v>
      </c>
      <c r="T403" s="3" t="str" cm="1">
        <f t="array" ref="T403">_xlfn.IFS(Trainingsabschluss[[#This Row],[Training_Bewertung]]&gt;=9, "Promotor", Trainingsabschluss[[#This Row],[Training_Bewertung]]
&lt;=6, "Detraktor",
TRUE, "Passiv")</f>
        <v>Promotor</v>
      </c>
      <c r="W403"/>
    </row>
    <row r="404" spans="1:23" x14ac:dyDescent="0.3">
      <c r="A404" s="13" t="s">
        <v>137</v>
      </c>
      <c r="B404" s="2">
        <v>3</v>
      </c>
      <c r="C404" s="2">
        <v>4.5</v>
      </c>
      <c r="D404" s="2">
        <v>2.5</v>
      </c>
      <c r="E404" s="2">
        <v>2</v>
      </c>
      <c r="F404" s="2">
        <v>0.5</v>
      </c>
      <c r="G404" s="2" t="str">
        <f>_xlfn.XLOOKUP(Trainingsabschluss[[#This Row],[UserID]], Teilnehmende[UserID], Teilnehmende[Branche], "UserID nicht gefunden")</f>
        <v>Großhandel</v>
      </c>
      <c r="H404" t="str">
        <f>_xlfn.XLOOKUP(Trainingsabschluss[[#This Row],[UserID]], Teilnehmende[UserID], Teilnehmende[Bildungsabschluss], "UserID nicht gefunden")</f>
        <v>Master</v>
      </c>
      <c r="I404" s="3">
        <f>_xlfn.XLOOKUP(Trainingsabschluss[[#This Row],[UserID]], Teilnehmende[UserID], Teilnehmende[Berufserfahrung])</f>
        <v>9</v>
      </c>
      <c r="J404" s="3" t="str" cm="1">
        <f t="array" ref="J40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04" s="11">
        <f>Trainingsabschluss[[#This Row],[Quiz_Frage1_Punkte]]/Max_Frage1</f>
        <v>0.6</v>
      </c>
      <c r="L404" s="11">
        <f>Trainingsabschluss[[#This Row],[Quiz_Frage2_Punkte]]/Max_Frage2</f>
        <v>0.9</v>
      </c>
      <c r="M404" s="11">
        <f>Trainingsabschluss[[#This Row],[Quiz_Frage3_Punkte]]/Max_Frage3</f>
        <v>0.5</v>
      </c>
      <c r="N404" s="11">
        <f>Trainingsabschluss[[#This Row],[Quiz_Frage4_Punkte]]/Max_Frage4</f>
        <v>0.5</v>
      </c>
      <c r="O404" s="11">
        <f>Trainingsabschluss[[#This Row],[Quiz_Frage5_Punkte]]/Max_Frage5</f>
        <v>0.16666666666666666</v>
      </c>
      <c r="P404" s="2">
        <f>Trainingsabschluss[[#This Row],[Quiz_Frage1_Punkte]]+Trainingsabschluss[[#This Row],[Quiz_Frage2_Punkte]]+Trainingsabschluss[[#This Row],[Quiz_Frage3_Punkte]]+Trainingsabschluss[[#This Row],[Quiz_Frage4_Punkte]]+Trainingsabschluss[[#This Row],[Quiz_Frage5_Punkte]]</f>
        <v>12.5</v>
      </c>
      <c r="Q404" s="8">
        <f>Trainingsabschluss[[#This Row],[Quizergebnis]]/Max_Quizergebnis</f>
        <v>0.56818181818181823</v>
      </c>
      <c r="R404" t="str" cm="1">
        <f t="array" ref="R404">_xlfn.IFS(Trainingsabschluss[[#This Row],[Quizergebnis_Prozent]]&lt;0.5, "Nicht bestanden",
Trainingsabschluss[[#This Row],[Quizergebnis_Prozent]]&lt;0.65, "Bestanden",
Trainingsabschluss[[#This Row],[Quizergebnis_Prozent]]&lt;0.8, "Gut bestanden",
TRUE, "Sehr gut bestanden")</f>
        <v>Bestanden</v>
      </c>
      <c r="S404" s="3">
        <v>10</v>
      </c>
      <c r="T404" s="3" t="str" cm="1">
        <f t="array" ref="T404">_xlfn.IFS(Trainingsabschluss[[#This Row],[Training_Bewertung]]&gt;=9, "Promotor", Trainingsabschluss[[#This Row],[Training_Bewertung]]
&lt;=6, "Detraktor",
TRUE, "Passiv")</f>
        <v>Promotor</v>
      </c>
      <c r="W404"/>
    </row>
    <row r="405" spans="1:23" x14ac:dyDescent="0.3">
      <c r="A405" s="13" t="s">
        <v>138</v>
      </c>
      <c r="B405" s="2">
        <v>5</v>
      </c>
      <c r="C405" s="2">
        <v>3.5</v>
      </c>
      <c r="D405" s="2">
        <v>3</v>
      </c>
      <c r="E405" s="2">
        <v>3.5</v>
      </c>
      <c r="F405" s="2">
        <v>3</v>
      </c>
      <c r="G405" s="2" t="str">
        <f>_xlfn.XLOOKUP(Trainingsabschluss[[#This Row],[UserID]], Teilnehmende[UserID], Teilnehmende[Branche], "UserID nicht gefunden")</f>
        <v>E-Commerce</v>
      </c>
      <c r="H405" t="str">
        <f>_xlfn.XLOOKUP(Trainingsabschluss[[#This Row],[UserID]], Teilnehmende[UserID], Teilnehmende[Bildungsabschluss], "UserID nicht gefunden")</f>
        <v>Master</v>
      </c>
      <c r="I405" s="3">
        <f>_xlfn.XLOOKUP(Trainingsabschluss[[#This Row],[UserID]], Teilnehmende[UserID], Teilnehmende[Berufserfahrung])</f>
        <v>6</v>
      </c>
      <c r="J405" s="3" t="str" cm="1">
        <f t="array" ref="J40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05" s="11">
        <f>Trainingsabschluss[[#This Row],[Quiz_Frage1_Punkte]]/Max_Frage1</f>
        <v>1</v>
      </c>
      <c r="L405" s="11">
        <f>Trainingsabschluss[[#This Row],[Quiz_Frage2_Punkte]]/Max_Frage2</f>
        <v>0.7</v>
      </c>
      <c r="M405" s="11">
        <f>Trainingsabschluss[[#This Row],[Quiz_Frage3_Punkte]]/Max_Frage3</f>
        <v>0.6</v>
      </c>
      <c r="N405" s="11">
        <f>Trainingsabschluss[[#This Row],[Quiz_Frage4_Punkte]]/Max_Frage4</f>
        <v>0.875</v>
      </c>
      <c r="O405" s="11">
        <f>Trainingsabschluss[[#This Row],[Quiz_Frage5_Punkte]]/Max_Frage5</f>
        <v>1</v>
      </c>
      <c r="P405" s="2">
        <f>Trainingsabschluss[[#This Row],[Quiz_Frage1_Punkte]]+Trainingsabschluss[[#This Row],[Quiz_Frage2_Punkte]]+Trainingsabschluss[[#This Row],[Quiz_Frage3_Punkte]]+Trainingsabschluss[[#This Row],[Quiz_Frage4_Punkte]]+Trainingsabschluss[[#This Row],[Quiz_Frage5_Punkte]]</f>
        <v>18</v>
      </c>
      <c r="Q405" s="8">
        <f>Trainingsabschluss[[#This Row],[Quizergebnis]]/Max_Quizergebnis</f>
        <v>0.81818181818181823</v>
      </c>
      <c r="R405" t="str" cm="1">
        <f t="array" ref="R405">_xlfn.IFS(Trainingsabschluss[[#This Row],[Quizergebnis_Prozent]]&lt;0.5, "Nicht bestanden",
Trainingsabschluss[[#This Row],[Quizergebnis_Prozent]]&lt;0.65, "Bestanden",
Trainingsabschluss[[#This Row],[Quizergebnis_Prozent]]&lt;0.8, "Gut bestanden",
TRUE, "Sehr gut bestanden")</f>
        <v>Sehr gut bestanden</v>
      </c>
      <c r="S405" s="3">
        <v>10</v>
      </c>
      <c r="T405" s="3" t="str" cm="1">
        <f t="array" ref="T405">_xlfn.IFS(Trainingsabschluss[[#This Row],[Training_Bewertung]]&gt;=9, "Promotor", Trainingsabschluss[[#This Row],[Training_Bewertung]]
&lt;=6, "Detraktor",
TRUE, "Passiv")</f>
        <v>Promotor</v>
      </c>
      <c r="W405"/>
    </row>
    <row r="406" spans="1:23" x14ac:dyDescent="0.3">
      <c r="A406" s="13" t="s">
        <v>367</v>
      </c>
      <c r="B406" s="2">
        <v>2</v>
      </c>
      <c r="C406" s="2">
        <v>2</v>
      </c>
      <c r="D406" s="2">
        <v>0</v>
      </c>
      <c r="E406" s="2">
        <v>0</v>
      </c>
      <c r="F406" s="2">
        <v>0</v>
      </c>
      <c r="G406" s="2" t="str">
        <f>_xlfn.XLOOKUP(Trainingsabschluss[[#This Row],[UserID]], Teilnehmende[UserID], Teilnehmende[Branche], "UserID nicht gefunden")</f>
        <v>IT und Technologie</v>
      </c>
      <c r="H406" t="str">
        <f>_xlfn.XLOOKUP(Trainingsabschluss[[#This Row],[UserID]], Teilnehmende[UserID], Teilnehmende[Bildungsabschluss], "UserID nicht gefunden")</f>
        <v>Master</v>
      </c>
      <c r="I406" s="3">
        <f>_xlfn.XLOOKUP(Trainingsabschluss[[#This Row],[UserID]], Teilnehmende[UserID], Teilnehmende[Berufserfahrung])</f>
        <v>5</v>
      </c>
      <c r="J406" s="3" t="str" cm="1">
        <f t="array" ref="J40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06" s="11">
        <f>Trainingsabschluss[[#This Row],[Quiz_Frage1_Punkte]]/Max_Frage1</f>
        <v>0.4</v>
      </c>
      <c r="L406" s="11">
        <f>Trainingsabschluss[[#This Row],[Quiz_Frage2_Punkte]]/Max_Frage2</f>
        <v>0.4</v>
      </c>
      <c r="M406" s="11">
        <f>Trainingsabschluss[[#This Row],[Quiz_Frage3_Punkte]]/Max_Frage3</f>
        <v>0</v>
      </c>
      <c r="N406" s="11">
        <f>Trainingsabschluss[[#This Row],[Quiz_Frage4_Punkte]]/Max_Frage4</f>
        <v>0</v>
      </c>
      <c r="O406" s="11">
        <f>Trainingsabschluss[[#This Row],[Quiz_Frage5_Punkte]]/Max_Frage5</f>
        <v>0</v>
      </c>
      <c r="P406" s="2">
        <f>Trainingsabschluss[[#This Row],[Quiz_Frage1_Punkte]]+Trainingsabschluss[[#This Row],[Quiz_Frage2_Punkte]]+Trainingsabschluss[[#This Row],[Quiz_Frage3_Punkte]]+Trainingsabschluss[[#This Row],[Quiz_Frage4_Punkte]]+Trainingsabschluss[[#This Row],[Quiz_Frage5_Punkte]]</f>
        <v>4</v>
      </c>
      <c r="Q406" s="8">
        <f>Trainingsabschluss[[#This Row],[Quizergebnis]]/Max_Quizergebnis</f>
        <v>0.18181818181818182</v>
      </c>
      <c r="R406" t="str" cm="1">
        <f t="array" ref="R406">_xlfn.IFS(Trainingsabschluss[[#This Row],[Quizergebnis_Prozent]]&lt;0.5, "Nicht bestanden",
Trainingsabschluss[[#This Row],[Quizergebnis_Prozent]]&lt;0.65, "Bestanden",
Trainingsabschluss[[#This Row],[Quizergebnis_Prozent]]&lt;0.8, "Gut bestanden",
TRUE, "Sehr gut bestanden")</f>
        <v>Nicht bestanden</v>
      </c>
      <c r="S406" s="3">
        <v>3</v>
      </c>
      <c r="T406" s="3" t="str" cm="1">
        <f t="array" ref="T406">_xlfn.IFS(Trainingsabschluss[[#This Row],[Training_Bewertung]]&gt;=9, "Promotor", Trainingsabschluss[[#This Row],[Training_Bewertung]]
&lt;=6, "Detraktor",
TRUE, "Passiv")</f>
        <v>Detraktor</v>
      </c>
      <c r="W406"/>
    </row>
    <row r="407" spans="1:23" x14ac:dyDescent="0.3">
      <c r="A407" s="13" t="s">
        <v>381</v>
      </c>
      <c r="B407" s="2">
        <v>5</v>
      </c>
      <c r="C407" s="2">
        <v>2.5</v>
      </c>
      <c r="D407" s="2">
        <v>3</v>
      </c>
      <c r="E407" s="2">
        <v>4</v>
      </c>
      <c r="F407" s="2">
        <v>1.5</v>
      </c>
      <c r="G407" s="2" t="str">
        <f>_xlfn.XLOOKUP(Trainingsabschluss[[#This Row],[UserID]], Teilnehmende[UserID], Teilnehmende[Branche], "UserID nicht gefunden")</f>
        <v>IT und Technologie</v>
      </c>
      <c r="H407" t="str">
        <f>_xlfn.XLOOKUP(Trainingsabschluss[[#This Row],[UserID]], Teilnehmende[UserID], Teilnehmende[Bildungsabschluss], "UserID nicht gefunden")</f>
        <v>Master</v>
      </c>
      <c r="I407" s="3">
        <f>_xlfn.XLOOKUP(Trainingsabschluss[[#This Row],[UserID]], Teilnehmende[UserID], Teilnehmende[Berufserfahrung])</f>
        <v>7</v>
      </c>
      <c r="J407" s="3" t="str" cm="1">
        <f t="array" ref="J40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07" s="11">
        <f>Trainingsabschluss[[#This Row],[Quiz_Frage1_Punkte]]/Max_Frage1</f>
        <v>1</v>
      </c>
      <c r="L407" s="11">
        <f>Trainingsabschluss[[#This Row],[Quiz_Frage2_Punkte]]/Max_Frage2</f>
        <v>0.5</v>
      </c>
      <c r="M407" s="11">
        <f>Trainingsabschluss[[#This Row],[Quiz_Frage3_Punkte]]/Max_Frage3</f>
        <v>0.6</v>
      </c>
      <c r="N407" s="11">
        <f>Trainingsabschluss[[#This Row],[Quiz_Frage4_Punkte]]/Max_Frage4</f>
        <v>1</v>
      </c>
      <c r="O407" s="11">
        <f>Trainingsabschluss[[#This Row],[Quiz_Frage5_Punkte]]/Max_Frage5</f>
        <v>0.5</v>
      </c>
      <c r="P407" s="2">
        <f>Trainingsabschluss[[#This Row],[Quiz_Frage1_Punkte]]+Trainingsabschluss[[#This Row],[Quiz_Frage2_Punkte]]+Trainingsabschluss[[#This Row],[Quiz_Frage3_Punkte]]+Trainingsabschluss[[#This Row],[Quiz_Frage4_Punkte]]+Trainingsabschluss[[#This Row],[Quiz_Frage5_Punkte]]</f>
        <v>16</v>
      </c>
      <c r="Q407" s="8">
        <f>Trainingsabschluss[[#This Row],[Quizergebnis]]/Max_Quizergebnis</f>
        <v>0.72727272727272729</v>
      </c>
      <c r="R407" t="str" cm="1">
        <f t="array" ref="R407">_xlfn.IFS(Trainingsabschluss[[#This Row],[Quizergebnis_Prozent]]&lt;0.5, "Nicht bestanden",
Trainingsabschluss[[#This Row],[Quizergebnis_Prozent]]&lt;0.65, "Bestanden",
Trainingsabschluss[[#This Row],[Quizergebnis_Prozent]]&lt;0.8, "Gut bestanden",
TRUE, "Sehr gut bestanden")</f>
        <v>Gut bestanden</v>
      </c>
      <c r="S407" s="3">
        <v>8</v>
      </c>
      <c r="T407" s="3" t="str" cm="1">
        <f t="array" ref="T407">_xlfn.IFS(Trainingsabschluss[[#This Row],[Training_Bewertung]]&gt;=9, "Promotor", Trainingsabschluss[[#This Row],[Training_Bewertung]]
&lt;=6, "Detraktor",
TRUE, "Passiv")</f>
        <v>Passiv</v>
      </c>
      <c r="W407"/>
    </row>
    <row r="408" spans="1:23" x14ac:dyDescent="0.3">
      <c r="A408" s="13" t="s">
        <v>388</v>
      </c>
      <c r="B408" s="2">
        <v>5</v>
      </c>
      <c r="C408" s="2">
        <v>4.5</v>
      </c>
      <c r="D408" s="2">
        <v>4</v>
      </c>
      <c r="E408" s="2">
        <v>1</v>
      </c>
      <c r="F408" s="2">
        <v>2.5</v>
      </c>
      <c r="G408" s="2" t="str">
        <f>_xlfn.XLOOKUP(Trainingsabschluss[[#This Row],[UserID]], Teilnehmende[UserID], Teilnehmende[Branche], "UserID nicht gefunden")</f>
        <v>IT und Technologie</v>
      </c>
      <c r="H408" t="str">
        <f>_xlfn.XLOOKUP(Trainingsabschluss[[#This Row],[UserID]], Teilnehmende[UserID], Teilnehmende[Bildungsabschluss], "UserID nicht gefunden")</f>
        <v>Master</v>
      </c>
      <c r="I408" s="3">
        <f>_xlfn.XLOOKUP(Trainingsabschluss[[#This Row],[UserID]], Teilnehmende[UserID], Teilnehmende[Berufserfahrung])</f>
        <v>13</v>
      </c>
      <c r="J408" s="3" t="str" cm="1">
        <f t="array" ref="J40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08" s="11">
        <f>Trainingsabschluss[[#This Row],[Quiz_Frage1_Punkte]]/Max_Frage1</f>
        <v>1</v>
      </c>
      <c r="L408" s="11">
        <f>Trainingsabschluss[[#This Row],[Quiz_Frage2_Punkte]]/Max_Frage2</f>
        <v>0.9</v>
      </c>
      <c r="M408" s="11">
        <f>Trainingsabschluss[[#This Row],[Quiz_Frage3_Punkte]]/Max_Frage3</f>
        <v>0.8</v>
      </c>
      <c r="N408" s="11">
        <f>Trainingsabschluss[[#This Row],[Quiz_Frage4_Punkte]]/Max_Frage4</f>
        <v>0.25</v>
      </c>
      <c r="O408" s="11">
        <f>Trainingsabschluss[[#This Row],[Quiz_Frage5_Punkte]]/Max_Frage5</f>
        <v>0.83333333333333337</v>
      </c>
      <c r="P408" s="2">
        <f>Trainingsabschluss[[#This Row],[Quiz_Frage1_Punkte]]+Trainingsabschluss[[#This Row],[Quiz_Frage2_Punkte]]+Trainingsabschluss[[#This Row],[Quiz_Frage3_Punkte]]+Trainingsabschluss[[#This Row],[Quiz_Frage4_Punkte]]+Trainingsabschluss[[#This Row],[Quiz_Frage5_Punkte]]</f>
        <v>17</v>
      </c>
      <c r="Q408" s="8">
        <f>Trainingsabschluss[[#This Row],[Quizergebnis]]/Max_Quizergebnis</f>
        <v>0.77272727272727271</v>
      </c>
      <c r="R408" t="str" cm="1">
        <f t="array" ref="R408">_xlfn.IFS(Trainingsabschluss[[#This Row],[Quizergebnis_Prozent]]&lt;0.5, "Nicht bestanden",
Trainingsabschluss[[#This Row],[Quizergebnis_Prozent]]&lt;0.65, "Bestanden",
Trainingsabschluss[[#This Row],[Quizergebnis_Prozent]]&lt;0.8, "Gut bestanden",
TRUE, "Sehr gut bestanden")</f>
        <v>Gut bestanden</v>
      </c>
      <c r="S408" s="3">
        <v>5</v>
      </c>
      <c r="T408" s="3" t="str" cm="1">
        <f t="array" ref="T408">_xlfn.IFS(Trainingsabschluss[[#This Row],[Training_Bewertung]]&gt;=9, "Promotor", Trainingsabschluss[[#This Row],[Training_Bewertung]]
&lt;=6, "Detraktor",
TRUE, "Passiv")</f>
        <v>Detraktor</v>
      </c>
      <c r="W408"/>
    </row>
    <row r="409" spans="1:23" x14ac:dyDescent="0.3">
      <c r="A409" s="13" t="s">
        <v>392</v>
      </c>
      <c r="B409" s="2">
        <v>5</v>
      </c>
      <c r="C409" s="2">
        <v>3.5</v>
      </c>
      <c r="D409" s="2">
        <v>2</v>
      </c>
      <c r="E409" s="2">
        <v>2.5</v>
      </c>
      <c r="F409" s="2">
        <v>1.5</v>
      </c>
      <c r="G409" s="2" t="str">
        <f>_xlfn.XLOOKUP(Trainingsabschluss[[#This Row],[UserID]], Teilnehmende[UserID], Teilnehmende[Branche], "UserID nicht gefunden")</f>
        <v>IT und Technologie</v>
      </c>
      <c r="H409" t="str">
        <f>_xlfn.XLOOKUP(Trainingsabschluss[[#This Row],[UserID]], Teilnehmende[UserID], Teilnehmende[Bildungsabschluss], "UserID nicht gefunden")</f>
        <v>Master</v>
      </c>
      <c r="I409" s="3">
        <f>_xlfn.XLOOKUP(Trainingsabschluss[[#This Row],[UserID]], Teilnehmende[UserID], Teilnehmende[Berufserfahrung])</f>
        <v>12</v>
      </c>
      <c r="J409" s="3" t="str" cm="1">
        <f t="array" ref="J40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09" s="11">
        <f>Trainingsabschluss[[#This Row],[Quiz_Frage1_Punkte]]/Max_Frage1</f>
        <v>1</v>
      </c>
      <c r="L409" s="11">
        <f>Trainingsabschluss[[#This Row],[Quiz_Frage2_Punkte]]/Max_Frage2</f>
        <v>0.7</v>
      </c>
      <c r="M409" s="11">
        <f>Trainingsabschluss[[#This Row],[Quiz_Frage3_Punkte]]/Max_Frage3</f>
        <v>0.4</v>
      </c>
      <c r="N409" s="11">
        <f>Trainingsabschluss[[#This Row],[Quiz_Frage4_Punkte]]/Max_Frage4</f>
        <v>0.625</v>
      </c>
      <c r="O409" s="11">
        <f>Trainingsabschluss[[#This Row],[Quiz_Frage5_Punkte]]/Max_Frage5</f>
        <v>0.5</v>
      </c>
      <c r="P409" s="2">
        <f>Trainingsabschluss[[#This Row],[Quiz_Frage1_Punkte]]+Trainingsabschluss[[#This Row],[Quiz_Frage2_Punkte]]+Trainingsabschluss[[#This Row],[Quiz_Frage3_Punkte]]+Trainingsabschluss[[#This Row],[Quiz_Frage4_Punkte]]+Trainingsabschluss[[#This Row],[Quiz_Frage5_Punkte]]</f>
        <v>14.5</v>
      </c>
      <c r="Q409" s="8">
        <f>Trainingsabschluss[[#This Row],[Quizergebnis]]/Max_Quizergebnis</f>
        <v>0.65909090909090906</v>
      </c>
      <c r="R409" t="str" cm="1">
        <f t="array" ref="R409">_xlfn.IFS(Trainingsabschluss[[#This Row],[Quizergebnis_Prozent]]&lt;0.5, "Nicht bestanden",
Trainingsabschluss[[#This Row],[Quizergebnis_Prozent]]&lt;0.65, "Bestanden",
Trainingsabschluss[[#This Row],[Quizergebnis_Prozent]]&lt;0.8, "Gut bestanden",
TRUE, "Sehr gut bestanden")</f>
        <v>Gut bestanden</v>
      </c>
      <c r="S409" s="3">
        <v>6</v>
      </c>
      <c r="T409" s="3" t="str" cm="1">
        <f t="array" ref="T409">_xlfn.IFS(Trainingsabschluss[[#This Row],[Training_Bewertung]]&gt;=9, "Promotor", Trainingsabschluss[[#This Row],[Training_Bewertung]]
&lt;=6, "Detraktor",
TRUE, "Passiv")</f>
        <v>Detraktor</v>
      </c>
      <c r="W409"/>
    </row>
    <row r="410" spans="1:23" x14ac:dyDescent="0.3">
      <c r="A410" s="13" t="s">
        <v>393</v>
      </c>
      <c r="B410" s="2">
        <v>2</v>
      </c>
      <c r="C410" s="2">
        <v>1</v>
      </c>
      <c r="D410" s="2">
        <v>1</v>
      </c>
      <c r="E410" s="2">
        <v>0</v>
      </c>
      <c r="F410" s="2">
        <v>0.5</v>
      </c>
      <c r="G410" s="2" t="str">
        <f>_xlfn.XLOOKUP(Trainingsabschluss[[#This Row],[UserID]], Teilnehmende[UserID], Teilnehmende[Branche], "UserID nicht gefunden")</f>
        <v>IT und Technologie</v>
      </c>
      <c r="H410" t="str">
        <f>_xlfn.XLOOKUP(Trainingsabschluss[[#This Row],[UserID]], Teilnehmende[UserID], Teilnehmende[Bildungsabschluss], "UserID nicht gefunden")</f>
        <v>Master</v>
      </c>
      <c r="I410" s="3">
        <f>_xlfn.XLOOKUP(Trainingsabschluss[[#This Row],[UserID]], Teilnehmende[UserID], Teilnehmende[Berufserfahrung])</f>
        <v>7</v>
      </c>
      <c r="J410" s="3" t="str" cm="1">
        <f t="array" ref="J41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10" s="11">
        <f>Trainingsabschluss[[#This Row],[Quiz_Frage1_Punkte]]/Max_Frage1</f>
        <v>0.4</v>
      </c>
      <c r="L410" s="11">
        <f>Trainingsabschluss[[#This Row],[Quiz_Frage2_Punkte]]/Max_Frage2</f>
        <v>0.2</v>
      </c>
      <c r="M410" s="11">
        <f>Trainingsabschluss[[#This Row],[Quiz_Frage3_Punkte]]/Max_Frage3</f>
        <v>0.2</v>
      </c>
      <c r="N410" s="11">
        <f>Trainingsabschluss[[#This Row],[Quiz_Frage4_Punkte]]/Max_Frage4</f>
        <v>0</v>
      </c>
      <c r="O410" s="11">
        <f>Trainingsabschluss[[#This Row],[Quiz_Frage5_Punkte]]/Max_Frage5</f>
        <v>0.16666666666666666</v>
      </c>
      <c r="P410" s="2">
        <f>Trainingsabschluss[[#This Row],[Quiz_Frage1_Punkte]]+Trainingsabschluss[[#This Row],[Quiz_Frage2_Punkte]]+Trainingsabschluss[[#This Row],[Quiz_Frage3_Punkte]]+Trainingsabschluss[[#This Row],[Quiz_Frage4_Punkte]]+Trainingsabschluss[[#This Row],[Quiz_Frage5_Punkte]]</f>
        <v>4.5</v>
      </c>
      <c r="Q410" s="8">
        <f>Trainingsabschluss[[#This Row],[Quizergebnis]]/Max_Quizergebnis</f>
        <v>0.20454545454545456</v>
      </c>
      <c r="R410" t="str" cm="1">
        <f t="array" ref="R410">_xlfn.IFS(Trainingsabschluss[[#This Row],[Quizergebnis_Prozent]]&lt;0.5, "Nicht bestanden",
Trainingsabschluss[[#This Row],[Quizergebnis_Prozent]]&lt;0.65, "Bestanden",
Trainingsabschluss[[#This Row],[Quizergebnis_Prozent]]&lt;0.8, "Gut bestanden",
TRUE, "Sehr gut bestanden")</f>
        <v>Nicht bestanden</v>
      </c>
      <c r="S410" s="3">
        <v>4</v>
      </c>
      <c r="T410" s="3" t="str" cm="1">
        <f t="array" ref="T410">_xlfn.IFS(Trainingsabschluss[[#This Row],[Training_Bewertung]]&gt;=9, "Promotor", Trainingsabschluss[[#This Row],[Training_Bewertung]]
&lt;=6, "Detraktor",
TRUE, "Passiv")</f>
        <v>Detraktor</v>
      </c>
      <c r="W410"/>
    </row>
    <row r="411" spans="1:23" x14ac:dyDescent="0.3">
      <c r="A411" s="13" t="s">
        <v>397</v>
      </c>
      <c r="B411" s="2">
        <v>0</v>
      </c>
      <c r="C411" s="2">
        <v>0.5</v>
      </c>
      <c r="D411" s="2">
        <v>0</v>
      </c>
      <c r="E411" s="2">
        <v>0.5</v>
      </c>
      <c r="F411" s="2">
        <v>0</v>
      </c>
      <c r="G411" s="2" t="str">
        <f>_xlfn.XLOOKUP(Trainingsabschluss[[#This Row],[UserID]], Teilnehmende[UserID], Teilnehmende[Branche], "UserID nicht gefunden")</f>
        <v>IT und Technologie</v>
      </c>
      <c r="H411" t="str">
        <f>_xlfn.XLOOKUP(Trainingsabschluss[[#This Row],[UserID]], Teilnehmende[UserID], Teilnehmende[Bildungsabschluss], "UserID nicht gefunden")</f>
        <v>Master</v>
      </c>
      <c r="I411" s="3">
        <f>_xlfn.XLOOKUP(Trainingsabschluss[[#This Row],[UserID]], Teilnehmende[UserID], Teilnehmende[Berufserfahrung])</f>
        <v>7</v>
      </c>
      <c r="J411" s="3" t="str" cm="1">
        <f t="array" ref="J41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11" s="11">
        <f>Trainingsabschluss[[#This Row],[Quiz_Frage1_Punkte]]/Max_Frage1</f>
        <v>0</v>
      </c>
      <c r="L411" s="11">
        <f>Trainingsabschluss[[#This Row],[Quiz_Frage2_Punkte]]/Max_Frage2</f>
        <v>0.1</v>
      </c>
      <c r="M411" s="11">
        <f>Trainingsabschluss[[#This Row],[Quiz_Frage3_Punkte]]/Max_Frage3</f>
        <v>0</v>
      </c>
      <c r="N411" s="11">
        <f>Trainingsabschluss[[#This Row],[Quiz_Frage4_Punkte]]/Max_Frage4</f>
        <v>0.125</v>
      </c>
      <c r="O411" s="11">
        <f>Trainingsabschluss[[#This Row],[Quiz_Frage5_Punkte]]/Max_Frage5</f>
        <v>0</v>
      </c>
      <c r="P411" s="2">
        <f>Trainingsabschluss[[#This Row],[Quiz_Frage1_Punkte]]+Trainingsabschluss[[#This Row],[Quiz_Frage2_Punkte]]+Trainingsabschluss[[#This Row],[Quiz_Frage3_Punkte]]+Trainingsabschluss[[#This Row],[Quiz_Frage4_Punkte]]+Trainingsabschluss[[#This Row],[Quiz_Frage5_Punkte]]</f>
        <v>1</v>
      </c>
      <c r="Q411" s="8">
        <f>Trainingsabschluss[[#This Row],[Quizergebnis]]/Max_Quizergebnis</f>
        <v>4.5454545454545456E-2</v>
      </c>
      <c r="R411" t="str" cm="1">
        <f t="array" ref="R411">_xlfn.IFS(Trainingsabschluss[[#This Row],[Quizergebnis_Prozent]]&lt;0.5, "Nicht bestanden",
Trainingsabschluss[[#This Row],[Quizergebnis_Prozent]]&lt;0.65, "Bestanden",
Trainingsabschluss[[#This Row],[Quizergebnis_Prozent]]&lt;0.8, "Gut bestanden",
TRUE, "Sehr gut bestanden")</f>
        <v>Nicht bestanden</v>
      </c>
      <c r="S411" s="3">
        <v>6</v>
      </c>
      <c r="T411" s="3" t="str" cm="1">
        <f t="array" ref="T411">_xlfn.IFS(Trainingsabschluss[[#This Row],[Training_Bewertung]]&gt;=9, "Promotor", Trainingsabschluss[[#This Row],[Training_Bewertung]]
&lt;=6, "Detraktor",
TRUE, "Passiv")</f>
        <v>Detraktor</v>
      </c>
      <c r="W411"/>
    </row>
    <row r="412" spans="1:23" x14ac:dyDescent="0.3">
      <c r="A412" s="13" t="s">
        <v>401</v>
      </c>
      <c r="B412" s="2">
        <v>5</v>
      </c>
      <c r="C412" s="2">
        <v>4</v>
      </c>
      <c r="D412" s="2">
        <v>0</v>
      </c>
      <c r="E412" s="2">
        <v>3</v>
      </c>
      <c r="F412" s="2">
        <v>1</v>
      </c>
      <c r="G412" s="2" t="str">
        <f>_xlfn.XLOOKUP(Trainingsabschluss[[#This Row],[UserID]], Teilnehmende[UserID], Teilnehmende[Branche], "UserID nicht gefunden")</f>
        <v>IT und Technologie</v>
      </c>
      <c r="H412" t="str">
        <f>_xlfn.XLOOKUP(Trainingsabschluss[[#This Row],[UserID]], Teilnehmende[UserID], Teilnehmende[Bildungsabschluss], "UserID nicht gefunden")</f>
        <v>Master</v>
      </c>
      <c r="I412" s="3">
        <f>_xlfn.XLOOKUP(Trainingsabschluss[[#This Row],[UserID]], Teilnehmende[UserID], Teilnehmende[Berufserfahrung])</f>
        <v>5</v>
      </c>
      <c r="J412" s="3" t="str" cm="1">
        <f t="array" ref="J41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12" s="11">
        <f>Trainingsabschluss[[#This Row],[Quiz_Frage1_Punkte]]/Max_Frage1</f>
        <v>1</v>
      </c>
      <c r="L412" s="11">
        <f>Trainingsabschluss[[#This Row],[Quiz_Frage2_Punkte]]/Max_Frage2</f>
        <v>0.8</v>
      </c>
      <c r="M412" s="11">
        <f>Trainingsabschluss[[#This Row],[Quiz_Frage3_Punkte]]/Max_Frage3</f>
        <v>0</v>
      </c>
      <c r="N412" s="11">
        <f>Trainingsabschluss[[#This Row],[Quiz_Frage4_Punkte]]/Max_Frage4</f>
        <v>0.75</v>
      </c>
      <c r="O412" s="11">
        <f>Trainingsabschluss[[#This Row],[Quiz_Frage5_Punkte]]/Max_Frage5</f>
        <v>0.33333333333333331</v>
      </c>
      <c r="P412" s="2">
        <f>Trainingsabschluss[[#This Row],[Quiz_Frage1_Punkte]]+Trainingsabschluss[[#This Row],[Quiz_Frage2_Punkte]]+Trainingsabschluss[[#This Row],[Quiz_Frage3_Punkte]]+Trainingsabschluss[[#This Row],[Quiz_Frage4_Punkte]]+Trainingsabschluss[[#This Row],[Quiz_Frage5_Punkte]]</f>
        <v>13</v>
      </c>
      <c r="Q412" s="8">
        <f>Trainingsabschluss[[#This Row],[Quizergebnis]]/Max_Quizergebnis</f>
        <v>0.59090909090909094</v>
      </c>
      <c r="R412" t="str" cm="1">
        <f t="array" ref="R412">_xlfn.IFS(Trainingsabschluss[[#This Row],[Quizergebnis_Prozent]]&lt;0.5, "Nicht bestanden",
Trainingsabschluss[[#This Row],[Quizergebnis_Prozent]]&lt;0.65, "Bestanden",
Trainingsabschluss[[#This Row],[Quizergebnis_Prozent]]&lt;0.8, "Gut bestanden",
TRUE, "Sehr gut bestanden")</f>
        <v>Bestanden</v>
      </c>
      <c r="S412" s="3">
        <v>8</v>
      </c>
      <c r="T412" s="3" t="str" cm="1">
        <f t="array" ref="T412">_xlfn.IFS(Trainingsabschluss[[#This Row],[Training_Bewertung]]&gt;=9, "Promotor", Trainingsabschluss[[#This Row],[Training_Bewertung]]
&lt;=6, "Detraktor",
TRUE, "Passiv")</f>
        <v>Passiv</v>
      </c>
      <c r="W412"/>
    </row>
    <row r="413" spans="1:23" x14ac:dyDescent="0.3">
      <c r="A413" s="13" t="s">
        <v>402</v>
      </c>
      <c r="B413" s="2">
        <v>4</v>
      </c>
      <c r="C413" s="2">
        <v>3.5</v>
      </c>
      <c r="D413" s="2">
        <v>0</v>
      </c>
      <c r="E413" s="2">
        <v>3.5</v>
      </c>
      <c r="F413" s="2">
        <v>2</v>
      </c>
      <c r="G413" s="2" t="str">
        <f>_xlfn.XLOOKUP(Trainingsabschluss[[#This Row],[UserID]], Teilnehmende[UserID], Teilnehmende[Branche], "UserID nicht gefunden")</f>
        <v>IT und Technologie</v>
      </c>
      <c r="H413" t="str">
        <f>_xlfn.XLOOKUP(Trainingsabschluss[[#This Row],[UserID]], Teilnehmende[UserID], Teilnehmende[Bildungsabschluss], "UserID nicht gefunden")</f>
        <v>Master</v>
      </c>
      <c r="I413" s="3">
        <f>_xlfn.XLOOKUP(Trainingsabschluss[[#This Row],[UserID]], Teilnehmende[UserID], Teilnehmende[Berufserfahrung])</f>
        <v>4</v>
      </c>
      <c r="J413" s="3" t="str" cm="1">
        <f t="array" ref="J413">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13" s="11">
        <f>Trainingsabschluss[[#This Row],[Quiz_Frage1_Punkte]]/Max_Frage1</f>
        <v>0.8</v>
      </c>
      <c r="L413" s="11">
        <f>Trainingsabschluss[[#This Row],[Quiz_Frage2_Punkte]]/Max_Frage2</f>
        <v>0.7</v>
      </c>
      <c r="M413" s="11">
        <f>Trainingsabschluss[[#This Row],[Quiz_Frage3_Punkte]]/Max_Frage3</f>
        <v>0</v>
      </c>
      <c r="N413" s="11">
        <f>Trainingsabschluss[[#This Row],[Quiz_Frage4_Punkte]]/Max_Frage4</f>
        <v>0.875</v>
      </c>
      <c r="O413" s="11">
        <f>Trainingsabschluss[[#This Row],[Quiz_Frage5_Punkte]]/Max_Frage5</f>
        <v>0.66666666666666663</v>
      </c>
      <c r="P413" s="2">
        <f>Trainingsabschluss[[#This Row],[Quiz_Frage1_Punkte]]+Trainingsabschluss[[#This Row],[Quiz_Frage2_Punkte]]+Trainingsabschluss[[#This Row],[Quiz_Frage3_Punkte]]+Trainingsabschluss[[#This Row],[Quiz_Frage4_Punkte]]+Trainingsabschluss[[#This Row],[Quiz_Frage5_Punkte]]</f>
        <v>13</v>
      </c>
      <c r="Q413" s="8">
        <f>Trainingsabschluss[[#This Row],[Quizergebnis]]/Max_Quizergebnis</f>
        <v>0.59090909090909094</v>
      </c>
      <c r="R413" t="str" cm="1">
        <f t="array" ref="R413">_xlfn.IFS(Trainingsabschluss[[#This Row],[Quizergebnis_Prozent]]&lt;0.5, "Nicht bestanden",
Trainingsabschluss[[#This Row],[Quizergebnis_Prozent]]&lt;0.65, "Bestanden",
Trainingsabschluss[[#This Row],[Quizergebnis_Prozent]]&lt;0.8, "Gut bestanden",
TRUE, "Sehr gut bestanden")</f>
        <v>Bestanden</v>
      </c>
      <c r="S413" s="3">
        <v>8</v>
      </c>
      <c r="T413" s="3" t="str" cm="1">
        <f t="array" ref="T413">_xlfn.IFS(Trainingsabschluss[[#This Row],[Training_Bewertung]]&gt;=9, "Promotor", Trainingsabschluss[[#This Row],[Training_Bewertung]]
&lt;=6, "Detraktor",
TRUE, "Passiv")</f>
        <v>Passiv</v>
      </c>
      <c r="W413"/>
    </row>
    <row r="414" spans="1:23" x14ac:dyDescent="0.3">
      <c r="A414" s="13" t="s">
        <v>410</v>
      </c>
      <c r="B414" s="2">
        <v>5</v>
      </c>
      <c r="C414" s="2">
        <v>3</v>
      </c>
      <c r="D414" s="2">
        <v>2.5</v>
      </c>
      <c r="E414" s="2">
        <v>4</v>
      </c>
      <c r="F414" s="2">
        <v>0.5</v>
      </c>
      <c r="G414" s="2" t="str">
        <f>_xlfn.XLOOKUP(Trainingsabschluss[[#This Row],[UserID]], Teilnehmende[UserID], Teilnehmende[Branche], "UserID nicht gefunden")</f>
        <v>IT und Technologie</v>
      </c>
      <c r="H414" t="str">
        <f>_xlfn.XLOOKUP(Trainingsabschluss[[#This Row],[UserID]], Teilnehmende[UserID], Teilnehmende[Bildungsabschluss], "UserID nicht gefunden")</f>
        <v>Master</v>
      </c>
      <c r="I414" s="3">
        <f>_xlfn.XLOOKUP(Trainingsabschluss[[#This Row],[UserID]], Teilnehmende[UserID], Teilnehmende[Berufserfahrung])</f>
        <v>6</v>
      </c>
      <c r="J414" s="3" t="str" cm="1">
        <f t="array" ref="J41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14" s="11">
        <f>Trainingsabschluss[[#This Row],[Quiz_Frage1_Punkte]]/Max_Frage1</f>
        <v>1</v>
      </c>
      <c r="L414" s="11">
        <f>Trainingsabschluss[[#This Row],[Quiz_Frage2_Punkte]]/Max_Frage2</f>
        <v>0.6</v>
      </c>
      <c r="M414" s="11">
        <f>Trainingsabschluss[[#This Row],[Quiz_Frage3_Punkte]]/Max_Frage3</f>
        <v>0.5</v>
      </c>
      <c r="N414" s="11">
        <f>Trainingsabschluss[[#This Row],[Quiz_Frage4_Punkte]]/Max_Frage4</f>
        <v>1</v>
      </c>
      <c r="O414" s="11">
        <f>Trainingsabschluss[[#This Row],[Quiz_Frage5_Punkte]]/Max_Frage5</f>
        <v>0.16666666666666666</v>
      </c>
      <c r="P414" s="2">
        <f>Trainingsabschluss[[#This Row],[Quiz_Frage1_Punkte]]+Trainingsabschluss[[#This Row],[Quiz_Frage2_Punkte]]+Trainingsabschluss[[#This Row],[Quiz_Frage3_Punkte]]+Trainingsabschluss[[#This Row],[Quiz_Frage4_Punkte]]+Trainingsabschluss[[#This Row],[Quiz_Frage5_Punkte]]</f>
        <v>15</v>
      </c>
      <c r="Q414" s="8">
        <f>Trainingsabschluss[[#This Row],[Quizergebnis]]/Max_Quizergebnis</f>
        <v>0.68181818181818177</v>
      </c>
      <c r="R414" t="str" cm="1">
        <f t="array" ref="R414">_xlfn.IFS(Trainingsabschluss[[#This Row],[Quizergebnis_Prozent]]&lt;0.5, "Nicht bestanden",
Trainingsabschluss[[#This Row],[Quizergebnis_Prozent]]&lt;0.65, "Bestanden",
Trainingsabschluss[[#This Row],[Quizergebnis_Prozent]]&lt;0.8, "Gut bestanden",
TRUE, "Sehr gut bestanden")</f>
        <v>Gut bestanden</v>
      </c>
      <c r="S414" s="3">
        <v>8</v>
      </c>
      <c r="T414" s="3" t="str" cm="1">
        <f t="array" ref="T414">_xlfn.IFS(Trainingsabschluss[[#This Row],[Training_Bewertung]]&gt;=9, "Promotor", Trainingsabschluss[[#This Row],[Training_Bewertung]]
&lt;=6, "Detraktor",
TRUE, "Passiv")</f>
        <v>Passiv</v>
      </c>
      <c r="W414"/>
    </row>
    <row r="415" spans="1:23" x14ac:dyDescent="0.3">
      <c r="A415" s="13" t="s">
        <v>413</v>
      </c>
      <c r="B415" s="2">
        <v>4</v>
      </c>
      <c r="C415" s="2">
        <v>3.5</v>
      </c>
      <c r="D415" s="2">
        <v>3</v>
      </c>
      <c r="E415" s="2">
        <v>2</v>
      </c>
      <c r="F415" s="2">
        <v>2.5</v>
      </c>
      <c r="G415" s="2" t="str">
        <f>_xlfn.XLOOKUP(Trainingsabschluss[[#This Row],[UserID]], Teilnehmende[UserID], Teilnehmende[Branche], "UserID nicht gefunden")</f>
        <v>IT und Technologie</v>
      </c>
      <c r="H415" t="str">
        <f>_xlfn.XLOOKUP(Trainingsabschluss[[#This Row],[UserID]], Teilnehmende[UserID], Teilnehmende[Bildungsabschluss], "UserID nicht gefunden")</f>
        <v>Master</v>
      </c>
      <c r="I415" s="3">
        <f>_xlfn.XLOOKUP(Trainingsabschluss[[#This Row],[UserID]], Teilnehmende[UserID], Teilnehmende[Berufserfahrung])</f>
        <v>16</v>
      </c>
      <c r="J415" s="3" t="str" cm="1">
        <f t="array" ref="J415">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15" s="11">
        <f>Trainingsabschluss[[#This Row],[Quiz_Frage1_Punkte]]/Max_Frage1</f>
        <v>0.8</v>
      </c>
      <c r="L415" s="11">
        <f>Trainingsabschluss[[#This Row],[Quiz_Frage2_Punkte]]/Max_Frage2</f>
        <v>0.7</v>
      </c>
      <c r="M415" s="11">
        <f>Trainingsabschluss[[#This Row],[Quiz_Frage3_Punkte]]/Max_Frage3</f>
        <v>0.6</v>
      </c>
      <c r="N415" s="11">
        <f>Trainingsabschluss[[#This Row],[Quiz_Frage4_Punkte]]/Max_Frage4</f>
        <v>0.5</v>
      </c>
      <c r="O415" s="11">
        <f>Trainingsabschluss[[#This Row],[Quiz_Frage5_Punkte]]/Max_Frage5</f>
        <v>0.83333333333333337</v>
      </c>
      <c r="P415" s="2">
        <f>Trainingsabschluss[[#This Row],[Quiz_Frage1_Punkte]]+Trainingsabschluss[[#This Row],[Quiz_Frage2_Punkte]]+Trainingsabschluss[[#This Row],[Quiz_Frage3_Punkte]]+Trainingsabschluss[[#This Row],[Quiz_Frage4_Punkte]]+Trainingsabschluss[[#This Row],[Quiz_Frage5_Punkte]]</f>
        <v>15</v>
      </c>
      <c r="Q415" s="8">
        <f>Trainingsabschluss[[#This Row],[Quizergebnis]]/Max_Quizergebnis</f>
        <v>0.68181818181818177</v>
      </c>
      <c r="R415" t="str" cm="1">
        <f t="array" ref="R415">_xlfn.IFS(Trainingsabschluss[[#This Row],[Quizergebnis_Prozent]]&lt;0.5, "Nicht bestanden",
Trainingsabschluss[[#This Row],[Quizergebnis_Prozent]]&lt;0.65, "Bestanden",
Trainingsabschluss[[#This Row],[Quizergebnis_Prozent]]&lt;0.8, "Gut bestanden",
TRUE, "Sehr gut bestanden")</f>
        <v>Gut bestanden</v>
      </c>
      <c r="S415" s="3">
        <v>7</v>
      </c>
      <c r="T415" s="3" t="str" cm="1">
        <f t="array" ref="T415">_xlfn.IFS(Trainingsabschluss[[#This Row],[Training_Bewertung]]&gt;=9, "Promotor", Trainingsabschluss[[#This Row],[Training_Bewertung]]
&lt;=6, "Detraktor",
TRUE, "Passiv")</f>
        <v>Passiv</v>
      </c>
      <c r="W415"/>
    </row>
    <row r="416" spans="1:23" x14ac:dyDescent="0.3">
      <c r="A416" s="13" t="s">
        <v>416</v>
      </c>
      <c r="B416" s="2">
        <v>4</v>
      </c>
      <c r="C416" s="2">
        <v>3.5</v>
      </c>
      <c r="D416" s="2">
        <v>2.5</v>
      </c>
      <c r="E416" s="2">
        <v>4</v>
      </c>
      <c r="F416" s="2">
        <v>1.5</v>
      </c>
      <c r="G416" s="2" t="str">
        <f>_xlfn.XLOOKUP(Trainingsabschluss[[#This Row],[UserID]], Teilnehmende[UserID], Teilnehmende[Branche], "UserID nicht gefunden")</f>
        <v>IT und Technologie</v>
      </c>
      <c r="H416" t="str">
        <f>_xlfn.XLOOKUP(Trainingsabschluss[[#This Row],[UserID]], Teilnehmende[UserID], Teilnehmende[Bildungsabschluss], "UserID nicht gefunden")</f>
        <v>Master</v>
      </c>
      <c r="I416" s="3">
        <f>_xlfn.XLOOKUP(Trainingsabschluss[[#This Row],[UserID]], Teilnehmende[UserID], Teilnehmende[Berufserfahrung])</f>
        <v>4</v>
      </c>
      <c r="J416" s="3" t="str" cm="1">
        <f t="array" ref="J416">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16" s="11">
        <f>Trainingsabschluss[[#This Row],[Quiz_Frage1_Punkte]]/Max_Frage1</f>
        <v>0.8</v>
      </c>
      <c r="L416" s="11">
        <f>Trainingsabschluss[[#This Row],[Quiz_Frage2_Punkte]]/Max_Frage2</f>
        <v>0.7</v>
      </c>
      <c r="M416" s="11">
        <f>Trainingsabschluss[[#This Row],[Quiz_Frage3_Punkte]]/Max_Frage3</f>
        <v>0.5</v>
      </c>
      <c r="N416" s="11">
        <f>Trainingsabschluss[[#This Row],[Quiz_Frage4_Punkte]]/Max_Frage4</f>
        <v>1</v>
      </c>
      <c r="O416" s="11">
        <f>Trainingsabschluss[[#This Row],[Quiz_Frage5_Punkte]]/Max_Frage5</f>
        <v>0.5</v>
      </c>
      <c r="P416" s="2">
        <f>Trainingsabschluss[[#This Row],[Quiz_Frage1_Punkte]]+Trainingsabschluss[[#This Row],[Quiz_Frage2_Punkte]]+Trainingsabschluss[[#This Row],[Quiz_Frage3_Punkte]]+Trainingsabschluss[[#This Row],[Quiz_Frage4_Punkte]]+Trainingsabschluss[[#This Row],[Quiz_Frage5_Punkte]]</f>
        <v>15.5</v>
      </c>
      <c r="Q416" s="8">
        <f>Trainingsabschluss[[#This Row],[Quizergebnis]]/Max_Quizergebnis</f>
        <v>0.70454545454545459</v>
      </c>
      <c r="R416" t="str" cm="1">
        <f t="array" ref="R416">_xlfn.IFS(Trainingsabschluss[[#This Row],[Quizergebnis_Prozent]]&lt;0.5, "Nicht bestanden",
Trainingsabschluss[[#This Row],[Quizergebnis_Prozent]]&lt;0.65, "Bestanden",
Trainingsabschluss[[#This Row],[Quizergebnis_Prozent]]&lt;0.8, "Gut bestanden",
TRUE, "Sehr gut bestanden")</f>
        <v>Gut bestanden</v>
      </c>
      <c r="S416" s="3">
        <v>8</v>
      </c>
      <c r="T416" s="3" t="str" cm="1">
        <f t="array" ref="T416">_xlfn.IFS(Trainingsabschluss[[#This Row],[Training_Bewertung]]&gt;=9, "Promotor", Trainingsabschluss[[#This Row],[Training_Bewertung]]
&lt;=6, "Detraktor",
TRUE, "Passiv")</f>
        <v>Passiv</v>
      </c>
      <c r="W416"/>
    </row>
    <row r="417" spans="1:23" x14ac:dyDescent="0.3">
      <c r="A417" s="13" t="s">
        <v>420</v>
      </c>
      <c r="B417" s="2">
        <v>5</v>
      </c>
      <c r="C417" s="2">
        <v>4.5</v>
      </c>
      <c r="D417" s="2">
        <v>3</v>
      </c>
      <c r="E417" s="2">
        <v>3</v>
      </c>
      <c r="F417" s="2">
        <v>2.5</v>
      </c>
      <c r="G417" s="2" t="str">
        <f>_xlfn.XLOOKUP(Trainingsabschluss[[#This Row],[UserID]], Teilnehmende[UserID], Teilnehmende[Branche], "UserID nicht gefunden")</f>
        <v>IT und Technologie</v>
      </c>
      <c r="H417" t="str">
        <f>_xlfn.XLOOKUP(Trainingsabschluss[[#This Row],[UserID]], Teilnehmende[UserID], Teilnehmende[Bildungsabschluss], "UserID nicht gefunden")</f>
        <v>Master</v>
      </c>
      <c r="I417" s="3">
        <f>_xlfn.XLOOKUP(Trainingsabschluss[[#This Row],[UserID]], Teilnehmende[UserID], Teilnehmende[Berufserfahrung])</f>
        <v>9</v>
      </c>
      <c r="J417" s="3" t="str" cm="1">
        <f t="array" ref="J41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17" s="11">
        <f>Trainingsabschluss[[#This Row],[Quiz_Frage1_Punkte]]/Max_Frage1</f>
        <v>1</v>
      </c>
      <c r="L417" s="11">
        <f>Trainingsabschluss[[#This Row],[Quiz_Frage2_Punkte]]/Max_Frage2</f>
        <v>0.9</v>
      </c>
      <c r="M417" s="11">
        <f>Trainingsabschluss[[#This Row],[Quiz_Frage3_Punkte]]/Max_Frage3</f>
        <v>0.6</v>
      </c>
      <c r="N417" s="11">
        <f>Trainingsabschluss[[#This Row],[Quiz_Frage4_Punkte]]/Max_Frage4</f>
        <v>0.75</v>
      </c>
      <c r="O417" s="11">
        <f>Trainingsabschluss[[#This Row],[Quiz_Frage5_Punkte]]/Max_Frage5</f>
        <v>0.83333333333333337</v>
      </c>
      <c r="P417" s="2">
        <f>Trainingsabschluss[[#This Row],[Quiz_Frage1_Punkte]]+Trainingsabschluss[[#This Row],[Quiz_Frage2_Punkte]]+Trainingsabschluss[[#This Row],[Quiz_Frage3_Punkte]]+Trainingsabschluss[[#This Row],[Quiz_Frage4_Punkte]]+Trainingsabschluss[[#This Row],[Quiz_Frage5_Punkte]]</f>
        <v>18</v>
      </c>
      <c r="Q417" s="8">
        <f>Trainingsabschluss[[#This Row],[Quizergebnis]]/Max_Quizergebnis</f>
        <v>0.81818181818181823</v>
      </c>
      <c r="R417" t="str" cm="1">
        <f t="array" ref="R417">_xlfn.IFS(Trainingsabschluss[[#This Row],[Quizergebnis_Prozent]]&lt;0.5, "Nicht bestanden",
Trainingsabschluss[[#This Row],[Quizergebnis_Prozent]]&lt;0.65, "Bestanden",
Trainingsabschluss[[#This Row],[Quizergebnis_Prozent]]&lt;0.8, "Gut bestanden",
TRUE, "Sehr gut bestanden")</f>
        <v>Sehr gut bestanden</v>
      </c>
      <c r="S417" s="3">
        <v>9</v>
      </c>
      <c r="T417" s="3" t="str" cm="1">
        <f t="array" ref="T417">_xlfn.IFS(Trainingsabschluss[[#This Row],[Training_Bewertung]]&gt;=9, "Promotor", Trainingsabschluss[[#This Row],[Training_Bewertung]]
&lt;=6, "Detraktor",
TRUE, "Passiv")</f>
        <v>Promotor</v>
      </c>
      <c r="W417"/>
    </row>
    <row r="418" spans="1:23" x14ac:dyDescent="0.3">
      <c r="A418" s="13" t="s">
        <v>421</v>
      </c>
      <c r="B418" s="2">
        <v>4</v>
      </c>
      <c r="C418" s="2">
        <v>4</v>
      </c>
      <c r="D418" s="2">
        <v>4</v>
      </c>
      <c r="E418" s="2">
        <v>4</v>
      </c>
      <c r="F418" s="2">
        <v>2</v>
      </c>
      <c r="G418" s="2" t="str">
        <f>_xlfn.XLOOKUP(Trainingsabschluss[[#This Row],[UserID]], Teilnehmende[UserID], Teilnehmende[Branche], "UserID nicht gefunden")</f>
        <v>IT und Technologie</v>
      </c>
      <c r="H418" t="str">
        <f>_xlfn.XLOOKUP(Trainingsabschluss[[#This Row],[UserID]], Teilnehmende[UserID], Teilnehmende[Bildungsabschluss], "UserID nicht gefunden")</f>
        <v>Master</v>
      </c>
      <c r="I418" s="3">
        <f>_xlfn.XLOOKUP(Trainingsabschluss[[#This Row],[UserID]], Teilnehmende[UserID], Teilnehmende[Berufserfahrung])</f>
        <v>13</v>
      </c>
      <c r="J418" s="3" t="str" cm="1">
        <f t="array" ref="J41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18" s="11">
        <f>Trainingsabschluss[[#This Row],[Quiz_Frage1_Punkte]]/Max_Frage1</f>
        <v>0.8</v>
      </c>
      <c r="L418" s="11">
        <f>Trainingsabschluss[[#This Row],[Quiz_Frage2_Punkte]]/Max_Frage2</f>
        <v>0.8</v>
      </c>
      <c r="M418" s="11">
        <f>Trainingsabschluss[[#This Row],[Quiz_Frage3_Punkte]]/Max_Frage3</f>
        <v>0.8</v>
      </c>
      <c r="N418" s="11">
        <f>Trainingsabschluss[[#This Row],[Quiz_Frage4_Punkte]]/Max_Frage4</f>
        <v>1</v>
      </c>
      <c r="O418" s="11">
        <f>Trainingsabschluss[[#This Row],[Quiz_Frage5_Punkte]]/Max_Frage5</f>
        <v>0.66666666666666663</v>
      </c>
      <c r="P418" s="2">
        <f>Trainingsabschluss[[#This Row],[Quiz_Frage1_Punkte]]+Trainingsabschluss[[#This Row],[Quiz_Frage2_Punkte]]+Trainingsabschluss[[#This Row],[Quiz_Frage3_Punkte]]+Trainingsabschluss[[#This Row],[Quiz_Frage4_Punkte]]+Trainingsabschluss[[#This Row],[Quiz_Frage5_Punkte]]</f>
        <v>18</v>
      </c>
      <c r="Q418" s="8">
        <f>Trainingsabschluss[[#This Row],[Quizergebnis]]/Max_Quizergebnis</f>
        <v>0.81818181818181823</v>
      </c>
      <c r="R418" t="str" cm="1">
        <f t="array" ref="R418">_xlfn.IFS(Trainingsabschluss[[#This Row],[Quizergebnis_Prozent]]&lt;0.5, "Nicht bestanden",
Trainingsabschluss[[#This Row],[Quizergebnis_Prozent]]&lt;0.65, "Bestanden",
Trainingsabschluss[[#This Row],[Quizergebnis_Prozent]]&lt;0.8, "Gut bestanden",
TRUE, "Sehr gut bestanden")</f>
        <v>Sehr gut bestanden</v>
      </c>
      <c r="S418" s="3">
        <v>9</v>
      </c>
      <c r="T418" s="3" t="str" cm="1">
        <f t="array" ref="T418">_xlfn.IFS(Trainingsabschluss[[#This Row],[Training_Bewertung]]&gt;=9, "Promotor", Trainingsabschluss[[#This Row],[Training_Bewertung]]
&lt;=6, "Detraktor",
TRUE, "Passiv")</f>
        <v>Promotor</v>
      </c>
      <c r="W418"/>
    </row>
    <row r="419" spans="1:23" x14ac:dyDescent="0.3">
      <c r="A419" s="13" t="s">
        <v>425</v>
      </c>
      <c r="B419" s="2">
        <v>5</v>
      </c>
      <c r="C419" s="2">
        <v>3</v>
      </c>
      <c r="D419" s="2">
        <v>1.5</v>
      </c>
      <c r="E419" s="2">
        <v>3</v>
      </c>
      <c r="F419" s="2">
        <v>1.5</v>
      </c>
      <c r="G419" s="2" t="str">
        <f>_xlfn.XLOOKUP(Trainingsabschluss[[#This Row],[UserID]], Teilnehmende[UserID], Teilnehmende[Branche], "UserID nicht gefunden")</f>
        <v>IT und Technologie</v>
      </c>
      <c r="H419" t="str">
        <f>_xlfn.XLOOKUP(Trainingsabschluss[[#This Row],[UserID]], Teilnehmende[UserID], Teilnehmende[Bildungsabschluss], "UserID nicht gefunden")</f>
        <v>Master</v>
      </c>
      <c r="I419" s="3">
        <f>_xlfn.XLOOKUP(Trainingsabschluss[[#This Row],[UserID]], Teilnehmende[UserID], Teilnehmende[Berufserfahrung])</f>
        <v>16</v>
      </c>
      <c r="J419" s="3" t="str" cm="1">
        <f t="array" ref="J419">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19" s="11">
        <f>Trainingsabschluss[[#This Row],[Quiz_Frage1_Punkte]]/Max_Frage1</f>
        <v>1</v>
      </c>
      <c r="L419" s="11">
        <f>Trainingsabschluss[[#This Row],[Quiz_Frage2_Punkte]]/Max_Frage2</f>
        <v>0.6</v>
      </c>
      <c r="M419" s="11">
        <f>Trainingsabschluss[[#This Row],[Quiz_Frage3_Punkte]]/Max_Frage3</f>
        <v>0.3</v>
      </c>
      <c r="N419" s="11">
        <f>Trainingsabschluss[[#This Row],[Quiz_Frage4_Punkte]]/Max_Frage4</f>
        <v>0.75</v>
      </c>
      <c r="O419" s="11">
        <f>Trainingsabschluss[[#This Row],[Quiz_Frage5_Punkte]]/Max_Frage5</f>
        <v>0.5</v>
      </c>
      <c r="P419" s="2">
        <f>Trainingsabschluss[[#This Row],[Quiz_Frage1_Punkte]]+Trainingsabschluss[[#This Row],[Quiz_Frage2_Punkte]]+Trainingsabschluss[[#This Row],[Quiz_Frage3_Punkte]]+Trainingsabschluss[[#This Row],[Quiz_Frage4_Punkte]]+Trainingsabschluss[[#This Row],[Quiz_Frage5_Punkte]]</f>
        <v>14</v>
      </c>
      <c r="Q419" s="8">
        <f>Trainingsabschluss[[#This Row],[Quizergebnis]]/Max_Quizergebnis</f>
        <v>0.63636363636363635</v>
      </c>
      <c r="R419" t="str" cm="1">
        <f t="array" ref="R419">_xlfn.IFS(Trainingsabschluss[[#This Row],[Quizergebnis_Prozent]]&lt;0.5, "Nicht bestanden",
Trainingsabschluss[[#This Row],[Quizergebnis_Prozent]]&lt;0.65, "Bestanden",
Trainingsabschluss[[#This Row],[Quizergebnis_Prozent]]&lt;0.8, "Gut bestanden",
TRUE, "Sehr gut bestanden")</f>
        <v>Bestanden</v>
      </c>
      <c r="S419" s="3">
        <v>9</v>
      </c>
      <c r="T419" s="3" t="str" cm="1">
        <f t="array" ref="T419">_xlfn.IFS(Trainingsabschluss[[#This Row],[Training_Bewertung]]&gt;=9, "Promotor", Trainingsabschluss[[#This Row],[Training_Bewertung]]
&lt;=6, "Detraktor",
TRUE, "Passiv")</f>
        <v>Promotor</v>
      </c>
      <c r="W419"/>
    </row>
    <row r="420" spans="1:23" x14ac:dyDescent="0.3">
      <c r="A420" s="13" t="s">
        <v>427</v>
      </c>
      <c r="B420" s="2">
        <v>2.5</v>
      </c>
      <c r="C420" s="2">
        <v>4.5</v>
      </c>
      <c r="D420" s="2">
        <v>1.5</v>
      </c>
      <c r="E420" s="2">
        <v>2</v>
      </c>
      <c r="F420" s="2">
        <v>2</v>
      </c>
      <c r="G420" s="2" t="str">
        <f>_xlfn.XLOOKUP(Trainingsabschluss[[#This Row],[UserID]], Teilnehmende[UserID], Teilnehmende[Branche], "UserID nicht gefunden")</f>
        <v>IT und Technologie</v>
      </c>
      <c r="H420" t="str">
        <f>_xlfn.XLOOKUP(Trainingsabschluss[[#This Row],[UserID]], Teilnehmende[UserID], Teilnehmende[Bildungsabschluss], "UserID nicht gefunden")</f>
        <v>Master</v>
      </c>
      <c r="I420" s="3">
        <f>_xlfn.XLOOKUP(Trainingsabschluss[[#This Row],[UserID]], Teilnehmende[UserID], Teilnehmende[Berufserfahrung])</f>
        <v>18</v>
      </c>
      <c r="J420" s="3" t="str" cm="1">
        <f t="array" ref="J420">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20" s="11">
        <f>Trainingsabschluss[[#This Row],[Quiz_Frage1_Punkte]]/Max_Frage1</f>
        <v>0.5</v>
      </c>
      <c r="L420" s="11">
        <f>Trainingsabschluss[[#This Row],[Quiz_Frage2_Punkte]]/Max_Frage2</f>
        <v>0.9</v>
      </c>
      <c r="M420" s="11">
        <f>Trainingsabschluss[[#This Row],[Quiz_Frage3_Punkte]]/Max_Frage3</f>
        <v>0.3</v>
      </c>
      <c r="N420" s="11">
        <f>Trainingsabschluss[[#This Row],[Quiz_Frage4_Punkte]]/Max_Frage4</f>
        <v>0.5</v>
      </c>
      <c r="O420" s="11">
        <f>Trainingsabschluss[[#This Row],[Quiz_Frage5_Punkte]]/Max_Frage5</f>
        <v>0.66666666666666663</v>
      </c>
      <c r="P420" s="2">
        <f>Trainingsabschluss[[#This Row],[Quiz_Frage1_Punkte]]+Trainingsabschluss[[#This Row],[Quiz_Frage2_Punkte]]+Trainingsabschluss[[#This Row],[Quiz_Frage3_Punkte]]+Trainingsabschluss[[#This Row],[Quiz_Frage4_Punkte]]+Trainingsabschluss[[#This Row],[Quiz_Frage5_Punkte]]</f>
        <v>12.5</v>
      </c>
      <c r="Q420" s="8">
        <f>Trainingsabschluss[[#This Row],[Quizergebnis]]/Max_Quizergebnis</f>
        <v>0.56818181818181823</v>
      </c>
      <c r="R420" t="str" cm="1">
        <f t="array" ref="R420">_xlfn.IFS(Trainingsabschluss[[#This Row],[Quizergebnis_Prozent]]&lt;0.5, "Nicht bestanden",
Trainingsabschluss[[#This Row],[Quizergebnis_Prozent]]&lt;0.65, "Bestanden",
Trainingsabschluss[[#This Row],[Quizergebnis_Prozent]]&lt;0.8, "Gut bestanden",
TRUE, "Sehr gut bestanden")</f>
        <v>Bestanden</v>
      </c>
      <c r="S420" s="3">
        <v>9</v>
      </c>
      <c r="T420" s="3" t="str" cm="1">
        <f t="array" ref="T420">_xlfn.IFS(Trainingsabschluss[[#This Row],[Training_Bewertung]]&gt;=9, "Promotor", Trainingsabschluss[[#This Row],[Training_Bewertung]]
&lt;=6, "Detraktor",
TRUE, "Passiv")</f>
        <v>Promotor</v>
      </c>
      <c r="W420"/>
    </row>
    <row r="421" spans="1:23" x14ac:dyDescent="0.3">
      <c r="A421" s="13" t="s">
        <v>435</v>
      </c>
      <c r="B421" s="2">
        <v>3.5</v>
      </c>
      <c r="C421" s="2">
        <v>2.5</v>
      </c>
      <c r="D421" s="2">
        <v>4</v>
      </c>
      <c r="E421" s="2">
        <v>4</v>
      </c>
      <c r="F421" s="2">
        <v>1.5</v>
      </c>
      <c r="G421" s="2" t="str">
        <f>_xlfn.XLOOKUP(Trainingsabschluss[[#This Row],[UserID]], Teilnehmende[UserID], Teilnehmende[Branche], "UserID nicht gefunden")</f>
        <v>IT und Technologie</v>
      </c>
      <c r="H421" t="str">
        <f>_xlfn.XLOOKUP(Trainingsabschluss[[#This Row],[UserID]], Teilnehmende[UserID], Teilnehmende[Bildungsabschluss], "UserID nicht gefunden")</f>
        <v>Master</v>
      </c>
      <c r="I421" s="3">
        <f>_xlfn.XLOOKUP(Trainingsabschluss[[#This Row],[UserID]], Teilnehmende[UserID], Teilnehmende[Berufserfahrung])</f>
        <v>10</v>
      </c>
      <c r="J421" s="3" t="str" cm="1">
        <f t="array" ref="J42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21" s="11">
        <f>Trainingsabschluss[[#This Row],[Quiz_Frage1_Punkte]]/Max_Frage1</f>
        <v>0.7</v>
      </c>
      <c r="L421" s="11">
        <f>Trainingsabschluss[[#This Row],[Quiz_Frage2_Punkte]]/Max_Frage2</f>
        <v>0.5</v>
      </c>
      <c r="M421" s="11">
        <f>Trainingsabschluss[[#This Row],[Quiz_Frage3_Punkte]]/Max_Frage3</f>
        <v>0.8</v>
      </c>
      <c r="N421" s="11">
        <f>Trainingsabschluss[[#This Row],[Quiz_Frage4_Punkte]]/Max_Frage4</f>
        <v>1</v>
      </c>
      <c r="O421" s="11">
        <f>Trainingsabschluss[[#This Row],[Quiz_Frage5_Punkte]]/Max_Frage5</f>
        <v>0.5</v>
      </c>
      <c r="P421" s="2">
        <f>Trainingsabschluss[[#This Row],[Quiz_Frage1_Punkte]]+Trainingsabschluss[[#This Row],[Quiz_Frage2_Punkte]]+Trainingsabschluss[[#This Row],[Quiz_Frage3_Punkte]]+Trainingsabschluss[[#This Row],[Quiz_Frage4_Punkte]]+Trainingsabschluss[[#This Row],[Quiz_Frage5_Punkte]]</f>
        <v>15.5</v>
      </c>
      <c r="Q421" s="8">
        <f>Trainingsabschluss[[#This Row],[Quizergebnis]]/Max_Quizergebnis</f>
        <v>0.70454545454545459</v>
      </c>
      <c r="R421" t="str" cm="1">
        <f t="array" ref="R421">_xlfn.IFS(Trainingsabschluss[[#This Row],[Quizergebnis_Prozent]]&lt;0.5, "Nicht bestanden",
Trainingsabschluss[[#This Row],[Quizergebnis_Prozent]]&lt;0.65, "Bestanden",
Trainingsabschluss[[#This Row],[Quizergebnis_Prozent]]&lt;0.8, "Gut bestanden",
TRUE, "Sehr gut bestanden")</f>
        <v>Gut bestanden</v>
      </c>
      <c r="S421" s="3">
        <v>9</v>
      </c>
      <c r="T421" s="3" t="str" cm="1">
        <f t="array" ref="T421">_xlfn.IFS(Trainingsabschluss[[#This Row],[Training_Bewertung]]&gt;=9, "Promotor", Trainingsabschluss[[#This Row],[Training_Bewertung]]
&lt;=6, "Detraktor",
TRUE, "Passiv")</f>
        <v>Promotor</v>
      </c>
      <c r="W421"/>
    </row>
    <row r="422" spans="1:23" x14ac:dyDescent="0.3">
      <c r="A422" s="13" t="s">
        <v>442</v>
      </c>
      <c r="B422" s="2">
        <v>4.5</v>
      </c>
      <c r="C422" s="2">
        <v>4</v>
      </c>
      <c r="D422" s="2">
        <v>1.5</v>
      </c>
      <c r="E422" s="2">
        <v>3</v>
      </c>
      <c r="F422" s="2">
        <v>1.5</v>
      </c>
      <c r="G422" s="2" t="str">
        <f>_xlfn.XLOOKUP(Trainingsabschluss[[#This Row],[UserID]], Teilnehmende[UserID], Teilnehmende[Branche], "UserID nicht gefunden")</f>
        <v>IT und Technologie</v>
      </c>
      <c r="H422" t="str">
        <f>_xlfn.XLOOKUP(Trainingsabschluss[[#This Row],[UserID]], Teilnehmende[UserID], Teilnehmende[Bildungsabschluss], "UserID nicht gefunden")</f>
        <v>Master</v>
      </c>
      <c r="I422" s="3">
        <f>_xlfn.XLOOKUP(Trainingsabschluss[[#This Row],[UserID]], Teilnehmende[UserID], Teilnehmende[Berufserfahrung])</f>
        <v>10</v>
      </c>
      <c r="J422" s="3" t="str" cm="1">
        <f t="array" ref="J422">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22" s="11">
        <f>Trainingsabschluss[[#This Row],[Quiz_Frage1_Punkte]]/Max_Frage1</f>
        <v>0.9</v>
      </c>
      <c r="L422" s="11">
        <f>Trainingsabschluss[[#This Row],[Quiz_Frage2_Punkte]]/Max_Frage2</f>
        <v>0.8</v>
      </c>
      <c r="M422" s="11">
        <f>Trainingsabschluss[[#This Row],[Quiz_Frage3_Punkte]]/Max_Frage3</f>
        <v>0.3</v>
      </c>
      <c r="N422" s="11">
        <f>Trainingsabschluss[[#This Row],[Quiz_Frage4_Punkte]]/Max_Frage4</f>
        <v>0.75</v>
      </c>
      <c r="O422" s="11">
        <f>Trainingsabschluss[[#This Row],[Quiz_Frage5_Punkte]]/Max_Frage5</f>
        <v>0.5</v>
      </c>
      <c r="P422" s="2">
        <f>Trainingsabschluss[[#This Row],[Quiz_Frage1_Punkte]]+Trainingsabschluss[[#This Row],[Quiz_Frage2_Punkte]]+Trainingsabschluss[[#This Row],[Quiz_Frage3_Punkte]]+Trainingsabschluss[[#This Row],[Quiz_Frage4_Punkte]]+Trainingsabschluss[[#This Row],[Quiz_Frage5_Punkte]]</f>
        <v>14.5</v>
      </c>
      <c r="Q422" s="8">
        <f>Trainingsabschluss[[#This Row],[Quizergebnis]]/Max_Quizergebnis</f>
        <v>0.65909090909090906</v>
      </c>
      <c r="R422" t="str" cm="1">
        <f t="array" ref="R422">_xlfn.IFS(Trainingsabschluss[[#This Row],[Quizergebnis_Prozent]]&lt;0.5, "Nicht bestanden",
Trainingsabschluss[[#This Row],[Quizergebnis_Prozent]]&lt;0.65, "Bestanden",
Trainingsabschluss[[#This Row],[Quizergebnis_Prozent]]&lt;0.8, "Gut bestanden",
TRUE, "Sehr gut bestanden")</f>
        <v>Gut bestanden</v>
      </c>
      <c r="S422" s="3">
        <v>9</v>
      </c>
      <c r="T422" s="3" t="str" cm="1">
        <f t="array" ref="T422">_xlfn.IFS(Trainingsabschluss[[#This Row],[Training_Bewertung]]&gt;=9, "Promotor", Trainingsabschluss[[#This Row],[Training_Bewertung]]
&lt;=6, "Detraktor",
TRUE, "Passiv")</f>
        <v>Promotor</v>
      </c>
      <c r="W422"/>
    </row>
    <row r="423" spans="1:23" x14ac:dyDescent="0.3">
      <c r="A423" s="13" t="s">
        <v>446</v>
      </c>
      <c r="B423" s="2">
        <v>3.5</v>
      </c>
      <c r="C423" s="2">
        <v>5</v>
      </c>
      <c r="D423" s="2">
        <v>2.5</v>
      </c>
      <c r="E423" s="2">
        <v>3</v>
      </c>
      <c r="F423" s="2">
        <v>1</v>
      </c>
      <c r="G423" s="2" t="str">
        <f>_xlfn.XLOOKUP(Trainingsabschluss[[#This Row],[UserID]], Teilnehmende[UserID], Teilnehmende[Branche], "UserID nicht gefunden")</f>
        <v>IT und Technologie</v>
      </c>
      <c r="H423" t="str">
        <f>_xlfn.XLOOKUP(Trainingsabschluss[[#This Row],[UserID]], Teilnehmende[UserID], Teilnehmende[Bildungsabschluss], "UserID nicht gefunden")</f>
        <v>Master</v>
      </c>
      <c r="I423" s="3">
        <f>_xlfn.XLOOKUP(Trainingsabschluss[[#This Row],[UserID]], Teilnehmende[UserID], Teilnehmende[Berufserfahrung])</f>
        <v>12</v>
      </c>
      <c r="J423" s="3" t="str" cm="1">
        <f t="array" ref="J42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23" s="11">
        <f>Trainingsabschluss[[#This Row],[Quiz_Frage1_Punkte]]/Max_Frage1</f>
        <v>0.7</v>
      </c>
      <c r="L423" s="11">
        <f>Trainingsabschluss[[#This Row],[Quiz_Frage2_Punkte]]/Max_Frage2</f>
        <v>1</v>
      </c>
      <c r="M423" s="11">
        <f>Trainingsabschluss[[#This Row],[Quiz_Frage3_Punkte]]/Max_Frage3</f>
        <v>0.5</v>
      </c>
      <c r="N423" s="11">
        <f>Trainingsabschluss[[#This Row],[Quiz_Frage4_Punkte]]/Max_Frage4</f>
        <v>0.75</v>
      </c>
      <c r="O423" s="11">
        <f>Trainingsabschluss[[#This Row],[Quiz_Frage5_Punkte]]/Max_Frage5</f>
        <v>0.33333333333333331</v>
      </c>
      <c r="P423" s="2">
        <f>Trainingsabschluss[[#This Row],[Quiz_Frage1_Punkte]]+Trainingsabschluss[[#This Row],[Quiz_Frage2_Punkte]]+Trainingsabschluss[[#This Row],[Quiz_Frage3_Punkte]]+Trainingsabschluss[[#This Row],[Quiz_Frage4_Punkte]]+Trainingsabschluss[[#This Row],[Quiz_Frage5_Punkte]]</f>
        <v>15</v>
      </c>
      <c r="Q423" s="8">
        <f>Trainingsabschluss[[#This Row],[Quizergebnis]]/Max_Quizergebnis</f>
        <v>0.68181818181818177</v>
      </c>
      <c r="R423" t="str" cm="1">
        <f t="array" ref="R423">_xlfn.IFS(Trainingsabschluss[[#This Row],[Quizergebnis_Prozent]]&lt;0.5, "Nicht bestanden",
Trainingsabschluss[[#This Row],[Quizergebnis_Prozent]]&lt;0.65, "Bestanden",
Trainingsabschluss[[#This Row],[Quizergebnis_Prozent]]&lt;0.8, "Gut bestanden",
TRUE, "Sehr gut bestanden")</f>
        <v>Gut bestanden</v>
      </c>
      <c r="S423" s="3">
        <v>9</v>
      </c>
      <c r="T423" s="3" t="str" cm="1">
        <f t="array" ref="T423">_xlfn.IFS(Trainingsabschluss[[#This Row],[Training_Bewertung]]&gt;=9, "Promotor", Trainingsabschluss[[#This Row],[Training_Bewertung]]
&lt;=6, "Detraktor",
TRUE, "Passiv")</f>
        <v>Promotor</v>
      </c>
      <c r="W423"/>
    </row>
    <row r="424" spans="1:23" x14ac:dyDescent="0.3">
      <c r="A424" s="13" t="s">
        <v>449</v>
      </c>
      <c r="B424" s="2">
        <v>5</v>
      </c>
      <c r="C424" s="2">
        <v>5</v>
      </c>
      <c r="D424" s="2">
        <v>3.5</v>
      </c>
      <c r="E424" s="2">
        <v>4</v>
      </c>
      <c r="F424" s="2">
        <v>2</v>
      </c>
      <c r="G424" s="2" t="str">
        <f>_xlfn.XLOOKUP(Trainingsabschluss[[#This Row],[UserID]], Teilnehmende[UserID], Teilnehmende[Branche], "UserID nicht gefunden")</f>
        <v>IT und Technologie</v>
      </c>
      <c r="H424" t="str">
        <f>_xlfn.XLOOKUP(Trainingsabschluss[[#This Row],[UserID]], Teilnehmende[UserID], Teilnehmende[Bildungsabschluss], "UserID nicht gefunden")</f>
        <v>Master</v>
      </c>
      <c r="I424" s="3">
        <f>_xlfn.XLOOKUP(Trainingsabschluss[[#This Row],[UserID]], Teilnehmende[UserID], Teilnehmende[Berufserfahrung])</f>
        <v>4</v>
      </c>
      <c r="J424" s="3" t="str" cm="1">
        <f t="array" ref="J424">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24" s="11">
        <f>Trainingsabschluss[[#This Row],[Quiz_Frage1_Punkte]]/Max_Frage1</f>
        <v>1</v>
      </c>
      <c r="L424" s="11">
        <f>Trainingsabschluss[[#This Row],[Quiz_Frage2_Punkte]]/Max_Frage2</f>
        <v>1</v>
      </c>
      <c r="M424" s="11">
        <f>Trainingsabschluss[[#This Row],[Quiz_Frage3_Punkte]]/Max_Frage3</f>
        <v>0.7</v>
      </c>
      <c r="N424" s="11">
        <f>Trainingsabschluss[[#This Row],[Quiz_Frage4_Punkte]]/Max_Frage4</f>
        <v>1</v>
      </c>
      <c r="O424" s="11">
        <f>Trainingsabschluss[[#This Row],[Quiz_Frage5_Punkte]]/Max_Frage5</f>
        <v>0.66666666666666663</v>
      </c>
      <c r="P424" s="2">
        <f>Trainingsabschluss[[#This Row],[Quiz_Frage1_Punkte]]+Trainingsabschluss[[#This Row],[Quiz_Frage2_Punkte]]+Trainingsabschluss[[#This Row],[Quiz_Frage3_Punkte]]+Trainingsabschluss[[#This Row],[Quiz_Frage4_Punkte]]+Trainingsabschluss[[#This Row],[Quiz_Frage5_Punkte]]</f>
        <v>19.5</v>
      </c>
      <c r="Q424" s="8">
        <f>Trainingsabschluss[[#This Row],[Quizergebnis]]/Max_Quizergebnis</f>
        <v>0.88636363636363635</v>
      </c>
      <c r="R424" t="str" cm="1">
        <f t="array" ref="R424">_xlfn.IFS(Trainingsabschluss[[#This Row],[Quizergebnis_Prozent]]&lt;0.5, "Nicht bestanden",
Trainingsabschluss[[#This Row],[Quizergebnis_Prozent]]&lt;0.65, "Bestanden",
Trainingsabschluss[[#This Row],[Quizergebnis_Prozent]]&lt;0.8, "Gut bestanden",
TRUE, "Sehr gut bestanden")</f>
        <v>Sehr gut bestanden</v>
      </c>
      <c r="S424" s="3">
        <v>9</v>
      </c>
      <c r="T424" s="3" t="str" cm="1">
        <f t="array" ref="T424">_xlfn.IFS(Trainingsabschluss[[#This Row],[Training_Bewertung]]&gt;=9, "Promotor", Trainingsabschluss[[#This Row],[Training_Bewertung]]
&lt;=6, "Detraktor",
TRUE, "Passiv")</f>
        <v>Promotor</v>
      </c>
      <c r="W424"/>
    </row>
    <row r="425" spans="1:23" x14ac:dyDescent="0.3">
      <c r="A425" s="13" t="s">
        <v>456</v>
      </c>
      <c r="B425" s="2">
        <v>2.5</v>
      </c>
      <c r="C425" s="2">
        <v>5</v>
      </c>
      <c r="D425" s="2">
        <v>1.5</v>
      </c>
      <c r="E425" s="2">
        <v>2</v>
      </c>
      <c r="F425" s="2">
        <v>2.5</v>
      </c>
      <c r="G425" s="2" t="str">
        <f>_xlfn.XLOOKUP(Trainingsabschluss[[#This Row],[UserID]], Teilnehmende[UserID], Teilnehmende[Branche], "UserID nicht gefunden")</f>
        <v>IT und Technologie</v>
      </c>
      <c r="H425" t="str">
        <f>_xlfn.XLOOKUP(Trainingsabschluss[[#This Row],[UserID]], Teilnehmende[UserID], Teilnehmende[Bildungsabschluss], "UserID nicht gefunden")</f>
        <v>Master</v>
      </c>
      <c r="I425" s="3">
        <f>_xlfn.XLOOKUP(Trainingsabschluss[[#This Row],[UserID]], Teilnehmende[UserID], Teilnehmende[Berufserfahrung])</f>
        <v>10</v>
      </c>
      <c r="J425" s="3" t="str" cm="1">
        <f t="array" ref="J42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25" s="11">
        <f>Trainingsabschluss[[#This Row],[Quiz_Frage1_Punkte]]/Max_Frage1</f>
        <v>0.5</v>
      </c>
      <c r="L425" s="11">
        <f>Trainingsabschluss[[#This Row],[Quiz_Frage2_Punkte]]/Max_Frage2</f>
        <v>1</v>
      </c>
      <c r="M425" s="11">
        <f>Trainingsabschluss[[#This Row],[Quiz_Frage3_Punkte]]/Max_Frage3</f>
        <v>0.3</v>
      </c>
      <c r="N425" s="11">
        <f>Trainingsabschluss[[#This Row],[Quiz_Frage4_Punkte]]/Max_Frage4</f>
        <v>0.5</v>
      </c>
      <c r="O425" s="11">
        <f>Trainingsabschluss[[#This Row],[Quiz_Frage5_Punkte]]/Max_Frage5</f>
        <v>0.83333333333333337</v>
      </c>
      <c r="P425" s="2">
        <f>Trainingsabschluss[[#This Row],[Quiz_Frage1_Punkte]]+Trainingsabschluss[[#This Row],[Quiz_Frage2_Punkte]]+Trainingsabschluss[[#This Row],[Quiz_Frage3_Punkte]]+Trainingsabschluss[[#This Row],[Quiz_Frage4_Punkte]]+Trainingsabschluss[[#This Row],[Quiz_Frage5_Punkte]]</f>
        <v>13.5</v>
      </c>
      <c r="Q425" s="8">
        <f>Trainingsabschluss[[#This Row],[Quizergebnis]]/Max_Quizergebnis</f>
        <v>0.61363636363636365</v>
      </c>
      <c r="R425" t="str" cm="1">
        <f t="array" ref="R425">_xlfn.IFS(Trainingsabschluss[[#This Row],[Quizergebnis_Prozent]]&lt;0.5, "Nicht bestanden",
Trainingsabschluss[[#This Row],[Quizergebnis_Prozent]]&lt;0.65, "Bestanden",
Trainingsabschluss[[#This Row],[Quizergebnis_Prozent]]&lt;0.8, "Gut bestanden",
TRUE, "Sehr gut bestanden")</f>
        <v>Bestanden</v>
      </c>
      <c r="S425" s="3">
        <v>9</v>
      </c>
      <c r="T425" s="3" t="str" cm="1">
        <f t="array" ref="T425">_xlfn.IFS(Trainingsabschluss[[#This Row],[Training_Bewertung]]&gt;=9, "Promotor", Trainingsabschluss[[#This Row],[Training_Bewertung]]
&lt;=6, "Detraktor",
TRUE, "Passiv")</f>
        <v>Promotor</v>
      </c>
      <c r="W425"/>
    </row>
    <row r="426" spans="1:23" x14ac:dyDescent="0.3">
      <c r="A426" s="13" t="s">
        <v>458</v>
      </c>
      <c r="B426" s="2">
        <v>5</v>
      </c>
      <c r="C426" s="2">
        <v>3</v>
      </c>
      <c r="D426" s="2">
        <v>4</v>
      </c>
      <c r="E426" s="2">
        <v>2.5</v>
      </c>
      <c r="F426" s="2">
        <v>2</v>
      </c>
      <c r="G426" s="2" t="str">
        <f>_xlfn.XLOOKUP(Trainingsabschluss[[#This Row],[UserID]], Teilnehmende[UserID], Teilnehmende[Branche], "UserID nicht gefunden")</f>
        <v>IT und Technologie</v>
      </c>
      <c r="H426" t="str">
        <f>_xlfn.XLOOKUP(Trainingsabschluss[[#This Row],[UserID]], Teilnehmende[UserID], Teilnehmende[Bildungsabschluss], "UserID nicht gefunden")</f>
        <v>Master</v>
      </c>
      <c r="I426" s="3">
        <f>_xlfn.XLOOKUP(Trainingsabschluss[[#This Row],[UserID]], Teilnehmende[UserID], Teilnehmende[Berufserfahrung])</f>
        <v>8</v>
      </c>
      <c r="J426" s="3" t="str" cm="1">
        <f t="array" ref="J42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26" s="11">
        <f>Trainingsabschluss[[#This Row],[Quiz_Frage1_Punkte]]/Max_Frage1</f>
        <v>1</v>
      </c>
      <c r="L426" s="11">
        <f>Trainingsabschluss[[#This Row],[Quiz_Frage2_Punkte]]/Max_Frage2</f>
        <v>0.6</v>
      </c>
      <c r="M426" s="11">
        <f>Trainingsabschluss[[#This Row],[Quiz_Frage3_Punkte]]/Max_Frage3</f>
        <v>0.8</v>
      </c>
      <c r="N426" s="11">
        <f>Trainingsabschluss[[#This Row],[Quiz_Frage4_Punkte]]/Max_Frage4</f>
        <v>0.625</v>
      </c>
      <c r="O426" s="11">
        <f>Trainingsabschluss[[#This Row],[Quiz_Frage5_Punkte]]/Max_Frage5</f>
        <v>0.66666666666666663</v>
      </c>
      <c r="P426" s="2">
        <f>Trainingsabschluss[[#This Row],[Quiz_Frage1_Punkte]]+Trainingsabschluss[[#This Row],[Quiz_Frage2_Punkte]]+Trainingsabschluss[[#This Row],[Quiz_Frage3_Punkte]]+Trainingsabschluss[[#This Row],[Quiz_Frage4_Punkte]]+Trainingsabschluss[[#This Row],[Quiz_Frage5_Punkte]]</f>
        <v>16.5</v>
      </c>
      <c r="Q426" s="8">
        <f>Trainingsabschluss[[#This Row],[Quizergebnis]]/Max_Quizergebnis</f>
        <v>0.75</v>
      </c>
      <c r="R426" t="str" cm="1">
        <f t="array" ref="R426">_xlfn.IFS(Trainingsabschluss[[#This Row],[Quizergebnis_Prozent]]&lt;0.5, "Nicht bestanden",
Trainingsabschluss[[#This Row],[Quizergebnis_Prozent]]&lt;0.65, "Bestanden",
Trainingsabschluss[[#This Row],[Quizergebnis_Prozent]]&lt;0.8, "Gut bestanden",
TRUE, "Sehr gut bestanden")</f>
        <v>Gut bestanden</v>
      </c>
      <c r="S426" s="3">
        <v>10</v>
      </c>
      <c r="T426" s="3" t="str" cm="1">
        <f t="array" ref="T426">_xlfn.IFS(Trainingsabschluss[[#This Row],[Training_Bewertung]]&gt;=9, "Promotor", Trainingsabschluss[[#This Row],[Training_Bewertung]]
&lt;=6, "Detraktor",
TRUE, "Passiv")</f>
        <v>Promotor</v>
      </c>
      <c r="W426"/>
    </row>
    <row r="427" spans="1:23" x14ac:dyDescent="0.3">
      <c r="A427" s="13" t="s">
        <v>461</v>
      </c>
      <c r="B427" s="2">
        <v>5</v>
      </c>
      <c r="C427" s="2">
        <v>4.5</v>
      </c>
      <c r="D427" s="2">
        <v>1.5</v>
      </c>
      <c r="E427" s="2">
        <v>1.5</v>
      </c>
      <c r="F427" s="2">
        <v>1</v>
      </c>
      <c r="G427" s="2" t="str">
        <f>_xlfn.XLOOKUP(Trainingsabschluss[[#This Row],[UserID]], Teilnehmende[UserID], Teilnehmende[Branche], "UserID nicht gefunden")</f>
        <v>IT und Technologie</v>
      </c>
      <c r="H427" t="str">
        <f>_xlfn.XLOOKUP(Trainingsabschluss[[#This Row],[UserID]], Teilnehmende[UserID], Teilnehmende[Bildungsabschluss], "UserID nicht gefunden")</f>
        <v>Master</v>
      </c>
      <c r="I427" s="3">
        <f>_xlfn.XLOOKUP(Trainingsabschluss[[#This Row],[UserID]], Teilnehmende[UserID], Teilnehmende[Berufserfahrung])</f>
        <v>7</v>
      </c>
      <c r="J427" s="3" t="str" cm="1">
        <f t="array" ref="J42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27" s="11">
        <f>Trainingsabschluss[[#This Row],[Quiz_Frage1_Punkte]]/Max_Frage1</f>
        <v>1</v>
      </c>
      <c r="L427" s="11">
        <f>Trainingsabschluss[[#This Row],[Quiz_Frage2_Punkte]]/Max_Frage2</f>
        <v>0.9</v>
      </c>
      <c r="M427" s="11">
        <f>Trainingsabschluss[[#This Row],[Quiz_Frage3_Punkte]]/Max_Frage3</f>
        <v>0.3</v>
      </c>
      <c r="N427" s="11">
        <f>Trainingsabschluss[[#This Row],[Quiz_Frage4_Punkte]]/Max_Frage4</f>
        <v>0.375</v>
      </c>
      <c r="O427" s="11">
        <f>Trainingsabschluss[[#This Row],[Quiz_Frage5_Punkte]]/Max_Frage5</f>
        <v>0.33333333333333331</v>
      </c>
      <c r="P427" s="2">
        <f>Trainingsabschluss[[#This Row],[Quiz_Frage1_Punkte]]+Trainingsabschluss[[#This Row],[Quiz_Frage2_Punkte]]+Trainingsabschluss[[#This Row],[Quiz_Frage3_Punkte]]+Trainingsabschluss[[#This Row],[Quiz_Frage4_Punkte]]+Trainingsabschluss[[#This Row],[Quiz_Frage5_Punkte]]</f>
        <v>13.5</v>
      </c>
      <c r="Q427" s="8">
        <f>Trainingsabschluss[[#This Row],[Quizergebnis]]/Max_Quizergebnis</f>
        <v>0.61363636363636365</v>
      </c>
      <c r="R427" t="str" cm="1">
        <f t="array" ref="R427">_xlfn.IFS(Trainingsabschluss[[#This Row],[Quizergebnis_Prozent]]&lt;0.5, "Nicht bestanden",
Trainingsabschluss[[#This Row],[Quizergebnis_Prozent]]&lt;0.65, "Bestanden",
Trainingsabschluss[[#This Row],[Quizergebnis_Prozent]]&lt;0.8, "Gut bestanden",
TRUE, "Sehr gut bestanden")</f>
        <v>Bestanden</v>
      </c>
      <c r="S427" s="3">
        <v>10</v>
      </c>
      <c r="T427" s="3" t="str" cm="1">
        <f t="array" ref="T427">_xlfn.IFS(Trainingsabschluss[[#This Row],[Training_Bewertung]]&gt;=9, "Promotor", Trainingsabschluss[[#This Row],[Training_Bewertung]]
&lt;=6, "Detraktor",
TRUE, "Passiv")</f>
        <v>Promotor</v>
      </c>
      <c r="W427"/>
    </row>
    <row r="428" spans="1:23" x14ac:dyDescent="0.3">
      <c r="A428" s="13" t="s">
        <v>474</v>
      </c>
      <c r="B428" s="2">
        <v>5</v>
      </c>
      <c r="C428" s="2">
        <v>3</v>
      </c>
      <c r="D428" s="2">
        <v>0.5</v>
      </c>
      <c r="E428" s="2">
        <v>3.5</v>
      </c>
      <c r="F428" s="2">
        <v>2</v>
      </c>
      <c r="G428" s="2" t="str">
        <f>_xlfn.XLOOKUP(Trainingsabschluss[[#This Row],[UserID]], Teilnehmende[UserID], Teilnehmende[Branche], "UserID nicht gefunden")</f>
        <v>IT und Technologie</v>
      </c>
      <c r="H428" t="str">
        <f>_xlfn.XLOOKUP(Trainingsabschluss[[#This Row],[UserID]], Teilnehmende[UserID], Teilnehmende[Bildungsabschluss], "UserID nicht gefunden")</f>
        <v>Master</v>
      </c>
      <c r="I428" s="3">
        <f>_xlfn.XLOOKUP(Trainingsabschluss[[#This Row],[UserID]], Teilnehmende[UserID], Teilnehmende[Berufserfahrung])</f>
        <v>8</v>
      </c>
      <c r="J428" s="3" t="str" cm="1">
        <f t="array" ref="J42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28" s="11">
        <f>Trainingsabschluss[[#This Row],[Quiz_Frage1_Punkte]]/Max_Frage1</f>
        <v>1</v>
      </c>
      <c r="L428" s="11">
        <f>Trainingsabschluss[[#This Row],[Quiz_Frage2_Punkte]]/Max_Frage2</f>
        <v>0.6</v>
      </c>
      <c r="M428" s="11">
        <f>Trainingsabschluss[[#This Row],[Quiz_Frage3_Punkte]]/Max_Frage3</f>
        <v>0.1</v>
      </c>
      <c r="N428" s="11">
        <f>Trainingsabschluss[[#This Row],[Quiz_Frage4_Punkte]]/Max_Frage4</f>
        <v>0.875</v>
      </c>
      <c r="O428" s="11">
        <f>Trainingsabschluss[[#This Row],[Quiz_Frage5_Punkte]]/Max_Frage5</f>
        <v>0.66666666666666663</v>
      </c>
      <c r="P428" s="2">
        <f>Trainingsabschluss[[#This Row],[Quiz_Frage1_Punkte]]+Trainingsabschluss[[#This Row],[Quiz_Frage2_Punkte]]+Trainingsabschluss[[#This Row],[Quiz_Frage3_Punkte]]+Trainingsabschluss[[#This Row],[Quiz_Frage4_Punkte]]+Trainingsabschluss[[#This Row],[Quiz_Frage5_Punkte]]</f>
        <v>14</v>
      </c>
      <c r="Q428" s="8">
        <f>Trainingsabschluss[[#This Row],[Quizergebnis]]/Max_Quizergebnis</f>
        <v>0.63636363636363635</v>
      </c>
      <c r="R428" t="str" cm="1">
        <f t="array" ref="R428">_xlfn.IFS(Trainingsabschluss[[#This Row],[Quizergebnis_Prozent]]&lt;0.5, "Nicht bestanden",
Trainingsabschluss[[#This Row],[Quizergebnis_Prozent]]&lt;0.65, "Bestanden",
Trainingsabschluss[[#This Row],[Quizergebnis_Prozent]]&lt;0.8, "Gut bestanden",
TRUE, "Sehr gut bestanden")</f>
        <v>Bestanden</v>
      </c>
      <c r="S428" s="3">
        <v>10</v>
      </c>
      <c r="T428" s="3" t="str" cm="1">
        <f t="array" ref="T428">_xlfn.IFS(Trainingsabschluss[[#This Row],[Training_Bewertung]]&gt;=9, "Promotor", Trainingsabschluss[[#This Row],[Training_Bewertung]]
&lt;=6, "Detraktor",
TRUE, "Passiv")</f>
        <v>Promotor</v>
      </c>
      <c r="W428"/>
    </row>
    <row r="429" spans="1:23" x14ac:dyDescent="0.3">
      <c r="A429" s="13" t="s">
        <v>478</v>
      </c>
      <c r="B429" s="2">
        <v>0</v>
      </c>
      <c r="C429" s="2">
        <v>0.5</v>
      </c>
      <c r="D429" s="2">
        <v>0</v>
      </c>
      <c r="E429" s="2">
        <v>0.5</v>
      </c>
      <c r="F429" s="2">
        <v>0</v>
      </c>
      <c r="G429" s="2" t="str">
        <f>_xlfn.XLOOKUP(Trainingsabschluss[[#This Row],[UserID]], Teilnehmende[UserID], Teilnehmende[Branche], "UserID nicht gefunden")</f>
        <v>IT und Technologie</v>
      </c>
      <c r="H429" t="str">
        <f>_xlfn.XLOOKUP(Trainingsabschluss[[#This Row],[UserID]], Teilnehmende[UserID], Teilnehmende[Bildungsabschluss], "UserID nicht gefunden")</f>
        <v>Master</v>
      </c>
      <c r="I429" s="3">
        <f>_xlfn.XLOOKUP(Trainingsabschluss[[#This Row],[UserID]], Teilnehmende[UserID], Teilnehmende[Berufserfahrung])</f>
        <v>7</v>
      </c>
      <c r="J429" s="3" t="str" cm="1">
        <f t="array" ref="J42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29" s="11">
        <f>Trainingsabschluss[[#This Row],[Quiz_Frage1_Punkte]]/Max_Frage1</f>
        <v>0</v>
      </c>
      <c r="L429" s="11">
        <f>Trainingsabschluss[[#This Row],[Quiz_Frage2_Punkte]]/Max_Frage2</f>
        <v>0.1</v>
      </c>
      <c r="M429" s="11">
        <f>Trainingsabschluss[[#This Row],[Quiz_Frage3_Punkte]]/Max_Frage3</f>
        <v>0</v>
      </c>
      <c r="N429" s="11">
        <f>Trainingsabschluss[[#This Row],[Quiz_Frage4_Punkte]]/Max_Frage4</f>
        <v>0.125</v>
      </c>
      <c r="O429" s="11">
        <f>Trainingsabschluss[[#This Row],[Quiz_Frage5_Punkte]]/Max_Frage5</f>
        <v>0</v>
      </c>
      <c r="P429" s="2">
        <f>Trainingsabschluss[[#This Row],[Quiz_Frage1_Punkte]]+Trainingsabschluss[[#This Row],[Quiz_Frage2_Punkte]]+Trainingsabschluss[[#This Row],[Quiz_Frage3_Punkte]]+Trainingsabschluss[[#This Row],[Quiz_Frage4_Punkte]]+Trainingsabschluss[[#This Row],[Quiz_Frage5_Punkte]]</f>
        <v>1</v>
      </c>
      <c r="Q429" s="8">
        <f>Trainingsabschluss[[#This Row],[Quizergebnis]]/Max_Quizergebnis</f>
        <v>4.5454545454545456E-2</v>
      </c>
      <c r="R429" t="str" cm="1">
        <f t="array" ref="R429">_xlfn.IFS(Trainingsabschluss[[#This Row],[Quizergebnis_Prozent]]&lt;0.5, "Nicht bestanden",
Trainingsabschluss[[#This Row],[Quizergebnis_Prozent]]&lt;0.65, "Bestanden",
Trainingsabschluss[[#This Row],[Quizergebnis_Prozent]]&lt;0.8, "Gut bestanden",
TRUE, "Sehr gut bestanden")</f>
        <v>Nicht bestanden</v>
      </c>
      <c r="S429" s="3">
        <v>10</v>
      </c>
      <c r="T429" s="3" t="str" cm="1">
        <f t="array" ref="T429">_xlfn.IFS(Trainingsabschluss[[#This Row],[Training_Bewertung]]&gt;=9, "Promotor", Trainingsabschluss[[#This Row],[Training_Bewertung]]
&lt;=6, "Detraktor",
TRUE, "Passiv")</f>
        <v>Promotor</v>
      </c>
      <c r="W429"/>
    </row>
    <row r="430" spans="1:23" x14ac:dyDescent="0.3">
      <c r="A430" s="13" t="s">
        <v>480</v>
      </c>
      <c r="B430" s="2">
        <v>3</v>
      </c>
      <c r="C430" s="2">
        <v>2.5</v>
      </c>
      <c r="D430" s="2">
        <v>2</v>
      </c>
      <c r="E430" s="2">
        <v>3</v>
      </c>
      <c r="F430" s="2">
        <v>3</v>
      </c>
      <c r="G430" s="2" t="str">
        <f>_xlfn.XLOOKUP(Trainingsabschluss[[#This Row],[UserID]], Teilnehmende[UserID], Teilnehmende[Branche], "UserID nicht gefunden")</f>
        <v>IT und Technologie</v>
      </c>
      <c r="H430" t="str">
        <f>_xlfn.XLOOKUP(Trainingsabschluss[[#This Row],[UserID]], Teilnehmende[UserID], Teilnehmende[Bildungsabschluss], "UserID nicht gefunden")</f>
        <v>Master</v>
      </c>
      <c r="I430" s="3">
        <f>_xlfn.XLOOKUP(Trainingsabschluss[[#This Row],[UserID]], Teilnehmende[UserID], Teilnehmende[Berufserfahrung])</f>
        <v>4</v>
      </c>
      <c r="J430" s="3" t="str" cm="1">
        <f t="array" ref="J43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30" s="11">
        <f>Trainingsabschluss[[#This Row],[Quiz_Frage1_Punkte]]/Max_Frage1</f>
        <v>0.6</v>
      </c>
      <c r="L430" s="11">
        <f>Trainingsabschluss[[#This Row],[Quiz_Frage2_Punkte]]/Max_Frage2</f>
        <v>0.5</v>
      </c>
      <c r="M430" s="11">
        <f>Trainingsabschluss[[#This Row],[Quiz_Frage3_Punkte]]/Max_Frage3</f>
        <v>0.4</v>
      </c>
      <c r="N430" s="11">
        <f>Trainingsabschluss[[#This Row],[Quiz_Frage4_Punkte]]/Max_Frage4</f>
        <v>0.75</v>
      </c>
      <c r="O430" s="11">
        <f>Trainingsabschluss[[#This Row],[Quiz_Frage5_Punkte]]/Max_Frage5</f>
        <v>1</v>
      </c>
      <c r="P430" s="2">
        <f>Trainingsabschluss[[#This Row],[Quiz_Frage1_Punkte]]+Trainingsabschluss[[#This Row],[Quiz_Frage2_Punkte]]+Trainingsabschluss[[#This Row],[Quiz_Frage3_Punkte]]+Trainingsabschluss[[#This Row],[Quiz_Frage4_Punkte]]+Trainingsabschluss[[#This Row],[Quiz_Frage5_Punkte]]</f>
        <v>13.5</v>
      </c>
      <c r="Q430" s="8">
        <f>Trainingsabschluss[[#This Row],[Quizergebnis]]/Max_Quizergebnis</f>
        <v>0.61363636363636365</v>
      </c>
      <c r="R430" t="str" cm="1">
        <f t="array" ref="R430">_xlfn.IFS(Trainingsabschluss[[#This Row],[Quizergebnis_Prozent]]&lt;0.5, "Nicht bestanden",
Trainingsabschluss[[#This Row],[Quizergebnis_Prozent]]&lt;0.65, "Bestanden",
Trainingsabschluss[[#This Row],[Quizergebnis_Prozent]]&lt;0.8, "Gut bestanden",
TRUE, "Sehr gut bestanden")</f>
        <v>Bestanden</v>
      </c>
      <c r="S430" s="3">
        <v>10</v>
      </c>
      <c r="T430" s="3" t="str" cm="1">
        <f t="array" ref="T430">_xlfn.IFS(Trainingsabschluss[[#This Row],[Training_Bewertung]]&gt;=9, "Promotor", Trainingsabschluss[[#This Row],[Training_Bewertung]]
&lt;=6, "Detraktor",
TRUE, "Passiv")</f>
        <v>Promotor</v>
      </c>
      <c r="W430"/>
    </row>
    <row r="431" spans="1:23" x14ac:dyDescent="0.3">
      <c r="A431" s="13" t="s">
        <v>483</v>
      </c>
      <c r="B431" s="2">
        <v>4.5</v>
      </c>
      <c r="C431" s="2">
        <v>3.5</v>
      </c>
      <c r="D431" s="2">
        <v>4</v>
      </c>
      <c r="E431" s="2">
        <v>0.5</v>
      </c>
      <c r="F431" s="2">
        <v>1.5</v>
      </c>
      <c r="G431" s="2" t="str">
        <f>_xlfn.XLOOKUP(Trainingsabschluss[[#This Row],[UserID]], Teilnehmende[UserID], Teilnehmende[Branche], "UserID nicht gefunden")</f>
        <v>IT und Technologie</v>
      </c>
      <c r="H431" t="str">
        <f>_xlfn.XLOOKUP(Trainingsabschluss[[#This Row],[UserID]], Teilnehmende[UserID], Teilnehmende[Bildungsabschluss], "UserID nicht gefunden")</f>
        <v>Master</v>
      </c>
      <c r="I431" s="3">
        <f>_xlfn.XLOOKUP(Trainingsabschluss[[#This Row],[UserID]], Teilnehmende[UserID], Teilnehmende[Berufserfahrung])</f>
        <v>4</v>
      </c>
      <c r="J431" s="3" t="str" cm="1">
        <f t="array" ref="J431">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31" s="11">
        <f>Trainingsabschluss[[#This Row],[Quiz_Frage1_Punkte]]/Max_Frage1</f>
        <v>0.9</v>
      </c>
      <c r="L431" s="11">
        <f>Trainingsabschluss[[#This Row],[Quiz_Frage2_Punkte]]/Max_Frage2</f>
        <v>0.7</v>
      </c>
      <c r="M431" s="11">
        <f>Trainingsabschluss[[#This Row],[Quiz_Frage3_Punkte]]/Max_Frage3</f>
        <v>0.8</v>
      </c>
      <c r="N431" s="11">
        <f>Trainingsabschluss[[#This Row],[Quiz_Frage4_Punkte]]/Max_Frage4</f>
        <v>0.125</v>
      </c>
      <c r="O431" s="11">
        <f>Trainingsabschluss[[#This Row],[Quiz_Frage5_Punkte]]/Max_Frage5</f>
        <v>0.5</v>
      </c>
      <c r="P431" s="2">
        <f>Trainingsabschluss[[#This Row],[Quiz_Frage1_Punkte]]+Trainingsabschluss[[#This Row],[Quiz_Frage2_Punkte]]+Trainingsabschluss[[#This Row],[Quiz_Frage3_Punkte]]+Trainingsabschluss[[#This Row],[Quiz_Frage4_Punkte]]+Trainingsabschluss[[#This Row],[Quiz_Frage5_Punkte]]</f>
        <v>14</v>
      </c>
      <c r="Q431" s="8">
        <f>Trainingsabschluss[[#This Row],[Quizergebnis]]/Max_Quizergebnis</f>
        <v>0.63636363636363635</v>
      </c>
      <c r="R431" t="str" cm="1">
        <f t="array" ref="R431">_xlfn.IFS(Trainingsabschluss[[#This Row],[Quizergebnis_Prozent]]&lt;0.5, "Nicht bestanden",
Trainingsabschluss[[#This Row],[Quizergebnis_Prozent]]&lt;0.65, "Bestanden",
Trainingsabschluss[[#This Row],[Quizergebnis_Prozent]]&lt;0.8, "Gut bestanden",
TRUE, "Sehr gut bestanden")</f>
        <v>Bestanden</v>
      </c>
      <c r="S431" s="3">
        <v>10</v>
      </c>
      <c r="T431" s="3" t="str" cm="1">
        <f t="array" ref="T431">_xlfn.IFS(Trainingsabschluss[[#This Row],[Training_Bewertung]]&gt;=9, "Promotor", Trainingsabschluss[[#This Row],[Training_Bewertung]]
&lt;=6, "Detraktor",
TRUE, "Passiv")</f>
        <v>Promotor</v>
      </c>
      <c r="W431"/>
    </row>
    <row r="432" spans="1:23" x14ac:dyDescent="0.3">
      <c r="A432" s="13" t="s">
        <v>486</v>
      </c>
      <c r="B432" s="2">
        <v>5</v>
      </c>
      <c r="C432" s="2">
        <v>2.5</v>
      </c>
      <c r="D432" s="2">
        <v>2</v>
      </c>
      <c r="E432" s="2">
        <v>3.5</v>
      </c>
      <c r="F432" s="2">
        <v>0.5</v>
      </c>
      <c r="G432" s="2" t="str">
        <f>_xlfn.XLOOKUP(Trainingsabschluss[[#This Row],[UserID]], Teilnehmende[UserID], Teilnehmende[Branche], "UserID nicht gefunden")</f>
        <v>IT und Technologie</v>
      </c>
      <c r="H432" t="str">
        <f>_xlfn.XLOOKUP(Trainingsabschluss[[#This Row],[UserID]], Teilnehmende[UserID], Teilnehmende[Bildungsabschluss], "UserID nicht gefunden")</f>
        <v>Master</v>
      </c>
      <c r="I432" s="3">
        <f>_xlfn.XLOOKUP(Trainingsabschluss[[#This Row],[UserID]], Teilnehmende[UserID], Teilnehmende[Berufserfahrung])</f>
        <v>4</v>
      </c>
      <c r="J432" s="3" t="str" cm="1">
        <f t="array" ref="J432">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32" s="11">
        <f>Trainingsabschluss[[#This Row],[Quiz_Frage1_Punkte]]/Max_Frage1</f>
        <v>1</v>
      </c>
      <c r="L432" s="11">
        <f>Trainingsabschluss[[#This Row],[Quiz_Frage2_Punkte]]/Max_Frage2</f>
        <v>0.5</v>
      </c>
      <c r="M432" s="11">
        <f>Trainingsabschluss[[#This Row],[Quiz_Frage3_Punkte]]/Max_Frage3</f>
        <v>0.4</v>
      </c>
      <c r="N432" s="11">
        <f>Trainingsabschluss[[#This Row],[Quiz_Frage4_Punkte]]/Max_Frage4</f>
        <v>0.875</v>
      </c>
      <c r="O432" s="11">
        <f>Trainingsabschluss[[#This Row],[Quiz_Frage5_Punkte]]/Max_Frage5</f>
        <v>0.16666666666666666</v>
      </c>
      <c r="P432" s="2">
        <f>Trainingsabschluss[[#This Row],[Quiz_Frage1_Punkte]]+Trainingsabschluss[[#This Row],[Quiz_Frage2_Punkte]]+Trainingsabschluss[[#This Row],[Quiz_Frage3_Punkte]]+Trainingsabschluss[[#This Row],[Quiz_Frage4_Punkte]]+Trainingsabschluss[[#This Row],[Quiz_Frage5_Punkte]]</f>
        <v>13.5</v>
      </c>
      <c r="Q432" s="8">
        <f>Trainingsabschluss[[#This Row],[Quizergebnis]]/Max_Quizergebnis</f>
        <v>0.61363636363636365</v>
      </c>
      <c r="R432" t="str" cm="1">
        <f t="array" ref="R432">_xlfn.IFS(Trainingsabschluss[[#This Row],[Quizergebnis_Prozent]]&lt;0.5, "Nicht bestanden",
Trainingsabschluss[[#This Row],[Quizergebnis_Prozent]]&lt;0.65, "Bestanden",
Trainingsabschluss[[#This Row],[Quizergebnis_Prozent]]&lt;0.8, "Gut bestanden",
TRUE, "Sehr gut bestanden")</f>
        <v>Bestanden</v>
      </c>
      <c r="S432" s="3">
        <v>10</v>
      </c>
      <c r="T432" s="3" t="str" cm="1">
        <f t="array" ref="T432">_xlfn.IFS(Trainingsabschluss[[#This Row],[Training_Bewertung]]&gt;=9, "Promotor", Trainingsabschluss[[#This Row],[Training_Bewertung]]
&lt;=6, "Detraktor",
TRUE, "Passiv")</f>
        <v>Promotor</v>
      </c>
      <c r="W432"/>
    </row>
    <row r="433" spans="1:23" x14ac:dyDescent="0.3">
      <c r="A433" s="13" t="s">
        <v>280</v>
      </c>
      <c r="B433" s="2">
        <v>3</v>
      </c>
      <c r="C433" s="2">
        <v>3.5</v>
      </c>
      <c r="D433" s="2">
        <v>2</v>
      </c>
      <c r="E433" s="2">
        <v>1.5</v>
      </c>
      <c r="F433" s="2">
        <v>1.5</v>
      </c>
      <c r="G433" s="2" t="str">
        <f>_xlfn.XLOOKUP(Trainingsabschluss[[#This Row],[UserID]], Teilnehmende[UserID], Teilnehmende[Branche], "UserID nicht gefunden")</f>
        <v>Bildung</v>
      </c>
      <c r="H433" t="str">
        <f>_xlfn.XLOOKUP(Trainingsabschluss[[#This Row],[UserID]], Teilnehmende[UserID], Teilnehmende[Bildungsabschluss], "UserID nicht gefunden")</f>
        <v>Master</v>
      </c>
      <c r="I433" s="3">
        <f>_xlfn.XLOOKUP(Trainingsabschluss[[#This Row],[UserID]], Teilnehmende[UserID], Teilnehmende[Berufserfahrung])</f>
        <v>4</v>
      </c>
      <c r="J433" s="3" t="str" cm="1">
        <f t="array" ref="J433">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33" s="11">
        <f>Trainingsabschluss[[#This Row],[Quiz_Frage1_Punkte]]/Max_Frage1</f>
        <v>0.6</v>
      </c>
      <c r="L433" s="11">
        <f>Trainingsabschluss[[#This Row],[Quiz_Frage2_Punkte]]/Max_Frage2</f>
        <v>0.7</v>
      </c>
      <c r="M433" s="11">
        <f>Trainingsabschluss[[#This Row],[Quiz_Frage3_Punkte]]/Max_Frage3</f>
        <v>0.4</v>
      </c>
      <c r="N433" s="11">
        <f>Trainingsabschluss[[#This Row],[Quiz_Frage4_Punkte]]/Max_Frage4</f>
        <v>0.375</v>
      </c>
      <c r="O433" s="11">
        <f>Trainingsabschluss[[#This Row],[Quiz_Frage5_Punkte]]/Max_Frage5</f>
        <v>0.5</v>
      </c>
      <c r="P433" s="2">
        <f>Trainingsabschluss[[#This Row],[Quiz_Frage1_Punkte]]+Trainingsabschluss[[#This Row],[Quiz_Frage2_Punkte]]+Trainingsabschluss[[#This Row],[Quiz_Frage3_Punkte]]+Trainingsabschluss[[#This Row],[Quiz_Frage4_Punkte]]+Trainingsabschluss[[#This Row],[Quiz_Frage5_Punkte]]</f>
        <v>11.5</v>
      </c>
      <c r="Q433" s="8">
        <f>Trainingsabschluss[[#This Row],[Quizergebnis]]/Max_Quizergebnis</f>
        <v>0.52272727272727271</v>
      </c>
      <c r="R433" t="str" cm="1">
        <f t="array" ref="R433">_xlfn.IFS(Trainingsabschluss[[#This Row],[Quizergebnis_Prozent]]&lt;0.5, "Nicht bestanden",
Trainingsabschluss[[#This Row],[Quizergebnis_Prozent]]&lt;0.65, "Bestanden",
Trainingsabschluss[[#This Row],[Quizergebnis_Prozent]]&lt;0.8, "Gut bestanden",
TRUE, "Sehr gut bestanden")</f>
        <v>Bestanden</v>
      </c>
      <c r="S433" s="3">
        <v>3</v>
      </c>
      <c r="T433" s="3" t="str" cm="1">
        <f t="array" ref="T433">_xlfn.IFS(Trainingsabschluss[[#This Row],[Training_Bewertung]]&gt;=9, "Promotor", Trainingsabschluss[[#This Row],[Training_Bewertung]]
&lt;=6, "Detraktor",
TRUE, "Passiv")</f>
        <v>Detraktor</v>
      </c>
      <c r="W433"/>
    </row>
    <row r="434" spans="1:23" x14ac:dyDescent="0.3">
      <c r="A434" s="13" t="s">
        <v>284</v>
      </c>
      <c r="B434" s="2">
        <v>5</v>
      </c>
      <c r="C434" s="2">
        <v>3</v>
      </c>
      <c r="D434" s="2">
        <v>2</v>
      </c>
      <c r="E434" s="2">
        <v>1.5</v>
      </c>
      <c r="F434" s="2">
        <v>2.5</v>
      </c>
      <c r="G434" s="2" t="str">
        <f>_xlfn.XLOOKUP(Trainingsabschluss[[#This Row],[UserID]], Teilnehmende[UserID], Teilnehmende[Branche], "UserID nicht gefunden")</f>
        <v>Bildung</v>
      </c>
      <c r="H434" t="str">
        <f>_xlfn.XLOOKUP(Trainingsabschluss[[#This Row],[UserID]], Teilnehmende[UserID], Teilnehmende[Bildungsabschluss], "UserID nicht gefunden")</f>
        <v>Master</v>
      </c>
      <c r="I434" s="3">
        <f>_xlfn.XLOOKUP(Trainingsabschluss[[#This Row],[UserID]], Teilnehmende[UserID], Teilnehmende[Berufserfahrung])</f>
        <v>19</v>
      </c>
      <c r="J434" s="3" t="str" cm="1">
        <f t="array" ref="J434">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34" s="11">
        <f>Trainingsabschluss[[#This Row],[Quiz_Frage1_Punkte]]/Max_Frage1</f>
        <v>1</v>
      </c>
      <c r="L434" s="11">
        <f>Trainingsabschluss[[#This Row],[Quiz_Frage2_Punkte]]/Max_Frage2</f>
        <v>0.6</v>
      </c>
      <c r="M434" s="11">
        <f>Trainingsabschluss[[#This Row],[Quiz_Frage3_Punkte]]/Max_Frage3</f>
        <v>0.4</v>
      </c>
      <c r="N434" s="11">
        <f>Trainingsabschluss[[#This Row],[Quiz_Frage4_Punkte]]/Max_Frage4</f>
        <v>0.375</v>
      </c>
      <c r="O434" s="11">
        <f>Trainingsabschluss[[#This Row],[Quiz_Frage5_Punkte]]/Max_Frage5</f>
        <v>0.83333333333333337</v>
      </c>
      <c r="P434" s="2">
        <f>Trainingsabschluss[[#This Row],[Quiz_Frage1_Punkte]]+Trainingsabschluss[[#This Row],[Quiz_Frage2_Punkte]]+Trainingsabschluss[[#This Row],[Quiz_Frage3_Punkte]]+Trainingsabschluss[[#This Row],[Quiz_Frage4_Punkte]]+Trainingsabschluss[[#This Row],[Quiz_Frage5_Punkte]]</f>
        <v>14</v>
      </c>
      <c r="Q434" s="8">
        <f>Trainingsabschluss[[#This Row],[Quizergebnis]]/Max_Quizergebnis</f>
        <v>0.63636363636363635</v>
      </c>
      <c r="R434" t="str" cm="1">
        <f t="array" ref="R434">_xlfn.IFS(Trainingsabschluss[[#This Row],[Quizergebnis_Prozent]]&lt;0.5, "Nicht bestanden",
Trainingsabschluss[[#This Row],[Quizergebnis_Prozent]]&lt;0.65, "Bestanden",
Trainingsabschluss[[#This Row],[Quizergebnis_Prozent]]&lt;0.8, "Gut bestanden",
TRUE, "Sehr gut bestanden")</f>
        <v>Bestanden</v>
      </c>
      <c r="S434" s="3">
        <v>6</v>
      </c>
      <c r="T434" s="3" t="str" cm="1">
        <f t="array" ref="T434">_xlfn.IFS(Trainingsabschluss[[#This Row],[Training_Bewertung]]&gt;=9, "Promotor", Trainingsabschluss[[#This Row],[Training_Bewertung]]
&lt;=6, "Detraktor",
TRUE, "Passiv")</f>
        <v>Detraktor</v>
      </c>
      <c r="W434"/>
    </row>
    <row r="435" spans="1:23" x14ac:dyDescent="0.3">
      <c r="A435" s="13" t="s">
        <v>295</v>
      </c>
      <c r="B435" s="2">
        <v>4.5</v>
      </c>
      <c r="C435" s="2">
        <v>1.5</v>
      </c>
      <c r="D435" s="2">
        <v>2.5</v>
      </c>
      <c r="E435" s="2">
        <v>2</v>
      </c>
      <c r="F435" s="2">
        <v>3</v>
      </c>
      <c r="G435" s="2" t="str">
        <f>_xlfn.XLOOKUP(Trainingsabschluss[[#This Row],[UserID]], Teilnehmende[UserID], Teilnehmende[Branche], "UserID nicht gefunden")</f>
        <v>Energieversorgung</v>
      </c>
      <c r="H435" t="str">
        <f>_xlfn.XLOOKUP(Trainingsabschluss[[#This Row],[UserID]], Teilnehmende[UserID], Teilnehmende[Bildungsabschluss], "UserID nicht gefunden")</f>
        <v>Master</v>
      </c>
      <c r="I435" s="3">
        <f>_xlfn.XLOOKUP(Trainingsabschluss[[#This Row],[UserID]], Teilnehmende[UserID], Teilnehmende[Berufserfahrung])</f>
        <v>12</v>
      </c>
      <c r="J435" s="3" t="str" cm="1">
        <f t="array" ref="J43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35" s="11">
        <f>Trainingsabschluss[[#This Row],[Quiz_Frage1_Punkte]]/Max_Frage1</f>
        <v>0.9</v>
      </c>
      <c r="L435" s="11">
        <f>Trainingsabschluss[[#This Row],[Quiz_Frage2_Punkte]]/Max_Frage2</f>
        <v>0.3</v>
      </c>
      <c r="M435" s="11">
        <f>Trainingsabschluss[[#This Row],[Quiz_Frage3_Punkte]]/Max_Frage3</f>
        <v>0.5</v>
      </c>
      <c r="N435" s="11">
        <f>Trainingsabschluss[[#This Row],[Quiz_Frage4_Punkte]]/Max_Frage4</f>
        <v>0.5</v>
      </c>
      <c r="O435" s="11">
        <f>Trainingsabschluss[[#This Row],[Quiz_Frage5_Punkte]]/Max_Frage5</f>
        <v>1</v>
      </c>
      <c r="P435" s="2">
        <f>Trainingsabschluss[[#This Row],[Quiz_Frage1_Punkte]]+Trainingsabschluss[[#This Row],[Quiz_Frage2_Punkte]]+Trainingsabschluss[[#This Row],[Quiz_Frage3_Punkte]]+Trainingsabschluss[[#This Row],[Quiz_Frage4_Punkte]]+Trainingsabschluss[[#This Row],[Quiz_Frage5_Punkte]]</f>
        <v>13.5</v>
      </c>
      <c r="Q435" s="8">
        <f>Trainingsabschluss[[#This Row],[Quizergebnis]]/Max_Quizergebnis</f>
        <v>0.61363636363636365</v>
      </c>
      <c r="R435" t="str" cm="1">
        <f t="array" ref="R435">_xlfn.IFS(Trainingsabschluss[[#This Row],[Quizergebnis_Prozent]]&lt;0.5, "Nicht bestanden",
Trainingsabschluss[[#This Row],[Quizergebnis_Prozent]]&lt;0.65, "Bestanden",
Trainingsabschluss[[#This Row],[Quizergebnis_Prozent]]&lt;0.8, "Gut bestanden",
TRUE, "Sehr gut bestanden")</f>
        <v>Bestanden</v>
      </c>
      <c r="S435" s="3">
        <v>9</v>
      </c>
      <c r="T435" s="3" t="str" cm="1">
        <f t="array" ref="T435">_xlfn.IFS(Trainingsabschluss[[#This Row],[Training_Bewertung]]&gt;=9, "Promotor", Trainingsabschluss[[#This Row],[Training_Bewertung]]
&lt;=6, "Detraktor",
TRUE, "Passiv")</f>
        <v>Promotor</v>
      </c>
      <c r="W435"/>
    </row>
    <row r="436" spans="1:23" x14ac:dyDescent="0.3">
      <c r="A436" s="13" t="s">
        <v>298</v>
      </c>
      <c r="B436" s="2">
        <v>3</v>
      </c>
      <c r="C436" s="2">
        <v>4</v>
      </c>
      <c r="D436" s="2">
        <v>3.5</v>
      </c>
      <c r="E436" s="2">
        <v>4</v>
      </c>
      <c r="F436" s="2">
        <v>3</v>
      </c>
      <c r="G436" s="2" t="str">
        <f>_xlfn.XLOOKUP(Trainingsabschluss[[#This Row],[UserID]], Teilnehmende[UserID], Teilnehmende[Branche], "UserID nicht gefunden")</f>
        <v>Energieversorgung</v>
      </c>
      <c r="H436" t="str">
        <f>_xlfn.XLOOKUP(Trainingsabschluss[[#This Row],[UserID]], Teilnehmende[UserID], Teilnehmende[Bildungsabschluss], "UserID nicht gefunden")</f>
        <v>Master</v>
      </c>
      <c r="I436" s="3">
        <f>_xlfn.XLOOKUP(Trainingsabschluss[[#This Row],[UserID]], Teilnehmende[UserID], Teilnehmende[Berufserfahrung])</f>
        <v>8</v>
      </c>
      <c r="J436" s="3" t="str" cm="1">
        <f t="array" ref="J43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36" s="11">
        <f>Trainingsabschluss[[#This Row],[Quiz_Frage1_Punkte]]/Max_Frage1</f>
        <v>0.6</v>
      </c>
      <c r="L436" s="11">
        <f>Trainingsabschluss[[#This Row],[Quiz_Frage2_Punkte]]/Max_Frage2</f>
        <v>0.8</v>
      </c>
      <c r="M436" s="11">
        <f>Trainingsabschluss[[#This Row],[Quiz_Frage3_Punkte]]/Max_Frage3</f>
        <v>0.7</v>
      </c>
      <c r="N436" s="11">
        <f>Trainingsabschluss[[#This Row],[Quiz_Frage4_Punkte]]/Max_Frage4</f>
        <v>1</v>
      </c>
      <c r="O436" s="11">
        <f>Trainingsabschluss[[#This Row],[Quiz_Frage5_Punkte]]/Max_Frage5</f>
        <v>1</v>
      </c>
      <c r="P436" s="2">
        <f>Trainingsabschluss[[#This Row],[Quiz_Frage1_Punkte]]+Trainingsabschluss[[#This Row],[Quiz_Frage2_Punkte]]+Trainingsabschluss[[#This Row],[Quiz_Frage3_Punkte]]+Trainingsabschluss[[#This Row],[Quiz_Frage4_Punkte]]+Trainingsabschluss[[#This Row],[Quiz_Frage5_Punkte]]</f>
        <v>17.5</v>
      </c>
      <c r="Q436" s="8">
        <f>Trainingsabschluss[[#This Row],[Quizergebnis]]/Max_Quizergebnis</f>
        <v>0.79545454545454541</v>
      </c>
      <c r="R436" t="str" cm="1">
        <f t="array" ref="R436">_xlfn.IFS(Trainingsabschluss[[#This Row],[Quizergebnis_Prozent]]&lt;0.5, "Nicht bestanden",
Trainingsabschluss[[#This Row],[Quizergebnis_Prozent]]&lt;0.65, "Bestanden",
Trainingsabschluss[[#This Row],[Quizergebnis_Prozent]]&lt;0.8, "Gut bestanden",
TRUE, "Sehr gut bestanden")</f>
        <v>Gut bestanden</v>
      </c>
      <c r="S436" s="3">
        <v>10</v>
      </c>
      <c r="T436" s="3" t="str" cm="1">
        <f t="array" ref="T436">_xlfn.IFS(Trainingsabschluss[[#This Row],[Training_Bewertung]]&gt;=9, "Promotor", Trainingsabschluss[[#This Row],[Training_Bewertung]]
&lt;=6, "Detraktor",
TRUE, "Passiv")</f>
        <v>Promotor</v>
      </c>
      <c r="W436"/>
    </row>
    <row r="437" spans="1:23" x14ac:dyDescent="0.3">
      <c r="A437" s="13" t="s">
        <v>301</v>
      </c>
      <c r="B437" s="2">
        <v>0</v>
      </c>
      <c r="C437" s="2">
        <v>3.5</v>
      </c>
      <c r="D437" s="2">
        <v>4.5</v>
      </c>
      <c r="E437" s="2">
        <v>3.5</v>
      </c>
      <c r="F437" s="2">
        <v>2</v>
      </c>
      <c r="G437" s="2" t="str">
        <f>_xlfn.XLOOKUP(Trainingsabschluss[[#This Row],[UserID]], Teilnehmende[UserID], Teilnehmende[Branche], "UserID nicht gefunden")</f>
        <v>Energieversorgung</v>
      </c>
      <c r="H437" t="str">
        <f>_xlfn.XLOOKUP(Trainingsabschluss[[#This Row],[UserID]], Teilnehmende[UserID], Teilnehmende[Bildungsabschluss], "UserID nicht gefunden")</f>
        <v>Master</v>
      </c>
      <c r="I437" s="3">
        <f>_xlfn.XLOOKUP(Trainingsabschluss[[#This Row],[UserID]], Teilnehmende[UserID], Teilnehmende[Berufserfahrung])</f>
        <v>16</v>
      </c>
      <c r="J437" s="3" t="str" cm="1">
        <f t="array" ref="J437">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37" s="11">
        <f>Trainingsabschluss[[#This Row],[Quiz_Frage1_Punkte]]/Max_Frage1</f>
        <v>0</v>
      </c>
      <c r="L437" s="11">
        <f>Trainingsabschluss[[#This Row],[Quiz_Frage2_Punkte]]/Max_Frage2</f>
        <v>0.7</v>
      </c>
      <c r="M437" s="11">
        <f>Trainingsabschluss[[#This Row],[Quiz_Frage3_Punkte]]/Max_Frage3</f>
        <v>0.9</v>
      </c>
      <c r="N437" s="11">
        <f>Trainingsabschluss[[#This Row],[Quiz_Frage4_Punkte]]/Max_Frage4</f>
        <v>0.875</v>
      </c>
      <c r="O437" s="11">
        <f>Trainingsabschluss[[#This Row],[Quiz_Frage5_Punkte]]/Max_Frage5</f>
        <v>0.66666666666666663</v>
      </c>
      <c r="P437" s="2">
        <f>Trainingsabschluss[[#This Row],[Quiz_Frage1_Punkte]]+Trainingsabschluss[[#This Row],[Quiz_Frage2_Punkte]]+Trainingsabschluss[[#This Row],[Quiz_Frage3_Punkte]]+Trainingsabschluss[[#This Row],[Quiz_Frage4_Punkte]]+Trainingsabschluss[[#This Row],[Quiz_Frage5_Punkte]]</f>
        <v>13.5</v>
      </c>
      <c r="Q437" s="8">
        <f>Trainingsabschluss[[#This Row],[Quizergebnis]]/Max_Quizergebnis</f>
        <v>0.61363636363636365</v>
      </c>
      <c r="R437" t="str" cm="1">
        <f t="array" ref="R437">_xlfn.IFS(Trainingsabschluss[[#This Row],[Quizergebnis_Prozent]]&lt;0.5, "Nicht bestanden",
Trainingsabschluss[[#This Row],[Quizergebnis_Prozent]]&lt;0.65, "Bestanden",
Trainingsabschluss[[#This Row],[Quizergebnis_Prozent]]&lt;0.8, "Gut bestanden",
TRUE, "Sehr gut bestanden")</f>
        <v>Bestanden</v>
      </c>
      <c r="S437" s="3">
        <v>9</v>
      </c>
      <c r="T437" s="3" t="str" cm="1">
        <f t="array" ref="T437">_xlfn.IFS(Trainingsabschluss[[#This Row],[Training_Bewertung]]&gt;=9, "Promotor", Trainingsabschluss[[#This Row],[Training_Bewertung]]
&lt;=6, "Detraktor",
TRUE, "Passiv")</f>
        <v>Promotor</v>
      </c>
      <c r="W437"/>
    </row>
    <row r="438" spans="1:23" x14ac:dyDescent="0.3">
      <c r="A438" s="13" t="s">
        <v>316</v>
      </c>
      <c r="B438" s="2">
        <v>4</v>
      </c>
      <c r="C438" s="2">
        <v>4.5</v>
      </c>
      <c r="D438" s="2">
        <v>3.5</v>
      </c>
      <c r="E438" s="2">
        <v>1.5</v>
      </c>
      <c r="F438" s="2">
        <v>1</v>
      </c>
      <c r="G438" s="2" t="str">
        <f>_xlfn.XLOOKUP(Trainingsabschluss[[#This Row],[UserID]], Teilnehmende[UserID], Teilnehmende[Branche], "UserID nicht gefunden")</f>
        <v>Finanzdienstleistung</v>
      </c>
      <c r="H438" t="str">
        <f>_xlfn.XLOOKUP(Trainingsabschluss[[#This Row],[UserID]], Teilnehmende[UserID], Teilnehmende[Bildungsabschluss], "UserID nicht gefunden")</f>
        <v>Master</v>
      </c>
      <c r="I438" s="3">
        <f>_xlfn.XLOOKUP(Trainingsabschluss[[#This Row],[UserID]], Teilnehmende[UserID], Teilnehmende[Berufserfahrung])</f>
        <v>7</v>
      </c>
      <c r="J438" s="3" t="str" cm="1">
        <f t="array" ref="J43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38" s="11">
        <f>Trainingsabschluss[[#This Row],[Quiz_Frage1_Punkte]]/Max_Frage1</f>
        <v>0.8</v>
      </c>
      <c r="L438" s="11">
        <f>Trainingsabschluss[[#This Row],[Quiz_Frage2_Punkte]]/Max_Frage2</f>
        <v>0.9</v>
      </c>
      <c r="M438" s="11">
        <f>Trainingsabschluss[[#This Row],[Quiz_Frage3_Punkte]]/Max_Frage3</f>
        <v>0.7</v>
      </c>
      <c r="N438" s="11">
        <f>Trainingsabschluss[[#This Row],[Quiz_Frage4_Punkte]]/Max_Frage4</f>
        <v>0.375</v>
      </c>
      <c r="O438" s="11">
        <f>Trainingsabschluss[[#This Row],[Quiz_Frage5_Punkte]]/Max_Frage5</f>
        <v>0.33333333333333331</v>
      </c>
      <c r="P438" s="2">
        <f>Trainingsabschluss[[#This Row],[Quiz_Frage1_Punkte]]+Trainingsabschluss[[#This Row],[Quiz_Frage2_Punkte]]+Trainingsabschluss[[#This Row],[Quiz_Frage3_Punkte]]+Trainingsabschluss[[#This Row],[Quiz_Frage4_Punkte]]+Trainingsabschluss[[#This Row],[Quiz_Frage5_Punkte]]</f>
        <v>14.5</v>
      </c>
      <c r="Q438" s="8">
        <f>Trainingsabschluss[[#This Row],[Quizergebnis]]/Max_Quizergebnis</f>
        <v>0.65909090909090906</v>
      </c>
      <c r="R438" t="str" cm="1">
        <f t="array" ref="R438">_xlfn.IFS(Trainingsabschluss[[#This Row],[Quizergebnis_Prozent]]&lt;0.5, "Nicht bestanden",
Trainingsabschluss[[#This Row],[Quizergebnis_Prozent]]&lt;0.65, "Bestanden",
Trainingsabschluss[[#This Row],[Quizergebnis_Prozent]]&lt;0.8, "Gut bestanden",
TRUE, "Sehr gut bestanden")</f>
        <v>Gut bestanden</v>
      </c>
      <c r="S438" s="3">
        <v>8</v>
      </c>
      <c r="T438" s="3" t="str" cm="1">
        <f t="array" ref="T438">_xlfn.IFS(Trainingsabschluss[[#This Row],[Training_Bewertung]]&gt;=9, "Promotor", Trainingsabschluss[[#This Row],[Training_Bewertung]]
&lt;=6, "Detraktor",
TRUE, "Passiv")</f>
        <v>Passiv</v>
      </c>
      <c r="W438"/>
    </row>
    <row r="439" spans="1:23" x14ac:dyDescent="0.3">
      <c r="A439" s="13" t="s">
        <v>334</v>
      </c>
      <c r="B439" s="2">
        <v>5</v>
      </c>
      <c r="C439" s="2">
        <v>4</v>
      </c>
      <c r="D439" s="2">
        <v>2.5</v>
      </c>
      <c r="E439" s="2">
        <v>3</v>
      </c>
      <c r="F439" s="2">
        <v>3</v>
      </c>
      <c r="G439" s="2" t="str">
        <f>_xlfn.XLOOKUP(Trainingsabschluss[[#This Row],[UserID]], Teilnehmende[UserID], Teilnehmende[Branche], "UserID nicht gefunden")</f>
        <v>Gesundheitswesen</v>
      </c>
      <c r="H439" t="str">
        <f>_xlfn.XLOOKUP(Trainingsabschluss[[#This Row],[UserID]], Teilnehmende[UserID], Teilnehmende[Bildungsabschluss], "UserID nicht gefunden")</f>
        <v>Master</v>
      </c>
      <c r="I439" s="3">
        <f>_xlfn.XLOOKUP(Trainingsabschluss[[#This Row],[UserID]], Teilnehmende[UserID], Teilnehmende[Berufserfahrung])</f>
        <v>9</v>
      </c>
      <c r="J439" s="3" t="str" cm="1">
        <f t="array" ref="J43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39" s="11">
        <f>Trainingsabschluss[[#This Row],[Quiz_Frage1_Punkte]]/Max_Frage1</f>
        <v>1</v>
      </c>
      <c r="L439" s="11">
        <f>Trainingsabschluss[[#This Row],[Quiz_Frage2_Punkte]]/Max_Frage2</f>
        <v>0.8</v>
      </c>
      <c r="M439" s="11">
        <f>Trainingsabschluss[[#This Row],[Quiz_Frage3_Punkte]]/Max_Frage3</f>
        <v>0.5</v>
      </c>
      <c r="N439" s="11">
        <f>Trainingsabschluss[[#This Row],[Quiz_Frage4_Punkte]]/Max_Frage4</f>
        <v>0.75</v>
      </c>
      <c r="O439" s="11">
        <f>Trainingsabschluss[[#This Row],[Quiz_Frage5_Punkte]]/Max_Frage5</f>
        <v>1</v>
      </c>
      <c r="P439" s="2">
        <f>Trainingsabschluss[[#This Row],[Quiz_Frage1_Punkte]]+Trainingsabschluss[[#This Row],[Quiz_Frage2_Punkte]]+Trainingsabschluss[[#This Row],[Quiz_Frage3_Punkte]]+Trainingsabschluss[[#This Row],[Quiz_Frage4_Punkte]]+Trainingsabschluss[[#This Row],[Quiz_Frage5_Punkte]]</f>
        <v>17.5</v>
      </c>
      <c r="Q439" s="8">
        <f>Trainingsabschluss[[#This Row],[Quizergebnis]]/Max_Quizergebnis</f>
        <v>0.79545454545454541</v>
      </c>
      <c r="R439" t="str" cm="1">
        <f t="array" ref="R439">_xlfn.IFS(Trainingsabschluss[[#This Row],[Quizergebnis_Prozent]]&lt;0.5, "Nicht bestanden",
Trainingsabschluss[[#This Row],[Quizergebnis_Prozent]]&lt;0.65, "Bestanden",
Trainingsabschluss[[#This Row],[Quizergebnis_Prozent]]&lt;0.8, "Gut bestanden",
TRUE, "Sehr gut bestanden")</f>
        <v>Gut bestanden</v>
      </c>
      <c r="S439" s="3">
        <v>8</v>
      </c>
      <c r="T439" s="3" t="str" cm="1">
        <f t="array" ref="T439">_xlfn.IFS(Trainingsabschluss[[#This Row],[Training_Bewertung]]&gt;=9, "Promotor", Trainingsabschluss[[#This Row],[Training_Bewertung]]
&lt;=6, "Detraktor",
TRUE, "Passiv")</f>
        <v>Passiv</v>
      </c>
      <c r="W439"/>
    </row>
    <row r="440" spans="1:23" x14ac:dyDescent="0.3">
      <c r="A440" s="13" t="s">
        <v>342</v>
      </c>
      <c r="B440" s="2">
        <v>4.5</v>
      </c>
      <c r="C440" s="2">
        <v>5</v>
      </c>
      <c r="D440" s="2">
        <v>1.5</v>
      </c>
      <c r="E440" s="2">
        <v>2.5</v>
      </c>
      <c r="F440" s="2">
        <v>3</v>
      </c>
      <c r="G440" s="2" t="str">
        <f>_xlfn.XLOOKUP(Trainingsabschluss[[#This Row],[UserID]], Teilnehmende[UserID], Teilnehmende[Branche], "UserID nicht gefunden")</f>
        <v>Gesundheitswesen</v>
      </c>
      <c r="H440" t="str">
        <f>_xlfn.XLOOKUP(Trainingsabschluss[[#This Row],[UserID]], Teilnehmende[UserID], Teilnehmende[Bildungsabschluss], "UserID nicht gefunden")</f>
        <v>Master</v>
      </c>
      <c r="I440" s="3">
        <f>_xlfn.XLOOKUP(Trainingsabschluss[[#This Row],[UserID]], Teilnehmende[UserID], Teilnehmende[Berufserfahrung])</f>
        <v>7</v>
      </c>
      <c r="J440" s="3" t="str" cm="1">
        <f t="array" ref="J44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40" s="11">
        <f>Trainingsabschluss[[#This Row],[Quiz_Frage1_Punkte]]/Max_Frage1</f>
        <v>0.9</v>
      </c>
      <c r="L440" s="11">
        <f>Trainingsabschluss[[#This Row],[Quiz_Frage2_Punkte]]/Max_Frage2</f>
        <v>1</v>
      </c>
      <c r="M440" s="11">
        <f>Trainingsabschluss[[#This Row],[Quiz_Frage3_Punkte]]/Max_Frage3</f>
        <v>0.3</v>
      </c>
      <c r="N440" s="11">
        <f>Trainingsabschluss[[#This Row],[Quiz_Frage4_Punkte]]/Max_Frage4</f>
        <v>0.625</v>
      </c>
      <c r="O440" s="11">
        <f>Trainingsabschluss[[#This Row],[Quiz_Frage5_Punkte]]/Max_Frage5</f>
        <v>1</v>
      </c>
      <c r="P440" s="2">
        <f>Trainingsabschluss[[#This Row],[Quiz_Frage1_Punkte]]+Trainingsabschluss[[#This Row],[Quiz_Frage2_Punkte]]+Trainingsabschluss[[#This Row],[Quiz_Frage3_Punkte]]+Trainingsabschluss[[#This Row],[Quiz_Frage4_Punkte]]+Trainingsabschluss[[#This Row],[Quiz_Frage5_Punkte]]</f>
        <v>16.5</v>
      </c>
      <c r="Q440" s="8">
        <f>Trainingsabschluss[[#This Row],[Quizergebnis]]/Max_Quizergebnis</f>
        <v>0.75</v>
      </c>
      <c r="R440" t="str" cm="1">
        <f t="array" ref="R440">_xlfn.IFS(Trainingsabschluss[[#This Row],[Quizergebnis_Prozent]]&lt;0.5, "Nicht bestanden",
Trainingsabschluss[[#This Row],[Quizergebnis_Prozent]]&lt;0.65, "Bestanden",
Trainingsabschluss[[#This Row],[Quizergebnis_Prozent]]&lt;0.8, "Gut bestanden",
TRUE, "Sehr gut bestanden")</f>
        <v>Gut bestanden</v>
      </c>
      <c r="S440" s="3">
        <v>8</v>
      </c>
      <c r="T440" s="3" t="str" cm="1">
        <f t="array" ref="T440">_xlfn.IFS(Trainingsabschluss[[#This Row],[Training_Bewertung]]&gt;=9, "Promotor", Trainingsabschluss[[#This Row],[Training_Bewertung]]
&lt;=6, "Detraktor",
TRUE, "Passiv")</f>
        <v>Passiv</v>
      </c>
      <c r="W440"/>
    </row>
    <row r="441" spans="1:23" x14ac:dyDescent="0.3">
      <c r="A441" s="13" t="s">
        <v>350</v>
      </c>
      <c r="B441" s="2">
        <v>4.5</v>
      </c>
      <c r="C441" s="2">
        <v>1.5</v>
      </c>
      <c r="D441" s="2">
        <v>2</v>
      </c>
      <c r="E441" s="2">
        <v>3.5</v>
      </c>
      <c r="F441" s="2">
        <v>1.5</v>
      </c>
      <c r="G441" s="2" t="str">
        <f>_xlfn.XLOOKUP(Trainingsabschluss[[#This Row],[UserID]], Teilnehmende[UserID], Teilnehmende[Branche], "UserID nicht gefunden")</f>
        <v>Immobilien</v>
      </c>
      <c r="H441" t="str">
        <f>_xlfn.XLOOKUP(Trainingsabschluss[[#This Row],[UserID]], Teilnehmende[UserID], Teilnehmende[Bildungsabschluss], "UserID nicht gefunden")</f>
        <v>Master</v>
      </c>
      <c r="I441" s="3">
        <f>_xlfn.XLOOKUP(Trainingsabschluss[[#This Row],[UserID]], Teilnehmende[UserID], Teilnehmende[Berufserfahrung])</f>
        <v>10</v>
      </c>
      <c r="J441" s="3" t="str" cm="1">
        <f t="array" ref="J44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41" s="11">
        <f>Trainingsabschluss[[#This Row],[Quiz_Frage1_Punkte]]/Max_Frage1</f>
        <v>0.9</v>
      </c>
      <c r="L441" s="11">
        <f>Trainingsabschluss[[#This Row],[Quiz_Frage2_Punkte]]/Max_Frage2</f>
        <v>0.3</v>
      </c>
      <c r="M441" s="11">
        <f>Trainingsabschluss[[#This Row],[Quiz_Frage3_Punkte]]/Max_Frage3</f>
        <v>0.4</v>
      </c>
      <c r="N441" s="11">
        <f>Trainingsabschluss[[#This Row],[Quiz_Frage4_Punkte]]/Max_Frage4</f>
        <v>0.875</v>
      </c>
      <c r="O441" s="11">
        <f>Trainingsabschluss[[#This Row],[Quiz_Frage5_Punkte]]/Max_Frage5</f>
        <v>0.5</v>
      </c>
      <c r="P441" s="2">
        <f>Trainingsabschluss[[#This Row],[Quiz_Frage1_Punkte]]+Trainingsabschluss[[#This Row],[Quiz_Frage2_Punkte]]+Trainingsabschluss[[#This Row],[Quiz_Frage3_Punkte]]+Trainingsabschluss[[#This Row],[Quiz_Frage4_Punkte]]+Trainingsabschluss[[#This Row],[Quiz_Frage5_Punkte]]</f>
        <v>13</v>
      </c>
      <c r="Q441" s="8">
        <f>Trainingsabschluss[[#This Row],[Quizergebnis]]/Max_Quizergebnis</f>
        <v>0.59090909090909094</v>
      </c>
      <c r="R441" t="str" cm="1">
        <f t="array" ref="R441">_xlfn.IFS(Trainingsabschluss[[#This Row],[Quizergebnis_Prozent]]&lt;0.5, "Nicht bestanden",
Trainingsabschluss[[#This Row],[Quizergebnis_Prozent]]&lt;0.65, "Bestanden",
Trainingsabschluss[[#This Row],[Quizergebnis_Prozent]]&lt;0.8, "Gut bestanden",
TRUE, "Sehr gut bestanden")</f>
        <v>Bestanden</v>
      </c>
      <c r="S441" s="3">
        <v>8</v>
      </c>
      <c r="T441" s="3" t="str" cm="1">
        <f t="array" ref="T441">_xlfn.IFS(Trainingsabschluss[[#This Row],[Training_Bewertung]]&gt;=9, "Promotor", Trainingsabschluss[[#This Row],[Training_Bewertung]]
&lt;=6, "Detraktor",
TRUE, "Passiv")</f>
        <v>Passiv</v>
      </c>
      <c r="W441"/>
    </row>
    <row r="442" spans="1:23" x14ac:dyDescent="0.3">
      <c r="A442" s="13" t="s">
        <v>351</v>
      </c>
      <c r="B442" s="2">
        <v>5</v>
      </c>
      <c r="C442" s="2">
        <v>5</v>
      </c>
      <c r="D442" s="2">
        <v>0</v>
      </c>
      <c r="E442" s="2">
        <v>4</v>
      </c>
      <c r="F442" s="2">
        <v>2</v>
      </c>
      <c r="G442" s="2" t="str">
        <f>_xlfn.XLOOKUP(Trainingsabschluss[[#This Row],[UserID]], Teilnehmende[UserID], Teilnehmende[Branche], "UserID nicht gefunden")</f>
        <v>Immobilien</v>
      </c>
      <c r="H442" t="str">
        <f>_xlfn.XLOOKUP(Trainingsabschluss[[#This Row],[UserID]], Teilnehmende[UserID], Teilnehmende[Bildungsabschluss], "UserID nicht gefunden")</f>
        <v>Master</v>
      </c>
      <c r="I442" s="3">
        <f>_xlfn.XLOOKUP(Trainingsabschluss[[#This Row],[UserID]], Teilnehmende[UserID], Teilnehmende[Berufserfahrung])</f>
        <v>7</v>
      </c>
      <c r="J442" s="3" t="str" cm="1">
        <f t="array" ref="J44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42" s="11">
        <f>Trainingsabschluss[[#This Row],[Quiz_Frage1_Punkte]]/Max_Frage1</f>
        <v>1</v>
      </c>
      <c r="L442" s="11">
        <f>Trainingsabschluss[[#This Row],[Quiz_Frage2_Punkte]]/Max_Frage2</f>
        <v>1</v>
      </c>
      <c r="M442" s="11">
        <f>Trainingsabschluss[[#This Row],[Quiz_Frage3_Punkte]]/Max_Frage3</f>
        <v>0</v>
      </c>
      <c r="N442" s="11">
        <f>Trainingsabschluss[[#This Row],[Quiz_Frage4_Punkte]]/Max_Frage4</f>
        <v>1</v>
      </c>
      <c r="O442" s="11">
        <f>Trainingsabschluss[[#This Row],[Quiz_Frage5_Punkte]]/Max_Frage5</f>
        <v>0.66666666666666663</v>
      </c>
      <c r="P442" s="2">
        <f>Trainingsabschluss[[#This Row],[Quiz_Frage1_Punkte]]+Trainingsabschluss[[#This Row],[Quiz_Frage2_Punkte]]+Trainingsabschluss[[#This Row],[Quiz_Frage3_Punkte]]+Trainingsabschluss[[#This Row],[Quiz_Frage4_Punkte]]+Trainingsabschluss[[#This Row],[Quiz_Frage5_Punkte]]</f>
        <v>16</v>
      </c>
      <c r="Q442" s="8">
        <f>Trainingsabschluss[[#This Row],[Quizergebnis]]/Max_Quizergebnis</f>
        <v>0.72727272727272729</v>
      </c>
      <c r="R442" t="str" cm="1">
        <f t="array" ref="R442">_xlfn.IFS(Trainingsabschluss[[#This Row],[Quizergebnis_Prozent]]&lt;0.5, "Nicht bestanden",
Trainingsabschluss[[#This Row],[Quizergebnis_Prozent]]&lt;0.65, "Bestanden",
Trainingsabschluss[[#This Row],[Quizergebnis_Prozent]]&lt;0.8, "Gut bestanden",
TRUE, "Sehr gut bestanden")</f>
        <v>Gut bestanden</v>
      </c>
      <c r="S442" s="3">
        <v>8</v>
      </c>
      <c r="T442" s="3" t="str" cm="1">
        <f t="array" ref="T442">_xlfn.IFS(Trainingsabschluss[[#This Row],[Training_Bewertung]]&gt;=9, "Promotor", Trainingsabschluss[[#This Row],[Training_Bewertung]]
&lt;=6, "Detraktor",
TRUE, "Passiv")</f>
        <v>Passiv</v>
      </c>
      <c r="W442"/>
    </row>
    <row r="443" spans="1:23" x14ac:dyDescent="0.3">
      <c r="A443" s="13" t="s">
        <v>353</v>
      </c>
      <c r="B443" s="2">
        <v>4.5</v>
      </c>
      <c r="C443" s="2">
        <v>2.5</v>
      </c>
      <c r="D443" s="2">
        <v>2.5</v>
      </c>
      <c r="E443" s="2">
        <v>4</v>
      </c>
      <c r="F443" s="2">
        <v>2.5</v>
      </c>
      <c r="G443" s="2" t="str">
        <f>_xlfn.XLOOKUP(Trainingsabschluss[[#This Row],[UserID]], Teilnehmende[UserID], Teilnehmende[Branche], "UserID nicht gefunden")</f>
        <v>Immobilien</v>
      </c>
      <c r="H443" t="str">
        <f>_xlfn.XLOOKUP(Trainingsabschluss[[#This Row],[UserID]], Teilnehmende[UserID], Teilnehmende[Bildungsabschluss], "UserID nicht gefunden")</f>
        <v>Master</v>
      </c>
      <c r="I443" s="3">
        <f>_xlfn.XLOOKUP(Trainingsabschluss[[#This Row],[UserID]], Teilnehmende[UserID], Teilnehmende[Berufserfahrung])</f>
        <v>6</v>
      </c>
      <c r="J443" s="3" t="str" cm="1">
        <f t="array" ref="J44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43" s="11">
        <f>Trainingsabschluss[[#This Row],[Quiz_Frage1_Punkte]]/Max_Frage1</f>
        <v>0.9</v>
      </c>
      <c r="L443" s="11">
        <f>Trainingsabschluss[[#This Row],[Quiz_Frage2_Punkte]]/Max_Frage2</f>
        <v>0.5</v>
      </c>
      <c r="M443" s="11">
        <f>Trainingsabschluss[[#This Row],[Quiz_Frage3_Punkte]]/Max_Frage3</f>
        <v>0.5</v>
      </c>
      <c r="N443" s="11">
        <f>Trainingsabschluss[[#This Row],[Quiz_Frage4_Punkte]]/Max_Frage4</f>
        <v>1</v>
      </c>
      <c r="O443" s="11">
        <f>Trainingsabschluss[[#This Row],[Quiz_Frage5_Punkte]]/Max_Frage5</f>
        <v>0.83333333333333337</v>
      </c>
      <c r="P443" s="2">
        <f>Trainingsabschluss[[#This Row],[Quiz_Frage1_Punkte]]+Trainingsabschluss[[#This Row],[Quiz_Frage2_Punkte]]+Trainingsabschluss[[#This Row],[Quiz_Frage3_Punkte]]+Trainingsabschluss[[#This Row],[Quiz_Frage4_Punkte]]+Trainingsabschluss[[#This Row],[Quiz_Frage5_Punkte]]</f>
        <v>16</v>
      </c>
      <c r="Q443" s="8">
        <f>Trainingsabschluss[[#This Row],[Quizergebnis]]/Max_Quizergebnis</f>
        <v>0.72727272727272729</v>
      </c>
      <c r="R443" t="str" cm="1">
        <f t="array" ref="R443">_xlfn.IFS(Trainingsabschluss[[#This Row],[Quizergebnis_Prozent]]&lt;0.5, "Nicht bestanden",
Trainingsabschluss[[#This Row],[Quizergebnis_Prozent]]&lt;0.65, "Bestanden",
Trainingsabschluss[[#This Row],[Quizergebnis_Prozent]]&lt;0.8, "Gut bestanden",
TRUE, "Sehr gut bestanden")</f>
        <v>Gut bestanden</v>
      </c>
      <c r="S443" s="3">
        <v>8</v>
      </c>
      <c r="T443" s="3" t="str" cm="1">
        <f t="array" ref="T443">_xlfn.IFS(Trainingsabschluss[[#This Row],[Training_Bewertung]]&gt;=9, "Promotor", Trainingsabschluss[[#This Row],[Training_Bewertung]]
&lt;=6, "Detraktor",
TRUE, "Passiv")</f>
        <v>Passiv</v>
      </c>
      <c r="W443"/>
    </row>
    <row r="444" spans="1:23" x14ac:dyDescent="0.3">
      <c r="A444" s="13" t="s">
        <v>358</v>
      </c>
      <c r="B444" s="2">
        <v>5</v>
      </c>
      <c r="C444" s="2">
        <v>4</v>
      </c>
      <c r="D444" s="2">
        <v>3</v>
      </c>
      <c r="E444" s="2">
        <v>3.5</v>
      </c>
      <c r="F444" s="2">
        <v>0</v>
      </c>
      <c r="G444" s="2" t="str">
        <f>_xlfn.XLOOKUP(Trainingsabschluss[[#This Row],[UserID]], Teilnehmende[UserID], Teilnehmende[Branche], "UserID nicht gefunden")</f>
        <v>Immobilien</v>
      </c>
      <c r="H444" t="str">
        <f>_xlfn.XLOOKUP(Trainingsabschluss[[#This Row],[UserID]], Teilnehmende[UserID], Teilnehmende[Bildungsabschluss], "UserID nicht gefunden")</f>
        <v>Master</v>
      </c>
      <c r="I444" s="3">
        <f>_xlfn.XLOOKUP(Trainingsabschluss[[#This Row],[UserID]], Teilnehmende[UserID], Teilnehmende[Berufserfahrung])</f>
        <v>6</v>
      </c>
      <c r="J444" s="3" t="str" cm="1">
        <f t="array" ref="J44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44" s="11">
        <f>Trainingsabschluss[[#This Row],[Quiz_Frage1_Punkte]]/Max_Frage1</f>
        <v>1</v>
      </c>
      <c r="L444" s="11">
        <f>Trainingsabschluss[[#This Row],[Quiz_Frage2_Punkte]]/Max_Frage2</f>
        <v>0.8</v>
      </c>
      <c r="M444" s="11">
        <f>Trainingsabschluss[[#This Row],[Quiz_Frage3_Punkte]]/Max_Frage3</f>
        <v>0.6</v>
      </c>
      <c r="N444" s="11">
        <f>Trainingsabschluss[[#This Row],[Quiz_Frage4_Punkte]]/Max_Frage4</f>
        <v>0.875</v>
      </c>
      <c r="O444" s="11">
        <f>Trainingsabschluss[[#This Row],[Quiz_Frage5_Punkte]]/Max_Frage5</f>
        <v>0</v>
      </c>
      <c r="P444" s="2">
        <f>Trainingsabschluss[[#This Row],[Quiz_Frage1_Punkte]]+Trainingsabschluss[[#This Row],[Quiz_Frage2_Punkte]]+Trainingsabschluss[[#This Row],[Quiz_Frage3_Punkte]]+Trainingsabschluss[[#This Row],[Quiz_Frage4_Punkte]]+Trainingsabschluss[[#This Row],[Quiz_Frage5_Punkte]]</f>
        <v>15.5</v>
      </c>
      <c r="Q444" s="8">
        <f>Trainingsabschluss[[#This Row],[Quizergebnis]]/Max_Quizergebnis</f>
        <v>0.70454545454545459</v>
      </c>
      <c r="R444" t="str" cm="1">
        <f t="array" ref="R444">_xlfn.IFS(Trainingsabschluss[[#This Row],[Quizergebnis_Prozent]]&lt;0.5, "Nicht bestanden",
Trainingsabschluss[[#This Row],[Quizergebnis_Prozent]]&lt;0.65, "Bestanden",
Trainingsabschluss[[#This Row],[Quizergebnis_Prozent]]&lt;0.8, "Gut bestanden",
TRUE, "Sehr gut bestanden")</f>
        <v>Gut bestanden</v>
      </c>
      <c r="S444" s="3">
        <v>8</v>
      </c>
      <c r="T444" s="3" t="str" cm="1">
        <f t="array" ref="T444">_xlfn.IFS(Trainingsabschluss[[#This Row],[Training_Bewertung]]&gt;=9, "Promotor", Trainingsabschluss[[#This Row],[Training_Bewertung]]
&lt;=6, "Detraktor",
TRUE, "Passiv")</f>
        <v>Passiv</v>
      </c>
      <c r="W444"/>
    </row>
    <row r="445" spans="1:23" x14ac:dyDescent="0.3">
      <c r="A445" s="13" t="s">
        <v>361</v>
      </c>
      <c r="B445" s="2">
        <v>4.5</v>
      </c>
      <c r="C445" s="2">
        <v>4</v>
      </c>
      <c r="D445" s="2">
        <v>3.5</v>
      </c>
      <c r="E445" s="2">
        <v>3</v>
      </c>
      <c r="F445" s="2">
        <v>3</v>
      </c>
      <c r="G445" s="2" t="str">
        <f>_xlfn.XLOOKUP(Trainingsabschluss[[#This Row],[UserID]], Teilnehmende[UserID], Teilnehmende[Branche], "UserID nicht gefunden")</f>
        <v>Immobilien</v>
      </c>
      <c r="H445" t="str">
        <f>_xlfn.XLOOKUP(Trainingsabschluss[[#This Row],[UserID]], Teilnehmende[UserID], Teilnehmende[Bildungsabschluss], "UserID nicht gefunden")</f>
        <v>Master</v>
      </c>
      <c r="I445" s="3">
        <f>_xlfn.XLOOKUP(Trainingsabschluss[[#This Row],[UserID]], Teilnehmende[UserID], Teilnehmende[Berufserfahrung])</f>
        <v>9</v>
      </c>
      <c r="J445" s="3" t="str" cm="1">
        <f t="array" ref="J44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45" s="11">
        <f>Trainingsabschluss[[#This Row],[Quiz_Frage1_Punkte]]/Max_Frage1</f>
        <v>0.9</v>
      </c>
      <c r="L445" s="11">
        <f>Trainingsabschluss[[#This Row],[Quiz_Frage2_Punkte]]/Max_Frage2</f>
        <v>0.8</v>
      </c>
      <c r="M445" s="11">
        <f>Trainingsabschluss[[#This Row],[Quiz_Frage3_Punkte]]/Max_Frage3</f>
        <v>0.7</v>
      </c>
      <c r="N445" s="11">
        <f>Trainingsabschluss[[#This Row],[Quiz_Frage4_Punkte]]/Max_Frage4</f>
        <v>0.75</v>
      </c>
      <c r="O445" s="11">
        <f>Trainingsabschluss[[#This Row],[Quiz_Frage5_Punkte]]/Max_Frage5</f>
        <v>1</v>
      </c>
      <c r="P445" s="2">
        <f>Trainingsabschluss[[#This Row],[Quiz_Frage1_Punkte]]+Trainingsabschluss[[#This Row],[Quiz_Frage2_Punkte]]+Trainingsabschluss[[#This Row],[Quiz_Frage3_Punkte]]+Trainingsabschluss[[#This Row],[Quiz_Frage4_Punkte]]+Trainingsabschluss[[#This Row],[Quiz_Frage5_Punkte]]</f>
        <v>18</v>
      </c>
      <c r="Q445" s="8">
        <f>Trainingsabschluss[[#This Row],[Quizergebnis]]/Max_Quizergebnis</f>
        <v>0.81818181818181823</v>
      </c>
      <c r="R445" t="str" cm="1">
        <f t="array" ref="R445">_xlfn.IFS(Trainingsabschluss[[#This Row],[Quizergebnis_Prozent]]&lt;0.5, "Nicht bestanden",
Trainingsabschluss[[#This Row],[Quizergebnis_Prozent]]&lt;0.65, "Bestanden",
Trainingsabschluss[[#This Row],[Quizergebnis_Prozent]]&lt;0.8, "Gut bestanden",
TRUE, "Sehr gut bestanden")</f>
        <v>Sehr gut bestanden</v>
      </c>
      <c r="S445" s="3">
        <v>9</v>
      </c>
      <c r="T445" s="3" t="str" cm="1">
        <f t="array" ref="T445">_xlfn.IFS(Trainingsabschluss[[#This Row],[Training_Bewertung]]&gt;=9, "Promotor", Trainingsabschluss[[#This Row],[Training_Bewertung]]
&lt;=6, "Detraktor",
TRUE, "Passiv")</f>
        <v>Promotor</v>
      </c>
      <c r="W445"/>
    </row>
    <row r="446" spans="1:23" x14ac:dyDescent="0.3">
      <c r="A446" s="13" t="s">
        <v>139</v>
      </c>
      <c r="B446" s="2">
        <v>4.5</v>
      </c>
      <c r="C446" s="2">
        <v>5</v>
      </c>
      <c r="D446" s="2">
        <v>3.5</v>
      </c>
      <c r="E446" s="2">
        <v>4</v>
      </c>
      <c r="F446" s="2">
        <v>3</v>
      </c>
      <c r="G446" s="2" t="str">
        <f>_xlfn.XLOOKUP(Trainingsabschluss[[#This Row],[UserID]], Teilnehmende[UserID], Teilnehmende[Branche], "UserID nicht gefunden")</f>
        <v>Bauwesen</v>
      </c>
      <c r="H446" t="str">
        <f>_xlfn.XLOOKUP(Trainingsabschluss[[#This Row],[UserID]], Teilnehmende[UserID], Teilnehmende[Bildungsabschluss], "UserID nicht gefunden")</f>
        <v>Master</v>
      </c>
      <c r="I446" s="3">
        <f>_xlfn.XLOOKUP(Trainingsabschluss[[#This Row],[UserID]], Teilnehmende[UserID], Teilnehmende[Berufserfahrung])</f>
        <v>11</v>
      </c>
      <c r="J446" s="3" t="str" cm="1">
        <f t="array" ref="J44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46" s="11">
        <f>Trainingsabschluss[[#This Row],[Quiz_Frage1_Punkte]]/Max_Frage1</f>
        <v>0.9</v>
      </c>
      <c r="L446" s="11">
        <f>Trainingsabschluss[[#This Row],[Quiz_Frage2_Punkte]]/Max_Frage2</f>
        <v>1</v>
      </c>
      <c r="M446" s="11">
        <f>Trainingsabschluss[[#This Row],[Quiz_Frage3_Punkte]]/Max_Frage3</f>
        <v>0.7</v>
      </c>
      <c r="N446" s="11">
        <f>Trainingsabschluss[[#This Row],[Quiz_Frage4_Punkte]]/Max_Frage4</f>
        <v>1</v>
      </c>
      <c r="O446" s="11">
        <f>Trainingsabschluss[[#This Row],[Quiz_Frage5_Punkte]]/Max_Frage5</f>
        <v>1</v>
      </c>
      <c r="P446" s="2">
        <f>Trainingsabschluss[[#This Row],[Quiz_Frage1_Punkte]]+Trainingsabschluss[[#This Row],[Quiz_Frage2_Punkte]]+Trainingsabschluss[[#This Row],[Quiz_Frage3_Punkte]]+Trainingsabschluss[[#This Row],[Quiz_Frage4_Punkte]]+Trainingsabschluss[[#This Row],[Quiz_Frage5_Punkte]]</f>
        <v>20</v>
      </c>
      <c r="Q446" s="8">
        <f>Trainingsabschluss[[#This Row],[Quizergebnis]]/Max_Quizergebnis</f>
        <v>0.90909090909090906</v>
      </c>
      <c r="R446" t="str" cm="1">
        <f t="array" ref="R446">_xlfn.IFS(Trainingsabschluss[[#This Row],[Quizergebnis_Prozent]]&lt;0.5, "Nicht bestanden",
Trainingsabschluss[[#This Row],[Quizergebnis_Prozent]]&lt;0.65, "Bestanden",
Trainingsabschluss[[#This Row],[Quizergebnis_Prozent]]&lt;0.8, "Gut bestanden",
TRUE, "Sehr gut bestanden")</f>
        <v>Sehr gut bestanden</v>
      </c>
      <c r="S446" s="3">
        <v>9</v>
      </c>
      <c r="T446" s="3" t="str" cm="1">
        <f t="array" ref="T446">_xlfn.IFS(Trainingsabschluss[[#This Row],[Training_Bewertung]]&gt;=9, "Promotor", Trainingsabschluss[[#This Row],[Training_Bewertung]]
&lt;=6, "Detraktor",
TRUE, "Passiv")</f>
        <v>Promotor</v>
      </c>
      <c r="W446"/>
    </row>
    <row r="447" spans="1:23" x14ac:dyDescent="0.3">
      <c r="A447" s="13" t="s">
        <v>142</v>
      </c>
      <c r="B447" s="2">
        <v>5</v>
      </c>
      <c r="C447" s="2">
        <v>3.5</v>
      </c>
      <c r="D447" s="2">
        <v>0.5</v>
      </c>
      <c r="E447" s="2">
        <v>4</v>
      </c>
      <c r="F447" s="2">
        <v>1</v>
      </c>
      <c r="G447" s="2" t="str">
        <f>_xlfn.XLOOKUP(Trainingsabschluss[[#This Row],[UserID]], Teilnehmende[UserID], Teilnehmende[Branche], "UserID nicht gefunden")</f>
        <v>Bauwesen</v>
      </c>
      <c r="H447" t="str">
        <f>_xlfn.XLOOKUP(Trainingsabschluss[[#This Row],[UserID]], Teilnehmende[UserID], Teilnehmende[Bildungsabschluss], "UserID nicht gefunden")</f>
        <v>Master</v>
      </c>
      <c r="I447" s="3">
        <f>_xlfn.XLOOKUP(Trainingsabschluss[[#This Row],[UserID]], Teilnehmende[UserID], Teilnehmende[Berufserfahrung])</f>
        <v>4</v>
      </c>
      <c r="J447" s="3" t="str" cm="1">
        <f t="array" ref="J447">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47" s="11">
        <f>Trainingsabschluss[[#This Row],[Quiz_Frage1_Punkte]]/Max_Frage1</f>
        <v>1</v>
      </c>
      <c r="L447" s="11">
        <f>Trainingsabschluss[[#This Row],[Quiz_Frage2_Punkte]]/Max_Frage2</f>
        <v>0.7</v>
      </c>
      <c r="M447" s="11">
        <f>Trainingsabschluss[[#This Row],[Quiz_Frage3_Punkte]]/Max_Frage3</f>
        <v>0.1</v>
      </c>
      <c r="N447" s="11">
        <f>Trainingsabschluss[[#This Row],[Quiz_Frage4_Punkte]]/Max_Frage4</f>
        <v>1</v>
      </c>
      <c r="O447" s="11">
        <f>Trainingsabschluss[[#This Row],[Quiz_Frage5_Punkte]]/Max_Frage5</f>
        <v>0.33333333333333331</v>
      </c>
      <c r="P447" s="2">
        <f>Trainingsabschluss[[#This Row],[Quiz_Frage1_Punkte]]+Trainingsabschluss[[#This Row],[Quiz_Frage2_Punkte]]+Trainingsabschluss[[#This Row],[Quiz_Frage3_Punkte]]+Trainingsabschluss[[#This Row],[Quiz_Frage4_Punkte]]+Trainingsabschluss[[#This Row],[Quiz_Frage5_Punkte]]</f>
        <v>14</v>
      </c>
      <c r="Q447" s="8">
        <f>Trainingsabschluss[[#This Row],[Quizergebnis]]/Max_Quizergebnis</f>
        <v>0.63636363636363635</v>
      </c>
      <c r="R447" t="str" cm="1">
        <f t="array" ref="R447">_xlfn.IFS(Trainingsabschluss[[#This Row],[Quizergebnis_Prozent]]&lt;0.5, "Nicht bestanden",
Trainingsabschluss[[#This Row],[Quizergebnis_Prozent]]&lt;0.65, "Bestanden",
Trainingsabschluss[[#This Row],[Quizergebnis_Prozent]]&lt;0.8, "Gut bestanden",
TRUE, "Sehr gut bestanden")</f>
        <v>Bestanden</v>
      </c>
      <c r="S447" s="3">
        <v>9</v>
      </c>
      <c r="T447" s="3" t="str" cm="1">
        <f t="array" ref="T447">_xlfn.IFS(Trainingsabschluss[[#This Row],[Training_Bewertung]]&gt;=9, "Promotor", Trainingsabschluss[[#This Row],[Training_Bewertung]]
&lt;=6, "Detraktor",
TRUE, "Passiv")</f>
        <v>Promotor</v>
      </c>
      <c r="W447"/>
    </row>
    <row r="448" spans="1:23" x14ac:dyDescent="0.3">
      <c r="A448" s="13" t="s">
        <v>144</v>
      </c>
      <c r="B448" s="2">
        <v>5</v>
      </c>
      <c r="C448" s="2">
        <v>3</v>
      </c>
      <c r="D448" s="2">
        <v>2.5</v>
      </c>
      <c r="E448" s="2">
        <v>2</v>
      </c>
      <c r="F448" s="2">
        <v>0.5</v>
      </c>
      <c r="G448" s="2" t="str">
        <f>_xlfn.XLOOKUP(Trainingsabschluss[[#This Row],[UserID]], Teilnehmende[UserID], Teilnehmende[Branche], "UserID nicht gefunden")</f>
        <v>Bauwesen</v>
      </c>
      <c r="H448" t="str">
        <f>_xlfn.XLOOKUP(Trainingsabschluss[[#This Row],[UserID]], Teilnehmende[UserID], Teilnehmende[Bildungsabschluss], "UserID nicht gefunden")</f>
        <v>Master</v>
      </c>
      <c r="I448" s="3">
        <f>_xlfn.XLOOKUP(Trainingsabschluss[[#This Row],[UserID]], Teilnehmende[UserID], Teilnehmende[Berufserfahrung])</f>
        <v>9</v>
      </c>
      <c r="J448" s="3" t="str" cm="1">
        <f t="array" ref="J44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48" s="11">
        <f>Trainingsabschluss[[#This Row],[Quiz_Frage1_Punkte]]/Max_Frage1</f>
        <v>1</v>
      </c>
      <c r="L448" s="11">
        <f>Trainingsabschluss[[#This Row],[Quiz_Frage2_Punkte]]/Max_Frage2</f>
        <v>0.6</v>
      </c>
      <c r="M448" s="11">
        <f>Trainingsabschluss[[#This Row],[Quiz_Frage3_Punkte]]/Max_Frage3</f>
        <v>0.5</v>
      </c>
      <c r="N448" s="11">
        <f>Trainingsabschluss[[#This Row],[Quiz_Frage4_Punkte]]/Max_Frage4</f>
        <v>0.5</v>
      </c>
      <c r="O448" s="11">
        <f>Trainingsabschluss[[#This Row],[Quiz_Frage5_Punkte]]/Max_Frage5</f>
        <v>0.16666666666666666</v>
      </c>
      <c r="P448" s="2">
        <f>Trainingsabschluss[[#This Row],[Quiz_Frage1_Punkte]]+Trainingsabschluss[[#This Row],[Quiz_Frage2_Punkte]]+Trainingsabschluss[[#This Row],[Quiz_Frage3_Punkte]]+Trainingsabschluss[[#This Row],[Quiz_Frage4_Punkte]]+Trainingsabschluss[[#This Row],[Quiz_Frage5_Punkte]]</f>
        <v>13</v>
      </c>
      <c r="Q448" s="8">
        <f>Trainingsabschluss[[#This Row],[Quizergebnis]]/Max_Quizergebnis</f>
        <v>0.59090909090909094</v>
      </c>
      <c r="R448" t="str" cm="1">
        <f t="array" ref="R448">_xlfn.IFS(Trainingsabschluss[[#This Row],[Quizergebnis_Prozent]]&lt;0.5, "Nicht bestanden",
Trainingsabschluss[[#This Row],[Quizergebnis_Prozent]]&lt;0.65, "Bestanden",
Trainingsabschluss[[#This Row],[Quizergebnis_Prozent]]&lt;0.8, "Gut bestanden",
TRUE, "Sehr gut bestanden")</f>
        <v>Bestanden</v>
      </c>
      <c r="S448" s="3">
        <v>9</v>
      </c>
      <c r="T448" s="3" t="str" cm="1">
        <f t="array" ref="T448">_xlfn.IFS(Trainingsabschluss[[#This Row],[Training_Bewertung]]&gt;=9, "Promotor", Trainingsabschluss[[#This Row],[Training_Bewertung]]
&lt;=6, "Detraktor",
TRUE, "Passiv")</f>
        <v>Promotor</v>
      </c>
      <c r="W448"/>
    </row>
    <row r="449" spans="1:23" x14ac:dyDescent="0.3">
      <c r="A449" s="13" t="s">
        <v>148</v>
      </c>
      <c r="B449" s="2">
        <v>4.5</v>
      </c>
      <c r="C449" s="2">
        <v>4.5</v>
      </c>
      <c r="D449" s="2">
        <v>1.5</v>
      </c>
      <c r="E449" s="2">
        <v>3</v>
      </c>
      <c r="F449" s="2">
        <v>3</v>
      </c>
      <c r="G449" s="2" t="str">
        <f>_xlfn.XLOOKUP(Trainingsabschluss[[#This Row],[UserID]], Teilnehmende[UserID], Teilnehmende[Branche], "UserID nicht gefunden")</f>
        <v>Bauwesen</v>
      </c>
      <c r="H449" t="str">
        <f>_xlfn.XLOOKUP(Trainingsabschluss[[#This Row],[UserID]], Teilnehmende[UserID], Teilnehmende[Bildungsabschluss], "UserID nicht gefunden")</f>
        <v>Master</v>
      </c>
      <c r="I449" s="3">
        <f>_xlfn.XLOOKUP(Trainingsabschluss[[#This Row],[UserID]], Teilnehmende[UserID], Teilnehmende[Berufserfahrung])</f>
        <v>10</v>
      </c>
      <c r="J449" s="3" t="str" cm="1">
        <f t="array" ref="J449">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49" s="11">
        <f>Trainingsabschluss[[#This Row],[Quiz_Frage1_Punkte]]/Max_Frage1</f>
        <v>0.9</v>
      </c>
      <c r="L449" s="11">
        <f>Trainingsabschluss[[#This Row],[Quiz_Frage2_Punkte]]/Max_Frage2</f>
        <v>0.9</v>
      </c>
      <c r="M449" s="11">
        <f>Trainingsabschluss[[#This Row],[Quiz_Frage3_Punkte]]/Max_Frage3</f>
        <v>0.3</v>
      </c>
      <c r="N449" s="11">
        <f>Trainingsabschluss[[#This Row],[Quiz_Frage4_Punkte]]/Max_Frage4</f>
        <v>0.75</v>
      </c>
      <c r="O449" s="11">
        <f>Trainingsabschluss[[#This Row],[Quiz_Frage5_Punkte]]/Max_Frage5</f>
        <v>1</v>
      </c>
      <c r="P449" s="2">
        <f>Trainingsabschluss[[#This Row],[Quiz_Frage1_Punkte]]+Trainingsabschluss[[#This Row],[Quiz_Frage2_Punkte]]+Trainingsabschluss[[#This Row],[Quiz_Frage3_Punkte]]+Trainingsabschluss[[#This Row],[Quiz_Frage4_Punkte]]+Trainingsabschluss[[#This Row],[Quiz_Frage5_Punkte]]</f>
        <v>16.5</v>
      </c>
      <c r="Q449" s="8">
        <f>Trainingsabschluss[[#This Row],[Quizergebnis]]/Max_Quizergebnis</f>
        <v>0.75</v>
      </c>
      <c r="R449" t="str" cm="1">
        <f t="array" ref="R449">_xlfn.IFS(Trainingsabschluss[[#This Row],[Quizergebnis_Prozent]]&lt;0.5, "Nicht bestanden",
Trainingsabschluss[[#This Row],[Quizergebnis_Prozent]]&lt;0.65, "Bestanden",
Trainingsabschluss[[#This Row],[Quizergebnis_Prozent]]&lt;0.8, "Gut bestanden",
TRUE, "Sehr gut bestanden")</f>
        <v>Gut bestanden</v>
      </c>
      <c r="S449" s="3">
        <v>10</v>
      </c>
      <c r="T449" s="3" t="str" cm="1">
        <f t="array" ref="T449">_xlfn.IFS(Trainingsabschluss[[#This Row],[Training_Bewertung]]&gt;=9, "Promotor", Trainingsabschluss[[#This Row],[Training_Bewertung]]
&lt;=6, "Detraktor",
TRUE, "Passiv")</f>
        <v>Promotor</v>
      </c>
      <c r="W449"/>
    </row>
    <row r="450" spans="1:23" x14ac:dyDescent="0.3">
      <c r="A450" s="13" t="s">
        <v>151</v>
      </c>
      <c r="B450" s="2">
        <v>4</v>
      </c>
      <c r="C450" s="2">
        <v>3</v>
      </c>
      <c r="D450" s="2">
        <v>3</v>
      </c>
      <c r="E450" s="2">
        <v>1</v>
      </c>
      <c r="F450" s="2">
        <v>2</v>
      </c>
      <c r="G450" s="2" t="str">
        <f>_xlfn.XLOOKUP(Trainingsabschluss[[#This Row],[UserID]], Teilnehmende[UserID], Teilnehmende[Branche], "UserID nicht gefunden")</f>
        <v>Bauwesen</v>
      </c>
      <c r="H450" t="str">
        <f>_xlfn.XLOOKUP(Trainingsabschluss[[#This Row],[UserID]], Teilnehmende[UserID], Teilnehmende[Bildungsabschluss], "UserID nicht gefunden")</f>
        <v>Master</v>
      </c>
      <c r="I450" s="3">
        <f>_xlfn.XLOOKUP(Trainingsabschluss[[#This Row],[UserID]], Teilnehmende[UserID], Teilnehmende[Berufserfahrung])</f>
        <v>5</v>
      </c>
      <c r="J450" s="3" t="str" cm="1">
        <f t="array" ref="J45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50" s="11">
        <f>Trainingsabschluss[[#This Row],[Quiz_Frage1_Punkte]]/Max_Frage1</f>
        <v>0.8</v>
      </c>
      <c r="L450" s="11">
        <f>Trainingsabschluss[[#This Row],[Quiz_Frage2_Punkte]]/Max_Frage2</f>
        <v>0.6</v>
      </c>
      <c r="M450" s="11">
        <f>Trainingsabschluss[[#This Row],[Quiz_Frage3_Punkte]]/Max_Frage3</f>
        <v>0.6</v>
      </c>
      <c r="N450" s="11">
        <f>Trainingsabschluss[[#This Row],[Quiz_Frage4_Punkte]]/Max_Frage4</f>
        <v>0.25</v>
      </c>
      <c r="O450" s="11">
        <f>Trainingsabschluss[[#This Row],[Quiz_Frage5_Punkte]]/Max_Frage5</f>
        <v>0.66666666666666663</v>
      </c>
      <c r="P450" s="2">
        <f>Trainingsabschluss[[#This Row],[Quiz_Frage1_Punkte]]+Trainingsabschluss[[#This Row],[Quiz_Frage2_Punkte]]+Trainingsabschluss[[#This Row],[Quiz_Frage3_Punkte]]+Trainingsabschluss[[#This Row],[Quiz_Frage4_Punkte]]+Trainingsabschluss[[#This Row],[Quiz_Frage5_Punkte]]</f>
        <v>13</v>
      </c>
      <c r="Q450" s="8">
        <f>Trainingsabschluss[[#This Row],[Quizergebnis]]/Max_Quizergebnis</f>
        <v>0.59090909090909094</v>
      </c>
      <c r="R450" t="str" cm="1">
        <f t="array" ref="R450">_xlfn.IFS(Trainingsabschluss[[#This Row],[Quizergebnis_Prozent]]&lt;0.5, "Nicht bestanden",
Trainingsabschluss[[#This Row],[Quizergebnis_Prozent]]&lt;0.65, "Bestanden",
Trainingsabschluss[[#This Row],[Quizergebnis_Prozent]]&lt;0.8, "Gut bestanden",
TRUE, "Sehr gut bestanden")</f>
        <v>Bestanden</v>
      </c>
      <c r="S450" s="3">
        <v>10</v>
      </c>
      <c r="T450" s="3" t="str" cm="1">
        <f t="array" ref="T450">_xlfn.IFS(Trainingsabschluss[[#This Row],[Training_Bewertung]]&gt;=9, "Promotor", Trainingsabschluss[[#This Row],[Training_Bewertung]]
&lt;=6, "Detraktor",
TRUE, "Passiv")</f>
        <v>Promotor</v>
      </c>
      <c r="W450"/>
    </row>
    <row r="451" spans="1:23" x14ac:dyDescent="0.3">
      <c r="A451" s="13" t="s">
        <v>153</v>
      </c>
      <c r="B451" s="2">
        <v>5</v>
      </c>
      <c r="C451" s="2">
        <v>3</v>
      </c>
      <c r="D451" s="2">
        <v>3.5</v>
      </c>
      <c r="E451" s="2">
        <v>3</v>
      </c>
      <c r="F451" s="2">
        <v>3</v>
      </c>
      <c r="G451" s="2" t="str">
        <f>_xlfn.XLOOKUP(Trainingsabschluss[[#This Row],[UserID]], Teilnehmende[UserID], Teilnehmende[Branche], "UserID nicht gefunden")</f>
        <v>Bauwesen</v>
      </c>
      <c r="H451" t="str">
        <f>_xlfn.XLOOKUP(Trainingsabschluss[[#This Row],[UserID]], Teilnehmende[UserID], Teilnehmende[Bildungsabschluss], "UserID nicht gefunden")</f>
        <v>Master</v>
      </c>
      <c r="I451" s="3">
        <f>_xlfn.XLOOKUP(Trainingsabschluss[[#This Row],[UserID]], Teilnehmende[UserID], Teilnehmende[Berufserfahrung])</f>
        <v>9</v>
      </c>
      <c r="J451" s="3" t="str" cm="1">
        <f t="array" ref="J45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51" s="11">
        <f>Trainingsabschluss[[#This Row],[Quiz_Frage1_Punkte]]/Max_Frage1</f>
        <v>1</v>
      </c>
      <c r="L451" s="11">
        <f>Trainingsabschluss[[#This Row],[Quiz_Frage2_Punkte]]/Max_Frage2</f>
        <v>0.6</v>
      </c>
      <c r="M451" s="11">
        <f>Trainingsabschluss[[#This Row],[Quiz_Frage3_Punkte]]/Max_Frage3</f>
        <v>0.7</v>
      </c>
      <c r="N451" s="11">
        <f>Trainingsabschluss[[#This Row],[Quiz_Frage4_Punkte]]/Max_Frage4</f>
        <v>0.75</v>
      </c>
      <c r="O451" s="11">
        <f>Trainingsabschluss[[#This Row],[Quiz_Frage5_Punkte]]/Max_Frage5</f>
        <v>1</v>
      </c>
      <c r="P451" s="2">
        <f>Trainingsabschluss[[#This Row],[Quiz_Frage1_Punkte]]+Trainingsabschluss[[#This Row],[Quiz_Frage2_Punkte]]+Trainingsabschluss[[#This Row],[Quiz_Frage3_Punkte]]+Trainingsabschluss[[#This Row],[Quiz_Frage4_Punkte]]+Trainingsabschluss[[#This Row],[Quiz_Frage5_Punkte]]</f>
        <v>17.5</v>
      </c>
      <c r="Q451" s="8">
        <f>Trainingsabschluss[[#This Row],[Quizergebnis]]/Max_Quizergebnis</f>
        <v>0.79545454545454541</v>
      </c>
      <c r="R451" t="str" cm="1">
        <f t="array" ref="R451">_xlfn.IFS(Trainingsabschluss[[#This Row],[Quizergebnis_Prozent]]&lt;0.5, "Nicht bestanden",
Trainingsabschluss[[#This Row],[Quizergebnis_Prozent]]&lt;0.65, "Bestanden",
Trainingsabschluss[[#This Row],[Quizergebnis_Prozent]]&lt;0.8, "Gut bestanden",
TRUE, "Sehr gut bestanden")</f>
        <v>Gut bestanden</v>
      </c>
      <c r="S451" s="3">
        <v>10</v>
      </c>
      <c r="T451" s="3" t="str" cm="1">
        <f t="array" ref="T451">_xlfn.IFS(Trainingsabschluss[[#This Row],[Training_Bewertung]]&gt;=9, "Promotor", Trainingsabschluss[[#This Row],[Training_Bewertung]]
&lt;=6, "Detraktor",
TRUE, "Passiv")</f>
        <v>Promotor</v>
      </c>
      <c r="W451"/>
    </row>
    <row r="452" spans="1:23" x14ac:dyDescent="0.3">
      <c r="A452" s="13" t="s">
        <v>267</v>
      </c>
      <c r="B452" s="2">
        <v>5</v>
      </c>
      <c r="C452" s="2">
        <v>5</v>
      </c>
      <c r="D452" s="2">
        <v>0.5</v>
      </c>
      <c r="E452" s="2">
        <v>4</v>
      </c>
      <c r="F452" s="2">
        <v>2</v>
      </c>
      <c r="G452" s="2" t="str">
        <f>_xlfn.XLOOKUP(Trainingsabschluss[[#This Row],[UserID]], Teilnehmende[UserID], Teilnehmende[Branche], "UserID nicht gefunden")</f>
        <v>Bildung</v>
      </c>
      <c r="H452" t="str">
        <f>_xlfn.XLOOKUP(Trainingsabschluss[[#This Row],[UserID]], Teilnehmende[UserID], Teilnehmende[Bildungsabschluss], "UserID nicht gefunden")</f>
        <v>Master</v>
      </c>
      <c r="I452" s="3">
        <f>_xlfn.XLOOKUP(Trainingsabschluss[[#This Row],[UserID]], Teilnehmende[UserID], Teilnehmende[Berufserfahrung])</f>
        <v>9</v>
      </c>
      <c r="J452" s="3" t="str" cm="1">
        <f t="array" ref="J45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52" s="11">
        <f>Trainingsabschluss[[#This Row],[Quiz_Frage1_Punkte]]/Max_Frage1</f>
        <v>1</v>
      </c>
      <c r="L452" s="11">
        <f>Trainingsabschluss[[#This Row],[Quiz_Frage2_Punkte]]/Max_Frage2</f>
        <v>1</v>
      </c>
      <c r="M452" s="11">
        <f>Trainingsabschluss[[#This Row],[Quiz_Frage3_Punkte]]/Max_Frage3</f>
        <v>0.1</v>
      </c>
      <c r="N452" s="11">
        <f>Trainingsabschluss[[#This Row],[Quiz_Frage4_Punkte]]/Max_Frage4</f>
        <v>1</v>
      </c>
      <c r="O452" s="11">
        <f>Trainingsabschluss[[#This Row],[Quiz_Frage5_Punkte]]/Max_Frage5</f>
        <v>0.66666666666666663</v>
      </c>
      <c r="P452" s="2">
        <f>Trainingsabschluss[[#This Row],[Quiz_Frage1_Punkte]]+Trainingsabschluss[[#This Row],[Quiz_Frage2_Punkte]]+Trainingsabschluss[[#This Row],[Quiz_Frage3_Punkte]]+Trainingsabschluss[[#This Row],[Quiz_Frage4_Punkte]]+Trainingsabschluss[[#This Row],[Quiz_Frage5_Punkte]]</f>
        <v>16.5</v>
      </c>
      <c r="Q452" s="8">
        <f>Trainingsabschluss[[#This Row],[Quizergebnis]]/Max_Quizergebnis</f>
        <v>0.75</v>
      </c>
      <c r="R452" t="str" cm="1">
        <f t="array" ref="R452">_xlfn.IFS(Trainingsabschluss[[#This Row],[Quizergebnis_Prozent]]&lt;0.5, "Nicht bestanden",
Trainingsabschluss[[#This Row],[Quizergebnis_Prozent]]&lt;0.65, "Bestanden",
Trainingsabschluss[[#This Row],[Quizergebnis_Prozent]]&lt;0.8, "Gut bestanden",
TRUE, "Sehr gut bestanden")</f>
        <v>Gut bestanden</v>
      </c>
      <c r="S452" s="3">
        <v>10</v>
      </c>
      <c r="T452" s="3" t="str" cm="1">
        <f t="array" ref="T452">_xlfn.IFS(Trainingsabschluss[[#This Row],[Training_Bewertung]]&gt;=9, "Promotor", Trainingsabschluss[[#This Row],[Training_Bewertung]]
&lt;=6, "Detraktor",
TRUE, "Passiv")</f>
        <v>Promotor</v>
      </c>
      <c r="W452"/>
    </row>
    <row r="453" spans="1:23" x14ac:dyDescent="0.3">
      <c r="A453" s="13" t="s">
        <v>273</v>
      </c>
      <c r="B453" s="2">
        <v>4</v>
      </c>
      <c r="C453" s="2">
        <v>3.5</v>
      </c>
      <c r="D453" s="2">
        <v>4</v>
      </c>
      <c r="E453" s="2">
        <v>4</v>
      </c>
      <c r="F453" s="2">
        <v>1.5</v>
      </c>
      <c r="G453" s="2" t="str">
        <f>_xlfn.XLOOKUP(Trainingsabschluss[[#This Row],[UserID]], Teilnehmende[UserID], Teilnehmende[Branche], "UserID nicht gefunden")</f>
        <v>Bildung</v>
      </c>
      <c r="H453" t="str">
        <f>_xlfn.XLOOKUP(Trainingsabschluss[[#This Row],[UserID]], Teilnehmende[UserID], Teilnehmende[Bildungsabschluss], "UserID nicht gefunden")</f>
        <v>Master</v>
      </c>
      <c r="I453" s="3">
        <f>_xlfn.XLOOKUP(Trainingsabschluss[[#This Row],[UserID]], Teilnehmende[UserID], Teilnehmende[Berufserfahrung])</f>
        <v>5</v>
      </c>
      <c r="J453" s="3" t="str" cm="1">
        <f t="array" ref="J45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53" s="11">
        <f>Trainingsabschluss[[#This Row],[Quiz_Frage1_Punkte]]/Max_Frage1</f>
        <v>0.8</v>
      </c>
      <c r="L453" s="11">
        <f>Trainingsabschluss[[#This Row],[Quiz_Frage2_Punkte]]/Max_Frage2</f>
        <v>0.7</v>
      </c>
      <c r="M453" s="11">
        <f>Trainingsabschluss[[#This Row],[Quiz_Frage3_Punkte]]/Max_Frage3</f>
        <v>0.8</v>
      </c>
      <c r="N453" s="11">
        <f>Trainingsabschluss[[#This Row],[Quiz_Frage4_Punkte]]/Max_Frage4</f>
        <v>1</v>
      </c>
      <c r="O453" s="11">
        <f>Trainingsabschluss[[#This Row],[Quiz_Frage5_Punkte]]/Max_Frage5</f>
        <v>0.5</v>
      </c>
      <c r="P453" s="2">
        <f>Trainingsabschluss[[#This Row],[Quiz_Frage1_Punkte]]+Trainingsabschluss[[#This Row],[Quiz_Frage2_Punkte]]+Trainingsabschluss[[#This Row],[Quiz_Frage3_Punkte]]+Trainingsabschluss[[#This Row],[Quiz_Frage4_Punkte]]+Trainingsabschluss[[#This Row],[Quiz_Frage5_Punkte]]</f>
        <v>17</v>
      </c>
      <c r="Q453" s="8">
        <f>Trainingsabschluss[[#This Row],[Quizergebnis]]/Max_Quizergebnis</f>
        <v>0.77272727272727271</v>
      </c>
      <c r="R453" t="str" cm="1">
        <f t="array" ref="R453">_xlfn.IFS(Trainingsabschluss[[#This Row],[Quizergebnis_Prozent]]&lt;0.5, "Nicht bestanden",
Trainingsabschluss[[#This Row],[Quizergebnis_Prozent]]&lt;0.65, "Bestanden",
Trainingsabschluss[[#This Row],[Quizergebnis_Prozent]]&lt;0.8, "Gut bestanden",
TRUE, "Sehr gut bestanden")</f>
        <v>Gut bestanden</v>
      </c>
      <c r="S453" s="3">
        <v>10</v>
      </c>
      <c r="T453" s="3" t="str" cm="1">
        <f t="array" ref="T453">_xlfn.IFS(Trainingsabschluss[[#This Row],[Training_Bewertung]]&gt;=9, "Promotor", Trainingsabschluss[[#This Row],[Training_Bewertung]]
&lt;=6, "Detraktor",
TRUE, "Passiv")</f>
        <v>Promotor</v>
      </c>
      <c r="W453"/>
    </row>
    <row r="454" spans="1:23" x14ac:dyDescent="0.3">
      <c r="A454" s="13" t="s">
        <v>487</v>
      </c>
      <c r="B454" s="2">
        <v>5</v>
      </c>
      <c r="C454" s="2">
        <v>3</v>
      </c>
      <c r="D454" s="2">
        <v>3</v>
      </c>
      <c r="E454" s="2">
        <v>2.5</v>
      </c>
      <c r="F454" s="2">
        <v>2</v>
      </c>
      <c r="G454" s="2" t="str">
        <f>_xlfn.XLOOKUP(Trainingsabschluss[[#This Row],[UserID]], Teilnehmende[UserID], Teilnehmende[Branche], "UserID nicht gefunden")</f>
        <v>Öffentlicher Dienst</v>
      </c>
      <c r="H454" t="str">
        <f>_xlfn.XLOOKUP(Trainingsabschluss[[#This Row],[UserID]], Teilnehmende[UserID], Teilnehmende[Bildungsabschluss], "UserID nicht gefunden")</f>
        <v>Master</v>
      </c>
      <c r="I454" s="3">
        <f>_xlfn.XLOOKUP(Trainingsabschluss[[#This Row],[UserID]], Teilnehmende[UserID], Teilnehmende[Berufserfahrung])</f>
        <v>6</v>
      </c>
      <c r="J454" s="3" t="str" cm="1">
        <f t="array" ref="J45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54" s="11">
        <f>Trainingsabschluss[[#This Row],[Quiz_Frage1_Punkte]]/Max_Frage1</f>
        <v>1</v>
      </c>
      <c r="L454" s="11">
        <f>Trainingsabschluss[[#This Row],[Quiz_Frage2_Punkte]]/Max_Frage2</f>
        <v>0.6</v>
      </c>
      <c r="M454" s="11">
        <f>Trainingsabschluss[[#This Row],[Quiz_Frage3_Punkte]]/Max_Frage3</f>
        <v>0.6</v>
      </c>
      <c r="N454" s="11">
        <f>Trainingsabschluss[[#This Row],[Quiz_Frage4_Punkte]]/Max_Frage4</f>
        <v>0.625</v>
      </c>
      <c r="O454" s="11">
        <f>Trainingsabschluss[[#This Row],[Quiz_Frage5_Punkte]]/Max_Frage5</f>
        <v>0.66666666666666663</v>
      </c>
      <c r="P454" s="2">
        <f>Trainingsabschluss[[#This Row],[Quiz_Frage1_Punkte]]+Trainingsabschluss[[#This Row],[Quiz_Frage2_Punkte]]+Trainingsabschluss[[#This Row],[Quiz_Frage3_Punkte]]+Trainingsabschluss[[#This Row],[Quiz_Frage4_Punkte]]+Trainingsabschluss[[#This Row],[Quiz_Frage5_Punkte]]</f>
        <v>15.5</v>
      </c>
      <c r="Q454" s="8">
        <f>Trainingsabschluss[[#This Row],[Quizergebnis]]/Max_Quizergebnis</f>
        <v>0.70454545454545459</v>
      </c>
      <c r="R454" t="str" cm="1">
        <f t="array" ref="R454">_xlfn.IFS(Trainingsabschluss[[#This Row],[Quizergebnis_Prozent]]&lt;0.5, "Nicht bestanden",
Trainingsabschluss[[#This Row],[Quizergebnis_Prozent]]&lt;0.65, "Bestanden",
Trainingsabschluss[[#This Row],[Quizergebnis_Prozent]]&lt;0.8, "Gut bestanden",
TRUE, "Sehr gut bestanden")</f>
        <v>Gut bestanden</v>
      </c>
      <c r="S454" s="3">
        <v>10</v>
      </c>
      <c r="T454" s="3" t="str" cm="1">
        <f t="array" ref="T454">_xlfn.IFS(Trainingsabschluss[[#This Row],[Training_Bewertung]]&gt;=9, "Promotor", Trainingsabschluss[[#This Row],[Training_Bewertung]]
&lt;=6, "Detraktor",
TRUE, "Passiv")</f>
        <v>Promotor</v>
      </c>
      <c r="W454"/>
    </row>
    <row r="455" spans="1:23" x14ac:dyDescent="0.3">
      <c r="A455" s="13" t="s">
        <v>489</v>
      </c>
      <c r="B455" s="2">
        <v>2</v>
      </c>
      <c r="C455" s="2">
        <v>0</v>
      </c>
      <c r="D455" s="2">
        <v>0</v>
      </c>
      <c r="E455" s="2">
        <v>1</v>
      </c>
      <c r="F455" s="2">
        <v>0</v>
      </c>
      <c r="G455" s="2" t="str">
        <f>_xlfn.XLOOKUP(Trainingsabschluss[[#This Row],[UserID]], Teilnehmende[UserID], Teilnehmende[Branche], "UserID nicht gefunden")</f>
        <v>Öffentlicher Dienst</v>
      </c>
      <c r="H455" t="str">
        <f>_xlfn.XLOOKUP(Trainingsabschluss[[#This Row],[UserID]], Teilnehmende[UserID], Teilnehmende[Bildungsabschluss], "UserID nicht gefunden")</f>
        <v>Master</v>
      </c>
      <c r="I455" s="3">
        <f>_xlfn.XLOOKUP(Trainingsabschluss[[#This Row],[UserID]], Teilnehmende[UserID], Teilnehmende[Berufserfahrung])</f>
        <v>11</v>
      </c>
      <c r="J455" s="3" t="str" cm="1">
        <f t="array" ref="J45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55" s="11">
        <f>Trainingsabschluss[[#This Row],[Quiz_Frage1_Punkte]]/Max_Frage1</f>
        <v>0.4</v>
      </c>
      <c r="L455" s="11">
        <f>Trainingsabschluss[[#This Row],[Quiz_Frage2_Punkte]]/Max_Frage2</f>
        <v>0</v>
      </c>
      <c r="M455" s="11">
        <f>Trainingsabschluss[[#This Row],[Quiz_Frage3_Punkte]]/Max_Frage3</f>
        <v>0</v>
      </c>
      <c r="N455" s="11">
        <f>Trainingsabschluss[[#This Row],[Quiz_Frage4_Punkte]]/Max_Frage4</f>
        <v>0.25</v>
      </c>
      <c r="O455" s="11">
        <f>Trainingsabschluss[[#This Row],[Quiz_Frage5_Punkte]]/Max_Frage5</f>
        <v>0</v>
      </c>
      <c r="P455" s="2">
        <f>Trainingsabschluss[[#This Row],[Quiz_Frage1_Punkte]]+Trainingsabschluss[[#This Row],[Quiz_Frage2_Punkte]]+Trainingsabschluss[[#This Row],[Quiz_Frage3_Punkte]]+Trainingsabschluss[[#This Row],[Quiz_Frage4_Punkte]]+Trainingsabschluss[[#This Row],[Quiz_Frage5_Punkte]]</f>
        <v>3</v>
      </c>
      <c r="Q455" s="8">
        <f>Trainingsabschluss[[#This Row],[Quizergebnis]]/Max_Quizergebnis</f>
        <v>0.13636363636363635</v>
      </c>
      <c r="R455" t="str" cm="1">
        <f t="array" ref="R455">_xlfn.IFS(Trainingsabschluss[[#This Row],[Quizergebnis_Prozent]]&lt;0.5, "Nicht bestanden",
Trainingsabschluss[[#This Row],[Quizergebnis_Prozent]]&lt;0.65, "Bestanden",
Trainingsabschluss[[#This Row],[Quizergebnis_Prozent]]&lt;0.8, "Gut bestanden",
TRUE, "Sehr gut bestanden")</f>
        <v>Nicht bestanden</v>
      </c>
      <c r="S455" s="3">
        <v>9</v>
      </c>
      <c r="T455" s="3" t="str" cm="1">
        <f t="array" ref="T455">_xlfn.IFS(Trainingsabschluss[[#This Row],[Training_Bewertung]]&gt;=9, "Promotor", Trainingsabschluss[[#This Row],[Training_Bewertung]]
&lt;=6, "Detraktor",
TRUE, "Passiv")</f>
        <v>Promotor</v>
      </c>
      <c r="W455"/>
    </row>
    <row r="456" spans="1:23" x14ac:dyDescent="0.3">
      <c r="A456" s="13" t="s">
        <v>490</v>
      </c>
      <c r="B456" s="2">
        <v>3</v>
      </c>
      <c r="C456" s="2">
        <v>4.5</v>
      </c>
      <c r="D456" s="2">
        <v>4.5</v>
      </c>
      <c r="E456" s="2">
        <v>2.5</v>
      </c>
      <c r="F456" s="2">
        <v>0.5</v>
      </c>
      <c r="G456" s="2" t="str">
        <f>_xlfn.XLOOKUP(Trainingsabschluss[[#This Row],[UserID]], Teilnehmende[UserID], Teilnehmende[Branche], "UserID nicht gefunden")</f>
        <v>Öffentlicher Dienst</v>
      </c>
      <c r="H456" t="str">
        <f>_xlfn.XLOOKUP(Trainingsabschluss[[#This Row],[UserID]], Teilnehmende[UserID], Teilnehmende[Bildungsabschluss], "UserID nicht gefunden")</f>
        <v>Master</v>
      </c>
      <c r="I456" s="3">
        <f>_xlfn.XLOOKUP(Trainingsabschluss[[#This Row],[UserID]], Teilnehmende[UserID], Teilnehmende[Berufserfahrung])</f>
        <v>7</v>
      </c>
      <c r="J456" s="3" t="str" cm="1">
        <f t="array" ref="J45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56" s="11">
        <f>Trainingsabschluss[[#This Row],[Quiz_Frage1_Punkte]]/Max_Frage1</f>
        <v>0.6</v>
      </c>
      <c r="L456" s="11">
        <f>Trainingsabschluss[[#This Row],[Quiz_Frage2_Punkte]]/Max_Frage2</f>
        <v>0.9</v>
      </c>
      <c r="M456" s="11">
        <f>Trainingsabschluss[[#This Row],[Quiz_Frage3_Punkte]]/Max_Frage3</f>
        <v>0.9</v>
      </c>
      <c r="N456" s="11">
        <f>Trainingsabschluss[[#This Row],[Quiz_Frage4_Punkte]]/Max_Frage4</f>
        <v>0.625</v>
      </c>
      <c r="O456" s="11">
        <f>Trainingsabschluss[[#This Row],[Quiz_Frage5_Punkte]]/Max_Frage5</f>
        <v>0.16666666666666666</v>
      </c>
      <c r="P456" s="2">
        <f>Trainingsabschluss[[#This Row],[Quiz_Frage1_Punkte]]+Trainingsabschluss[[#This Row],[Quiz_Frage2_Punkte]]+Trainingsabschluss[[#This Row],[Quiz_Frage3_Punkte]]+Trainingsabschluss[[#This Row],[Quiz_Frage4_Punkte]]+Trainingsabschluss[[#This Row],[Quiz_Frage5_Punkte]]</f>
        <v>15</v>
      </c>
      <c r="Q456" s="8">
        <f>Trainingsabschluss[[#This Row],[Quizergebnis]]/Max_Quizergebnis</f>
        <v>0.68181818181818177</v>
      </c>
      <c r="R456" t="str" cm="1">
        <f t="array" ref="R456">_xlfn.IFS(Trainingsabschluss[[#This Row],[Quizergebnis_Prozent]]&lt;0.5, "Nicht bestanden",
Trainingsabschluss[[#This Row],[Quizergebnis_Prozent]]&lt;0.65, "Bestanden",
Trainingsabschluss[[#This Row],[Quizergebnis_Prozent]]&lt;0.8, "Gut bestanden",
TRUE, "Sehr gut bestanden")</f>
        <v>Gut bestanden</v>
      </c>
      <c r="S456" s="3">
        <v>9</v>
      </c>
      <c r="T456" s="3" t="str" cm="1">
        <f t="array" ref="T456">_xlfn.IFS(Trainingsabschluss[[#This Row],[Training_Bewertung]]&gt;=9, "Promotor", Trainingsabschluss[[#This Row],[Training_Bewertung]]
&lt;=6, "Detraktor",
TRUE, "Passiv")</f>
        <v>Promotor</v>
      </c>
      <c r="W456"/>
    </row>
    <row r="457" spans="1:23" x14ac:dyDescent="0.3">
      <c r="A457" s="13" t="s">
        <v>491</v>
      </c>
      <c r="B457" s="2">
        <v>5</v>
      </c>
      <c r="C457" s="2">
        <v>4.5</v>
      </c>
      <c r="D457" s="2">
        <v>3</v>
      </c>
      <c r="E457" s="2">
        <v>4</v>
      </c>
      <c r="F457" s="2">
        <v>1.5</v>
      </c>
      <c r="G457" s="2" t="str">
        <f>_xlfn.XLOOKUP(Trainingsabschluss[[#This Row],[UserID]], Teilnehmende[UserID], Teilnehmende[Branche], "UserID nicht gefunden")</f>
        <v>Öffentlicher Dienst</v>
      </c>
      <c r="H457" t="str">
        <f>_xlfn.XLOOKUP(Trainingsabschluss[[#This Row],[UserID]], Teilnehmende[UserID], Teilnehmende[Bildungsabschluss], "UserID nicht gefunden")</f>
        <v>Master</v>
      </c>
      <c r="I457" s="3">
        <f>_xlfn.XLOOKUP(Trainingsabschluss[[#This Row],[UserID]], Teilnehmende[UserID], Teilnehmende[Berufserfahrung])</f>
        <v>5</v>
      </c>
      <c r="J457" s="3" t="str" cm="1">
        <f t="array" ref="J45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57" s="11">
        <f>Trainingsabschluss[[#This Row],[Quiz_Frage1_Punkte]]/Max_Frage1</f>
        <v>1</v>
      </c>
      <c r="L457" s="11">
        <f>Trainingsabschluss[[#This Row],[Quiz_Frage2_Punkte]]/Max_Frage2</f>
        <v>0.9</v>
      </c>
      <c r="M457" s="11">
        <f>Trainingsabschluss[[#This Row],[Quiz_Frage3_Punkte]]/Max_Frage3</f>
        <v>0.6</v>
      </c>
      <c r="N457" s="11">
        <f>Trainingsabschluss[[#This Row],[Quiz_Frage4_Punkte]]/Max_Frage4</f>
        <v>1</v>
      </c>
      <c r="O457" s="11">
        <f>Trainingsabschluss[[#This Row],[Quiz_Frage5_Punkte]]/Max_Frage5</f>
        <v>0.5</v>
      </c>
      <c r="P457" s="2">
        <f>Trainingsabschluss[[#This Row],[Quiz_Frage1_Punkte]]+Trainingsabschluss[[#This Row],[Quiz_Frage2_Punkte]]+Trainingsabschluss[[#This Row],[Quiz_Frage3_Punkte]]+Trainingsabschluss[[#This Row],[Quiz_Frage4_Punkte]]+Trainingsabschluss[[#This Row],[Quiz_Frage5_Punkte]]</f>
        <v>18</v>
      </c>
      <c r="Q457" s="8">
        <f>Trainingsabschluss[[#This Row],[Quizergebnis]]/Max_Quizergebnis</f>
        <v>0.81818181818181823</v>
      </c>
      <c r="R457" t="str" cm="1">
        <f t="array" ref="R457">_xlfn.IFS(Trainingsabschluss[[#This Row],[Quizergebnis_Prozent]]&lt;0.5, "Nicht bestanden",
Trainingsabschluss[[#This Row],[Quizergebnis_Prozent]]&lt;0.65, "Bestanden",
Trainingsabschluss[[#This Row],[Quizergebnis_Prozent]]&lt;0.8, "Gut bestanden",
TRUE, "Sehr gut bestanden")</f>
        <v>Sehr gut bestanden</v>
      </c>
      <c r="S457" s="3">
        <v>9</v>
      </c>
      <c r="T457" s="3" t="str" cm="1">
        <f t="array" ref="T457">_xlfn.IFS(Trainingsabschluss[[#This Row],[Training_Bewertung]]&gt;=9, "Promotor", Trainingsabschluss[[#This Row],[Training_Bewertung]]
&lt;=6, "Detraktor",
TRUE, "Passiv")</f>
        <v>Promotor</v>
      </c>
      <c r="W457"/>
    </row>
    <row r="458" spans="1:23" x14ac:dyDescent="0.3">
      <c r="A458" s="13" t="s">
        <v>492</v>
      </c>
      <c r="B458" s="2">
        <v>5</v>
      </c>
      <c r="C458" s="2">
        <v>3</v>
      </c>
      <c r="D458" s="2">
        <v>4.5</v>
      </c>
      <c r="E458" s="2">
        <v>2.5</v>
      </c>
      <c r="F458" s="2">
        <v>2.5</v>
      </c>
      <c r="G458" s="2" t="str">
        <f>_xlfn.XLOOKUP(Trainingsabschluss[[#This Row],[UserID]], Teilnehmende[UserID], Teilnehmende[Branche], "UserID nicht gefunden")</f>
        <v>Öffentlicher Dienst</v>
      </c>
      <c r="H458" t="str">
        <f>_xlfn.XLOOKUP(Trainingsabschluss[[#This Row],[UserID]], Teilnehmende[UserID], Teilnehmende[Bildungsabschluss], "UserID nicht gefunden")</f>
        <v>Master</v>
      </c>
      <c r="I458" s="3">
        <f>_xlfn.XLOOKUP(Trainingsabschluss[[#This Row],[UserID]], Teilnehmende[UserID], Teilnehmende[Berufserfahrung])</f>
        <v>10</v>
      </c>
      <c r="J458" s="3" t="str" cm="1">
        <f t="array" ref="J458">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58" s="11">
        <f>Trainingsabschluss[[#This Row],[Quiz_Frage1_Punkte]]/Max_Frage1</f>
        <v>1</v>
      </c>
      <c r="L458" s="11">
        <f>Trainingsabschluss[[#This Row],[Quiz_Frage2_Punkte]]/Max_Frage2</f>
        <v>0.6</v>
      </c>
      <c r="M458" s="11">
        <f>Trainingsabschluss[[#This Row],[Quiz_Frage3_Punkte]]/Max_Frage3</f>
        <v>0.9</v>
      </c>
      <c r="N458" s="11">
        <f>Trainingsabschluss[[#This Row],[Quiz_Frage4_Punkte]]/Max_Frage4</f>
        <v>0.625</v>
      </c>
      <c r="O458" s="11">
        <f>Trainingsabschluss[[#This Row],[Quiz_Frage5_Punkte]]/Max_Frage5</f>
        <v>0.83333333333333337</v>
      </c>
      <c r="P458" s="2">
        <f>Trainingsabschluss[[#This Row],[Quiz_Frage1_Punkte]]+Trainingsabschluss[[#This Row],[Quiz_Frage2_Punkte]]+Trainingsabschluss[[#This Row],[Quiz_Frage3_Punkte]]+Trainingsabschluss[[#This Row],[Quiz_Frage4_Punkte]]+Trainingsabschluss[[#This Row],[Quiz_Frage5_Punkte]]</f>
        <v>17.5</v>
      </c>
      <c r="Q458" s="8">
        <f>Trainingsabschluss[[#This Row],[Quizergebnis]]/Max_Quizergebnis</f>
        <v>0.79545454545454541</v>
      </c>
      <c r="R458" t="str" cm="1">
        <f t="array" ref="R458">_xlfn.IFS(Trainingsabschluss[[#This Row],[Quizergebnis_Prozent]]&lt;0.5, "Nicht bestanden",
Trainingsabschluss[[#This Row],[Quizergebnis_Prozent]]&lt;0.65, "Bestanden",
Trainingsabschluss[[#This Row],[Quizergebnis_Prozent]]&lt;0.8, "Gut bestanden",
TRUE, "Sehr gut bestanden")</f>
        <v>Gut bestanden</v>
      </c>
      <c r="S458" s="3">
        <v>9</v>
      </c>
      <c r="T458" s="3" t="str" cm="1">
        <f t="array" ref="T458">_xlfn.IFS(Trainingsabschluss[[#This Row],[Training_Bewertung]]&gt;=9, "Promotor", Trainingsabschluss[[#This Row],[Training_Bewertung]]
&lt;=6, "Detraktor",
TRUE, "Passiv")</f>
        <v>Promotor</v>
      </c>
      <c r="W458"/>
    </row>
    <row r="459" spans="1:23" x14ac:dyDescent="0.3">
      <c r="A459" s="13" t="s">
        <v>498</v>
      </c>
      <c r="B459" s="2">
        <v>5</v>
      </c>
      <c r="C459" s="2">
        <v>0.5</v>
      </c>
      <c r="D459" s="2">
        <v>2.5</v>
      </c>
      <c r="E459" s="2">
        <v>2.5</v>
      </c>
      <c r="F459" s="2">
        <v>1</v>
      </c>
      <c r="G459" s="2" t="str">
        <f>_xlfn.XLOOKUP(Trainingsabschluss[[#This Row],[UserID]], Teilnehmende[UserID], Teilnehmende[Branche], "UserID nicht gefunden")</f>
        <v>Öffentlicher Dienst</v>
      </c>
      <c r="H459" t="str">
        <f>_xlfn.XLOOKUP(Trainingsabschluss[[#This Row],[UserID]], Teilnehmende[UserID], Teilnehmende[Bildungsabschluss], "UserID nicht gefunden")</f>
        <v>Master</v>
      </c>
      <c r="I459" s="3">
        <f>_xlfn.XLOOKUP(Trainingsabschluss[[#This Row],[UserID]], Teilnehmende[UserID], Teilnehmende[Berufserfahrung])</f>
        <v>4</v>
      </c>
      <c r="J459" s="3" t="str" cm="1">
        <f t="array" ref="J459">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59" s="11">
        <f>Trainingsabschluss[[#This Row],[Quiz_Frage1_Punkte]]/Max_Frage1</f>
        <v>1</v>
      </c>
      <c r="L459" s="11">
        <f>Trainingsabschluss[[#This Row],[Quiz_Frage2_Punkte]]/Max_Frage2</f>
        <v>0.1</v>
      </c>
      <c r="M459" s="11">
        <f>Trainingsabschluss[[#This Row],[Quiz_Frage3_Punkte]]/Max_Frage3</f>
        <v>0.5</v>
      </c>
      <c r="N459" s="11">
        <f>Trainingsabschluss[[#This Row],[Quiz_Frage4_Punkte]]/Max_Frage4</f>
        <v>0.625</v>
      </c>
      <c r="O459" s="11">
        <f>Trainingsabschluss[[#This Row],[Quiz_Frage5_Punkte]]/Max_Frage5</f>
        <v>0.33333333333333331</v>
      </c>
      <c r="P459" s="2">
        <f>Trainingsabschluss[[#This Row],[Quiz_Frage1_Punkte]]+Trainingsabschluss[[#This Row],[Quiz_Frage2_Punkte]]+Trainingsabschluss[[#This Row],[Quiz_Frage3_Punkte]]+Trainingsabschluss[[#This Row],[Quiz_Frage4_Punkte]]+Trainingsabschluss[[#This Row],[Quiz_Frage5_Punkte]]</f>
        <v>11.5</v>
      </c>
      <c r="Q459" s="8">
        <f>Trainingsabschluss[[#This Row],[Quizergebnis]]/Max_Quizergebnis</f>
        <v>0.52272727272727271</v>
      </c>
      <c r="R459" t="str" cm="1">
        <f t="array" ref="R459">_xlfn.IFS(Trainingsabschluss[[#This Row],[Quizergebnis_Prozent]]&lt;0.5, "Nicht bestanden",
Trainingsabschluss[[#This Row],[Quizergebnis_Prozent]]&lt;0.65, "Bestanden",
Trainingsabschluss[[#This Row],[Quizergebnis_Prozent]]&lt;0.8, "Gut bestanden",
TRUE, "Sehr gut bestanden")</f>
        <v>Bestanden</v>
      </c>
      <c r="S459" s="3">
        <v>10</v>
      </c>
      <c r="T459" s="3" t="str" cm="1">
        <f t="array" ref="T459">_xlfn.IFS(Trainingsabschluss[[#This Row],[Training_Bewertung]]&gt;=9, "Promotor", Trainingsabschluss[[#This Row],[Training_Bewertung]]
&lt;=6, "Detraktor",
TRUE, "Passiv")</f>
        <v>Promotor</v>
      </c>
      <c r="W459"/>
    </row>
    <row r="460" spans="1:23" x14ac:dyDescent="0.3">
      <c r="A460" s="13" t="s">
        <v>501</v>
      </c>
      <c r="B460" s="2">
        <v>5</v>
      </c>
      <c r="C460" s="2">
        <v>3</v>
      </c>
      <c r="D460" s="2">
        <v>2</v>
      </c>
      <c r="E460" s="2">
        <v>0.5</v>
      </c>
      <c r="F460" s="2">
        <v>2</v>
      </c>
      <c r="G460" s="2" t="str">
        <f>_xlfn.XLOOKUP(Trainingsabschluss[[#This Row],[UserID]], Teilnehmende[UserID], Teilnehmende[Branche], "UserID nicht gefunden")</f>
        <v>Öffentlicher Dienst</v>
      </c>
      <c r="H460" t="str">
        <f>_xlfn.XLOOKUP(Trainingsabschluss[[#This Row],[UserID]], Teilnehmende[UserID], Teilnehmende[Bildungsabschluss], "UserID nicht gefunden")</f>
        <v>Master</v>
      </c>
      <c r="I460" s="3">
        <f>_xlfn.XLOOKUP(Trainingsabschluss[[#This Row],[UserID]], Teilnehmende[UserID], Teilnehmende[Berufserfahrung])</f>
        <v>4</v>
      </c>
      <c r="J460" s="3" t="str" cm="1">
        <f t="array" ref="J460">_xlfn.IFS(Trainingsabschluss[[#This Row],[Berufserfahrung]]&lt;=4,"wenig",Trainingsabschluss[[#This Row],[Berufserfahrung]]&lt;=9,"mittel",Trainingsabschluss[[#This Row],[Berufserfahrung]]&lt;=14,"fortgeschritten",Trainingsabschluss[[#This Row],[Berufserfahrung]]&lt;=19,"viel",Trainingsabschluss[[#This Row],[Berufserfahrung]]&gt;=20,"sehr viel")</f>
        <v>wenig</v>
      </c>
      <c r="K460" s="11">
        <f>Trainingsabschluss[[#This Row],[Quiz_Frage1_Punkte]]/Max_Frage1</f>
        <v>1</v>
      </c>
      <c r="L460" s="11">
        <f>Trainingsabschluss[[#This Row],[Quiz_Frage2_Punkte]]/Max_Frage2</f>
        <v>0.6</v>
      </c>
      <c r="M460" s="11">
        <f>Trainingsabschluss[[#This Row],[Quiz_Frage3_Punkte]]/Max_Frage3</f>
        <v>0.4</v>
      </c>
      <c r="N460" s="11">
        <f>Trainingsabschluss[[#This Row],[Quiz_Frage4_Punkte]]/Max_Frage4</f>
        <v>0.125</v>
      </c>
      <c r="O460" s="11">
        <f>Trainingsabschluss[[#This Row],[Quiz_Frage5_Punkte]]/Max_Frage5</f>
        <v>0.66666666666666663</v>
      </c>
      <c r="P460" s="2">
        <f>Trainingsabschluss[[#This Row],[Quiz_Frage1_Punkte]]+Trainingsabschluss[[#This Row],[Quiz_Frage2_Punkte]]+Trainingsabschluss[[#This Row],[Quiz_Frage3_Punkte]]+Trainingsabschluss[[#This Row],[Quiz_Frage4_Punkte]]+Trainingsabschluss[[#This Row],[Quiz_Frage5_Punkte]]</f>
        <v>12.5</v>
      </c>
      <c r="Q460" s="8">
        <f>Trainingsabschluss[[#This Row],[Quizergebnis]]/Max_Quizergebnis</f>
        <v>0.56818181818181823</v>
      </c>
      <c r="R460" t="str" cm="1">
        <f t="array" ref="R460">_xlfn.IFS(Trainingsabschluss[[#This Row],[Quizergebnis_Prozent]]&lt;0.5, "Nicht bestanden",
Trainingsabschluss[[#This Row],[Quizergebnis_Prozent]]&lt;0.65, "Bestanden",
Trainingsabschluss[[#This Row],[Quizergebnis_Prozent]]&lt;0.8, "Gut bestanden",
TRUE, "Sehr gut bestanden")</f>
        <v>Bestanden</v>
      </c>
      <c r="S460" s="3">
        <v>10</v>
      </c>
      <c r="T460" s="3" t="str" cm="1">
        <f t="array" ref="T460">_xlfn.IFS(Trainingsabschluss[[#This Row],[Training_Bewertung]]&gt;=9, "Promotor", Trainingsabschluss[[#This Row],[Training_Bewertung]]
&lt;=6, "Detraktor",
TRUE, "Passiv")</f>
        <v>Promotor</v>
      </c>
      <c r="W460"/>
    </row>
    <row r="461" spans="1:23" x14ac:dyDescent="0.3">
      <c r="A461" s="13" t="s">
        <v>507</v>
      </c>
      <c r="B461" s="2">
        <v>5</v>
      </c>
      <c r="C461" s="2">
        <v>3</v>
      </c>
      <c r="D461" s="2">
        <v>3.5</v>
      </c>
      <c r="E461" s="2">
        <v>1.5</v>
      </c>
      <c r="F461" s="2">
        <v>0.5</v>
      </c>
      <c r="G461" s="2" t="str">
        <f>_xlfn.XLOOKUP(Trainingsabschluss[[#This Row],[UserID]], Teilnehmende[UserID], Teilnehmende[Branche], "UserID nicht gefunden")</f>
        <v>Öffentlicher Dienst</v>
      </c>
      <c r="H461" t="str">
        <f>_xlfn.XLOOKUP(Trainingsabschluss[[#This Row],[UserID]], Teilnehmende[UserID], Teilnehmende[Bildungsabschluss], "UserID nicht gefunden")</f>
        <v>Master</v>
      </c>
      <c r="I461" s="3">
        <f>_xlfn.XLOOKUP(Trainingsabschluss[[#This Row],[UserID]], Teilnehmende[UserID], Teilnehmende[Berufserfahrung])</f>
        <v>5</v>
      </c>
      <c r="J461" s="3" t="str" cm="1">
        <f t="array" ref="J461">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61" s="11">
        <f>Trainingsabschluss[[#This Row],[Quiz_Frage1_Punkte]]/Max_Frage1</f>
        <v>1</v>
      </c>
      <c r="L461" s="11">
        <f>Trainingsabschluss[[#This Row],[Quiz_Frage2_Punkte]]/Max_Frage2</f>
        <v>0.6</v>
      </c>
      <c r="M461" s="11">
        <f>Trainingsabschluss[[#This Row],[Quiz_Frage3_Punkte]]/Max_Frage3</f>
        <v>0.7</v>
      </c>
      <c r="N461" s="11">
        <f>Trainingsabschluss[[#This Row],[Quiz_Frage4_Punkte]]/Max_Frage4</f>
        <v>0.375</v>
      </c>
      <c r="O461" s="11">
        <f>Trainingsabschluss[[#This Row],[Quiz_Frage5_Punkte]]/Max_Frage5</f>
        <v>0.16666666666666666</v>
      </c>
      <c r="P461" s="2">
        <f>Trainingsabschluss[[#This Row],[Quiz_Frage1_Punkte]]+Trainingsabschluss[[#This Row],[Quiz_Frage2_Punkte]]+Trainingsabschluss[[#This Row],[Quiz_Frage3_Punkte]]+Trainingsabschluss[[#This Row],[Quiz_Frage4_Punkte]]+Trainingsabschluss[[#This Row],[Quiz_Frage5_Punkte]]</f>
        <v>13.5</v>
      </c>
      <c r="Q461" s="8">
        <f>Trainingsabschluss[[#This Row],[Quizergebnis]]/Max_Quizergebnis</f>
        <v>0.61363636363636365</v>
      </c>
      <c r="R461" t="str" cm="1">
        <f t="array" ref="R461">_xlfn.IFS(Trainingsabschluss[[#This Row],[Quizergebnis_Prozent]]&lt;0.5, "Nicht bestanden",
Trainingsabschluss[[#This Row],[Quizergebnis_Prozent]]&lt;0.65, "Bestanden",
Trainingsabschluss[[#This Row],[Quizergebnis_Prozent]]&lt;0.8, "Gut bestanden",
TRUE, "Sehr gut bestanden")</f>
        <v>Bestanden</v>
      </c>
      <c r="S461" s="3">
        <v>10</v>
      </c>
      <c r="T461" s="3" t="str" cm="1">
        <f t="array" ref="T461">_xlfn.IFS(Trainingsabschluss[[#This Row],[Training_Bewertung]]&gt;=9, "Promotor", Trainingsabschluss[[#This Row],[Training_Bewertung]]
&lt;=6, "Detraktor",
TRUE, "Passiv")</f>
        <v>Promotor</v>
      </c>
      <c r="W461"/>
    </row>
    <row r="462" spans="1:23" x14ac:dyDescent="0.3">
      <c r="A462" s="13" t="s">
        <v>183</v>
      </c>
      <c r="B462" s="2">
        <v>4</v>
      </c>
      <c r="C462" s="2">
        <v>5</v>
      </c>
      <c r="D462" s="2">
        <v>5</v>
      </c>
      <c r="E462" s="2">
        <v>0.5</v>
      </c>
      <c r="F462" s="2">
        <v>0.5</v>
      </c>
      <c r="G462" s="2" t="str">
        <f>_xlfn.XLOOKUP(Trainingsabschluss[[#This Row],[UserID]], Teilnehmende[UserID], Teilnehmende[Branche], "UserID nicht gefunden")</f>
        <v>Beratung</v>
      </c>
      <c r="H462" t="str">
        <f>_xlfn.XLOOKUP(Trainingsabschluss[[#This Row],[UserID]], Teilnehmende[UserID], Teilnehmende[Bildungsabschluss], "UserID nicht gefunden")</f>
        <v>Promotion</v>
      </c>
      <c r="I462" s="3">
        <f>_xlfn.XLOOKUP(Trainingsabschluss[[#This Row],[UserID]], Teilnehmende[UserID], Teilnehmende[Berufserfahrung])</f>
        <v>8</v>
      </c>
      <c r="J462" s="3" t="str" cm="1">
        <f t="array" ref="J46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62" s="11">
        <f>Trainingsabschluss[[#This Row],[Quiz_Frage1_Punkte]]/Max_Frage1</f>
        <v>0.8</v>
      </c>
      <c r="L462" s="11">
        <f>Trainingsabschluss[[#This Row],[Quiz_Frage2_Punkte]]/Max_Frage2</f>
        <v>1</v>
      </c>
      <c r="M462" s="11">
        <f>Trainingsabschluss[[#This Row],[Quiz_Frage3_Punkte]]/Max_Frage3</f>
        <v>1</v>
      </c>
      <c r="N462" s="11">
        <f>Trainingsabschluss[[#This Row],[Quiz_Frage4_Punkte]]/Max_Frage4</f>
        <v>0.125</v>
      </c>
      <c r="O462" s="11">
        <f>Trainingsabschluss[[#This Row],[Quiz_Frage5_Punkte]]/Max_Frage5</f>
        <v>0.16666666666666666</v>
      </c>
      <c r="P462" s="2">
        <f>Trainingsabschluss[[#This Row],[Quiz_Frage1_Punkte]]+Trainingsabschluss[[#This Row],[Quiz_Frage2_Punkte]]+Trainingsabschluss[[#This Row],[Quiz_Frage3_Punkte]]+Trainingsabschluss[[#This Row],[Quiz_Frage4_Punkte]]+Trainingsabschluss[[#This Row],[Quiz_Frage5_Punkte]]</f>
        <v>15</v>
      </c>
      <c r="Q462" s="8">
        <f>Trainingsabschluss[[#This Row],[Quizergebnis]]/Max_Quizergebnis</f>
        <v>0.68181818181818177</v>
      </c>
      <c r="R462" t="str" cm="1">
        <f t="array" ref="R462">_xlfn.IFS(Trainingsabschluss[[#This Row],[Quizergebnis_Prozent]]&lt;0.5, "Nicht bestanden",
Trainingsabschluss[[#This Row],[Quizergebnis_Prozent]]&lt;0.65, "Bestanden",
Trainingsabschluss[[#This Row],[Quizergebnis_Prozent]]&lt;0.8, "Gut bestanden",
TRUE, "Sehr gut bestanden")</f>
        <v>Gut bestanden</v>
      </c>
      <c r="S462" s="3">
        <v>9</v>
      </c>
      <c r="T462" s="3" t="str" cm="1">
        <f t="array" ref="T462">_xlfn.IFS(Trainingsabschluss[[#This Row],[Training_Bewertung]]&gt;=9, "Promotor", Trainingsabschluss[[#This Row],[Training_Bewertung]]
&lt;=6, "Detraktor",
TRUE, "Passiv")</f>
        <v>Promotor</v>
      </c>
      <c r="W462"/>
    </row>
    <row r="463" spans="1:23" x14ac:dyDescent="0.3">
      <c r="A463" s="13" t="s">
        <v>165</v>
      </c>
      <c r="B463" s="2">
        <v>5</v>
      </c>
      <c r="C463" s="2">
        <v>1.5</v>
      </c>
      <c r="D463" s="2">
        <v>5</v>
      </c>
      <c r="E463" s="2">
        <v>2</v>
      </c>
      <c r="F463" s="2">
        <v>2.5</v>
      </c>
      <c r="G463" s="2" t="str">
        <f>_xlfn.XLOOKUP(Trainingsabschluss[[#This Row],[UserID]], Teilnehmende[UserID], Teilnehmende[Branche], "UserID nicht gefunden")</f>
        <v>Beratung</v>
      </c>
      <c r="H463" t="str">
        <f>_xlfn.XLOOKUP(Trainingsabschluss[[#This Row],[UserID]], Teilnehmende[UserID], Teilnehmende[Bildungsabschluss], "UserID nicht gefunden")</f>
        <v>Promotion</v>
      </c>
      <c r="I463" s="3">
        <f>_xlfn.XLOOKUP(Trainingsabschluss[[#This Row],[UserID]], Teilnehmende[UserID], Teilnehmende[Berufserfahrung])</f>
        <v>6</v>
      </c>
      <c r="J463" s="3" t="str" cm="1">
        <f t="array" ref="J463">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63" s="11">
        <f>Trainingsabschluss[[#This Row],[Quiz_Frage1_Punkte]]/Max_Frage1</f>
        <v>1</v>
      </c>
      <c r="L463" s="11">
        <f>Trainingsabschluss[[#This Row],[Quiz_Frage2_Punkte]]/Max_Frage2</f>
        <v>0.3</v>
      </c>
      <c r="M463" s="11">
        <f>Trainingsabschluss[[#This Row],[Quiz_Frage3_Punkte]]/Max_Frage3</f>
        <v>1</v>
      </c>
      <c r="N463" s="11">
        <f>Trainingsabschluss[[#This Row],[Quiz_Frage4_Punkte]]/Max_Frage4</f>
        <v>0.5</v>
      </c>
      <c r="O463" s="11">
        <f>Trainingsabschluss[[#This Row],[Quiz_Frage5_Punkte]]/Max_Frage5</f>
        <v>0.83333333333333337</v>
      </c>
      <c r="P463" s="2">
        <f>Trainingsabschluss[[#This Row],[Quiz_Frage1_Punkte]]+Trainingsabschluss[[#This Row],[Quiz_Frage2_Punkte]]+Trainingsabschluss[[#This Row],[Quiz_Frage3_Punkte]]+Trainingsabschluss[[#This Row],[Quiz_Frage4_Punkte]]+Trainingsabschluss[[#This Row],[Quiz_Frage5_Punkte]]</f>
        <v>16</v>
      </c>
      <c r="Q463" s="8">
        <f>Trainingsabschluss[[#This Row],[Quizergebnis]]/Max_Quizergebnis</f>
        <v>0.72727272727272729</v>
      </c>
      <c r="R463" t="str" cm="1">
        <f t="array" ref="R463">_xlfn.IFS(Trainingsabschluss[[#This Row],[Quizergebnis_Prozent]]&lt;0.5, "Nicht bestanden",
Trainingsabschluss[[#This Row],[Quizergebnis_Prozent]]&lt;0.65, "Bestanden",
Trainingsabschluss[[#This Row],[Quizergebnis_Prozent]]&lt;0.8, "Gut bestanden",
TRUE, "Sehr gut bestanden")</f>
        <v>Gut bestanden</v>
      </c>
      <c r="S463" s="3">
        <v>8</v>
      </c>
      <c r="T463" s="3" t="str" cm="1">
        <f t="array" ref="T463">_xlfn.IFS(Trainingsabschluss[[#This Row],[Training_Bewertung]]&gt;=9, "Promotor", Trainingsabschluss[[#This Row],[Training_Bewertung]]
&lt;=6, "Detraktor",
TRUE, "Passiv")</f>
        <v>Passiv</v>
      </c>
      <c r="W463"/>
    </row>
    <row r="464" spans="1:23" x14ac:dyDescent="0.3">
      <c r="A464" s="13" t="s">
        <v>196</v>
      </c>
      <c r="B464" s="2">
        <v>5</v>
      </c>
      <c r="C464" s="2">
        <v>5</v>
      </c>
      <c r="D464" s="2">
        <v>2.5</v>
      </c>
      <c r="E464" s="2">
        <v>1.5</v>
      </c>
      <c r="F464" s="2">
        <v>2</v>
      </c>
      <c r="G464" s="2" t="str">
        <f>_xlfn.XLOOKUP(Trainingsabschluss[[#This Row],[UserID]], Teilnehmende[UserID], Teilnehmende[Branche], "UserID nicht gefunden")</f>
        <v>Beratung</v>
      </c>
      <c r="H464" t="str">
        <f>_xlfn.XLOOKUP(Trainingsabschluss[[#This Row],[UserID]], Teilnehmende[UserID], Teilnehmende[Bildungsabschluss], "UserID nicht gefunden")</f>
        <v>Promotion</v>
      </c>
      <c r="I464" s="3">
        <f>_xlfn.XLOOKUP(Trainingsabschluss[[#This Row],[UserID]], Teilnehmende[UserID], Teilnehmende[Berufserfahrung])</f>
        <v>8</v>
      </c>
      <c r="J464" s="3" t="str" cm="1">
        <f t="array" ref="J46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64" s="11">
        <f>Trainingsabschluss[[#This Row],[Quiz_Frage1_Punkte]]/Max_Frage1</f>
        <v>1</v>
      </c>
      <c r="L464" s="11">
        <f>Trainingsabschluss[[#This Row],[Quiz_Frage2_Punkte]]/Max_Frage2</f>
        <v>1</v>
      </c>
      <c r="M464" s="11">
        <f>Trainingsabschluss[[#This Row],[Quiz_Frage3_Punkte]]/Max_Frage3</f>
        <v>0.5</v>
      </c>
      <c r="N464" s="11">
        <f>Trainingsabschluss[[#This Row],[Quiz_Frage4_Punkte]]/Max_Frage4</f>
        <v>0.375</v>
      </c>
      <c r="O464" s="11">
        <f>Trainingsabschluss[[#This Row],[Quiz_Frage5_Punkte]]/Max_Frage5</f>
        <v>0.66666666666666663</v>
      </c>
      <c r="P464" s="2">
        <f>Trainingsabschluss[[#This Row],[Quiz_Frage1_Punkte]]+Trainingsabschluss[[#This Row],[Quiz_Frage2_Punkte]]+Trainingsabschluss[[#This Row],[Quiz_Frage3_Punkte]]+Trainingsabschluss[[#This Row],[Quiz_Frage4_Punkte]]+Trainingsabschluss[[#This Row],[Quiz_Frage5_Punkte]]</f>
        <v>16</v>
      </c>
      <c r="Q464" s="8">
        <f>Trainingsabschluss[[#This Row],[Quizergebnis]]/Max_Quizergebnis</f>
        <v>0.72727272727272729</v>
      </c>
      <c r="R464" t="str" cm="1">
        <f t="array" ref="R464">_xlfn.IFS(Trainingsabschluss[[#This Row],[Quizergebnis_Prozent]]&lt;0.5, "Nicht bestanden",
Trainingsabschluss[[#This Row],[Quizergebnis_Prozent]]&lt;0.65, "Bestanden",
Trainingsabschluss[[#This Row],[Quizergebnis_Prozent]]&lt;0.8, "Gut bestanden",
TRUE, "Sehr gut bestanden")</f>
        <v>Gut bestanden</v>
      </c>
      <c r="S464" s="3">
        <v>8</v>
      </c>
      <c r="T464" s="3" t="str" cm="1">
        <f t="array" ref="T464">_xlfn.IFS(Trainingsabschluss[[#This Row],[Training_Bewertung]]&gt;=9, "Promotor", Trainingsabschluss[[#This Row],[Training_Bewertung]]
&lt;=6, "Detraktor",
TRUE, "Passiv")</f>
        <v>Passiv</v>
      </c>
      <c r="W464"/>
    </row>
    <row r="465" spans="1:23" x14ac:dyDescent="0.3">
      <c r="A465" s="13" t="s">
        <v>205</v>
      </c>
      <c r="B465" s="2">
        <v>4</v>
      </c>
      <c r="C465" s="2">
        <v>4</v>
      </c>
      <c r="D465" s="2">
        <v>2</v>
      </c>
      <c r="E465" s="2">
        <v>3.5</v>
      </c>
      <c r="F465" s="2">
        <v>1.5</v>
      </c>
      <c r="G465" s="2" t="str">
        <f>_xlfn.XLOOKUP(Trainingsabschluss[[#This Row],[UserID]], Teilnehmende[UserID], Teilnehmende[Branche], "UserID nicht gefunden")</f>
        <v>Beratung</v>
      </c>
      <c r="H465" t="str">
        <f>_xlfn.XLOOKUP(Trainingsabschluss[[#This Row],[UserID]], Teilnehmende[UserID], Teilnehmende[Bildungsabschluss], "UserID nicht gefunden")</f>
        <v>Promotion</v>
      </c>
      <c r="I465" s="3">
        <f>_xlfn.XLOOKUP(Trainingsabschluss[[#This Row],[UserID]], Teilnehmende[UserID], Teilnehmende[Berufserfahrung])</f>
        <v>7</v>
      </c>
      <c r="J465" s="3" t="str" cm="1">
        <f t="array" ref="J46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65" s="11">
        <f>Trainingsabschluss[[#This Row],[Quiz_Frage1_Punkte]]/Max_Frage1</f>
        <v>0.8</v>
      </c>
      <c r="L465" s="11">
        <f>Trainingsabschluss[[#This Row],[Quiz_Frage2_Punkte]]/Max_Frage2</f>
        <v>0.8</v>
      </c>
      <c r="M465" s="11">
        <f>Trainingsabschluss[[#This Row],[Quiz_Frage3_Punkte]]/Max_Frage3</f>
        <v>0.4</v>
      </c>
      <c r="N465" s="11">
        <f>Trainingsabschluss[[#This Row],[Quiz_Frage4_Punkte]]/Max_Frage4</f>
        <v>0.875</v>
      </c>
      <c r="O465" s="11">
        <f>Trainingsabschluss[[#This Row],[Quiz_Frage5_Punkte]]/Max_Frage5</f>
        <v>0.5</v>
      </c>
      <c r="P465" s="2">
        <f>Trainingsabschluss[[#This Row],[Quiz_Frage1_Punkte]]+Trainingsabschluss[[#This Row],[Quiz_Frage2_Punkte]]+Trainingsabschluss[[#This Row],[Quiz_Frage3_Punkte]]+Trainingsabschluss[[#This Row],[Quiz_Frage4_Punkte]]+Trainingsabschluss[[#This Row],[Quiz_Frage5_Punkte]]</f>
        <v>15</v>
      </c>
      <c r="Q465" s="8">
        <f>Trainingsabschluss[[#This Row],[Quizergebnis]]/Max_Quizergebnis</f>
        <v>0.68181818181818177</v>
      </c>
      <c r="R465" t="str" cm="1">
        <f t="array" ref="R465">_xlfn.IFS(Trainingsabschluss[[#This Row],[Quizergebnis_Prozent]]&lt;0.5, "Nicht bestanden",
Trainingsabschluss[[#This Row],[Quizergebnis_Prozent]]&lt;0.65, "Bestanden",
Trainingsabschluss[[#This Row],[Quizergebnis_Prozent]]&lt;0.8, "Gut bestanden",
TRUE, "Sehr gut bestanden")</f>
        <v>Gut bestanden</v>
      </c>
      <c r="S465" s="3">
        <v>9</v>
      </c>
      <c r="T465" s="3" t="str" cm="1">
        <f t="array" ref="T465">_xlfn.IFS(Trainingsabschluss[[#This Row],[Training_Bewertung]]&gt;=9, "Promotor", Trainingsabschluss[[#This Row],[Training_Bewertung]]
&lt;=6, "Detraktor",
TRUE, "Passiv")</f>
        <v>Promotor</v>
      </c>
      <c r="W465"/>
    </row>
    <row r="466" spans="1:23" x14ac:dyDescent="0.3">
      <c r="A466" s="13" t="s">
        <v>234</v>
      </c>
      <c r="B466" s="2">
        <v>4.5</v>
      </c>
      <c r="C466" s="2">
        <v>5</v>
      </c>
      <c r="D466" s="2">
        <v>2.5</v>
      </c>
      <c r="E466" s="2">
        <v>1</v>
      </c>
      <c r="F466" s="2">
        <v>2.5</v>
      </c>
      <c r="G466" s="2" t="str">
        <f>_xlfn.XLOOKUP(Trainingsabschluss[[#This Row],[UserID]], Teilnehmende[UserID], Teilnehmende[Branche], "UserID nicht gefunden")</f>
        <v>Beratung</v>
      </c>
      <c r="H466" t="str">
        <f>_xlfn.XLOOKUP(Trainingsabschluss[[#This Row],[UserID]], Teilnehmende[UserID], Teilnehmende[Bildungsabschluss], "UserID nicht gefunden")</f>
        <v>Promotion</v>
      </c>
      <c r="I466" s="3">
        <f>_xlfn.XLOOKUP(Trainingsabschluss[[#This Row],[UserID]], Teilnehmende[UserID], Teilnehmende[Berufserfahrung])</f>
        <v>14</v>
      </c>
      <c r="J466" s="3" t="str" cm="1">
        <f t="array" ref="J46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66" s="11">
        <f>Trainingsabschluss[[#This Row],[Quiz_Frage1_Punkte]]/Max_Frage1</f>
        <v>0.9</v>
      </c>
      <c r="L466" s="11">
        <f>Trainingsabschluss[[#This Row],[Quiz_Frage2_Punkte]]/Max_Frage2</f>
        <v>1</v>
      </c>
      <c r="M466" s="11">
        <f>Trainingsabschluss[[#This Row],[Quiz_Frage3_Punkte]]/Max_Frage3</f>
        <v>0.5</v>
      </c>
      <c r="N466" s="11">
        <f>Trainingsabschluss[[#This Row],[Quiz_Frage4_Punkte]]/Max_Frage4</f>
        <v>0.25</v>
      </c>
      <c r="O466" s="11">
        <f>Trainingsabschluss[[#This Row],[Quiz_Frage5_Punkte]]/Max_Frage5</f>
        <v>0.83333333333333337</v>
      </c>
      <c r="P466" s="2">
        <f>Trainingsabschluss[[#This Row],[Quiz_Frage1_Punkte]]+Trainingsabschluss[[#This Row],[Quiz_Frage2_Punkte]]+Trainingsabschluss[[#This Row],[Quiz_Frage3_Punkte]]+Trainingsabschluss[[#This Row],[Quiz_Frage4_Punkte]]+Trainingsabschluss[[#This Row],[Quiz_Frage5_Punkte]]</f>
        <v>15.5</v>
      </c>
      <c r="Q466" s="8">
        <f>Trainingsabschluss[[#This Row],[Quizergebnis]]/Max_Quizergebnis</f>
        <v>0.70454545454545459</v>
      </c>
      <c r="R466" t="str" cm="1">
        <f t="array" ref="R466">_xlfn.IFS(Trainingsabschluss[[#This Row],[Quizergebnis_Prozent]]&lt;0.5, "Nicht bestanden",
Trainingsabschluss[[#This Row],[Quizergebnis_Prozent]]&lt;0.65, "Bestanden",
Trainingsabschluss[[#This Row],[Quizergebnis_Prozent]]&lt;0.8, "Gut bestanden",
TRUE, "Sehr gut bestanden")</f>
        <v>Gut bestanden</v>
      </c>
      <c r="S466" s="3">
        <v>9</v>
      </c>
      <c r="T466" s="3" t="str" cm="1">
        <f t="array" ref="T466">_xlfn.IFS(Trainingsabschluss[[#This Row],[Training_Bewertung]]&gt;=9, "Promotor", Trainingsabschluss[[#This Row],[Training_Bewertung]]
&lt;=6, "Detraktor",
TRUE, "Passiv")</f>
        <v>Promotor</v>
      </c>
      <c r="W466"/>
    </row>
    <row r="467" spans="1:23" x14ac:dyDescent="0.3">
      <c r="A467" s="13" t="s">
        <v>72</v>
      </c>
      <c r="B467" s="2">
        <v>5</v>
      </c>
      <c r="C467" s="2">
        <v>3.5</v>
      </c>
      <c r="D467" s="2">
        <v>4</v>
      </c>
      <c r="E467" s="2">
        <v>1</v>
      </c>
      <c r="F467" s="2">
        <v>2</v>
      </c>
      <c r="G467" s="2" t="str">
        <f>_xlfn.XLOOKUP(Trainingsabschluss[[#This Row],[UserID]], Teilnehmende[UserID], Teilnehmende[Branche], "UserID nicht gefunden")</f>
        <v>Einzelhandel</v>
      </c>
      <c r="H467" t="str">
        <f>_xlfn.XLOOKUP(Trainingsabschluss[[#This Row],[UserID]], Teilnehmende[UserID], Teilnehmende[Bildungsabschluss], "UserID nicht gefunden")</f>
        <v>Promotion</v>
      </c>
      <c r="I467" s="3">
        <f>_xlfn.XLOOKUP(Trainingsabschluss[[#This Row],[UserID]], Teilnehmende[UserID], Teilnehmende[Berufserfahrung])</f>
        <v>7</v>
      </c>
      <c r="J467" s="3" t="str" cm="1">
        <f t="array" ref="J46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67" s="11">
        <f>Trainingsabschluss[[#This Row],[Quiz_Frage1_Punkte]]/Max_Frage1</f>
        <v>1</v>
      </c>
      <c r="L467" s="11">
        <f>Trainingsabschluss[[#This Row],[Quiz_Frage2_Punkte]]/Max_Frage2</f>
        <v>0.7</v>
      </c>
      <c r="M467" s="11">
        <f>Trainingsabschluss[[#This Row],[Quiz_Frage3_Punkte]]/Max_Frage3</f>
        <v>0.8</v>
      </c>
      <c r="N467" s="11">
        <f>Trainingsabschluss[[#This Row],[Quiz_Frage4_Punkte]]/Max_Frage4</f>
        <v>0.25</v>
      </c>
      <c r="O467" s="11">
        <f>Trainingsabschluss[[#This Row],[Quiz_Frage5_Punkte]]/Max_Frage5</f>
        <v>0.66666666666666663</v>
      </c>
      <c r="P467" s="2">
        <f>Trainingsabschluss[[#This Row],[Quiz_Frage1_Punkte]]+Trainingsabschluss[[#This Row],[Quiz_Frage2_Punkte]]+Trainingsabschluss[[#This Row],[Quiz_Frage3_Punkte]]+Trainingsabschluss[[#This Row],[Quiz_Frage4_Punkte]]+Trainingsabschluss[[#This Row],[Quiz_Frage5_Punkte]]</f>
        <v>15.5</v>
      </c>
      <c r="Q467" s="8">
        <f>Trainingsabschluss[[#This Row],[Quizergebnis]]/Max_Quizergebnis</f>
        <v>0.70454545454545459</v>
      </c>
      <c r="R467" t="str" cm="1">
        <f t="array" ref="R467">_xlfn.IFS(Trainingsabschluss[[#This Row],[Quizergebnis_Prozent]]&lt;0.5, "Nicht bestanden",
Trainingsabschluss[[#This Row],[Quizergebnis_Prozent]]&lt;0.65, "Bestanden",
Trainingsabschluss[[#This Row],[Quizergebnis_Prozent]]&lt;0.8, "Gut bestanden",
TRUE, "Sehr gut bestanden")</f>
        <v>Gut bestanden</v>
      </c>
      <c r="S467" s="3">
        <v>9</v>
      </c>
      <c r="T467" s="3" t="str" cm="1">
        <f t="array" ref="T467">_xlfn.IFS(Trainingsabschluss[[#This Row],[Training_Bewertung]]&gt;=9, "Promotor", Trainingsabschluss[[#This Row],[Training_Bewertung]]
&lt;=6, "Detraktor",
TRUE, "Passiv")</f>
        <v>Promotor</v>
      </c>
      <c r="W467"/>
    </row>
    <row r="468" spans="1:23" x14ac:dyDescent="0.3">
      <c r="A468" s="13" t="s">
        <v>15</v>
      </c>
      <c r="B468" s="2">
        <v>5</v>
      </c>
      <c r="C468" s="2">
        <v>0</v>
      </c>
      <c r="D468" s="2">
        <v>3</v>
      </c>
      <c r="E468" s="2">
        <v>3</v>
      </c>
      <c r="F468" s="2">
        <v>1</v>
      </c>
      <c r="G468" s="2" t="str">
        <f>_xlfn.XLOOKUP(Trainingsabschluss[[#This Row],[UserID]], Teilnehmende[UserID], Teilnehmende[Branche], "UserID nicht gefunden")</f>
        <v>E-Commerce</v>
      </c>
      <c r="H468" t="str">
        <f>_xlfn.XLOOKUP(Trainingsabschluss[[#This Row],[UserID]], Teilnehmende[UserID], Teilnehmende[Bildungsabschluss], "UserID nicht gefunden")</f>
        <v>Promotion</v>
      </c>
      <c r="I468" s="3">
        <f>_xlfn.XLOOKUP(Trainingsabschluss[[#This Row],[UserID]], Teilnehmende[UserID], Teilnehmende[Berufserfahrung])</f>
        <v>6</v>
      </c>
      <c r="J468" s="3" t="str" cm="1">
        <f t="array" ref="J46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68" s="11">
        <f>Trainingsabschluss[[#This Row],[Quiz_Frage1_Punkte]]/Max_Frage1</f>
        <v>1</v>
      </c>
      <c r="L468" s="11">
        <f>Trainingsabschluss[[#This Row],[Quiz_Frage2_Punkte]]/Max_Frage2</f>
        <v>0</v>
      </c>
      <c r="M468" s="11">
        <f>Trainingsabschluss[[#This Row],[Quiz_Frage3_Punkte]]/Max_Frage3</f>
        <v>0.6</v>
      </c>
      <c r="N468" s="11">
        <f>Trainingsabschluss[[#This Row],[Quiz_Frage4_Punkte]]/Max_Frage4</f>
        <v>0.75</v>
      </c>
      <c r="O468" s="11">
        <f>Trainingsabschluss[[#This Row],[Quiz_Frage5_Punkte]]/Max_Frage5</f>
        <v>0.33333333333333331</v>
      </c>
      <c r="P468" s="2">
        <f>Trainingsabschluss[[#This Row],[Quiz_Frage1_Punkte]]+Trainingsabschluss[[#This Row],[Quiz_Frage2_Punkte]]+Trainingsabschluss[[#This Row],[Quiz_Frage3_Punkte]]+Trainingsabschluss[[#This Row],[Quiz_Frage4_Punkte]]+Trainingsabschluss[[#This Row],[Quiz_Frage5_Punkte]]</f>
        <v>12</v>
      </c>
      <c r="Q468" s="8">
        <f>Trainingsabschluss[[#This Row],[Quizergebnis]]/Max_Quizergebnis</f>
        <v>0.54545454545454541</v>
      </c>
      <c r="R468" t="str" cm="1">
        <f t="array" ref="R468">_xlfn.IFS(Trainingsabschluss[[#This Row],[Quizergebnis_Prozent]]&lt;0.5, "Nicht bestanden",
Trainingsabschluss[[#This Row],[Quizergebnis_Prozent]]&lt;0.65, "Bestanden",
Trainingsabschluss[[#This Row],[Quizergebnis_Prozent]]&lt;0.8, "Gut bestanden",
TRUE, "Sehr gut bestanden")</f>
        <v>Bestanden</v>
      </c>
      <c r="S468" s="3">
        <v>9</v>
      </c>
      <c r="T468" s="3" t="str" cm="1">
        <f t="array" ref="T468">_xlfn.IFS(Trainingsabschluss[[#This Row],[Training_Bewertung]]&gt;=9, "Promotor", Trainingsabschluss[[#This Row],[Training_Bewertung]]
&lt;=6, "Detraktor",
TRUE, "Passiv")</f>
        <v>Promotor</v>
      </c>
      <c r="W468"/>
    </row>
    <row r="469" spans="1:23" x14ac:dyDescent="0.3">
      <c r="A469" s="13" t="s">
        <v>19</v>
      </c>
      <c r="B469" s="2">
        <v>4.5</v>
      </c>
      <c r="C469" s="2">
        <v>4.5</v>
      </c>
      <c r="D469" s="2">
        <v>3.5</v>
      </c>
      <c r="E469" s="2">
        <v>0.5</v>
      </c>
      <c r="F469" s="2">
        <v>3</v>
      </c>
      <c r="G469" s="2" t="str">
        <f>_xlfn.XLOOKUP(Trainingsabschluss[[#This Row],[UserID]], Teilnehmende[UserID], Teilnehmende[Branche], "UserID nicht gefunden")</f>
        <v>E-Commerce</v>
      </c>
      <c r="H469" t="str">
        <f>_xlfn.XLOOKUP(Trainingsabschluss[[#This Row],[UserID]], Teilnehmende[UserID], Teilnehmende[Bildungsabschluss], "UserID nicht gefunden")</f>
        <v>Promotion</v>
      </c>
      <c r="I469" s="3">
        <f>_xlfn.XLOOKUP(Trainingsabschluss[[#This Row],[UserID]], Teilnehmende[UserID], Teilnehmende[Berufserfahrung])</f>
        <v>6</v>
      </c>
      <c r="J469" s="3" t="str" cm="1">
        <f t="array" ref="J46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69" s="11">
        <f>Trainingsabschluss[[#This Row],[Quiz_Frage1_Punkte]]/Max_Frage1</f>
        <v>0.9</v>
      </c>
      <c r="L469" s="11">
        <f>Trainingsabschluss[[#This Row],[Quiz_Frage2_Punkte]]/Max_Frage2</f>
        <v>0.9</v>
      </c>
      <c r="M469" s="11">
        <f>Trainingsabschluss[[#This Row],[Quiz_Frage3_Punkte]]/Max_Frage3</f>
        <v>0.7</v>
      </c>
      <c r="N469" s="11">
        <f>Trainingsabschluss[[#This Row],[Quiz_Frage4_Punkte]]/Max_Frage4</f>
        <v>0.125</v>
      </c>
      <c r="O469" s="11">
        <f>Trainingsabschluss[[#This Row],[Quiz_Frage5_Punkte]]/Max_Frage5</f>
        <v>1</v>
      </c>
      <c r="P469" s="2">
        <f>Trainingsabschluss[[#This Row],[Quiz_Frage1_Punkte]]+Trainingsabschluss[[#This Row],[Quiz_Frage2_Punkte]]+Trainingsabschluss[[#This Row],[Quiz_Frage3_Punkte]]+Trainingsabschluss[[#This Row],[Quiz_Frage4_Punkte]]+Trainingsabschluss[[#This Row],[Quiz_Frage5_Punkte]]</f>
        <v>16</v>
      </c>
      <c r="Q469" s="8">
        <f>Trainingsabschluss[[#This Row],[Quizergebnis]]/Max_Quizergebnis</f>
        <v>0.72727272727272729</v>
      </c>
      <c r="R469" t="str" cm="1">
        <f t="array" ref="R469">_xlfn.IFS(Trainingsabschluss[[#This Row],[Quizergebnis_Prozent]]&lt;0.5, "Nicht bestanden",
Trainingsabschluss[[#This Row],[Quizergebnis_Prozent]]&lt;0.65, "Bestanden",
Trainingsabschluss[[#This Row],[Quizergebnis_Prozent]]&lt;0.8, "Gut bestanden",
TRUE, "Sehr gut bestanden")</f>
        <v>Gut bestanden</v>
      </c>
      <c r="S469" s="3">
        <v>9</v>
      </c>
      <c r="T469" s="3" t="str" cm="1">
        <f t="array" ref="T469">_xlfn.IFS(Trainingsabschluss[[#This Row],[Training_Bewertung]]&gt;=9, "Promotor", Trainingsabschluss[[#This Row],[Training_Bewertung]]
&lt;=6, "Detraktor",
TRUE, "Passiv")</f>
        <v>Promotor</v>
      </c>
      <c r="W469"/>
    </row>
    <row r="470" spans="1:23" x14ac:dyDescent="0.3">
      <c r="A470" s="13" t="s">
        <v>79</v>
      </c>
      <c r="B470" s="2">
        <v>5</v>
      </c>
      <c r="C470" s="2">
        <v>4</v>
      </c>
      <c r="D470" s="2">
        <v>2</v>
      </c>
      <c r="E470" s="2">
        <v>2</v>
      </c>
      <c r="F470" s="2">
        <v>1.5</v>
      </c>
      <c r="G470" s="2" t="str">
        <f>_xlfn.XLOOKUP(Trainingsabschluss[[#This Row],[UserID]], Teilnehmende[UserID], Teilnehmende[Branche], "UserID nicht gefunden")</f>
        <v>E-Commerce</v>
      </c>
      <c r="H470" t="str">
        <f>_xlfn.XLOOKUP(Trainingsabschluss[[#This Row],[UserID]], Teilnehmende[UserID], Teilnehmende[Bildungsabschluss], "UserID nicht gefunden")</f>
        <v>Promotion</v>
      </c>
      <c r="I470" s="3">
        <f>_xlfn.XLOOKUP(Trainingsabschluss[[#This Row],[UserID]], Teilnehmende[UserID], Teilnehmende[Berufserfahrung])</f>
        <v>12</v>
      </c>
      <c r="J470" s="3" t="str" cm="1">
        <f t="array" ref="J470">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70" s="11">
        <f>Trainingsabschluss[[#This Row],[Quiz_Frage1_Punkte]]/Max_Frage1</f>
        <v>1</v>
      </c>
      <c r="L470" s="11">
        <f>Trainingsabschluss[[#This Row],[Quiz_Frage2_Punkte]]/Max_Frage2</f>
        <v>0.8</v>
      </c>
      <c r="M470" s="11">
        <f>Trainingsabschluss[[#This Row],[Quiz_Frage3_Punkte]]/Max_Frage3</f>
        <v>0.4</v>
      </c>
      <c r="N470" s="11">
        <f>Trainingsabschluss[[#This Row],[Quiz_Frage4_Punkte]]/Max_Frage4</f>
        <v>0.5</v>
      </c>
      <c r="O470" s="11">
        <f>Trainingsabschluss[[#This Row],[Quiz_Frage5_Punkte]]/Max_Frage5</f>
        <v>0.5</v>
      </c>
      <c r="P470" s="2">
        <f>Trainingsabschluss[[#This Row],[Quiz_Frage1_Punkte]]+Trainingsabschluss[[#This Row],[Quiz_Frage2_Punkte]]+Trainingsabschluss[[#This Row],[Quiz_Frage3_Punkte]]+Trainingsabschluss[[#This Row],[Quiz_Frage4_Punkte]]+Trainingsabschluss[[#This Row],[Quiz_Frage5_Punkte]]</f>
        <v>14.5</v>
      </c>
      <c r="Q470" s="8">
        <f>Trainingsabschluss[[#This Row],[Quizergebnis]]/Max_Quizergebnis</f>
        <v>0.65909090909090906</v>
      </c>
      <c r="R470" t="str" cm="1">
        <f t="array" ref="R470">_xlfn.IFS(Trainingsabschluss[[#This Row],[Quizergebnis_Prozent]]&lt;0.5, "Nicht bestanden",
Trainingsabschluss[[#This Row],[Quizergebnis_Prozent]]&lt;0.65, "Bestanden",
Trainingsabschluss[[#This Row],[Quizergebnis_Prozent]]&lt;0.8, "Gut bestanden",
TRUE, "Sehr gut bestanden")</f>
        <v>Gut bestanden</v>
      </c>
      <c r="S470" s="3">
        <v>7</v>
      </c>
      <c r="T470" s="3" t="str" cm="1">
        <f t="array" ref="T470">_xlfn.IFS(Trainingsabschluss[[#This Row],[Training_Bewertung]]&gt;=9, "Promotor", Trainingsabschluss[[#This Row],[Training_Bewertung]]
&lt;=6, "Detraktor",
TRUE, "Passiv")</f>
        <v>Passiv</v>
      </c>
      <c r="W470"/>
    </row>
    <row r="471" spans="1:23" x14ac:dyDescent="0.3">
      <c r="A471" s="13" t="s">
        <v>26</v>
      </c>
      <c r="B471" s="2">
        <v>5</v>
      </c>
      <c r="C471" s="2">
        <v>4.5</v>
      </c>
      <c r="D471" s="2">
        <v>1.5</v>
      </c>
      <c r="E471" s="2">
        <v>4</v>
      </c>
      <c r="F471" s="2">
        <v>1</v>
      </c>
      <c r="G471" s="2" t="str">
        <f>_xlfn.XLOOKUP(Trainingsabschluss[[#This Row],[UserID]], Teilnehmende[UserID], Teilnehmende[Branche], "UserID nicht gefunden")</f>
        <v>Einzelhandel</v>
      </c>
      <c r="H471" t="str">
        <f>_xlfn.XLOOKUP(Trainingsabschluss[[#This Row],[UserID]], Teilnehmende[UserID], Teilnehmende[Bildungsabschluss], "UserID nicht gefunden")</f>
        <v>Promotion</v>
      </c>
      <c r="I471" s="3">
        <f>_xlfn.XLOOKUP(Trainingsabschluss[[#This Row],[UserID]], Teilnehmende[UserID], Teilnehmende[Berufserfahrung])</f>
        <v>10</v>
      </c>
      <c r="J471" s="3" t="str" cm="1">
        <f t="array" ref="J471">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71" s="11">
        <f>Trainingsabschluss[[#This Row],[Quiz_Frage1_Punkte]]/Max_Frage1</f>
        <v>1</v>
      </c>
      <c r="L471" s="11">
        <f>Trainingsabschluss[[#This Row],[Quiz_Frage2_Punkte]]/Max_Frage2</f>
        <v>0.9</v>
      </c>
      <c r="M471" s="11">
        <f>Trainingsabschluss[[#This Row],[Quiz_Frage3_Punkte]]/Max_Frage3</f>
        <v>0.3</v>
      </c>
      <c r="N471" s="11">
        <f>Trainingsabschluss[[#This Row],[Quiz_Frage4_Punkte]]/Max_Frage4</f>
        <v>1</v>
      </c>
      <c r="O471" s="11">
        <f>Trainingsabschluss[[#This Row],[Quiz_Frage5_Punkte]]/Max_Frage5</f>
        <v>0.33333333333333331</v>
      </c>
      <c r="P471" s="2">
        <f>Trainingsabschluss[[#This Row],[Quiz_Frage1_Punkte]]+Trainingsabschluss[[#This Row],[Quiz_Frage2_Punkte]]+Trainingsabschluss[[#This Row],[Quiz_Frage3_Punkte]]+Trainingsabschluss[[#This Row],[Quiz_Frage4_Punkte]]+Trainingsabschluss[[#This Row],[Quiz_Frage5_Punkte]]</f>
        <v>16</v>
      </c>
      <c r="Q471" s="8">
        <f>Trainingsabschluss[[#This Row],[Quizergebnis]]/Max_Quizergebnis</f>
        <v>0.72727272727272729</v>
      </c>
      <c r="R471" t="str" cm="1">
        <f t="array" ref="R471">_xlfn.IFS(Trainingsabschluss[[#This Row],[Quizergebnis_Prozent]]&lt;0.5, "Nicht bestanden",
Trainingsabschluss[[#This Row],[Quizergebnis_Prozent]]&lt;0.65, "Bestanden",
Trainingsabschluss[[#This Row],[Quizergebnis_Prozent]]&lt;0.8, "Gut bestanden",
TRUE, "Sehr gut bestanden")</f>
        <v>Gut bestanden</v>
      </c>
      <c r="S471" s="3">
        <v>6</v>
      </c>
      <c r="T471" s="3" t="str" cm="1">
        <f t="array" ref="T471">_xlfn.IFS(Trainingsabschluss[[#This Row],[Training_Bewertung]]&gt;=9, "Promotor", Trainingsabschluss[[#This Row],[Training_Bewertung]]
&lt;=6, "Detraktor",
TRUE, "Passiv")</f>
        <v>Detraktor</v>
      </c>
      <c r="W471"/>
    </row>
    <row r="472" spans="1:23" x14ac:dyDescent="0.3">
      <c r="A472" s="13" t="s">
        <v>114</v>
      </c>
      <c r="B472" s="2">
        <v>5</v>
      </c>
      <c r="C472" s="2">
        <v>4</v>
      </c>
      <c r="D472" s="2">
        <v>2</v>
      </c>
      <c r="E472" s="2">
        <v>2.5</v>
      </c>
      <c r="F472" s="2">
        <v>0</v>
      </c>
      <c r="G472" s="2" t="str">
        <f>_xlfn.XLOOKUP(Trainingsabschluss[[#This Row],[UserID]], Teilnehmende[UserID], Teilnehmende[Branche], "UserID nicht gefunden")</f>
        <v>Großhandel</v>
      </c>
      <c r="H472" t="str">
        <f>_xlfn.XLOOKUP(Trainingsabschluss[[#This Row],[UserID]], Teilnehmende[UserID], Teilnehmende[Bildungsabschluss], "UserID nicht gefunden")</f>
        <v>Promotion</v>
      </c>
      <c r="I472" s="3">
        <f>_xlfn.XLOOKUP(Trainingsabschluss[[#This Row],[UserID]], Teilnehmende[UserID], Teilnehmende[Berufserfahrung])</f>
        <v>6</v>
      </c>
      <c r="J472" s="3" t="str" cm="1">
        <f t="array" ref="J47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72" s="11">
        <f>Trainingsabschluss[[#This Row],[Quiz_Frage1_Punkte]]/Max_Frage1</f>
        <v>1</v>
      </c>
      <c r="L472" s="11">
        <f>Trainingsabschluss[[#This Row],[Quiz_Frage2_Punkte]]/Max_Frage2</f>
        <v>0.8</v>
      </c>
      <c r="M472" s="11">
        <f>Trainingsabschluss[[#This Row],[Quiz_Frage3_Punkte]]/Max_Frage3</f>
        <v>0.4</v>
      </c>
      <c r="N472" s="11">
        <f>Trainingsabschluss[[#This Row],[Quiz_Frage4_Punkte]]/Max_Frage4</f>
        <v>0.625</v>
      </c>
      <c r="O472" s="11">
        <f>Trainingsabschluss[[#This Row],[Quiz_Frage5_Punkte]]/Max_Frage5</f>
        <v>0</v>
      </c>
      <c r="P472" s="2">
        <f>Trainingsabschluss[[#This Row],[Quiz_Frage1_Punkte]]+Trainingsabschluss[[#This Row],[Quiz_Frage2_Punkte]]+Trainingsabschluss[[#This Row],[Quiz_Frage3_Punkte]]+Trainingsabschluss[[#This Row],[Quiz_Frage4_Punkte]]+Trainingsabschluss[[#This Row],[Quiz_Frage5_Punkte]]</f>
        <v>13.5</v>
      </c>
      <c r="Q472" s="8">
        <f>Trainingsabschluss[[#This Row],[Quizergebnis]]/Max_Quizergebnis</f>
        <v>0.61363636363636365</v>
      </c>
      <c r="R472" t="str" cm="1">
        <f t="array" ref="R472">_xlfn.IFS(Trainingsabschluss[[#This Row],[Quizergebnis_Prozent]]&lt;0.5, "Nicht bestanden",
Trainingsabschluss[[#This Row],[Quizergebnis_Prozent]]&lt;0.65, "Bestanden",
Trainingsabschluss[[#This Row],[Quizergebnis_Prozent]]&lt;0.8, "Gut bestanden",
TRUE, "Sehr gut bestanden")</f>
        <v>Bestanden</v>
      </c>
      <c r="S472" s="3">
        <v>9</v>
      </c>
      <c r="T472" s="3" t="str" cm="1">
        <f t="array" ref="T472">_xlfn.IFS(Trainingsabschluss[[#This Row],[Training_Bewertung]]&gt;=9, "Promotor", Trainingsabschluss[[#This Row],[Training_Bewertung]]
&lt;=6, "Detraktor",
TRUE, "Passiv")</f>
        <v>Promotor</v>
      </c>
      <c r="W472"/>
    </row>
    <row r="473" spans="1:23" x14ac:dyDescent="0.3">
      <c r="A473" s="13" t="s">
        <v>115</v>
      </c>
      <c r="B473" s="2">
        <v>5</v>
      </c>
      <c r="C473" s="2">
        <v>2</v>
      </c>
      <c r="D473" s="2">
        <v>1.5</v>
      </c>
      <c r="E473" s="2">
        <v>2.5</v>
      </c>
      <c r="F473" s="2">
        <v>2</v>
      </c>
      <c r="G473" s="2" t="str">
        <f>_xlfn.XLOOKUP(Trainingsabschluss[[#This Row],[UserID]], Teilnehmende[UserID], Teilnehmende[Branche], "UserID nicht gefunden")</f>
        <v>Großhandel</v>
      </c>
      <c r="H473" t="str">
        <f>_xlfn.XLOOKUP(Trainingsabschluss[[#This Row],[UserID]], Teilnehmende[UserID], Teilnehmende[Bildungsabschluss], "UserID nicht gefunden")</f>
        <v>Promotion</v>
      </c>
      <c r="I473" s="3">
        <f>_xlfn.XLOOKUP(Trainingsabschluss[[#This Row],[UserID]], Teilnehmende[UserID], Teilnehmende[Berufserfahrung])</f>
        <v>20</v>
      </c>
      <c r="J473" s="3" t="str" cm="1">
        <f t="array" ref="J473">_xlfn.IFS(Trainingsabschluss[[#This Row],[Berufserfahrung]]&lt;=4,"wenig",Trainingsabschluss[[#This Row],[Berufserfahrung]]&lt;=9,"mittel",Trainingsabschluss[[#This Row],[Berufserfahrung]]&lt;=14,"fortgeschritten",Trainingsabschluss[[#This Row],[Berufserfahrung]]&lt;=19,"viel",Trainingsabschluss[[#This Row],[Berufserfahrung]]&gt;=20,"sehr viel")</f>
        <v>sehr viel</v>
      </c>
      <c r="K473" s="11">
        <f>Trainingsabschluss[[#This Row],[Quiz_Frage1_Punkte]]/Max_Frage1</f>
        <v>1</v>
      </c>
      <c r="L473" s="11">
        <f>Trainingsabschluss[[#This Row],[Quiz_Frage2_Punkte]]/Max_Frage2</f>
        <v>0.4</v>
      </c>
      <c r="M473" s="11">
        <f>Trainingsabschluss[[#This Row],[Quiz_Frage3_Punkte]]/Max_Frage3</f>
        <v>0.3</v>
      </c>
      <c r="N473" s="11">
        <f>Trainingsabschluss[[#This Row],[Quiz_Frage4_Punkte]]/Max_Frage4</f>
        <v>0.625</v>
      </c>
      <c r="O473" s="11">
        <f>Trainingsabschluss[[#This Row],[Quiz_Frage5_Punkte]]/Max_Frage5</f>
        <v>0.66666666666666663</v>
      </c>
      <c r="P473" s="2">
        <f>Trainingsabschluss[[#This Row],[Quiz_Frage1_Punkte]]+Trainingsabschluss[[#This Row],[Quiz_Frage2_Punkte]]+Trainingsabschluss[[#This Row],[Quiz_Frage3_Punkte]]+Trainingsabschluss[[#This Row],[Quiz_Frage4_Punkte]]+Trainingsabschluss[[#This Row],[Quiz_Frage5_Punkte]]</f>
        <v>13</v>
      </c>
      <c r="Q473" s="8">
        <f>Trainingsabschluss[[#This Row],[Quizergebnis]]/Max_Quizergebnis</f>
        <v>0.59090909090909094</v>
      </c>
      <c r="R473" t="str" cm="1">
        <f t="array" ref="R473">_xlfn.IFS(Trainingsabschluss[[#This Row],[Quizergebnis_Prozent]]&lt;0.5, "Nicht bestanden",
Trainingsabschluss[[#This Row],[Quizergebnis_Prozent]]&lt;0.65, "Bestanden",
Trainingsabschluss[[#This Row],[Quizergebnis_Prozent]]&lt;0.8, "Gut bestanden",
TRUE, "Sehr gut bestanden")</f>
        <v>Bestanden</v>
      </c>
      <c r="S473" s="3">
        <v>9</v>
      </c>
      <c r="T473" s="3" t="str" cm="1">
        <f t="array" ref="T473">_xlfn.IFS(Trainingsabschluss[[#This Row],[Training_Bewertung]]&gt;=9, "Promotor", Trainingsabschluss[[#This Row],[Training_Bewertung]]
&lt;=6, "Detraktor",
TRUE, "Passiv")</f>
        <v>Promotor</v>
      </c>
      <c r="W473"/>
    </row>
    <row r="474" spans="1:23" x14ac:dyDescent="0.3">
      <c r="A474" s="13" t="s">
        <v>66</v>
      </c>
      <c r="B474" s="2">
        <v>4.5</v>
      </c>
      <c r="C474" s="2">
        <v>5</v>
      </c>
      <c r="D474" s="2">
        <v>4</v>
      </c>
      <c r="E474" s="2">
        <v>3</v>
      </c>
      <c r="F474" s="2">
        <v>2.5</v>
      </c>
      <c r="G474" s="2" t="str">
        <f>_xlfn.XLOOKUP(Trainingsabschluss[[#This Row],[UserID]], Teilnehmende[UserID], Teilnehmende[Branche], "UserID nicht gefunden")</f>
        <v>Großhandel</v>
      </c>
      <c r="H474" t="str">
        <f>_xlfn.XLOOKUP(Trainingsabschluss[[#This Row],[UserID]], Teilnehmende[UserID], Teilnehmende[Bildungsabschluss], "UserID nicht gefunden")</f>
        <v>Promotion</v>
      </c>
      <c r="I474" s="3">
        <f>_xlfn.XLOOKUP(Trainingsabschluss[[#This Row],[UserID]], Teilnehmende[UserID], Teilnehmende[Berufserfahrung])</f>
        <v>8</v>
      </c>
      <c r="J474" s="3" t="str" cm="1">
        <f t="array" ref="J47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74" s="11">
        <f>Trainingsabschluss[[#This Row],[Quiz_Frage1_Punkte]]/Max_Frage1</f>
        <v>0.9</v>
      </c>
      <c r="L474" s="11">
        <f>Trainingsabschluss[[#This Row],[Quiz_Frage2_Punkte]]/Max_Frage2</f>
        <v>1</v>
      </c>
      <c r="M474" s="11">
        <f>Trainingsabschluss[[#This Row],[Quiz_Frage3_Punkte]]/Max_Frage3</f>
        <v>0.8</v>
      </c>
      <c r="N474" s="11">
        <f>Trainingsabschluss[[#This Row],[Quiz_Frage4_Punkte]]/Max_Frage4</f>
        <v>0.75</v>
      </c>
      <c r="O474" s="11">
        <f>Trainingsabschluss[[#This Row],[Quiz_Frage5_Punkte]]/Max_Frage5</f>
        <v>0.83333333333333337</v>
      </c>
      <c r="P474" s="2">
        <f>Trainingsabschluss[[#This Row],[Quiz_Frage1_Punkte]]+Trainingsabschluss[[#This Row],[Quiz_Frage2_Punkte]]+Trainingsabschluss[[#This Row],[Quiz_Frage3_Punkte]]+Trainingsabschluss[[#This Row],[Quiz_Frage4_Punkte]]+Trainingsabschluss[[#This Row],[Quiz_Frage5_Punkte]]</f>
        <v>19</v>
      </c>
      <c r="Q474" s="8">
        <f>Trainingsabschluss[[#This Row],[Quizergebnis]]/Max_Quizergebnis</f>
        <v>0.86363636363636365</v>
      </c>
      <c r="R474" t="str" cm="1">
        <f t="array" ref="R474">_xlfn.IFS(Trainingsabschluss[[#This Row],[Quizergebnis_Prozent]]&lt;0.5, "Nicht bestanden",
Trainingsabschluss[[#This Row],[Quizergebnis_Prozent]]&lt;0.65, "Bestanden",
Trainingsabschluss[[#This Row],[Quizergebnis_Prozent]]&lt;0.8, "Gut bestanden",
TRUE, "Sehr gut bestanden")</f>
        <v>Sehr gut bestanden</v>
      </c>
      <c r="S474" s="3">
        <v>9</v>
      </c>
      <c r="T474" s="3" t="str" cm="1">
        <f t="array" ref="T474">_xlfn.IFS(Trainingsabschluss[[#This Row],[Training_Bewertung]]&gt;=9, "Promotor", Trainingsabschluss[[#This Row],[Training_Bewertung]]
&lt;=6, "Detraktor",
TRUE, "Passiv")</f>
        <v>Promotor</v>
      </c>
      <c r="W474"/>
    </row>
    <row r="475" spans="1:23" x14ac:dyDescent="0.3">
      <c r="A475" s="13" t="s">
        <v>370</v>
      </c>
      <c r="B475" s="2">
        <v>4.5</v>
      </c>
      <c r="C475" s="2">
        <v>3.5</v>
      </c>
      <c r="D475" s="2">
        <v>2.5</v>
      </c>
      <c r="E475" s="2">
        <v>3.5</v>
      </c>
      <c r="F475" s="2">
        <v>2.5</v>
      </c>
      <c r="G475" s="2" t="str">
        <f>_xlfn.XLOOKUP(Trainingsabschluss[[#This Row],[UserID]], Teilnehmende[UserID], Teilnehmende[Branche], "UserID nicht gefunden")</f>
        <v>IT und Technologie</v>
      </c>
      <c r="H475" t="str">
        <f>_xlfn.XLOOKUP(Trainingsabschluss[[#This Row],[UserID]], Teilnehmende[UserID], Teilnehmende[Bildungsabschluss], "UserID nicht gefunden")</f>
        <v>Promotion</v>
      </c>
      <c r="I475" s="3">
        <f>_xlfn.XLOOKUP(Trainingsabschluss[[#This Row],[UserID]], Teilnehmende[UserID], Teilnehmende[Berufserfahrung])</f>
        <v>6</v>
      </c>
      <c r="J475" s="3" t="str" cm="1">
        <f t="array" ref="J475">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75" s="11">
        <f>Trainingsabschluss[[#This Row],[Quiz_Frage1_Punkte]]/Max_Frage1</f>
        <v>0.9</v>
      </c>
      <c r="L475" s="11">
        <f>Trainingsabschluss[[#This Row],[Quiz_Frage2_Punkte]]/Max_Frage2</f>
        <v>0.7</v>
      </c>
      <c r="M475" s="11">
        <f>Trainingsabschluss[[#This Row],[Quiz_Frage3_Punkte]]/Max_Frage3</f>
        <v>0.5</v>
      </c>
      <c r="N475" s="11">
        <f>Trainingsabschluss[[#This Row],[Quiz_Frage4_Punkte]]/Max_Frage4</f>
        <v>0.875</v>
      </c>
      <c r="O475" s="11">
        <f>Trainingsabschluss[[#This Row],[Quiz_Frage5_Punkte]]/Max_Frage5</f>
        <v>0.83333333333333337</v>
      </c>
      <c r="P475" s="2">
        <f>Trainingsabschluss[[#This Row],[Quiz_Frage1_Punkte]]+Trainingsabschluss[[#This Row],[Quiz_Frage2_Punkte]]+Trainingsabschluss[[#This Row],[Quiz_Frage3_Punkte]]+Trainingsabschluss[[#This Row],[Quiz_Frage4_Punkte]]+Trainingsabschluss[[#This Row],[Quiz_Frage5_Punkte]]</f>
        <v>16.5</v>
      </c>
      <c r="Q475" s="8">
        <f>Trainingsabschluss[[#This Row],[Quizergebnis]]/Max_Quizergebnis</f>
        <v>0.75</v>
      </c>
      <c r="R475" t="str" cm="1">
        <f t="array" ref="R475">_xlfn.IFS(Trainingsabschluss[[#This Row],[Quizergebnis_Prozent]]&lt;0.5, "Nicht bestanden",
Trainingsabschluss[[#This Row],[Quizergebnis_Prozent]]&lt;0.65, "Bestanden",
Trainingsabschluss[[#This Row],[Quizergebnis_Prozent]]&lt;0.8, "Gut bestanden",
TRUE, "Sehr gut bestanden")</f>
        <v>Gut bestanden</v>
      </c>
      <c r="S475" s="3">
        <v>10</v>
      </c>
      <c r="T475" s="3" t="str" cm="1">
        <f t="array" ref="T475">_xlfn.IFS(Trainingsabschluss[[#This Row],[Training_Bewertung]]&gt;=9, "Promotor", Trainingsabschluss[[#This Row],[Training_Bewertung]]
&lt;=6, "Detraktor",
TRUE, "Passiv")</f>
        <v>Promotor</v>
      </c>
      <c r="W475"/>
    </row>
    <row r="476" spans="1:23" x14ac:dyDescent="0.3">
      <c r="A476" s="13" t="s">
        <v>391</v>
      </c>
      <c r="B476" s="2">
        <v>4</v>
      </c>
      <c r="C476" s="2">
        <v>3</v>
      </c>
      <c r="D476" s="2">
        <v>4</v>
      </c>
      <c r="E476" s="2">
        <v>3</v>
      </c>
      <c r="F476" s="2">
        <v>0.5</v>
      </c>
      <c r="G476" s="2" t="str">
        <f>_xlfn.XLOOKUP(Trainingsabschluss[[#This Row],[UserID]], Teilnehmende[UserID], Teilnehmende[Branche], "UserID nicht gefunden")</f>
        <v>IT und Technologie</v>
      </c>
      <c r="H476" t="str">
        <f>_xlfn.XLOOKUP(Trainingsabschluss[[#This Row],[UserID]], Teilnehmende[UserID], Teilnehmende[Bildungsabschluss], "UserID nicht gefunden")</f>
        <v>Promotion</v>
      </c>
      <c r="I476" s="3">
        <f>_xlfn.XLOOKUP(Trainingsabschluss[[#This Row],[UserID]], Teilnehmende[UserID], Teilnehmende[Berufserfahrung])</f>
        <v>13</v>
      </c>
      <c r="J476" s="3" t="str" cm="1">
        <f t="array" ref="J476">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76" s="11">
        <f>Trainingsabschluss[[#This Row],[Quiz_Frage1_Punkte]]/Max_Frage1</f>
        <v>0.8</v>
      </c>
      <c r="L476" s="11">
        <f>Trainingsabschluss[[#This Row],[Quiz_Frage2_Punkte]]/Max_Frage2</f>
        <v>0.6</v>
      </c>
      <c r="M476" s="11">
        <f>Trainingsabschluss[[#This Row],[Quiz_Frage3_Punkte]]/Max_Frage3</f>
        <v>0.8</v>
      </c>
      <c r="N476" s="11">
        <f>Trainingsabschluss[[#This Row],[Quiz_Frage4_Punkte]]/Max_Frage4</f>
        <v>0.75</v>
      </c>
      <c r="O476" s="11">
        <f>Trainingsabschluss[[#This Row],[Quiz_Frage5_Punkte]]/Max_Frage5</f>
        <v>0.16666666666666666</v>
      </c>
      <c r="P476" s="2">
        <f>Trainingsabschluss[[#This Row],[Quiz_Frage1_Punkte]]+Trainingsabschluss[[#This Row],[Quiz_Frage2_Punkte]]+Trainingsabschluss[[#This Row],[Quiz_Frage3_Punkte]]+Trainingsabschluss[[#This Row],[Quiz_Frage4_Punkte]]+Trainingsabschluss[[#This Row],[Quiz_Frage5_Punkte]]</f>
        <v>14.5</v>
      </c>
      <c r="Q476" s="8">
        <f>Trainingsabschluss[[#This Row],[Quizergebnis]]/Max_Quizergebnis</f>
        <v>0.65909090909090906</v>
      </c>
      <c r="R476" t="str" cm="1">
        <f t="array" ref="R476">_xlfn.IFS(Trainingsabschluss[[#This Row],[Quizergebnis_Prozent]]&lt;0.5, "Nicht bestanden",
Trainingsabschluss[[#This Row],[Quizergebnis_Prozent]]&lt;0.65, "Bestanden",
Trainingsabschluss[[#This Row],[Quizergebnis_Prozent]]&lt;0.8, "Gut bestanden",
TRUE, "Sehr gut bestanden")</f>
        <v>Gut bestanden</v>
      </c>
      <c r="S476" s="3">
        <v>5</v>
      </c>
      <c r="T476" s="3" t="str" cm="1">
        <f t="array" ref="T476">_xlfn.IFS(Trainingsabschluss[[#This Row],[Training_Bewertung]]&gt;=9, "Promotor", Trainingsabschluss[[#This Row],[Training_Bewertung]]
&lt;=6, "Detraktor",
TRUE, "Passiv")</f>
        <v>Detraktor</v>
      </c>
      <c r="W476"/>
    </row>
    <row r="477" spans="1:23" x14ac:dyDescent="0.3">
      <c r="A477" s="13" t="s">
        <v>411</v>
      </c>
      <c r="B477" s="2">
        <v>5</v>
      </c>
      <c r="C477" s="2">
        <v>3.5</v>
      </c>
      <c r="D477" s="2">
        <v>3</v>
      </c>
      <c r="E477" s="2">
        <v>2.5</v>
      </c>
      <c r="F477" s="2">
        <v>2.5</v>
      </c>
      <c r="G477" s="2" t="str">
        <f>_xlfn.XLOOKUP(Trainingsabschluss[[#This Row],[UserID]], Teilnehmende[UserID], Teilnehmende[Branche], "UserID nicht gefunden")</f>
        <v>IT und Technologie</v>
      </c>
      <c r="H477" t="str">
        <f>_xlfn.XLOOKUP(Trainingsabschluss[[#This Row],[UserID]], Teilnehmende[UserID], Teilnehmende[Bildungsabschluss], "UserID nicht gefunden")</f>
        <v>Promotion</v>
      </c>
      <c r="I477" s="3">
        <f>_xlfn.XLOOKUP(Trainingsabschluss[[#This Row],[UserID]], Teilnehmende[UserID], Teilnehmende[Berufserfahrung])</f>
        <v>6</v>
      </c>
      <c r="J477" s="3" t="str" cm="1">
        <f t="array" ref="J47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77" s="11">
        <f>Trainingsabschluss[[#This Row],[Quiz_Frage1_Punkte]]/Max_Frage1</f>
        <v>1</v>
      </c>
      <c r="L477" s="11">
        <f>Trainingsabschluss[[#This Row],[Quiz_Frage2_Punkte]]/Max_Frage2</f>
        <v>0.7</v>
      </c>
      <c r="M477" s="11">
        <f>Trainingsabschluss[[#This Row],[Quiz_Frage3_Punkte]]/Max_Frage3</f>
        <v>0.6</v>
      </c>
      <c r="N477" s="11">
        <f>Trainingsabschluss[[#This Row],[Quiz_Frage4_Punkte]]/Max_Frage4</f>
        <v>0.625</v>
      </c>
      <c r="O477" s="11">
        <f>Trainingsabschluss[[#This Row],[Quiz_Frage5_Punkte]]/Max_Frage5</f>
        <v>0.83333333333333337</v>
      </c>
      <c r="P477" s="2">
        <f>Trainingsabschluss[[#This Row],[Quiz_Frage1_Punkte]]+Trainingsabschluss[[#This Row],[Quiz_Frage2_Punkte]]+Trainingsabschluss[[#This Row],[Quiz_Frage3_Punkte]]+Trainingsabschluss[[#This Row],[Quiz_Frage4_Punkte]]+Trainingsabschluss[[#This Row],[Quiz_Frage5_Punkte]]</f>
        <v>16.5</v>
      </c>
      <c r="Q477" s="8">
        <f>Trainingsabschluss[[#This Row],[Quizergebnis]]/Max_Quizergebnis</f>
        <v>0.75</v>
      </c>
      <c r="R477" t="str" cm="1">
        <f t="array" ref="R477">_xlfn.IFS(Trainingsabschluss[[#This Row],[Quizergebnis_Prozent]]&lt;0.5, "Nicht bestanden",
Trainingsabschluss[[#This Row],[Quizergebnis_Prozent]]&lt;0.65, "Bestanden",
Trainingsabschluss[[#This Row],[Quizergebnis_Prozent]]&lt;0.8, "Gut bestanden",
TRUE, "Sehr gut bestanden")</f>
        <v>Gut bestanden</v>
      </c>
      <c r="S477" s="3">
        <v>8</v>
      </c>
      <c r="T477" s="3" t="str" cm="1">
        <f t="array" ref="T477">_xlfn.IFS(Trainingsabschluss[[#This Row],[Training_Bewertung]]&gt;=9, "Promotor", Trainingsabschluss[[#This Row],[Training_Bewertung]]
&lt;=6, "Detraktor",
TRUE, "Passiv")</f>
        <v>Passiv</v>
      </c>
      <c r="W477"/>
    </row>
    <row r="478" spans="1:23" x14ac:dyDescent="0.3">
      <c r="A478" s="13" t="s">
        <v>430</v>
      </c>
      <c r="B478" s="2">
        <v>5</v>
      </c>
      <c r="C478" s="2">
        <v>4.5</v>
      </c>
      <c r="D478" s="2">
        <v>2</v>
      </c>
      <c r="E478" s="2">
        <v>4</v>
      </c>
      <c r="F478" s="2">
        <v>1.5</v>
      </c>
      <c r="G478" s="2" t="str">
        <f>_xlfn.XLOOKUP(Trainingsabschluss[[#This Row],[UserID]], Teilnehmende[UserID], Teilnehmende[Branche], "UserID nicht gefunden")</f>
        <v>IT und Technologie</v>
      </c>
      <c r="H478" t="str">
        <f>_xlfn.XLOOKUP(Trainingsabschluss[[#This Row],[UserID]], Teilnehmende[UserID], Teilnehmende[Bildungsabschluss], "UserID nicht gefunden")</f>
        <v>Promotion</v>
      </c>
      <c r="I478" s="3">
        <f>_xlfn.XLOOKUP(Trainingsabschluss[[#This Row],[UserID]], Teilnehmende[UserID], Teilnehmende[Berufserfahrung])</f>
        <v>9</v>
      </c>
      <c r="J478" s="3" t="str" cm="1">
        <f t="array" ref="J47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78" s="11">
        <f>Trainingsabschluss[[#This Row],[Quiz_Frage1_Punkte]]/Max_Frage1</f>
        <v>1</v>
      </c>
      <c r="L478" s="11">
        <f>Trainingsabschluss[[#This Row],[Quiz_Frage2_Punkte]]/Max_Frage2</f>
        <v>0.9</v>
      </c>
      <c r="M478" s="11">
        <f>Trainingsabschluss[[#This Row],[Quiz_Frage3_Punkte]]/Max_Frage3</f>
        <v>0.4</v>
      </c>
      <c r="N478" s="11">
        <f>Trainingsabschluss[[#This Row],[Quiz_Frage4_Punkte]]/Max_Frage4</f>
        <v>1</v>
      </c>
      <c r="O478" s="11">
        <f>Trainingsabschluss[[#This Row],[Quiz_Frage5_Punkte]]/Max_Frage5</f>
        <v>0.5</v>
      </c>
      <c r="P478" s="2">
        <f>Trainingsabschluss[[#This Row],[Quiz_Frage1_Punkte]]+Trainingsabschluss[[#This Row],[Quiz_Frage2_Punkte]]+Trainingsabschluss[[#This Row],[Quiz_Frage3_Punkte]]+Trainingsabschluss[[#This Row],[Quiz_Frage4_Punkte]]+Trainingsabschluss[[#This Row],[Quiz_Frage5_Punkte]]</f>
        <v>17</v>
      </c>
      <c r="Q478" s="8">
        <f>Trainingsabschluss[[#This Row],[Quizergebnis]]/Max_Quizergebnis</f>
        <v>0.77272727272727271</v>
      </c>
      <c r="R478" t="str" cm="1">
        <f t="array" ref="R478">_xlfn.IFS(Trainingsabschluss[[#This Row],[Quizergebnis_Prozent]]&lt;0.5, "Nicht bestanden",
Trainingsabschluss[[#This Row],[Quizergebnis_Prozent]]&lt;0.65, "Bestanden",
Trainingsabschluss[[#This Row],[Quizergebnis_Prozent]]&lt;0.8, "Gut bestanden",
TRUE, "Sehr gut bestanden")</f>
        <v>Gut bestanden</v>
      </c>
      <c r="S478" s="3">
        <v>9</v>
      </c>
      <c r="T478" s="3" t="str" cm="1">
        <f t="array" ref="T478">_xlfn.IFS(Trainingsabschluss[[#This Row],[Training_Bewertung]]&gt;=9, "Promotor", Trainingsabschluss[[#This Row],[Training_Bewertung]]
&lt;=6, "Detraktor",
TRUE, "Passiv")</f>
        <v>Promotor</v>
      </c>
      <c r="W478"/>
    </row>
    <row r="479" spans="1:23" x14ac:dyDescent="0.3">
      <c r="A479" s="13" t="s">
        <v>448</v>
      </c>
      <c r="B479" s="2">
        <v>5</v>
      </c>
      <c r="C479" s="2">
        <v>4</v>
      </c>
      <c r="D479" s="2">
        <v>1.5</v>
      </c>
      <c r="E479" s="2">
        <v>3</v>
      </c>
      <c r="F479" s="2">
        <v>0.5</v>
      </c>
      <c r="G479" s="2" t="str">
        <f>_xlfn.XLOOKUP(Trainingsabschluss[[#This Row],[UserID]], Teilnehmende[UserID], Teilnehmende[Branche], "UserID nicht gefunden")</f>
        <v>IT und Technologie</v>
      </c>
      <c r="H479" t="str">
        <f>_xlfn.XLOOKUP(Trainingsabschluss[[#This Row],[UserID]], Teilnehmende[UserID], Teilnehmende[Bildungsabschluss], "UserID nicht gefunden")</f>
        <v>Promotion</v>
      </c>
      <c r="I479" s="3">
        <f>_xlfn.XLOOKUP(Trainingsabschluss[[#This Row],[UserID]], Teilnehmende[UserID], Teilnehmende[Berufserfahrung])</f>
        <v>7</v>
      </c>
      <c r="J479" s="3" t="str" cm="1">
        <f t="array" ref="J479">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79" s="11">
        <f>Trainingsabschluss[[#This Row],[Quiz_Frage1_Punkte]]/Max_Frage1</f>
        <v>1</v>
      </c>
      <c r="L479" s="11">
        <f>Trainingsabschluss[[#This Row],[Quiz_Frage2_Punkte]]/Max_Frage2</f>
        <v>0.8</v>
      </c>
      <c r="M479" s="11">
        <f>Trainingsabschluss[[#This Row],[Quiz_Frage3_Punkte]]/Max_Frage3</f>
        <v>0.3</v>
      </c>
      <c r="N479" s="11">
        <f>Trainingsabschluss[[#This Row],[Quiz_Frage4_Punkte]]/Max_Frage4</f>
        <v>0.75</v>
      </c>
      <c r="O479" s="11">
        <f>Trainingsabschluss[[#This Row],[Quiz_Frage5_Punkte]]/Max_Frage5</f>
        <v>0.16666666666666666</v>
      </c>
      <c r="P479" s="2">
        <f>Trainingsabschluss[[#This Row],[Quiz_Frage1_Punkte]]+Trainingsabschluss[[#This Row],[Quiz_Frage2_Punkte]]+Trainingsabschluss[[#This Row],[Quiz_Frage3_Punkte]]+Trainingsabschluss[[#This Row],[Quiz_Frage4_Punkte]]+Trainingsabschluss[[#This Row],[Quiz_Frage5_Punkte]]</f>
        <v>14</v>
      </c>
      <c r="Q479" s="8">
        <f>Trainingsabschluss[[#This Row],[Quizergebnis]]/Max_Quizergebnis</f>
        <v>0.63636363636363635</v>
      </c>
      <c r="R479" t="str" cm="1">
        <f t="array" ref="R479">_xlfn.IFS(Trainingsabschluss[[#This Row],[Quizergebnis_Prozent]]&lt;0.5, "Nicht bestanden",
Trainingsabschluss[[#This Row],[Quizergebnis_Prozent]]&lt;0.65, "Bestanden",
Trainingsabschluss[[#This Row],[Quizergebnis_Prozent]]&lt;0.8, "Gut bestanden",
TRUE, "Sehr gut bestanden")</f>
        <v>Bestanden</v>
      </c>
      <c r="S479" s="3">
        <v>9</v>
      </c>
      <c r="T479" s="3" t="str" cm="1">
        <f t="array" ref="T479">_xlfn.IFS(Trainingsabschluss[[#This Row],[Training_Bewertung]]&gt;=9, "Promotor", Trainingsabschluss[[#This Row],[Training_Bewertung]]
&lt;=6, "Detraktor",
TRUE, "Passiv")</f>
        <v>Promotor</v>
      </c>
      <c r="W479"/>
    </row>
    <row r="480" spans="1:23" x14ac:dyDescent="0.3">
      <c r="A480" s="13" t="s">
        <v>454</v>
      </c>
      <c r="B480" s="2">
        <v>3.5</v>
      </c>
      <c r="C480" s="2">
        <v>5</v>
      </c>
      <c r="D480" s="2">
        <v>2.5</v>
      </c>
      <c r="E480" s="2">
        <v>4</v>
      </c>
      <c r="F480" s="2">
        <v>3</v>
      </c>
      <c r="G480" s="2" t="str">
        <f>_xlfn.XLOOKUP(Trainingsabschluss[[#This Row],[UserID]], Teilnehmende[UserID], Teilnehmende[Branche], "UserID nicht gefunden")</f>
        <v>IT und Technologie</v>
      </c>
      <c r="H480" t="str">
        <f>_xlfn.XLOOKUP(Trainingsabschluss[[#This Row],[UserID]], Teilnehmende[UserID], Teilnehmende[Bildungsabschluss], "UserID nicht gefunden")</f>
        <v>Promotion</v>
      </c>
      <c r="I480" s="3">
        <f>_xlfn.XLOOKUP(Trainingsabschluss[[#This Row],[UserID]], Teilnehmende[UserID], Teilnehmende[Berufserfahrung])</f>
        <v>6</v>
      </c>
      <c r="J480" s="3" t="str" cm="1">
        <f t="array" ref="J480">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80" s="11">
        <f>Trainingsabschluss[[#This Row],[Quiz_Frage1_Punkte]]/Max_Frage1</f>
        <v>0.7</v>
      </c>
      <c r="L480" s="11">
        <f>Trainingsabschluss[[#This Row],[Quiz_Frage2_Punkte]]/Max_Frage2</f>
        <v>1</v>
      </c>
      <c r="M480" s="11">
        <f>Trainingsabschluss[[#This Row],[Quiz_Frage3_Punkte]]/Max_Frage3</f>
        <v>0.5</v>
      </c>
      <c r="N480" s="11">
        <f>Trainingsabschluss[[#This Row],[Quiz_Frage4_Punkte]]/Max_Frage4</f>
        <v>1</v>
      </c>
      <c r="O480" s="11">
        <f>Trainingsabschluss[[#This Row],[Quiz_Frage5_Punkte]]/Max_Frage5</f>
        <v>1</v>
      </c>
      <c r="P480" s="2">
        <f>Trainingsabschluss[[#This Row],[Quiz_Frage1_Punkte]]+Trainingsabschluss[[#This Row],[Quiz_Frage2_Punkte]]+Trainingsabschluss[[#This Row],[Quiz_Frage3_Punkte]]+Trainingsabschluss[[#This Row],[Quiz_Frage4_Punkte]]+Trainingsabschluss[[#This Row],[Quiz_Frage5_Punkte]]</f>
        <v>18</v>
      </c>
      <c r="Q480" s="8">
        <f>Trainingsabschluss[[#This Row],[Quizergebnis]]/Max_Quizergebnis</f>
        <v>0.81818181818181823</v>
      </c>
      <c r="R480" t="str" cm="1">
        <f t="array" ref="R480">_xlfn.IFS(Trainingsabschluss[[#This Row],[Quizergebnis_Prozent]]&lt;0.5, "Nicht bestanden",
Trainingsabschluss[[#This Row],[Quizergebnis_Prozent]]&lt;0.65, "Bestanden",
Trainingsabschluss[[#This Row],[Quizergebnis_Prozent]]&lt;0.8, "Gut bestanden",
TRUE, "Sehr gut bestanden")</f>
        <v>Sehr gut bestanden</v>
      </c>
      <c r="S480" s="3">
        <v>9</v>
      </c>
      <c r="T480" s="3" t="str" cm="1">
        <f t="array" ref="T480">_xlfn.IFS(Trainingsabschluss[[#This Row],[Training_Bewertung]]&gt;=9, "Promotor", Trainingsabschluss[[#This Row],[Training_Bewertung]]
&lt;=6, "Detraktor",
TRUE, "Passiv")</f>
        <v>Promotor</v>
      </c>
      <c r="W480"/>
    </row>
    <row r="481" spans="1:23" x14ac:dyDescent="0.3">
      <c r="A481" s="13" t="s">
        <v>455</v>
      </c>
      <c r="B481" s="2">
        <v>2</v>
      </c>
      <c r="C481" s="2">
        <v>3.5</v>
      </c>
      <c r="D481" s="2">
        <v>2.5</v>
      </c>
      <c r="E481" s="2">
        <v>2.5</v>
      </c>
      <c r="F481" s="2">
        <v>1</v>
      </c>
      <c r="G481" s="2" t="str">
        <f>_xlfn.XLOOKUP(Trainingsabschluss[[#This Row],[UserID]], Teilnehmende[UserID], Teilnehmende[Branche], "UserID nicht gefunden")</f>
        <v>IT und Technologie</v>
      </c>
      <c r="H481" t="str">
        <f>_xlfn.XLOOKUP(Trainingsabschluss[[#This Row],[UserID]], Teilnehmende[UserID], Teilnehmende[Bildungsabschluss], "UserID nicht gefunden")</f>
        <v>Promotion</v>
      </c>
      <c r="I481" s="3">
        <f>_xlfn.XLOOKUP(Trainingsabschluss[[#This Row],[UserID]], Teilnehmende[UserID], Teilnehmende[Berufserfahrung])</f>
        <v>18</v>
      </c>
      <c r="J481" s="3" t="str" cm="1">
        <f t="array" ref="J481">_xlfn.IFS(Trainingsabschluss[[#This Row],[Berufserfahrung]]&lt;=4,"wenig",Trainingsabschluss[[#This Row],[Berufserfahrung]]&lt;=9,"mittel",Trainingsabschluss[[#This Row],[Berufserfahrung]]&lt;=14,"fortgeschritten",Trainingsabschluss[[#This Row],[Berufserfahrung]]&lt;=19,"viel",Trainingsabschluss[[#This Row],[Berufserfahrung]]&gt;=20,"sehr viel")</f>
        <v>viel</v>
      </c>
      <c r="K481" s="11">
        <f>Trainingsabschluss[[#This Row],[Quiz_Frage1_Punkte]]/Max_Frage1</f>
        <v>0.4</v>
      </c>
      <c r="L481" s="11">
        <f>Trainingsabschluss[[#This Row],[Quiz_Frage2_Punkte]]/Max_Frage2</f>
        <v>0.7</v>
      </c>
      <c r="M481" s="11">
        <f>Trainingsabschluss[[#This Row],[Quiz_Frage3_Punkte]]/Max_Frage3</f>
        <v>0.5</v>
      </c>
      <c r="N481" s="11">
        <f>Trainingsabschluss[[#This Row],[Quiz_Frage4_Punkte]]/Max_Frage4</f>
        <v>0.625</v>
      </c>
      <c r="O481" s="11">
        <f>Trainingsabschluss[[#This Row],[Quiz_Frage5_Punkte]]/Max_Frage5</f>
        <v>0.33333333333333331</v>
      </c>
      <c r="P481" s="2">
        <f>Trainingsabschluss[[#This Row],[Quiz_Frage1_Punkte]]+Trainingsabschluss[[#This Row],[Quiz_Frage2_Punkte]]+Trainingsabschluss[[#This Row],[Quiz_Frage3_Punkte]]+Trainingsabschluss[[#This Row],[Quiz_Frage4_Punkte]]+Trainingsabschluss[[#This Row],[Quiz_Frage5_Punkte]]</f>
        <v>11.5</v>
      </c>
      <c r="Q481" s="8">
        <f>Trainingsabschluss[[#This Row],[Quizergebnis]]/Max_Quizergebnis</f>
        <v>0.52272727272727271</v>
      </c>
      <c r="R481" t="str" cm="1">
        <f t="array" ref="R481">_xlfn.IFS(Trainingsabschluss[[#This Row],[Quizergebnis_Prozent]]&lt;0.5, "Nicht bestanden",
Trainingsabschluss[[#This Row],[Quizergebnis_Prozent]]&lt;0.65, "Bestanden",
Trainingsabschluss[[#This Row],[Quizergebnis_Prozent]]&lt;0.8, "Gut bestanden",
TRUE, "Sehr gut bestanden")</f>
        <v>Bestanden</v>
      </c>
      <c r="S481" s="3">
        <v>9</v>
      </c>
      <c r="T481" s="3" t="str" cm="1">
        <f t="array" ref="T481">_xlfn.IFS(Trainingsabschluss[[#This Row],[Training_Bewertung]]&gt;=9, "Promotor", Trainingsabschluss[[#This Row],[Training_Bewertung]]
&lt;=6, "Detraktor",
TRUE, "Passiv")</f>
        <v>Promotor</v>
      </c>
      <c r="W481"/>
    </row>
    <row r="482" spans="1:23" x14ac:dyDescent="0.3">
      <c r="A482" s="13" t="s">
        <v>479</v>
      </c>
      <c r="B482" s="2">
        <v>5</v>
      </c>
      <c r="C482" s="2">
        <v>4</v>
      </c>
      <c r="D482" s="2">
        <v>5</v>
      </c>
      <c r="E482" s="2">
        <v>0.5</v>
      </c>
      <c r="F482" s="2">
        <v>3</v>
      </c>
      <c r="G482" s="2" t="str">
        <f>_xlfn.XLOOKUP(Trainingsabschluss[[#This Row],[UserID]], Teilnehmende[UserID], Teilnehmende[Branche], "UserID nicht gefunden")</f>
        <v>IT und Technologie</v>
      </c>
      <c r="H482" t="str">
        <f>_xlfn.XLOOKUP(Trainingsabschluss[[#This Row],[UserID]], Teilnehmende[UserID], Teilnehmende[Bildungsabschluss], "UserID nicht gefunden")</f>
        <v>Promotion</v>
      </c>
      <c r="I482" s="3">
        <f>_xlfn.XLOOKUP(Trainingsabschluss[[#This Row],[UserID]], Teilnehmende[UserID], Teilnehmende[Berufserfahrung])</f>
        <v>8</v>
      </c>
      <c r="J482" s="3" t="str" cm="1">
        <f t="array" ref="J482">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82" s="11">
        <f>Trainingsabschluss[[#This Row],[Quiz_Frage1_Punkte]]/Max_Frage1</f>
        <v>1</v>
      </c>
      <c r="L482" s="11">
        <f>Trainingsabschluss[[#This Row],[Quiz_Frage2_Punkte]]/Max_Frage2</f>
        <v>0.8</v>
      </c>
      <c r="M482" s="11">
        <f>Trainingsabschluss[[#This Row],[Quiz_Frage3_Punkte]]/Max_Frage3</f>
        <v>1</v>
      </c>
      <c r="N482" s="11">
        <f>Trainingsabschluss[[#This Row],[Quiz_Frage4_Punkte]]/Max_Frage4</f>
        <v>0.125</v>
      </c>
      <c r="O482" s="11">
        <f>Trainingsabschluss[[#This Row],[Quiz_Frage5_Punkte]]/Max_Frage5</f>
        <v>1</v>
      </c>
      <c r="P482" s="2">
        <f>Trainingsabschluss[[#This Row],[Quiz_Frage1_Punkte]]+Trainingsabschluss[[#This Row],[Quiz_Frage2_Punkte]]+Trainingsabschluss[[#This Row],[Quiz_Frage3_Punkte]]+Trainingsabschluss[[#This Row],[Quiz_Frage4_Punkte]]+Trainingsabschluss[[#This Row],[Quiz_Frage5_Punkte]]</f>
        <v>17.5</v>
      </c>
      <c r="Q482" s="8">
        <f>Trainingsabschluss[[#This Row],[Quizergebnis]]/Max_Quizergebnis</f>
        <v>0.79545454545454541</v>
      </c>
      <c r="R482" t="str" cm="1">
        <f t="array" ref="R482">_xlfn.IFS(Trainingsabschluss[[#This Row],[Quizergebnis_Prozent]]&lt;0.5, "Nicht bestanden",
Trainingsabschluss[[#This Row],[Quizergebnis_Prozent]]&lt;0.65, "Bestanden",
Trainingsabschluss[[#This Row],[Quizergebnis_Prozent]]&lt;0.8, "Gut bestanden",
TRUE, "Sehr gut bestanden")</f>
        <v>Gut bestanden</v>
      </c>
      <c r="S482" s="3">
        <v>10</v>
      </c>
      <c r="T482" s="3" t="str" cm="1">
        <f t="array" ref="T482">_xlfn.IFS(Trainingsabschluss[[#This Row],[Training_Bewertung]]&gt;=9, "Promotor", Trainingsabschluss[[#This Row],[Training_Bewertung]]
&lt;=6, "Detraktor",
TRUE, "Passiv")</f>
        <v>Promotor</v>
      </c>
      <c r="W482"/>
    </row>
    <row r="483" spans="1:23" x14ac:dyDescent="0.3">
      <c r="A483" s="13" t="s">
        <v>481</v>
      </c>
      <c r="B483" s="2">
        <v>4.5</v>
      </c>
      <c r="C483" s="2">
        <v>2</v>
      </c>
      <c r="D483" s="2">
        <v>3</v>
      </c>
      <c r="E483" s="2">
        <v>4</v>
      </c>
      <c r="F483" s="2">
        <v>1</v>
      </c>
      <c r="G483" s="2" t="str">
        <f>_xlfn.XLOOKUP(Trainingsabschluss[[#This Row],[UserID]], Teilnehmende[UserID], Teilnehmende[Branche], "UserID nicht gefunden")</f>
        <v>IT und Technologie</v>
      </c>
      <c r="H483" t="str">
        <f>_xlfn.XLOOKUP(Trainingsabschluss[[#This Row],[UserID]], Teilnehmende[UserID], Teilnehmende[Bildungsabschluss], "UserID nicht gefunden")</f>
        <v>Promotion</v>
      </c>
      <c r="I483" s="3">
        <f>_xlfn.XLOOKUP(Trainingsabschluss[[#This Row],[UserID]], Teilnehmende[UserID], Teilnehmende[Berufserfahrung])</f>
        <v>11</v>
      </c>
      <c r="J483" s="3" t="str" cm="1">
        <f t="array" ref="J483">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83" s="11">
        <f>Trainingsabschluss[[#This Row],[Quiz_Frage1_Punkte]]/Max_Frage1</f>
        <v>0.9</v>
      </c>
      <c r="L483" s="11">
        <f>Trainingsabschluss[[#This Row],[Quiz_Frage2_Punkte]]/Max_Frage2</f>
        <v>0.4</v>
      </c>
      <c r="M483" s="11">
        <f>Trainingsabschluss[[#This Row],[Quiz_Frage3_Punkte]]/Max_Frage3</f>
        <v>0.6</v>
      </c>
      <c r="N483" s="11">
        <f>Trainingsabschluss[[#This Row],[Quiz_Frage4_Punkte]]/Max_Frage4</f>
        <v>1</v>
      </c>
      <c r="O483" s="11">
        <f>Trainingsabschluss[[#This Row],[Quiz_Frage5_Punkte]]/Max_Frage5</f>
        <v>0.33333333333333331</v>
      </c>
      <c r="P483" s="2">
        <f>Trainingsabschluss[[#This Row],[Quiz_Frage1_Punkte]]+Trainingsabschluss[[#This Row],[Quiz_Frage2_Punkte]]+Trainingsabschluss[[#This Row],[Quiz_Frage3_Punkte]]+Trainingsabschluss[[#This Row],[Quiz_Frage4_Punkte]]+Trainingsabschluss[[#This Row],[Quiz_Frage5_Punkte]]</f>
        <v>14.5</v>
      </c>
      <c r="Q483" s="8">
        <f>Trainingsabschluss[[#This Row],[Quizergebnis]]/Max_Quizergebnis</f>
        <v>0.65909090909090906</v>
      </c>
      <c r="R483" t="str" cm="1">
        <f t="array" ref="R483">_xlfn.IFS(Trainingsabschluss[[#This Row],[Quizergebnis_Prozent]]&lt;0.5, "Nicht bestanden",
Trainingsabschluss[[#This Row],[Quizergebnis_Prozent]]&lt;0.65, "Bestanden",
Trainingsabschluss[[#This Row],[Quizergebnis_Prozent]]&lt;0.8, "Gut bestanden",
TRUE, "Sehr gut bestanden")</f>
        <v>Gut bestanden</v>
      </c>
      <c r="S483" s="3">
        <v>10</v>
      </c>
      <c r="T483" s="3" t="str" cm="1">
        <f t="array" ref="T483">_xlfn.IFS(Trainingsabschluss[[#This Row],[Training_Bewertung]]&gt;=9, "Promotor", Trainingsabschluss[[#This Row],[Training_Bewertung]]
&lt;=6, "Detraktor",
TRUE, "Passiv")</f>
        <v>Promotor</v>
      </c>
      <c r="W483"/>
    </row>
    <row r="484" spans="1:23" x14ac:dyDescent="0.3">
      <c r="A484" s="13" t="s">
        <v>276</v>
      </c>
      <c r="B484" s="2">
        <v>4</v>
      </c>
      <c r="C484" s="2">
        <v>3.5</v>
      </c>
      <c r="D484" s="2">
        <v>1.5</v>
      </c>
      <c r="E484" s="2">
        <v>1.5</v>
      </c>
      <c r="F484" s="2">
        <v>0.5</v>
      </c>
      <c r="G484" s="2" t="str">
        <f>_xlfn.XLOOKUP(Trainingsabschluss[[#This Row],[UserID]], Teilnehmende[UserID], Teilnehmende[Branche], "UserID nicht gefunden")</f>
        <v>Bildung</v>
      </c>
      <c r="H484" t="str">
        <f>_xlfn.XLOOKUP(Trainingsabschluss[[#This Row],[UserID]], Teilnehmende[UserID], Teilnehmende[Bildungsabschluss], "UserID nicht gefunden")</f>
        <v>Promotion</v>
      </c>
      <c r="I484" s="3">
        <f>_xlfn.XLOOKUP(Trainingsabschluss[[#This Row],[UserID]], Teilnehmende[UserID], Teilnehmende[Berufserfahrung])</f>
        <v>6</v>
      </c>
      <c r="J484" s="3" t="str" cm="1">
        <f t="array" ref="J484">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84" s="11">
        <f>Trainingsabschluss[[#This Row],[Quiz_Frage1_Punkte]]/Max_Frage1</f>
        <v>0.8</v>
      </c>
      <c r="L484" s="11">
        <f>Trainingsabschluss[[#This Row],[Quiz_Frage2_Punkte]]/Max_Frage2</f>
        <v>0.7</v>
      </c>
      <c r="M484" s="11">
        <f>Trainingsabschluss[[#This Row],[Quiz_Frage3_Punkte]]/Max_Frage3</f>
        <v>0.3</v>
      </c>
      <c r="N484" s="11">
        <f>Trainingsabschluss[[#This Row],[Quiz_Frage4_Punkte]]/Max_Frage4</f>
        <v>0.375</v>
      </c>
      <c r="O484" s="11">
        <f>Trainingsabschluss[[#This Row],[Quiz_Frage5_Punkte]]/Max_Frage5</f>
        <v>0.16666666666666666</v>
      </c>
      <c r="P484" s="2">
        <f>Trainingsabschluss[[#This Row],[Quiz_Frage1_Punkte]]+Trainingsabschluss[[#This Row],[Quiz_Frage2_Punkte]]+Trainingsabschluss[[#This Row],[Quiz_Frage3_Punkte]]+Trainingsabschluss[[#This Row],[Quiz_Frage4_Punkte]]+Trainingsabschluss[[#This Row],[Quiz_Frage5_Punkte]]</f>
        <v>11</v>
      </c>
      <c r="Q484" s="8">
        <f>Trainingsabschluss[[#This Row],[Quizergebnis]]/Max_Quizergebnis</f>
        <v>0.5</v>
      </c>
      <c r="R484" t="str" cm="1">
        <f t="array" ref="R484">_xlfn.IFS(Trainingsabschluss[[#This Row],[Quizergebnis_Prozent]]&lt;0.5, "Nicht bestanden",
Trainingsabschluss[[#This Row],[Quizergebnis_Prozent]]&lt;0.65, "Bestanden",
Trainingsabschluss[[#This Row],[Quizergebnis_Prozent]]&lt;0.8, "Gut bestanden",
TRUE, "Sehr gut bestanden")</f>
        <v>Bestanden</v>
      </c>
      <c r="S484" s="3">
        <v>3</v>
      </c>
      <c r="T484" s="3" t="str" cm="1">
        <f t="array" ref="T484">_xlfn.IFS(Trainingsabschluss[[#This Row],[Training_Bewertung]]&gt;=9, "Promotor", Trainingsabschluss[[#This Row],[Training_Bewertung]]
&lt;=6, "Detraktor",
TRUE, "Passiv")</f>
        <v>Detraktor</v>
      </c>
      <c r="W484"/>
    </row>
    <row r="485" spans="1:23" x14ac:dyDescent="0.3">
      <c r="A485" s="13" t="s">
        <v>308</v>
      </c>
      <c r="B485" s="2">
        <v>3.5</v>
      </c>
      <c r="C485" s="2">
        <v>4.5</v>
      </c>
      <c r="D485" s="2">
        <v>2</v>
      </c>
      <c r="E485" s="2">
        <v>3</v>
      </c>
      <c r="F485" s="2">
        <v>2</v>
      </c>
      <c r="G485" s="2" t="str">
        <f>_xlfn.XLOOKUP(Trainingsabschluss[[#This Row],[UserID]], Teilnehmende[UserID], Teilnehmende[Branche], "UserID nicht gefunden")</f>
        <v>Finanzdienstleistung</v>
      </c>
      <c r="H485" t="str">
        <f>_xlfn.XLOOKUP(Trainingsabschluss[[#This Row],[UserID]], Teilnehmende[UserID], Teilnehmende[Bildungsabschluss], "UserID nicht gefunden")</f>
        <v>Promotion</v>
      </c>
      <c r="I485" s="3">
        <f>_xlfn.XLOOKUP(Trainingsabschluss[[#This Row],[UserID]], Teilnehmende[UserID], Teilnehmende[Berufserfahrung])</f>
        <v>14</v>
      </c>
      <c r="J485" s="3" t="str" cm="1">
        <f t="array" ref="J485">_xlfn.IFS(Trainingsabschluss[[#This Row],[Berufserfahrung]]&lt;=4,"wenig",Trainingsabschluss[[#This Row],[Berufserfahrung]]&lt;=9,"mittel",Trainingsabschluss[[#This Row],[Berufserfahrung]]&lt;=14,"fortgeschritten",Trainingsabschluss[[#This Row],[Berufserfahrung]]&lt;=19,"viel",Trainingsabschluss[[#This Row],[Berufserfahrung]]&gt;=20,"sehr viel")</f>
        <v>fortgeschritten</v>
      </c>
      <c r="K485" s="11">
        <f>Trainingsabschluss[[#This Row],[Quiz_Frage1_Punkte]]/Max_Frage1</f>
        <v>0.7</v>
      </c>
      <c r="L485" s="11">
        <f>Trainingsabschluss[[#This Row],[Quiz_Frage2_Punkte]]/Max_Frage2</f>
        <v>0.9</v>
      </c>
      <c r="M485" s="11">
        <f>Trainingsabschluss[[#This Row],[Quiz_Frage3_Punkte]]/Max_Frage3</f>
        <v>0.4</v>
      </c>
      <c r="N485" s="11">
        <f>Trainingsabschluss[[#This Row],[Quiz_Frage4_Punkte]]/Max_Frage4</f>
        <v>0.75</v>
      </c>
      <c r="O485" s="11">
        <f>Trainingsabschluss[[#This Row],[Quiz_Frage5_Punkte]]/Max_Frage5</f>
        <v>0.66666666666666663</v>
      </c>
      <c r="P485" s="2">
        <f>Trainingsabschluss[[#This Row],[Quiz_Frage1_Punkte]]+Trainingsabschluss[[#This Row],[Quiz_Frage2_Punkte]]+Trainingsabschluss[[#This Row],[Quiz_Frage3_Punkte]]+Trainingsabschluss[[#This Row],[Quiz_Frage4_Punkte]]+Trainingsabschluss[[#This Row],[Quiz_Frage5_Punkte]]</f>
        <v>15</v>
      </c>
      <c r="Q485" s="8">
        <f>Trainingsabschluss[[#This Row],[Quizergebnis]]/Max_Quizergebnis</f>
        <v>0.68181818181818177</v>
      </c>
      <c r="R485" t="str" cm="1">
        <f t="array" ref="R485">_xlfn.IFS(Trainingsabschluss[[#This Row],[Quizergebnis_Prozent]]&lt;0.5, "Nicht bestanden",
Trainingsabschluss[[#This Row],[Quizergebnis_Prozent]]&lt;0.65, "Bestanden",
Trainingsabschluss[[#This Row],[Quizergebnis_Prozent]]&lt;0.8, "Gut bestanden",
TRUE, "Sehr gut bestanden")</f>
        <v>Gut bestanden</v>
      </c>
      <c r="S485" s="3">
        <v>9</v>
      </c>
      <c r="T485" s="3" t="str" cm="1">
        <f t="array" ref="T485">_xlfn.IFS(Trainingsabschluss[[#This Row],[Training_Bewertung]]&gt;=9, "Promotor", Trainingsabschluss[[#This Row],[Training_Bewertung]]
&lt;=6, "Detraktor",
TRUE, "Passiv")</f>
        <v>Promotor</v>
      </c>
      <c r="W485"/>
    </row>
    <row r="486" spans="1:23" x14ac:dyDescent="0.3">
      <c r="A486" s="13" t="s">
        <v>268</v>
      </c>
      <c r="B486" s="2">
        <v>5</v>
      </c>
      <c r="C486" s="2">
        <v>4.5</v>
      </c>
      <c r="D486" s="2">
        <v>3</v>
      </c>
      <c r="E486" s="2">
        <v>1</v>
      </c>
      <c r="F486" s="2">
        <v>2.5</v>
      </c>
      <c r="G486" s="2" t="str">
        <f>_xlfn.XLOOKUP(Trainingsabschluss[[#This Row],[UserID]], Teilnehmende[UserID], Teilnehmende[Branche], "UserID nicht gefunden")</f>
        <v>Bildung</v>
      </c>
      <c r="H486" t="str">
        <f>_xlfn.XLOOKUP(Trainingsabschluss[[#This Row],[UserID]], Teilnehmende[UserID], Teilnehmende[Bildungsabschluss], "UserID nicht gefunden")</f>
        <v>Promotion</v>
      </c>
      <c r="I486" s="3">
        <f>_xlfn.XLOOKUP(Trainingsabschluss[[#This Row],[UserID]], Teilnehmende[UserID], Teilnehmende[Berufserfahrung])</f>
        <v>7</v>
      </c>
      <c r="J486" s="3" t="str" cm="1">
        <f t="array" ref="J486">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86" s="11">
        <f>Trainingsabschluss[[#This Row],[Quiz_Frage1_Punkte]]/Max_Frage1</f>
        <v>1</v>
      </c>
      <c r="L486" s="11">
        <f>Trainingsabschluss[[#This Row],[Quiz_Frage2_Punkte]]/Max_Frage2</f>
        <v>0.9</v>
      </c>
      <c r="M486" s="11">
        <f>Trainingsabschluss[[#This Row],[Quiz_Frage3_Punkte]]/Max_Frage3</f>
        <v>0.6</v>
      </c>
      <c r="N486" s="11">
        <f>Trainingsabschluss[[#This Row],[Quiz_Frage4_Punkte]]/Max_Frage4</f>
        <v>0.25</v>
      </c>
      <c r="O486" s="11">
        <f>Trainingsabschluss[[#This Row],[Quiz_Frage5_Punkte]]/Max_Frage5</f>
        <v>0.83333333333333337</v>
      </c>
      <c r="P486" s="2">
        <f>Trainingsabschluss[[#This Row],[Quiz_Frage1_Punkte]]+Trainingsabschluss[[#This Row],[Quiz_Frage2_Punkte]]+Trainingsabschluss[[#This Row],[Quiz_Frage3_Punkte]]+Trainingsabschluss[[#This Row],[Quiz_Frage4_Punkte]]+Trainingsabschluss[[#This Row],[Quiz_Frage5_Punkte]]</f>
        <v>16</v>
      </c>
      <c r="Q486" s="8">
        <f>Trainingsabschluss[[#This Row],[Quizergebnis]]/Max_Quizergebnis</f>
        <v>0.72727272727272729</v>
      </c>
      <c r="R486" t="str" cm="1">
        <f t="array" ref="R486">_xlfn.IFS(Trainingsabschluss[[#This Row],[Quizergebnis_Prozent]]&lt;0.5, "Nicht bestanden",
Trainingsabschluss[[#This Row],[Quizergebnis_Prozent]]&lt;0.65, "Bestanden",
Trainingsabschluss[[#This Row],[Quizergebnis_Prozent]]&lt;0.8, "Gut bestanden",
TRUE, "Sehr gut bestanden")</f>
        <v>Gut bestanden</v>
      </c>
      <c r="S486" s="3">
        <v>10</v>
      </c>
      <c r="T486" s="3" t="str" cm="1">
        <f t="array" ref="T486">_xlfn.IFS(Trainingsabschluss[[#This Row],[Training_Bewertung]]&gt;=9, "Promotor", Trainingsabschluss[[#This Row],[Training_Bewertung]]
&lt;=6, "Detraktor",
TRUE, "Passiv")</f>
        <v>Promotor</v>
      </c>
      <c r="W486"/>
    </row>
    <row r="487" spans="1:23" x14ac:dyDescent="0.3">
      <c r="A487" s="13" t="s">
        <v>271</v>
      </c>
      <c r="B487" s="2">
        <v>3.5</v>
      </c>
      <c r="C487" s="2">
        <v>4.5</v>
      </c>
      <c r="D487" s="2">
        <v>3.5</v>
      </c>
      <c r="E487" s="2">
        <v>1.5</v>
      </c>
      <c r="F487" s="2">
        <v>0</v>
      </c>
      <c r="G487" s="2" t="str">
        <f>_xlfn.XLOOKUP(Trainingsabschluss[[#This Row],[UserID]], Teilnehmende[UserID], Teilnehmende[Branche], "UserID nicht gefunden")</f>
        <v>Bildung</v>
      </c>
      <c r="H487" t="str">
        <f>_xlfn.XLOOKUP(Trainingsabschluss[[#This Row],[UserID]], Teilnehmende[UserID], Teilnehmende[Bildungsabschluss], "UserID nicht gefunden")</f>
        <v>Promotion</v>
      </c>
      <c r="I487" s="3">
        <f>_xlfn.XLOOKUP(Trainingsabschluss[[#This Row],[UserID]], Teilnehmende[UserID], Teilnehmende[Berufserfahrung])</f>
        <v>6</v>
      </c>
      <c r="J487" s="3" t="str" cm="1">
        <f t="array" ref="J487">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87" s="11">
        <f>Trainingsabschluss[[#This Row],[Quiz_Frage1_Punkte]]/Max_Frage1</f>
        <v>0.7</v>
      </c>
      <c r="L487" s="11">
        <f>Trainingsabschluss[[#This Row],[Quiz_Frage2_Punkte]]/Max_Frage2</f>
        <v>0.9</v>
      </c>
      <c r="M487" s="11">
        <f>Trainingsabschluss[[#This Row],[Quiz_Frage3_Punkte]]/Max_Frage3</f>
        <v>0.7</v>
      </c>
      <c r="N487" s="11">
        <f>Trainingsabschluss[[#This Row],[Quiz_Frage4_Punkte]]/Max_Frage4</f>
        <v>0.375</v>
      </c>
      <c r="O487" s="11">
        <f>Trainingsabschluss[[#This Row],[Quiz_Frage5_Punkte]]/Max_Frage5</f>
        <v>0</v>
      </c>
      <c r="P487" s="2">
        <f>Trainingsabschluss[[#This Row],[Quiz_Frage1_Punkte]]+Trainingsabschluss[[#This Row],[Quiz_Frage2_Punkte]]+Trainingsabschluss[[#This Row],[Quiz_Frage3_Punkte]]+Trainingsabschluss[[#This Row],[Quiz_Frage4_Punkte]]+Trainingsabschluss[[#This Row],[Quiz_Frage5_Punkte]]</f>
        <v>13</v>
      </c>
      <c r="Q487" s="8">
        <f>Trainingsabschluss[[#This Row],[Quizergebnis]]/Max_Quizergebnis</f>
        <v>0.59090909090909094</v>
      </c>
      <c r="R487" t="str" cm="1">
        <f t="array" ref="R487">_xlfn.IFS(Trainingsabschluss[[#This Row],[Quizergebnis_Prozent]]&lt;0.5, "Nicht bestanden",
Trainingsabschluss[[#This Row],[Quizergebnis_Prozent]]&lt;0.65, "Bestanden",
Trainingsabschluss[[#This Row],[Quizergebnis_Prozent]]&lt;0.8, "Gut bestanden",
TRUE, "Sehr gut bestanden")</f>
        <v>Bestanden</v>
      </c>
      <c r="S487" s="3">
        <v>9</v>
      </c>
      <c r="T487" s="3" t="str" cm="1">
        <f t="array" ref="T487">_xlfn.IFS(Trainingsabschluss[[#This Row],[Training_Bewertung]]&gt;=9, "Promotor", Trainingsabschluss[[#This Row],[Training_Bewertung]]
&lt;=6, "Detraktor",
TRUE, "Passiv")</f>
        <v>Promotor</v>
      </c>
      <c r="W487"/>
    </row>
    <row r="488" spans="1:23" x14ac:dyDescent="0.3">
      <c r="A488" s="13" t="s">
        <v>499</v>
      </c>
      <c r="B488" s="2">
        <v>5</v>
      </c>
      <c r="C488" s="2">
        <v>4.5</v>
      </c>
      <c r="D488" s="2">
        <v>2.5</v>
      </c>
      <c r="E488" s="2">
        <v>2</v>
      </c>
      <c r="F488" s="2">
        <v>3</v>
      </c>
      <c r="G488" s="2" t="str">
        <f>_xlfn.XLOOKUP(Trainingsabschluss[[#This Row],[UserID]], Teilnehmende[UserID], Teilnehmende[Branche], "UserID nicht gefunden")</f>
        <v>Öffentlicher Dienst</v>
      </c>
      <c r="H488" t="str">
        <f>_xlfn.XLOOKUP(Trainingsabschluss[[#This Row],[UserID]], Teilnehmende[UserID], Teilnehmende[Bildungsabschluss], "UserID nicht gefunden")</f>
        <v>Promotion</v>
      </c>
      <c r="I488" s="3">
        <f>_xlfn.XLOOKUP(Trainingsabschluss[[#This Row],[UserID]], Teilnehmende[UserID], Teilnehmende[Berufserfahrung])</f>
        <v>6</v>
      </c>
      <c r="J488" s="3" t="str" cm="1">
        <f t="array" ref="J488">_xlfn.IFS(Trainingsabschluss[[#This Row],[Berufserfahrung]]&lt;=4,"wenig",Trainingsabschluss[[#This Row],[Berufserfahrung]]&lt;=9,"mittel",Trainingsabschluss[[#This Row],[Berufserfahrung]]&lt;=14,"fortgeschritten",Trainingsabschluss[[#This Row],[Berufserfahrung]]&lt;=19,"viel",Trainingsabschluss[[#This Row],[Berufserfahrung]]&gt;=20,"sehr viel")</f>
        <v>mittel</v>
      </c>
      <c r="K488" s="11">
        <f>Trainingsabschluss[[#This Row],[Quiz_Frage1_Punkte]]/Max_Frage1</f>
        <v>1</v>
      </c>
      <c r="L488" s="11">
        <f>Trainingsabschluss[[#This Row],[Quiz_Frage2_Punkte]]/Max_Frage2</f>
        <v>0.9</v>
      </c>
      <c r="M488" s="11">
        <f>Trainingsabschluss[[#This Row],[Quiz_Frage3_Punkte]]/Max_Frage3</f>
        <v>0.5</v>
      </c>
      <c r="N488" s="11">
        <f>Trainingsabschluss[[#This Row],[Quiz_Frage4_Punkte]]/Max_Frage4</f>
        <v>0.5</v>
      </c>
      <c r="O488" s="11">
        <f>Trainingsabschluss[[#This Row],[Quiz_Frage5_Punkte]]/Max_Frage5</f>
        <v>1</v>
      </c>
      <c r="P488" s="2">
        <f>Trainingsabschluss[[#This Row],[Quiz_Frage1_Punkte]]+Trainingsabschluss[[#This Row],[Quiz_Frage2_Punkte]]+Trainingsabschluss[[#This Row],[Quiz_Frage3_Punkte]]+Trainingsabschluss[[#This Row],[Quiz_Frage4_Punkte]]+Trainingsabschluss[[#This Row],[Quiz_Frage5_Punkte]]</f>
        <v>17</v>
      </c>
      <c r="Q488" s="8">
        <f>Trainingsabschluss[[#This Row],[Quizergebnis]]/Max_Quizergebnis</f>
        <v>0.77272727272727271</v>
      </c>
      <c r="R488" t="str" cm="1">
        <f t="array" ref="R488">_xlfn.IFS(Trainingsabschluss[[#This Row],[Quizergebnis_Prozent]]&lt;0.5, "Nicht bestanden",
Trainingsabschluss[[#This Row],[Quizergebnis_Prozent]]&lt;0.65, "Bestanden",
Trainingsabschluss[[#This Row],[Quizergebnis_Prozent]]&lt;0.8, "Gut bestanden",
TRUE, "Sehr gut bestanden")</f>
        <v>Gut bestanden</v>
      </c>
      <c r="S488" s="3">
        <v>10</v>
      </c>
      <c r="T488" s="3" t="str" cm="1">
        <f t="array" ref="T488">_xlfn.IFS(Trainingsabschluss[[#This Row],[Training_Bewertung]]&gt;=9, "Promotor", Trainingsabschluss[[#This Row],[Training_Bewertung]]
&lt;=6, "Detraktor",
TRUE, "Passiv")</f>
        <v>Promotor</v>
      </c>
      <c r="W488"/>
    </row>
  </sheetData>
  <phoneticPr fontId="3" type="noConversion"/>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86E9-7D0A-47FC-B60A-E25E9345FCFC}">
  <dimension ref="A1:I3897"/>
  <sheetViews>
    <sheetView zoomScale="85" zoomScaleNormal="85" workbookViewId="0">
      <selection activeCell="M230" sqref="M230"/>
    </sheetView>
  </sheetViews>
  <sheetFormatPr baseColWidth="10" defaultColWidth="11.44140625" defaultRowHeight="14.4" x14ac:dyDescent="0.3"/>
  <cols>
    <col min="1" max="1" width="11.109375" style="13" bestFit="1" customWidth="1"/>
    <col min="2" max="2" width="19.88671875" bestFit="1" customWidth="1"/>
    <col min="3" max="3" width="34.44140625" bestFit="1" customWidth="1"/>
    <col min="4" max="4" width="15.33203125" bestFit="1" customWidth="1"/>
    <col min="5" max="5" width="27.109375" bestFit="1" customWidth="1"/>
    <col min="6" max="6" width="23.33203125" customWidth="1"/>
    <col min="7" max="8" width="23.33203125" style="8" customWidth="1"/>
    <col min="9" max="9" width="26.5546875" bestFit="1" customWidth="1"/>
  </cols>
  <sheetData>
    <row r="1" spans="1:9" x14ac:dyDescent="0.3">
      <c r="A1" s="13" t="s">
        <v>0</v>
      </c>
      <c r="B1" t="s">
        <v>523</v>
      </c>
      <c r="C1" t="s">
        <v>524</v>
      </c>
      <c r="D1" t="s">
        <v>525</v>
      </c>
      <c r="E1" t="s">
        <v>559</v>
      </c>
      <c r="F1" t="s">
        <v>558</v>
      </c>
      <c r="G1" s="8" t="s">
        <v>560</v>
      </c>
      <c r="H1" s="8" t="s">
        <v>602</v>
      </c>
      <c r="I1" t="s">
        <v>561</v>
      </c>
    </row>
    <row r="2" spans="1:9" hidden="1" x14ac:dyDescent="0.3">
      <c r="A2" s="13">
        <v>2</v>
      </c>
      <c r="B2" s="4">
        <v>1</v>
      </c>
      <c r="C2" t="s">
        <v>526</v>
      </c>
      <c r="D2" t="s">
        <v>527</v>
      </c>
      <c r="E2">
        <v>4</v>
      </c>
      <c r="F2">
        <v>4</v>
      </c>
      <c r="G2" s="8">
        <f>Lektionen[[#This Row],[Bearbeitungsdauer_real]]/Lektionen[[#This Row],[Bearbeitungsdauer_geschätzt]]-1</f>
        <v>0</v>
      </c>
      <c r="H2" s="8" t="str" cm="1">
        <f t="array" ref="H2">_xlfn.IFS(Lektionen[[#This Row],[Bearbeitungsdauer_abgewichen]]&gt;0.6,"viel länger",Lektionen[[#This Row],[Bearbeitungsdauer_abgewichen]]&gt;0.3,"länger",Lektionen[[#This Row],[Bearbeitungsdauer_abgewichen]]&lt;-0.3,"kürzer",TRUE,"keine Abweichung")</f>
        <v>keine Abweichung</v>
      </c>
      <c r="I2">
        <v>1</v>
      </c>
    </row>
    <row r="3" spans="1:9" hidden="1" x14ac:dyDescent="0.3">
      <c r="A3" s="13">
        <v>2</v>
      </c>
      <c r="B3" s="4">
        <v>2</v>
      </c>
      <c r="C3" t="s">
        <v>528</v>
      </c>
      <c r="D3" t="s">
        <v>529</v>
      </c>
      <c r="E3">
        <v>15</v>
      </c>
      <c r="F3">
        <v>18</v>
      </c>
      <c r="G3" s="8">
        <f>Lektionen[[#This Row],[Bearbeitungsdauer_real]]/Lektionen[[#This Row],[Bearbeitungsdauer_geschätzt]]-1</f>
        <v>0.19999999999999996</v>
      </c>
      <c r="H3" s="8" t="str" cm="1">
        <f t="array" ref="H3">_xlfn.IFS(Lektionen[[#This Row],[Bearbeitungsdauer_abgewichen]]&gt;0.6,"viel länger",Lektionen[[#This Row],[Bearbeitungsdauer_abgewichen]]&gt;0.3,"länger",Lektionen[[#This Row],[Bearbeitungsdauer_abgewichen]]&lt;-0.3,"kürzer",TRUE,"keine Abweichung")</f>
        <v>keine Abweichung</v>
      </c>
      <c r="I3">
        <v>2</v>
      </c>
    </row>
    <row r="4" spans="1:9" hidden="1" x14ac:dyDescent="0.3">
      <c r="A4" s="13">
        <v>2</v>
      </c>
      <c r="B4" s="4">
        <v>3</v>
      </c>
      <c r="C4" t="s">
        <v>552</v>
      </c>
      <c r="D4" t="s">
        <v>530</v>
      </c>
      <c r="E4">
        <v>30</v>
      </c>
      <c r="F4">
        <v>29</v>
      </c>
      <c r="G4" s="8">
        <f>Lektionen[[#This Row],[Bearbeitungsdauer_real]]/Lektionen[[#This Row],[Bearbeitungsdauer_geschätzt]]-1</f>
        <v>-3.3333333333333326E-2</v>
      </c>
      <c r="H4" s="8" t="str" cm="1">
        <f t="array" ref="H4">_xlfn.IFS(Lektionen[[#This Row],[Bearbeitungsdauer_abgewichen]]&gt;0.6,"viel länger",Lektionen[[#This Row],[Bearbeitungsdauer_abgewichen]]&gt;0.3,"länger",Lektionen[[#This Row],[Bearbeitungsdauer_abgewichen]]&lt;-0.3,"kürzer",TRUE,"keine Abweichung")</f>
        <v>keine Abweichung</v>
      </c>
      <c r="I4">
        <v>2</v>
      </c>
    </row>
    <row r="5" spans="1:9" hidden="1" x14ac:dyDescent="0.3">
      <c r="A5" s="13">
        <v>2</v>
      </c>
      <c r="B5" s="4">
        <v>4</v>
      </c>
      <c r="C5" t="s">
        <v>531</v>
      </c>
      <c r="D5" t="s">
        <v>530</v>
      </c>
      <c r="E5">
        <v>30</v>
      </c>
      <c r="F5">
        <v>30</v>
      </c>
      <c r="G5" s="8">
        <f>Lektionen[[#This Row],[Bearbeitungsdauer_real]]/Lektionen[[#This Row],[Bearbeitungsdauer_geschätzt]]-1</f>
        <v>0</v>
      </c>
      <c r="H5" s="8" t="str" cm="1">
        <f t="array" ref="H5">_xlfn.IFS(Lektionen[[#This Row],[Bearbeitungsdauer_abgewichen]]&gt;0.6,"viel länger",Lektionen[[#This Row],[Bearbeitungsdauer_abgewichen]]&gt;0.3,"länger",Lektionen[[#This Row],[Bearbeitungsdauer_abgewichen]]&lt;-0.3,"kürzer",TRUE,"keine Abweichung")</f>
        <v>keine Abweichung</v>
      </c>
      <c r="I5">
        <v>4</v>
      </c>
    </row>
    <row r="6" spans="1:9" x14ac:dyDescent="0.3">
      <c r="A6" s="13">
        <v>2</v>
      </c>
      <c r="B6" s="4">
        <v>5</v>
      </c>
      <c r="C6" t="s">
        <v>532</v>
      </c>
      <c r="D6" t="s">
        <v>530</v>
      </c>
      <c r="E6">
        <v>30</v>
      </c>
      <c r="F6">
        <v>41</v>
      </c>
      <c r="G6" s="8">
        <f>Lektionen[[#This Row],[Bearbeitungsdauer_real]]/Lektionen[[#This Row],[Bearbeitungsdauer_geschätzt]]-1</f>
        <v>0.3666666666666667</v>
      </c>
      <c r="H6" s="8" t="str" cm="1">
        <f t="array" ref="H6">_xlfn.IFS(Lektionen[[#This Row],[Bearbeitungsdauer_abgewichen]]&gt;0.6,"viel länger",Lektionen[[#This Row],[Bearbeitungsdauer_abgewichen]]&gt;0.3,"länger",Lektionen[[#This Row],[Bearbeitungsdauer_abgewichen]]&lt;-0.3,"kürzer",TRUE,"keine Abweichung")</f>
        <v>länger</v>
      </c>
      <c r="I6">
        <v>4</v>
      </c>
    </row>
    <row r="7" spans="1:9" hidden="1" x14ac:dyDescent="0.3">
      <c r="A7" s="13">
        <v>2</v>
      </c>
      <c r="B7" s="4">
        <v>6</v>
      </c>
      <c r="C7" t="s">
        <v>533</v>
      </c>
      <c r="D7" t="s">
        <v>534</v>
      </c>
      <c r="E7">
        <v>5</v>
      </c>
      <c r="F7">
        <v>1</v>
      </c>
      <c r="G7" s="8">
        <f>Lektionen[[#This Row],[Bearbeitungsdauer_real]]/Lektionen[[#This Row],[Bearbeitungsdauer_geschätzt]]-1</f>
        <v>-0.8</v>
      </c>
      <c r="H7" s="8" t="str" cm="1">
        <f t="array" ref="H7">_xlfn.IFS(Lektionen[[#This Row],[Bearbeitungsdauer_abgewichen]]&gt;0.6,"viel länger",Lektionen[[#This Row],[Bearbeitungsdauer_abgewichen]]&gt;0.3,"länger",Lektionen[[#This Row],[Bearbeitungsdauer_abgewichen]]&lt;-0.3,"kürzer",TRUE,"keine Abweichung")</f>
        <v>kürzer</v>
      </c>
      <c r="I7">
        <v>2</v>
      </c>
    </row>
    <row r="8" spans="1:9" hidden="1" x14ac:dyDescent="0.3">
      <c r="A8" s="13">
        <v>2</v>
      </c>
      <c r="B8" s="4">
        <v>7</v>
      </c>
      <c r="C8" t="s">
        <v>535</v>
      </c>
      <c r="D8" t="s">
        <v>536</v>
      </c>
      <c r="E8">
        <v>10</v>
      </c>
      <c r="F8">
        <v>10</v>
      </c>
      <c r="G8" s="8">
        <f>Lektionen[[#This Row],[Bearbeitungsdauer_real]]/Lektionen[[#This Row],[Bearbeitungsdauer_geschätzt]]-1</f>
        <v>0</v>
      </c>
      <c r="H8" s="8" t="str" cm="1">
        <f t="array" ref="H8">_xlfn.IFS(Lektionen[[#This Row],[Bearbeitungsdauer_abgewichen]]&gt;0.6,"viel länger",Lektionen[[#This Row],[Bearbeitungsdauer_abgewichen]]&gt;0.3,"länger",Lektionen[[#This Row],[Bearbeitungsdauer_abgewichen]]&lt;-0.3,"kürzer",TRUE,"keine Abweichung")</f>
        <v>keine Abweichung</v>
      </c>
      <c r="I8">
        <v>3</v>
      </c>
    </row>
    <row r="9" spans="1:9" hidden="1" x14ac:dyDescent="0.3">
      <c r="A9" s="13">
        <v>2</v>
      </c>
      <c r="B9" s="4">
        <v>8</v>
      </c>
      <c r="C9" t="s">
        <v>537</v>
      </c>
      <c r="D9" t="s">
        <v>527</v>
      </c>
      <c r="E9">
        <v>5</v>
      </c>
      <c r="F9">
        <v>5</v>
      </c>
      <c r="G9" s="8">
        <f>Lektionen[[#This Row],[Bearbeitungsdauer_real]]/Lektionen[[#This Row],[Bearbeitungsdauer_geschätzt]]-1</f>
        <v>0</v>
      </c>
      <c r="H9" s="8" t="str" cm="1">
        <f t="array" ref="H9">_xlfn.IFS(Lektionen[[#This Row],[Bearbeitungsdauer_abgewichen]]&gt;0.6,"viel länger",Lektionen[[#This Row],[Bearbeitungsdauer_abgewichen]]&gt;0.3,"länger",Lektionen[[#This Row],[Bearbeitungsdauer_abgewichen]]&lt;-0.3,"kürzer",TRUE,"keine Abweichung")</f>
        <v>keine Abweichung</v>
      </c>
      <c r="I9">
        <v>1</v>
      </c>
    </row>
    <row r="10" spans="1:9" hidden="1" x14ac:dyDescent="0.3">
      <c r="A10" s="13">
        <v>3</v>
      </c>
      <c r="B10" s="4">
        <v>1</v>
      </c>
      <c r="C10" t="s">
        <v>526</v>
      </c>
      <c r="D10" t="s">
        <v>527</v>
      </c>
      <c r="E10">
        <v>4</v>
      </c>
      <c r="F10">
        <v>5</v>
      </c>
      <c r="G10" s="8">
        <f>Lektionen[[#This Row],[Bearbeitungsdauer_real]]/Lektionen[[#This Row],[Bearbeitungsdauer_geschätzt]]-1</f>
        <v>0.25</v>
      </c>
      <c r="H10" s="8" t="str" cm="1">
        <f t="array" ref="H10">_xlfn.IFS(Lektionen[[#This Row],[Bearbeitungsdauer_abgewichen]]&gt;0.6,"viel länger",Lektionen[[#This Row],[Bearbeitungsdauer_abgewichen]]&gt;0.3,"länger",Lektionen[[#This Row],[Bearbeitungsdauer_abgewichen]]&lt;-0.3,"kürzer",TRUE,"keine Abweichung")</f>
        <v>keine Abweichung</v>
      </c>
      <c r="I10">
        <v>1</v>
      </c>
    </row>
    <row r="11" spans="1:9" hidden="1" x14ac:dyDescent="0.3">
      <c r="A11" s="13">
        <v>3</v>
      </c>
      <c r="B11" s="4">
        <v>2</v>
      </c>
      <c r="C11" t="s">
        <v>528</v>
      </c>
      <c r="D11" t="s">
        <v>529</v>
      </c>
      <c r="E11">
        <v>15</v>
      </c>
      <c r="F11">
        <v>16</v>
      </c>
      <c r="G11" s="8">
        <f>Lektionen[[#This Row],[Bearbeitungsdauer_real]]/Lektionen[[#This Row],[Bearbeitungsdauer_geschätzt]]-1</f>
        <v>6.6666666666666652E-2</v>
      </c>
      <c r="H11" s="8" t="str" cm="1">
        <f t="array" ref="H11">_xlfn.IFS(Lektionen[[#This Row],[Bearbeitungsdauer_abgewichen]]&gt;0.6,"viel länger",Lektionen[[#This Row],[Bearbeitungsdauer_abgewichen]]&gt;0.3,"länger",Lektionen[[#This Row],[Bearbeitungsdauer_abgewichen]]&lt;-0.3,"kürzer",TRUE,"keine Abweichung")</f>
        <v>keine Abweichung</v>
      </c>
      <c r="I11">
        <v>1</v>
      </c>
    </row>
    <row r="12" spans="1:9" hidden="1" x14ac:dyDescent="0.3">
      <c r="A12" s="13">
        <v>3</v>
      </c>
      <c r="B12" s="4">
        <v>3</v>
      </c>
      <c r="C12" t="s">
        <v>552</v>
      </c>
      <c r="D12" t="s">
        <v>530</v>
      </c>
      <c r="E12">
        <v>30</v>
      </c>
      <c r="F12">
        <v>28</v>
      </c>
      <c r="G12" s="8">
        <f>Lektionen[[#This Row],[Bearbeitungsdauer_real]]/Lektionen[[#This Row],[Bearbeitungsdauer_geschätzt]]-1</f>
        <v>-6.6666666666666652E-2</v>
      </c>
      <c r="H12" s="8" t="str" cm="1">
        <f t="array" ref="H12">_xlfn.IFS(Lektionen[[#This Row],[Bearbeitungsdauer_abgewichen]]&gt;0.6,"viel länger",Lektionen[[#This Row],[Bearbeitungsdauer_abgewichen]]&gt;0.3,"länger",Lektionen[[#This Row],[Bearbeitungsdauer_abgewichen]]&lt;-0.3,"kürzer",TRUE,"keine Abweichung")</f>
        <v>keine Abweichung</v>
      </c>
      <c r="I12">
        <v>2</v>
      </c>
    </row>
    <row r="13" spans="1:9" hidden="1" x14ac:dyDescent="0.3">
      <c r="A13" s="13">
        <v>3</v>
      </c>
      <c r="B13" s="4">
        <v>4</v>
      </c>
      <c r="C13" t="s">
        <v>531</v>
      </c>
      <c r="D13" t="s">
        <v>530</v>
      </c>
      <c r="E13">
        <v>30</v>
      </c>
      <c r="F13">
        <v>21</v>
      </c>
      <c r="G13" s="8">
        <f>Lektionen[[#This Row],[Bearbeitungsdauer_real]]/Lektionen[[#This Row],[Bearbeitungsdauer_geschätzt]]-1</f>
        <v>-0.30000000000000004</v>
      </c>
      <c r="H13" s="8" t="str" cm="1">
        <f t="array" ref="H13">_xlfn.IFS(Lektionen[[#This Row],[Bearbeitungsdauer_abgewichen]]&gt;0.6,"viel länger",Lektionen[[#This Row],[Bearbeitungsdauer_abgewichen]]&gt;0.3,"länger",Lektionen[[#This Row],[Bearbeitungsdauer_abgewichen]]&lt;-0.3,"kürzer",TRUE,"keine Abweichung")</f>
        <v>keine Abweichung</v>
      </c>
      <c r="I13">
        <v>3</v>
      </c>
    </row>
    <row r="14" spans="1:9" x14ac:dyDescent="0.3">
      <c r="A14" s="13">
        <v>3</v>
      </c>
      <c r="B14" s="4">
        <v>5</v>
      </c>
      <c r="C14" t="s">
        <v>532</v>
      </c>
      <c r="D14" t="s">
        <v>530</v>
      </c>
      <c r="E14">
        <v>30</v>
      </c>
      <c r="F14">
        <v>38</v>
      </c>
      <c r="G14" s="8">
        <f>Lektionen[[#This Row],[Bearbeitungsdauer_real]]/Lektionen[[#This Row],[Bearbeitungsdauer_geschätzt]]-1</f>
        <v>0.26666666666666661</v>
      </c>
      <c r="H14" s="8" t="str" cm="1">
        <f t="array" ref="H14">_xlfn.IFS(Lektionen[[#This Row],[Bearbeitungsdauer_abgewichen]]&gt;0.6,"viel länger",Lektionen[[#This Row],[Bearbeitungsdauer_abgewichen]]&gt;0.3,"länger",Lektionen[[#This Row],[Bearbeitungsdauer_abgewichen]]&lt;-0.3,"kürzer",TRUE,"keine Abweichung")</f>
        <v>keine Abweichung</v>
      </c>
      <c r="I14">
        <v>3</v>
      </c>
    </row>
    <row r="15" spans="1:9" hidden="1" x14ac:dyDescent="0.3">
      <c r="A15" s="13">
        <v>3</v>
      </c>
      <c r="B15" s="4">
        <v>6</v>
      </c>
      <c r="C15" t="s">
        <v>533</v>
      </c>
      <c r="D15" t="s">
        <v>534</v>
      </c>
      <c r="E15">
        <v>5</v>
      </c>
      <c r="F15">
        <v>3</v>
      </c>
      <c r="G15" s="8">
        <f>Lektionen[[#This Row],[Bearbeitungsdauer_real]]/Lektionen[[#This Row],[Bearbeitungsdauer_geschätzt]]-1</f>
        <v>-0.4</v>
      </c>
      <c r="H15" s="8" t="str" cm="1">
        <f t="array" ref="H15">_xlfn.IFS(Lektionen[[#This Row],[Bearbeitungsdauer_abgewichen]]&gt;0.6,"viel länger",Lektionen[[#This Row],[Bearbeitungsdauer_abgewichen]]&gt;0.3,"länger",Lektionen[[#This Row],[Bearbeitungsdauer_abgewichen]]&lt;-0.3,"kürzer",TRUE,"keine Abweichung")</f>
        <v>kürzer</v>
      </c>
      <c r="I15">
        <v>2</v>
      </c>
    </row>
    <row r="16" spans="1:9" hidden="1" x14ac:dyDescent="0.3">
      <c r="A16" s="13">
        <v>3</v>
      </c>
      <c r="B16" s="4">
        <v>7</v>
      </c>
      <c r="C16" t="s">
        <v>535</v>
      </c>
      <c r="D16" t="s">
        <v>536</v>
      </c>
      <c r="E16">
        <v>10</v>
      </c>
      <c r="F16">
        <v>10</v>
      </c>
      <c r="G16" s="8">
        <f>Lektionen[[#This Row],[Bearbeitungsdauer_real]]/Lektionen[[#This Row],[Bearbeitungsdauer_geschätzt]]-1</f>
        <v>0</v>
      </c>
      <c r="H16" s="8" t="str" cm="1">
        <f t="array" ref="H16">_xlfn.IFS(Lektionen[[#This Row],[Bearbeitungsdauer_abgewichen]]&gt;0.6,"viel länger",Lektionen[[#This Row],[Bearbeitungsdauer_abgewichen]]&gt;0.3,"länger",Lektionen[[#This Row],[Bearbeitungsdauer_abgewichen]]&lt;-0.3,"kürzer",TRUE,"keine Abweichung")</f>
        <v>keine Abweichung</v>
      </c>
      <c r="I16">
        <v>3</v>
      </c>
    </row>
    <row r="17" spans="1:9" hidden="1" x14ac:dyDescent="0.3">
      <c r="A17" s="13">
        <v>3</v>
      </c>
      <c r="B17" s="4">
        <v>8</v>
      </c>
      <c r="C17" t="s">
        <v>537</v>
      </c>
      <c r="D17" t="s">
        <v>527</v>
      </c>
      <c r="E17">
        <v>5</v>
      </c>
      <c r="F17">
        <v>5</v>
      </c>
      <c r="G17" s="8">
        <f>Lektionen[[#This Row],[Bearbeitungsdauer_real]]/Lektionen[[#This Row],[Bearbeitungsdauer_geschätzt]]-1</f>
        <v>0</v>
      </c>
      <c r="H17" s="8" t="str" cm="1">
        <f t="array" ref="H17">_xlfn.IFS(Lektionen[[#This Row],[Bearbeitungsdauer_abgewichen]]&gt;0.6,"viel länger",Lektionen[[#This Row],[Bearbeitungsdauer_abgewichen]]&gt;0.3,"länger",Lektionen[[#This Row],[Bearbeitungsdauer_abgewichen]]&lt;-0.3,"kürzer",TRUE,"keine Abweichung")</f>
        <v>keine Abweichung</v>
      </c>
      <c r="I17">
        <v>1</v>
      </c>
    </row>
    <row r="18" spans="1:9" hidden="1" x14ac:dyDescent="0.3">
      <c r="A18" s="13">
        <v>4</v>
      </c>
      <c r="B18" s="4">
        <v>1</v>
      </c>
      <c r="C18" t="s">
        <v>526</v>
      </c>
      <c r="D18" t="s">
        <v>527</v>
      </c>
      <c r="E18">
        <v>4</v>
      </c>
      <c r="F18">
        <v>4</v>
      </c>
      <c r="G18" s="8">
        <f>Lektionen[[#This Row],[Bearbeitungsdauer_real]]/Lektionen[[#This Row],[Bearbeitungsdauer_geschätzt]]-1</f>
        <v>0</v>
      </c>
      <c r="H18" s="8" t="str" cm="1">
        <f t="array" ref="H18">_xlfn.IFS(Lektionen[[#This Row],[Bearbeitungsdauer_abgewichen]]&gt;0.6,"viel länger",Lektionen[[#This Row],[Bearbeitungsdauer_abgewichen]]&gt;0.3,"länger",Lektionen[[#This Row],[Bearbeitungsdauer_abgewichen]]&lt;-0.3,"kürzer",TRUE,"keine Abweichung")</f>
        <v>keine Abweichung</v>
      </c>
      <c r="I18">
        <v>1</v>
      </c>
    </row>
    <row r="19" spans="1:9" hidden="1" x14ac:dyDescent="0.3">
      <c r="A19" s="13">
        <v>4</v>
      </c>
      <c r="B19" s="4">
        <v>2</v>
      </c>
      <c r="C19" t="s">
        <v>528</v>
      </c>
      <c r="D19" t="s">
        <v>529</v>
      </c>
      <c r="E19">
        <v>15</v>
      </c>
      <c r="F19">
        <v>15</v>
      </c>
      <c r="G19" s="8">
        <f>Lektionen[[#This Row],[Bearbeitungsdauer_real]]/Lektionen[[#This Row],[Bearbeitungsdauer_geschätzt]]-1</f>
        <v>0</v>
      </c>
      <c r="H19" s="8" t="str" cm="1">
        <f t="array" ref="H19">_xlfn.IFS(Lektionen[[#This Row],[Bearbeitungsdauer_abgewichen]]&gt;0.6,"viel länger",Lektionen[[#This Row],[Bearbeitungsdauer_abgewichen]]&gt;0.3,"länger",Lektionen[[#This Row],[Bearbeitungsdauer_abgewichen]]&lt;-0.3,"kürzer",TRUE,"keine Abweichung")</f>
        <v>keine Abweichung</v>
      </c>
      <c r="I19">
        <v>2</v>
      </c>
    </row>
    <row r="20" spans="1:9" hidden="1" x14ac:dyDescent="0.3">
      <c r="A20" s="13">
        <v>4</v>
      </c>
      <c r="B20" s="4">
        <v>3</v>
      </c>
      <c r="C20" t="s">
        <v>552</v>
      </c>
      <c r="D20" t="s">
        <v>530</v>
      </c>
      <c r="E20">
        <v>30</v>
      </c>
      <c r="F20">
        <v>30</v>
      </c>
      <c r="G20" s="8">
        <f>Lektionen[[#This Row],[Bearbeitungsdauer_real]]/Lektionen[[#This Row],[Bearbeitungsdauer_geschätzt]]-1</f>
        <v>0</v>
      </c>
      <c r="H20" s="8" t="str" cm="1">
        <f t="array" ref="H20">_xlfn.IFS(Lektionen[[#This Row],[Bearbeitungsdauer_abgewichen]]&gt;0.6,"viel länger",Lektionen[[#This Row],[Bearbeitungsdauer_abgewichen]]&gt;0.3,"länger",Lektionen[[#This Row],[Bearbeitungsdauer_abgewichen]]&lt;-0.3,"kürzer",TRUE,"keine Abweichung")</f>
        <v>keine Abweichung</v>
      </c>
      <c r="I20">
        <v>2</v>
      </c>
    </row>
    <row r="21" spans="1:9" hidden="1" x14ac:dyDescent="0.3">
      <c r="A21" s="13">
        <v>4</v>
      </c>
      <c r="B21" s="4">
        <v>4</v>
      </c>
      <c r="C21" t="s">
        <v>531</v>
      </c>
      <c r="D21" t="s">
        <v>530</v>
      </c>
      <c r="E21">
        <v>30</v>
      </c>
      <c r="F21">
        <v>19</v>
      </c>
      <c r="G21" s="8">
        <f>Lektionen[[#This Row],[Bearbeitungsdauer_real]]/Lektionen[[#This Row],[Bearbeitungsdauer_geschätzt]]-1</f>
        <v>-0.3666666666666667</v>
      </c>
      <c r="H21" s="8" t="str" cm="1">
        <f t="array" ref="H21">_xlfn.IFS(Lektionen[[#This Row],[Bearbeitungsdauer_abgewichen]]&gt;0.6,"viel länger",Lektionen[[#This Row],[Bearbeitungsdauer_abgewichen]]&gt;0.3,"länger",Lektionen[[#This Row],[Bearbeitungsdauer_abgewichen]]&lt;-0.3,"kürzer",TRUE,"keine Abweichung")</f>
        <v>kürzer</v>
      </c>
      <c r="I21">
        <v>3</v>
      </c>
    </row>
    <row r="22" spans="1:9" x14ac:dyDescent="0.3">
      <c r="A22" s="13">
        <v>4</v>
      </c>
      <c r="B22" s="4">
        <v>5</v>
      </c>
      <c r="C22" t="s">
        <v>532</v>
      </c>
      <c r="D22" t="s">
        <v>530</v>
      </c>
      <c r="E22">
        <v>30</v>
      </c>
      <c r="F22">
        <v>45</v>
      </c>
      <c r="G22" s="8">
        <f>Lektionen[[#This Row],[Bearbeitungsdauer_real]]/Lektionen[[#This Row],[Bearbeitungsdauer_geschätzt]]-1</f>
        <v>0.5</v>
      </c>
      <c r="H22" s="8" t="str" cm="1">
        <f t="array" ref="H22">_xlfn.IFS(Lektionen[[#This Row],[Bearbeitungsdauer_abgewichen]]&gt;0.6,"viel länger",Lektionen[[#This Row],[Bearbeitungsdauer_abgewichen]]&gt;0.3,"länger",Lektionen[[#This Row],[Bearbeitungsdauer_abgewichen]]&lt;-0.3,"kürzer",TRUE,"keine Abweichung")</f>
        <v>länger</v>
      </c>
      <c r="I22">
        <v>3</v>
      </c>
    </row>
    <row r="23" spans="1:9" hidden="1" x14ac:dyDescent="0.3">
      <c r="A23" s="13">
        <v>4</v>
      </c>
      <c r="B23" s="4">
        <v>6</v>
      </c>
      <c r="C23" t="s">
        <v>533</v>
      </c>
      <c r="D23" t="s">
        <v>534</v>
      </c>
      <c r="E23">
        <v>5</v>
      </c>
      <c r="F23">
        <v>1</v>
      </c>
      <c r="G23" s="8">
        <f>Lektionen[[#This Row],[Bearbeitungsdauer_real]]/Lektionen[[#This Row],[Bearbeitungsdauer_geschätzt]]-1</f>
        <v>-0.8</v>
      </c>
      <c r="H23" s="8" t="str" cm="1">
        <f t="array" ref="H23">_xlfn.IFS(Lektionen[[#This Row],[Bearbeitungsdauer_abgewichen]]&gt;0.6,"viel länger",Lektionen[[#This Row],[Bearbeitungsdauer_abgewichen]]&gt;0.3,"länger",Lektionen[[#This Row],[Bearbeitungsdauer_abgewichen]]&lt;-0.3,"kürzer",TRUE,"keine Abweichung")</f>
        <v>kürzer</v>
      </c>
      <c r="I23">
        <v>2</v>
      </c>
    </row>
    <row r="24" spans="1:9" hidden="1" x14ac:dyDescent="0.3">
      <c r="A24" s="13">
        <v>4</v>
      </c>
      <c r="B24" s="4">
        <v>7</v>
      </c>
      <c r="C24" t="s">
        <v>535</v>
      </c>
      <c r="D24" t="s">
        <v>536</v>
      </c>
      <c r="E24">
        <v>10</v>
      </c>
      <c r="F24">
        <v>9</v>
      </c>
      <c r="G24" s="8">
        <f>Lektionen[[#This Row],[Bearbeitungsdauer_real]]/Lektionen[[#This Row],[Bearbeitungsdauer_geschätzt]]-1</f>
        <v>-9.9999999999999978E-2</v>
      </c>
      <c r="H24" s="8" t="str" cm="1">
        <f t="array" ref="H24">_xlfn.IFS(Lektionen[[#This Row],[Bearbeitungsdauer_abgewichen]]&gt;0.6,"viel länger",Lektionen[[#This Row],[Bearbeitungsdauer_abgewichen]]&gt;0.3,"länger",Lektionen[[#This Row],[Bearbeitungsdauer_abgewichen]]&lt;-0.3,"kürzer",TRUE,"keine Abweichung")</f>
        <v>keine Abweichung</v>
      </c>
      <c r="I24">
        <v>3</v>
      </c>
    </row>
    <row r="25" spans="1:9" hidden="1" x14ac:dyDescent="0.3">
      <c r="A25" s="13">
        <v>4</v>
      </c>
      <c r="B25" s="4">
        <v>8</v>
      </c>
      <c r="C25" t="s">
        <v>537</v>
      </c>
      <c r="D25" t="s">
        <v>527</v>
      </c>
      <c r="E25">
        <v>5</v>
      </c>
      <c r="F25">
        <v>5</v>
      </c>
      <c r="G25" s="8">
        <f>Lektionen[[#This Row],[Bearbeitungsdauer_real]]/Lektionen[[#This Row],[Bearbeitungsdauer_geschätzt]]-1</f>
        <v>0</v>
      </c>
      <c r="H25" s="8" t="str" cm="1">
        <f t="array" ref="H25">_xlfn.IFS(Lektionen[[#This Row],[Bearbeitungsdauer_abgewichen]]&gt;0.6,"viel länger",Lektionen[[#This Row],[Bearbeitungsdauer_abgewichen]]&gt;0.3,"länger",Lektionen[[#This Row],[Bearbeitungsdauer_abgewichen]]&lt;-0.3,"kürzer",TRUE,"keine Abweichung")</f>
        <v>keine Abweichung</v>
      </c>
      <c r="I25">
        <v>1</v>
      </c>
    </row>
    <row r="26" spans="1:9" hidden="1" x14ac:dyDescent="0.3">
      <c r="A26" s="13">
        <v>5</v>
      </c>
      <c r="B26" s="4">
        <v>1</v>
      </c>
      <c r="C26" t="s">
        <v>526</v>
      </c>
      <c r="D26" t="s">
        <v>527</v>
      </c>
      <c r="E26">
        <v>4</v>
      </c>
      <c r="F26">
        <v>6</v>
      </c>
      <c r="G26" s="8">
        <f>Lektionen[[#This Row],[Bearbeitungsdauer_real]]/Lektionen[[#This Row],[Bearbeitungsdauer_geschätzt]]-1</f>
        <v>0.5</v>
      </c>
      <c r="H26" s="8" t="str" cm="1">
        <f t="array" ref="H26">_xlfn.IFS(Lektionen[[#This Row],[Bearbeitungsdauer_abgewichen]]&gt;0.6,"viel länger",Lektionen[[#This Row],[Bearbeitungsdauer_abgewichen]]&gt;0.3,"länger",Lektionen[[#This Row],[Bearbeitungsdauer_abgewichen]]&lt;-0.3,"kürzer",TRUE,"keine Abweichung")</f>
        <v>länger</v>
      </c>
      <c r="I26">
        <v>1</v>
      </c>
    </row>
    <row r="27" spans="1:9" hidden="1" x14ac:dyDescent="0.3">
      <c r="A27" s="13">
        <v>5</v>
      </c>
      <c r="B27" s="4">
        <v>2</v>
      </c>
      <c r="C27" t="s">
        <v>528</v>
      </c>
      <c r="D27" t="s">
        <v>529</v>
      </c>
      <c r="E27">
        <v>15</v>
      </c>
      <c r="F27">
        <v>18</v>
      </c>
      <c r="G27" s="8">
        <f>Lektionen[[#This Row],[Bearbeitungsdauer_real]]/Lektionen[[#This Row],[Bearbeitungsdauer_geschätzt]]-1</f>
        <v>0.19999999999999996</v>
      </c>
      <c r="H27" s="8" t="str" cm="1">
        <f t="array" ref="H27">_xlfn.IFS(Lektionen[[#This Row],[Bearbeitungsdauer_abgewichen]]&gt;0.6,"viel länger",Lektionen[[#This Row],[Bearbeitungsdauer_abgewichen]]&gt;0.3,"länger",Lektionen[[#This Row],[Bearbeitungsdauer_abgewichen]]&lt;-0.3,"kürzer",TRUE,"keine Abweichung")</f>
        <v>keine Abweichung</v>
      </c>
      <c r="I27">
        <v>1</v>
      </c>
    </row>
    <row r="28" spans="1:9" hidden="1" x14ac:dyDescent="0.3">
      <c r="A28" s="13">
        <v>5</v>
      </c>
      <c r="B28" s="4">
        <v>3</v>
      </c>
      <c r="C28" t="s">
        <v>552</v>
      </c>
      <c r="D28" t="s">
        <v>530</v>
      </c>
      <c r="E28">
        <v>30</v>
      </c>
      <c r="F28">
        <v>27</v>
      </c>
      <c r="G28" s="8">
        <f>Lektionen[[#This Row],[Bearbeitungsdauer_real]]/Lektionen[[#This Row],[Bearbeitungsdauer_geschätzt]]-1</f>
        <v>-9.9999999999999978E-2</v>
      </c>
      <c r="H28" s="8" t="str" cm="1">
        <f t="array" ref="H28">_xlfn.IFS(Lektionen[[#This Row],[Bearbeitungsdauer_abgewichen]]&gt;0.6,"viel länger",Lektionen[[#This Row],[Bearbeitungsdauer_abgewichen]]&gt;0.3,"länger",Lektionen[[#This Row],[Bearbeitungsdauer_abgewichen]]&lt;-0.3,"kürzer",TRUE,"keine Abweichung")</f>
        <v>keine Abweichung</v>
      </c>
      <c r="I28">
        <v>3</v>
      </c>
    </row>
    <row r="29" spans="1:9" hidden="1" x14ac:dyDescent="0.3">
      <c r="A29" s="13">
        <v>5</v>
      </c>
      <c r="B29" s="4">
        <v>4</v>
      </c>
      <c r="C29" t="s">
        <v>531</v>
      </c>
      <c r="D29" t="s">
        <v>530</v>
      </c>
      <c r="E29">
        <v>30</v>
      </c>
      <c r="F29">
        <v>33</v>
      </c>
      <c r="G29" s="8">
        <f>Lektionen[[#This Row],[Bearbeitungsdauer_real]]/Lektionen[[#This Row],[Bearbeitungsdauer_geschätzt]]-1</f>
        <v>0.10000000000000009</v>
      </c>
      <c r="H29" s="8" t="str" cm="1">
        <f t="array" ref="H29">_xlfn.IFS(Lektionen[[#This Row],[Bearbeitungsdauer_abgewichen]]&gt;0.6,"viel länger",Lektionen[[#This Row],[Bearbeitungsdauer_abgewichen]]&gt;0.3,"länger",Lektionen[[#This Row],[Bearbeitungsdauer_abgewichen]]&lt;-0.3,"kürzer",TRUE,"keine Abweichung")</f>
        <v>keine Abweichung</v>
      </c>
      <c r="I29">
        <v>3</v>
      </c>
    </row>
    <row r="30" spans="1:9" x14ac:dyDescent="0.3">
      <c r="A30" s="13">
        <v>5</v>
      </c>
      <c r="B30" s="4">
        <v>5</v>
      </c>
      <c r="C30" t="s">
        <v>532</v>
      </c>
      <c r="D30" t="s">
        <v>530</v>
      </c>
      <c r="E30">
        <v>30</v>
      </c>
      <c r="F30">
        <v>55</v>
      </c>
      <c r="G30" s="8">
        <f>Lektionen[[#This Row],[Bearbeitungsdauer_real]]/Lektionen[[#This Row],[Bearbeitungsdauer_geschätzt]]-1</f>
        <v>0.83333333333333326</v>
      </c>
      <c r="H30" s="8" t="str" cm="1">
        <f t="array" ref="H30">_xlfn.IFS(Lektionen[[#This Row],[Bearbeitungsdauer_abgewichen]]&gt;0.6,"viel länger",Lektionen[[#This Row],[Bearbeitungsdauer_abgewichen]]&gt;0.3,"länger",Lektionen[[#This Row],[Bearbeitungsdauer_abgewichen]]&lt;-0.3,"kürzer",TRUE,"keine Abweichung")</f>
        <v>viel länger</v>
      </c>
      <c r="I30">
        <v>4</v>
      </c>
    </row>
    <row r="31" spans="1:9" hidden="1" x14ac:dyDescent="0.3">
      <c r="A31" s="13">
        <v>5</v>
      </c>
      <c r="B31" s="4">
        <v>6</v>
      </c>
      <c r="C31" t="s">
        <v>533</v>
      </c>
      <c r="D31" t="s">
        <v>534</v>
      </c>
      <c r="E31">
        <v>5</v>
      </c>
      <c r="F31">
        <v>2</v>
      </c>
      <c r="G31" s="8">
        <f>Lektionen[[#This Row],[Bearbeitungsdauer_real]]/Lektionen[[#This Row],[Bearbeitungsdauer_geschätzt]]-1</f>
        <v>-0.6</v>
      </c>
      <c r="H31" s="8" t="str" cm="1">
        <f t="array" ref="H31">_xlfn.IFS(Lektionen[[#This Row],[Bearbeitungsdauer_abgewichen]]&gt;0.6,"viel länger",Lektionen[[#This Row],[Bearbeitungsdauer_abgewichen]]&gt;0.3,"länger",Lektionen[[#This Row],[Bearbeitungsdauer_abgewichen]]&lt;-0.3,"kürzer",TRUE,"keine Abweichung")</f>
        <v>kürzer</v>
      </c>
      <c r="I31">
        <v>2</v>
      </c>
    </row>
    <row r="32" spans="1:9" hidden="1" x14ac:dyDescent="0.3">
      <c r="A32" s="13">
        <v>5</v>
      </c>
      <c r="B32" s="4">
        <v>7</v>
      </c>
      <c r="C32" t="s">
        <v>535</v>
      </c>
      <c r="D32" t="s">
        <v>536</v>
      </c>
      <c r="E32">
        <v>10</v>
      </c>
      <c r="F32">
        <v>9</v>
      </c>
      <c r="G32" s="8">
        <f>Lektionen[[#This Row],[Bearbeitungsdauer_real]]/Lektionen[[#This Row],[Bearbeitungsdauer_geschätzt]]-1</f>
        <v>-9.9999999999999978E-2</v>
      </c>
      <c r="H32" s="8" t="str" cm="1">
        <f t="array" ref="H32">_xlfn.IFS(Lektionen[[#This Row],[Bearbeitungsdauer_abgewichen]]&gt;0.6,"viel länger",Lektionen[[#This Row],[Bearbeitungsdauer_abgewichen]]&gt;0.3,"länger",Lektionen[[#This Row],[Bearbeitungsdauer_abgewichen]]&lt;-0.3,"kürzer",TRUE,"keine Abweichung")</f>
        <v>keine Abweichung</v>
      </c>
      <c r="I32">
        <v>4</v>
      </c>
    </row>
    <row r="33" spans="1:9" hidden="1" x14ac:dyDescent="0.3">
      <c r="A33" s="13">
        <v>5</v>
      </c>
      <c r="B33" s="4">
        <v>8</v>
      </c>
      <c r="C33" t="s">
        <v>537</v>
      </c>
      <c r="D33" t="s">
        <v>527</v>
      </c>
      <c r="E33">
        <v>5</v>
      </c>
      <c r="F33">
        <v>5</v>
      </c>
      <c r="G33" s="8">
        <f>Lektionen[[#This Row],[Bearbeitungsdauer_real]]/Lektionen[[#This Row],[Bearbeitungsdauer_geschätzt]]-1</f>
        <v>0</v>
      </c>
      <c r="H33" s="8" t="str" cm="1">
        <f t="array" ref="H33">_xlfn.IFS(Lektionen[[#This Row],[Bearbeitungsdauer_abgewichen]]&gt;0.6,"viel länger",Lektionen[[#This Row],[Bearbeitungsdauer_abgewichen]]&gt;0.3,"länger",Lektionen[[#This Row],[Bearbeitungsdauer_abgewichen]]&lt;-0.3,"kürzer",TRUE,"keine Abweichung")</f>
        <v>keine Abweichung</v>
      </c>
      <c r="I33">
        <v>1</v>
      </c>
    </row>
    <row r="34" spans="1:9" hidden="1" x14ac:dyDescent="0.3">
      <c r="A34" s="13">
        <v>7</v>
      </c>
      <c r="B34" s="4">
        <v>1</v>
      </c>
      <c r="C34" t="s">
        <v>526</v>
      </c>
      <c r="D34" t="s">
        <v>527</v>
      </c>
      <c r="E34">
        <v>4</v>
      </c>
      <c r="F34">
        <v>5</v>
      </c>
      <c r="G34" s="8">
        <f>Lektionen[[#This Row],[Bearbeitungsdauer_real]]/Lektionen[[#This Row],[Bearbeitungsdauer_geschätzt]]-1</f>
        <v>0.25</v>
      </c>
      <c r="H34" s="8" t="str" cm="1">
        <f t="array" ref="H34">_xlfn.IFS(Lektionen[[#This Row],[Bearbeitungsdauer_abgewichen]]&gt;0.6,"viel länger",Lektionen[[#This Row],[Bearbeitungsdauer_abgewichen]]&gt;0.3,"länger",Lektionen[[#This Row],[Bearbeitungsdauer_abgewichen]]&lt;-0.3,"kürzer",TRUE,"keine Abweichung")</f>
        <v>keine Abweichung</v>
      </c>
      <c r="I34">
        <v>1</v>
      </c>
    </row>
    <row r="35" spans="1:9" hidden="1" x14ac:dyDescent="0.3">
      <c r="A35" s="13">
        <v>7</v>
      </c>
      <c r="B35" s="4">
        <v>2</v>
      </c>
      <c r="C35" t="s">
        <v>528</v>
      </c>
      <c r="D35" t="s">
        <v>529</v>
      </c>
      <c r="E35">
        <v>15</v>
      </c>
      <c r="F35">
        <v>18</v>
      </c>
      <c r="G35" s="8">
        <f>Lektionen[[#This Row],[Bearbeitungsdauer_real]]/Lektionen[[#This Row],[Bearbeitungsdauer_geschätzt]]-1</f>
        <v>0.19999999999999996</v>
      </c>
      <c r="H35" s="8" t="str" cm="1">
        <f t="array" ref="H35">_xlfn.IFS(Lektionen[[#This Row],[Bearbeitungsdauer_abgewichen]]&gt;0.6,"viel länger",Lektionen[[#This Row],[Bearbeitungsdauer_abgewichen]]&gt;0.3,"länger",Lektionen[[#This Row],[Bearbeitungsdauer_abgewichen]]&lt;-0.3,"kürzer",TRUE,"keine Abweichung")</f>
        <v>keine Abweichung</v>
      </c>
      <c r="I35">
        <v>2</v>
      </c>
    </row>
    <row r="36" spans="1:9" hidden="1" x14ac:dyDescent="0.3">
      <c r="A36" s="13">
        <v>7</v>
      </c>
      <c r="B36" s="4">
        <v>3</v>
      </c>
      <c r="C36" t="s">
        <v>552</v>
      </c>
      <c r="D36" t="s">
        <v>530</v>
      </c>
      <c r="E36">
        <v>30</v>
      </c>
      <c r="F36">
        <v>28</v>
      </c>
      <c r="G36" s="8">
        <f>Lektionen[[#This Row],[Bearbeitungsdauer_real]]/Lektionen[[#This Row],[Bearbeitungsdauer_geschätzt]]-1</f>
        <v>-6.6666666666666652E-2</v>
      </c>
      <c r="H36" s="8" t="str" cm="1">
        <f t="array" ref="H36">_xlfn.IFS(Lektionen[[#This Row],[Bearbeitungsdauer_abgewichen]]&gt;0.6,"viel länger",Lektionen[[#This Row],[Bearbeitungsdauer_abgewichen]]&gt;0.3,"länger",Lektionen[[#This Row],[Bearbeitungsdauer_abgewichen]]&lt;-0.3,"kürzer",TRUE,"keine Abweichung")</f>
        <v>keine Abweichung</v>
      </c>
      <c r="I36">
        <v>2</v>
      </c>
    </row>
    <row r="37" spans="1:9" hidden="1" x14ac:dyDescent="0.3">
      <c r="A37" s="13">
        <v>7</v>
      </c>
      <c r="B37" s="4">
        <v>4</v>
      </c>
      <c r="C37" t="s">
        <v>531</v>
      </c>
      <c r="D37" t="s">
        <v>530</v>
      </c>
      <c r="E37">
        <v>30</v>
      </c>
      <c r="F37">
        <v>21</v>
      </c>
      <c r="G37" s="8">
        <f>Lektionen[[#This Row],[Bearbeitungsdauer_real]]/Lektionen[[#This Row],[Bearbeitungsdauer_geschätzt]]-1</f>
        <v>-0.30000000000000004</v>
      </c>
      <c r="H37" s="8" t="str" cm="1">
        <f t="array" ref="H37">_xlfn.IFS(Lektionen[[#This Row],[Bearbeitungsdauer_abgewichen]]&gt;0.6,"viel länger",Lektionen[[#This Row],[Bearbeitungsdauer_abgewichen]]&gt;0.3,"länger",Lektionen[[#This Row],[Bearbeitungsdauer_abgewichen]]&lt;-0.3,"kürzer",TRUE,"keine Abweichung")</f>
        <v>keine Abweichung</v>
      </c>
      <c r="I37">
        <v>4</v>
      </c>
    </row>
    <row r="38" spans="1:9" x14ac:dyDescent="0.3">
      <c r="A38" s="13">
        <v>7</v>
      </c>
      <c r="B38" s="4">
        <v>5</v>
      </c>
      <c r="C38" t="s">
        <v>532</v>
      </c>
      <c r="D38" t="s">
        <v>530</v>
      </c>
      <c r="E38">
        <v>30</v>
      </c>
      <c r="F38">
        <v>51</v>
      </c>
      <c r="G38" s="8">
        <f>Lektionen[[#This Row],[Bearbeitungsdauer_real]]/Lektionen[[#This Row],[Bearbeitungsdauer_geschätzt]]-1</f>
        <v>0.7</v>
      </c>
      <c r="H38" s="8" t="str" cm="1">
        <f t="array" ref="H38">_xlfn.IFS(Lektionen[[#This Row],[Bearbeitungsdauer_abgewichen]]&gt;0.6,"viel länger",Lektionen[[#This Row],[Bearbeitungsdauer_abgewichen]]&gt;0.3,"länger",Lektionen[[#This Row],[Bearbeitungsdauer_abgewichen]]&lt;-0.3,"kürzer",TRUE,"keine Abweichung")</f>
        <v>viel länger</v>
      </c>
      <c r="I38">
        <v>3</v>
      </c>
    </row>
    <row r="39" spans="1:9" hidden="1" x14ac:dyDescent="0.3">
      <c r="A39" s="13">
        <v>7</v>
      </c>
      <c r="B39" s="4">
        <v>6</v>
      </c>
      <c r="C39" t="s">
        <v>533</v>
      </c>
      <c r="D39" t="s">
        <v>534</v>
      </c>
      <c r="E39">
        <v>5</v>
      </c>
      <c r="F39">
        <v>2</v>
      </c>
      <c r="G39" s="8">
        <f>Lektionen[[#This Row],[Bearbeitungsdauer_real]]/Lektionen[[#This Row],[Bearbeitungsdauer_geschätzt]]-1</f>
        <v>-0.6</v>
      </c>
      <c r="H39" s="8" t="str" cm="1">
        <f t="array" ref="H39">_xlfn.IFS(Lektionen[[#This Row],[Bearbeitungsdauer_abgewichen]]&gt;0.6,"viel länger",Lektionen[[#This Row],[Bearbeitungsdauer_abgewichen]]&gt;0.3,"länger",Lektionen[[#This Row],[Bearbeitungsdauer_abgewichen]]&lt;-0.3,"kürzer",TRUE,"keine Abweichung")</f>
        <v>kürzer</v>
      </c>
      <c r="I39">
        <v>1</v>
      </c>
    </row>
    <row r="40" spans="1:9" hidden="1" x14ac:dyDescent="0.3">
      <c r="A40" s="13">
        <v>7</v>
      </c>
      <c r="B40" s="4">
        <v>7</v>
      </c>
      <c r="C40" t="s">
        <v>535</v>
      </c>
      <c r="D40" t="s">
        <v>536</v>
      </c>
      <c r="E40">
        <v>10</v>
      </c>
      <c r="F40">
        <v>10</v>
      </c>
      <c r="G40" s="8">
        <f>Lektionen[[#This Row],[Bearbeitungsdauer_real]]/Lektionen[[#This Row],[Bearbeitungsdauer_geschätzt]]-1</f>
        <v>0</v>
      </c>
      <c r="H40" s="8" t="str" cm="1">
        <f t="array" ref="H40">_xlfn.IFS(Lektionen[[#This Row],[Bearbeitungsdauer_abgewichen]]&gt;0.6,"viel länger",Lektionen[[#This Row],[Bearbeitungsdauer_abgewichen]]&gt;0.3,"länger",Lektionen[[#This Row],[Bearbeitungsdauer_abgewichen]]&lt;-0.3,"kürzer",TRUE,"keine Abweichung")</f>
        <v>keine Abweichung</v>
      </c>
      <c r="I40">
        <v>3</v>
      </c>
    </row>
    <row r="41" spans="1:9" hidden="1" x14ac:dyDescent="0.3">
      <c r="A41" s="13">
        <v>7</v>
      </c>
      <c r="B41" s="4">
        <v>8</v>
      </c>
      <c r="C41" t="s">
        <v>537</v>
      </c>
      <c r="D41" t="s">
        <v>527</v>
      </c>
      <c r="E41">
        <v>5</v>
      </c>
      <c r="F41">
        <v>5</v>
      </c>
      <c r="G41" s="8">
        <f>Lektionen[[#This Row],[Bearbeitungsdauer_real]]/Lektionen[[#This Row],[Bearbeitungsdauer_geschätzt]]-1</f>
        <v>0</v>
      </c>
      <c r="H41" s="8" t="str" cm="1">
        <f t="array" ref="H41">_xlfn.IFS(Lektionen[[#This Row],[Bearbeitungsdauer_abgewichen]]&gt;0.6,"viel länger",Lektionen[[#This Row],[Bearbeitungsdauer_abgewichen]]&gt;0.3,"länger",Lektionen[[#This Row],[Bearbeitungsdauer_abgewichen]]&lt;-0.3,"kürzer",TRUE,"keine Abweichung")</f>
        <v>keine Abweichung</v>
      </c>
      <c r="I41">
        <v>2</v>
      </c>
    </row>
    <row r="42" spans="1:9" hidden="1" x14ac:dyDescent="0.3">
      <c r="A42" s="13">
        <v>8</v>
      </c>
      <c r="B42" s="4">
        <v>1</v>
      </c>
      <c r="C42" t="s">
        <v>526</v>
      </c>
      <c r="D42" t="s">
        <v>527</v>
      </c>
      <c r="E42">
        <v>4</v>
      </c>
      <c r="F42">
        <v>4</v>
      </c>
      <c r="G42" s="8">
        <f>Lektionen[[#This Row],[Bearbeitungsdauer_real]]/Lektionen[[#This Row],[Bearbeitungsdauer_geschätzt]]-1</f>
        <v>0</v>
      </c>
      <c r="H42" s="8" t="str" cm="1">
        <f t="array" ref="H42">_xlfn.IFS(Lektionen[[#This Row],[Bearbeitungsdauer_abgewichen]]&gt;0.6,"viel länger",Lektionen[[#This Row],[Bearbeitungsdauer_abgewichen]]&gt;0.3,"länger",Lektionen[[#This Row],[Bearbeitungsdauer_abgewichen]]&lt;-0.3,"kürzer",TRUE,"keine Abweichung")</f>
        <v>keine Abweichung</v>
      </c>
      <c r="I42">
        <v>1</v>
      </c>
    </row>
    <row r="43" spans="1:9" hidden="1" x14ac:dyDescent="0.3">
      <c r="A43" s="13">
        <v>8</v>
      </c>
      <c r="B43" s="4">
        <v>2</v>
      </c>
      <c r="C43" t="s">
        <v>528</v>
      </c>
      <c r="D43" t="s">
        <v>529</v>
      </c>
      <c r="E43">
        <v>15</v>
      </c>
      <c r="F43">
        <v>15</v>
      </c>
      <c r="G43" s="8">
        <f>Lektionen[[#This Row],[Bearbeitungsdauer_real]]/Lektionen[[#This Row],[Bearbeitungsdauer_geschätzt]]-1</f>
        <v>0</v>
      </c>
      <c r="H43" s="8" t="str" cm="1">
        <f t="array" ref="H43">_xlfn.IFS(Lektionen[[#This Row],[Bearbeitungsdauer_abgewichen]]&gt;0.6,"viel länger",Lektionen[[#This Row],[Bearbeitungsdauer_abgewichen]]&gt;0.3,"länger",Lektionen[[#This Row],[Bearbeitungsdauer_abgewichen]]&lt;-0.3,"kürzer",TRUE,"keine Abweichung")</f>
        <v>keine Abweichung</v>
      </c>
      <c r="I43">
        <v>2</v>
      </c>
    </row>
    <row r="44" spans="1:9" hidden="1" x14ac:dyDescent="0.3">
      <c r="A44" s="13">
        <v>8</v>
      </c>
      <c r="B44" s="4">
        <v>3</v>
      </c>
      <c r="C44" t="s">
        <v>552</v>
      </c>
      <c r="D44" t="s">
        <v>530</v>
      </c>
      <c r="E44">
        <v>30</v>
      </c>
      <c r="F44">
        <v>30</v>
      </c>
      <c r="G44" s="8">
        <f>Lektionen[[#This Row],[Bearbeitungsdauer_real]]/Lektionen[[#This Row],[Bearbeitungsdauer_geschätzt]]-1</f>
        <v>0</v>
      </c>
      <c r="H44" s="8" t="str" cm="1">
        <f t="array" ref="H44">_xlfn.IFS(Lektionen[[#This Row],[Bearbeitungsdauer_abgewichen]]&gt;0.6,"viel länger",Lektionen[[#This Row],[Bearbeitungsdauer_abgewichen]]&gt;0.3,"länger",Lektionen[[#This Row],[Bearbeitungsdauer_abgewichen]]&lt;-0.3,"kürzer",TRUE,"keine Abweichung")</f>
        <v>keine Abweichung</v>
      </c>
      <c r="I44">
        <v>3</v>
      </c>
    </row>
    <row r="45" spans="1:9" hidden="1" x14ac:dyDescent="0.3">
      <c r="A45" s="13">
        <v>8</v>
      </c>
      <c r="B45" s="4">
        <v>4</v>
      </c>
      <c r="C45" t="s">
        <v>531</v>
      </c>
      <c r="D45" t="s">
        <v>530</v>
      </c>
      <c r="E45">
        <v>30</v>
      </c>
      <c r="F45">
        <v>28</v>
      </c>
      <c r="G45" s="8">
        <f>Lektionen[[#This Row],[Bearbeitungsdauer_real]]/Lektionen[[#This Row],[Bearbeitungsdauer_geschätzt]]-1</f>
        <v>-6.6666666666666652E-2</v>
      </c>
      <c r="H45" s="8" t="str" cm="1">
        <f t="array" ref="H45">_xlfn.IFS(Lektionen[[#This Row],[Bearbeitungsdauer_abgewichen]]&gt;0.6,"viel länger",Lektionen[[#This Row],[Bearbeitungsdauer_abgewichen]]&gt;0.3,"länger",Lektionen[[#This Row],[Bearbeitungsdauer_abgewichen]]&lt;-0.3,"kürzer",TRUE,"keine Abweichung")</f>
        <v>keine Abweichung</v>
      </c>
      <c r="I45">
        <v>2</v>
      </c>
    </row>
    <row r="46" spans="1:9" x14ac:dyDescent="0.3">
      <c r="A46" s="13">
        <v>8</v>
      </c>
      <c r="B46" s="4">
        <v>5</v>
      </c>
      <c r="C46" t="s">
        <v>532</v>
      </c>
      <c r="D46" t="s">
        <v>530</v>
      </c>
      <c r="E46">
        <v>30</v>
      </c>
      <c r="F46">
        <v>45</v>
      </c>
      <c r="G46" s="8">
        <f>Lektionen[[#This Row],[Bearbeitungsdauer_real]]/Lektionen[[#This Row],[Bearbeitungsdauer_geschätzt]]-1</f>
        <v>0.5</v>
      </c>
      <c r="H46" s="8" t="str" cm="1">
        <f t="array" ref="H46">_xlfn.IFS(Lektionen[[#This Row],[Bearbeitungsdauer_abgewichen]]&gt;0.6,"viel länger",Lektionen[[#This Row],[Bearbeitungsdauer_abgewichen]]&gt;0.3,"länger",Lektionen[[#This Row],[Bearbeitungsdauer_abgewichen]]&lt;-0.3,"kürzer",TRUE,"keine Abweichung")</f>
        <v>länger</v>
      </c>
      <c r="I46">
        <v>3</v>
      </c>
    </row>
    <row r="47" spans="1:9" hidden="1" x14ac:dyDescent="0.3">
      <c r="A47" s="13">
        <v>8</v>
      </c>
      <c r="B47" s="4">
        <v>6</v>
      </c>
      <c r="C47" t="s">
        <v>533</v>
      </c>
      <c r="D47" t="s">
        <v>534</v>
      </c>
      <c r="E47">
        <v>5</v>
      </c>
      <c r="F47">
        <v>3</v>
      </c>
      <c r="G47" s="8">
        <f>Lektionen[[#This Row],[Bearbeitungsdauer_real]]/Lektionen[[#This Row],[Bearbeitungsdauer_geschätzt]]-1</f>
        <v>-0.4</v>
      </c>
      <c r="H47" s="8" t="str" cm="1">
        <f t="array" ref="H47">_xlfn.IFS(Lektionen[[#This Row],[Bearbeitungsdauer_abgewichen]]&gt;0.6,"viel länger",Lektionen[[#This Row],[Bearbeitungsdauer_abgewichen]]&gt;0.3,"länger",Lektionen[[#This Row],[Bearbeitungsdauer_abgewichen]]&lt;-0.3,"kürzer",TRUE,"keine Abweichung")</f>
        <v>kürzer</v>
      </c>
      <c r="I47">
        <v>2</v>
      </c>
    </row>
    <row r="48" spans="1:9" hidden="1" x14ac:dyDescent="0.3">
      <c r="A48" s="13">
        <v>8</v>
      </c>
      <c r="B48" s="4">
        <v>7</v>
      </c>
      <c r="C48" t="s">
        <v>535</v>
      </c>
      <c r="D48" t="s">
        <v>536</v>
      </c>
      <c r="E48">
        <v>10</v>
      </c>
      <c r="F48">
        <v>9</v>
      </c>
      <c r="G48" s="8">
        <f>Lektionen[[#This Row],[Bearbeitungsdauer_real]]/Lektionen[[#This Row],[Bearbeitungsdauer_geschätzt]]-1</f>
        <v>-9.9999999999999978E-2</v>
      </c>
      <c r="H48" s="8" t="str" cm="1">
        <f t="array" ref="H48">_xlfn.IFS(Lektionen[[#This Row],[Bearbeitungsdauer_abgewichen]]&gt;0.6,"viel länger",Lektionen[[#This Row],[Bearbeitungsdauer_abgewichen]]&gt;0.3,"länger",Lektionen[[#This Row],[Bearbeitungsdauer_abgewichen]]&lt;-0.3,"kürzer",TRUE,"keine Abweichung")</f>
        <v>keine Abweichung</v>
      </c>
      <c r="I48">
        <v>4</v>
      </c>
    </row>
    <row r="49" spans="1:9" hidden="1" x14ac:dyDescent="0.3">
      <c r="A49" s="13">
        <v>8</v>
      </c>
      <c r="B49" s="4">
        <v>8</v>
      </c>
      <c r="C49" t="s">
        <v>537</v>
      </c>
      <c r="D49" t="s">
        <v>527</v>
      </c>
      <c r="E49">
        <v>5</v>
      </c>
      <c r="F49">
        <v>7</v>
      </c>
      <c r="G49" s="8">
        <f>Lektionen[[#This Row],[Bearbeitungsdauer_real]]/Lektionen[[#This Row],[Bearbeitungsdauer_geschätzt]]-1</f>
        <v>0.39999999999999991</v>
      </c>
      <c r="H49" s="8" t="str" cm="1">
        <f t="array" ref="H49">_xlfn.IFS(Lektionen[[#This Row],[Bearbeitungsdauer_abgewichen]]&gt;0.6,"viel länger",Lektionen[[#This Row],[Bearbeitungsdauer_abgewichen]]&gt;0.3,"länger",Lektionen[[#This Row],[Bearbeitungsdauer_abgewichen]]&lt;-0.3,"kürzer",TRUE,"keine Abweichung")</f>
        <v>länger</v>
      </c>
      <c r="I49">
        <v>1</v>
      </c>
    </row>
    <row r="50" spans="1:9" hidden="1" x14ac:dyDescent="0.3">
      <c r="A50" s="13">
        <v>9</v>
      </c>
      <c r="B50" s="4">
        <v>1</v>
      </c>
      <c r="C50" t="s">
        <v>526</v>
      </c>
      <c r="D50" t="s">
        <v>527</v>
      </c>
      <c r="E50">
        <v>4</v>
      </c>
      <c r="F50">
        <v>4</v>
      </c>
      <c r="G50" s="8">
        <f>Lektionen[[#This Row],[Bearbeitungsdauer_real]]/Lektionen[[#This Row],[Bearbeitungsdauer_geschätzt]]-1</f>
        <v>0</v>
      </c>
      <c r="H50" s="8" t="str" cm="1">
        <f t="array" ref="H50">_xlfn.IFS(Lektionen[[#This Row],[Bearbeitungsdauer_abgewichen]]&gt;0.6,"viel länger",Lektionen[[#This Row],[Bearbeitungsdauer_abgewichen]]&gt;0.3,"länger",Lektionen[[#This Row],[Bearbeitungsdauer_abgewichen]]&lt;-0.3,"kürzer",TRUE,"keine Abweichung")</f>
        <v>keine Abweichung</v>
      </c>
      <c r="I50">
        <v>1</v>
      </c>
    </row>
    <row r="51" spans="1:9" hidden="1" x14ac:dyDescent="0.3">
      <c r="A51" s="13">
        <v>9</v>
      </c>
      <c r="B51" s="4">
        <v>2</v>
      </c>
      <c r="C51" t="s">
        <v>528</v>
      </c>
      <c r="D51" t="s">
        <v>529</v>
      </c>
      <c r="E51">
        <v>15</v>
      </c>
      <c r="F51">
        <v>15</v>
      </c>
      <c r="G51" s="8">
        <f>Lektionen[[#This Row],[Bearbeitungsdauer_real]]/Lektionen[[#This Row],[Bearbeitungsdauer_geschätzt]]-1</f>
        <v>0</v>
      </c>
      <c r="H51" s="8" t="str" cm="1">
        <f t="array" ref="H51">_xlfn.IFS(Lektionen[[#This Row],[Bearbeitungsdauer_abgewichen]]&gt;0.6,"viel länger",Lektionen[[#This Row],[Bearbeitungsdauer_abgewichen]]&gt;0.3,"länger",Lektionen[[#This Row],[Bearbeitungsdauer_abgewichen]]&lt;-0.3,"kürzer",TRUE,"keine Abweichung")</f>
        <v>keine Abweichung</v>
      </c>
      <c r="I51">
        <v>1</v>
      </c>
    </row>
    <row r="52" spans="1:9" hidden="1" x14ac:dyDescent="0.3">
      <c r="A52" s="13">
        <v>9</v>
      </c>
      <c r="B52" s="4">
        <v>3</v>
      </c>
      <c r="C52" t="s">
        <v>552</v>
      </c>
      <c r="D52" t="s">
        <v>530</v>
      </c>
      <c r="E52">
        <v>30</v>
      </c>
      <c r="F52">
        <v>28</v>
      </c>
      <c r="G52" s="8">
        <f>Lektionen[[#This Row],[Bearbeitungsdauer_real]]/Lektionen[[#This Row],[Bearbeitungsdauer_geschätzt]]-1</f>
        <v>-6.6666666666666652E-2</v>
      </c>
      <c r="H52" s="8" t="str" cm="1">
        <f t="array" ref="H52">_xlfn.IFS(Lektionen[[#This Row],[Bearbeitungsdauer_abgewichen]]&gt;0.6,"viel länger",Lektionen[[#This Row],[Bearbeitungsdauer_abgewichen]]&gt;0.3,"länger",Lektionen[[#This Row],[Bearbeitungsdauer_abgewichen]]&lt;-0.3,"kürzer",TRUE,"keine Abweichung")</f>
        <v>keine Abweichung</v>
      </c>
      <c r="I52">
        <v>4</v>
      </c>
    </row>
    <row r="53" spans="1:9" hidden="1" x14ac:dyDescent="0.3">
      <c r="A53" s="13">
        <v>9</v>
      </c>
      <c r="B53" s="4">
        <v>4</v>
      </c>
      <c r="C53" t="s">
        <v>531</v>
      </c>
      <c r="D53" t="s">
        <v>530</v>
      </c>
      <c r="E53">
        <v>30</v>
      </c>
      <c r="F53">
        <v>31</v>
      </c>
      <c r="G53" s="8">
        <f>Lektionen[[#This Row],[Bearbeitungsdauer_real]]/Lektionen[[#This Row],[Bearbeitungsdauer_geschätzt]]-1</f>
        <v>3.3333333333333437E-2</v>
      </c>
      <c r="H53" s="8" t="str" cm="1">
        <f t="array" ref="H53">_xlfn.IFS(Lektionen[[#This Row],[Bearbeitungsdauer_abgewichen]]&gt;0.6,"viel länger",Lektionen[[#This Row],[Bearbeitungsdauer_abgewichen]]&gt;0.3,"länger",Lektionen[[#This Row],[Bearbeitungsdauer_abgewichen]]&lt;-0.3,"kürzer",TRUE,"keine Abweichung")</f>
        <v>keine Abweichung</v>
      </c>
      <c r="I53">
        <v>4</v>
      </c>
    </row>
    <row r="54" spans="1:9" x14ac:dyDescent="0.3">
      <c r="A54" s="13">
        <v>9</v>
      </c>
      <c r="B54" s="4">
        <v>5</v>
      </c>
      <c r="C54" t="s">
        <v>532</v>
      </c>
      <c r="D54" t="s">
        <v>530</v>
      </c>
      <c r="E54">
        <v>30</v>
      </c>
      <c r="F54">
        <v>48</v>
      </c>
      <c r="G54" s="8">
        <f>Lektionen[[#This Row],[Bearbeitungsdauer_real]]/Lektionen[[#This Row],[Bearbeitungsdauer_geschätzt]]-1</f>
        <v>0.60000000000000009</v>
      </c>
      <c r="H54" s="8" t="str" cm="1">
        <f t="array" ref="H54">_xlfn.IFS(Lektionen[[#This Row],[Bearbeitungsdauer_abgewichen]]&gt;0.6,"viel länger",Lektionen[[#This Row],[Bearbeitungsdauer_abgewichen]]&gt;0.3,"länger",Lektionen[[#This Row],[Bearbeitungsdauer_abgewichen]]&lt;-0.3,"kürzer",TRUE,"keine Abweichung")</f>
        <v>länger</v>
      </c>
      <c r="I54">
        <v>4</v>
      </c>
    </row>
    <row r="55" spans="1:9" hidden="1" x14ac:dyDescent="0.3">
      <c r="A55" s="13">
        <v>9</v>
      </c>
      <c r="B55" s="4">
        <v>6</v>
      </c>
      <c r="C55" t="s">
        <v>533</v>
      </c>
      <c r="D55" t="s">
        <v>534</v>
      </c>
      <c r="E55">
        <v>5</v>
      </c>
      <c r="F55">
        <v>2</v>
      </c>
      <c r="G55" s="8">
        <f>Lektionen[[#This Row],[Bearbeitungsdauer_real]]/Lektionen[[#This Row],[Bearbeitungsdauer_geschätzt]]-1</f>
        <v>-0.6</v>
      </c>
      <c r="H55" s="8" t="str" cm="1">
        <f t="array" ref="H55">_xlfn.IFS(Lektionen[[#This Row],[Bearbeitungsdauer_abgewichen]]&gt;0.6,"viel länger",Lektionen[[#This Row],[Bearbeitungsdauer_abgewichen]]&gt;0.3,"länger",Lektionen[[#This Row],[Bearbeitungsdauer_abgewichen]]&lt;-0.3,"kürzer",TRUE,"keine Abweichung")</f>
        <v>kürzer</v>
      </c>
      <c r="I55">
        <v>2</v>
      </c>
    </row>
    <row r="56" spans="1:9" hidden="1" x14ac:dyDescent="0.3">
      <c r="A56" s="13">
        <v>9</v>
      </c>
      <c r="B56" s="4">
        <v>7</v>
      </c>
      <c r="C56" t="s">
        <v>535</v>
      </c>
      <c r="D56" t="s">
        <v>536</v>
      </c>
      <c r="E56">
        <v>10</v>
      </c>
      <c r="F56">
        <v>8</v>
      </c>
      <c r="G56" s="8">
        <f>Lektionen[[#This Row],[Bearbeitungsdauer_real]]/Lektionen[[#This Row],[Bearbeitungsdauer_geschätzt]]-1</f>
        <v>-0.19999999999999996</v>
      </c>
      <c r="H56" s="8" t="str" cm="1">
        <f t="array" ref="H56">_xlfn.IFS(Lektionen[[#This Row],[Bearbeitungsdauer_abgewichen]]&gt;0.6,"viel länger",Lektionen[[#This Row],[Bearbeitungsdauer_abgewichen]]&gt;0.3,"länger",Lektionen[[#This Row],[Bearbeitungsdauer_abgewichen]]&lt;-0.3,"kürzer",TRUE,"keine Abweichung")</f>
        <v>keine Abweichung</v>
      </c>
      <c r="I56">
        <v>4</v>
      </c>
    </row>
    <row r="57" spans="1:9" hidden="1" x14ac:dyDescent="0.3">
      <c r="A57" s="13">
        <v>9</v>
      </c>
      <c r="B57" s="4">
        <v>8</v>
      </c>
      <c r="C57" t="s">
        <v>537</v>
      </c>
      <c r="D57" t="s">
        <v>527</v>
      </c>
      <c r="E57">
        <v>5</v>
      </c>
      <c r="F57">
        <v>5</v>
      </c>
      <c r="G57" s="8">
        <f>Lektionen[[#This Row],[Bearbeitungsdauer_real]]/Lektionen[[#This Row],[Bearbeitungsdauer_geschätzt]]-1</f>
        <v>0</v>
      </c>
      <c r="H57" s="8" t="str" cm="1">
        <f t="array" ref="H57">_xlfn.IFS(Lektionen[[#This Row],[Bearbeitungsdauer_abgewichen]]&gt;0.6,"viel länger",Lektionen[[#This Row],[Bearbeitungsdauer_abgewichen]]&gt;0.3,"länger",Lektionen[[#This Row],[Bearbeitungsdauer_abgewichen]]&lt;-0.3,"kürzer",TRUE,"keine Abweichung")</f>
        <v>keine Abweichung</v>
      </c>
      <c r="I57">
        <v>1</v>
      </c>
    </row>
    <row r="58" spans="1:9" hidden="1" x14ac:dyDescent="0.3">
      <c r="A58" s="13">
        <v>10</v>
      </c>
      <c r="B58" s="4">
        <v>1</v>
      </c>
      <c r="C58" t="s">
        <v>526</v>
      </c>
      <c r="D58" t="s">
        <v>527</v>
      </c>
      <c r="E58">
        <v>4</v>
      </c>
      <c r="F58">
        <v>4</v>
      </c>
      <c r="G58" s="8">
        <f>Lektionen[[#This Row],[Bearbeitungsdauer_real]]/Lektionen[[#This Row],[Bearbeitungsdauer_geschätzt]]-1</f>
        <v>0</v>
      </c>
      <c r="H58" s="8" t="str" cm="1">
        <f t="array" ref="H58">_xlfn.IFS(Lektionen[[#This Row],[Bearbeitungsdauer_abgewichen]]&gt;0.6,"viel länger",Lektionen[[#This Row],[Bearbeitungsdauer_abgewichen]]&gt;0.3,"länger",Lektionen[[#This Row],[Bearbeitungsdauer_abgewichen]]&lt;-0.3,"kürzer",TRUE,"keine Abweichung")</f>
        <v>keine Abweichung</v>
      </c>
      <c r="I58">
        <v>1</v>
      </c>
    </row>
    <row r="59" spans="1:9" hidden="1" x14ac:dyDescent="0.3">
      <c r="A59" s="13">
        <v>10</v>
      </c>
      <c r="B59" s="4">
        <v>2</v>
      </c>
      <c r="C59" t="s">
        <v>528</v>
      </c>
      <c r="D59" t="s">
        <v>529</v>
      </c>
      <c r="E59">
        <v>15</v>
      </c>
      <c r="F59">
        <v>19</v>
      </c>
      <c r="G59" s="8">
        <f>Lektionen[[#This Row],[Bearbeitungsdauer_real]]/Lektionen[[#This Row],[Bearbeitungsdauer_geschätzt]]-1</f>
        <v>0.26666666666666661</v>
      </c>
      <c r="H59" s="8" t="str" cm="1">
        <f t="array" ref="H59">_xlfn.IFS(Lektionen[[#This Row],[Bearbeitungsdauer_abgewichen]]&gt;0.6,"viel länger",Lektionen[[#This Row],[Bearbeitungsdauer_abgewichen]]&gt;0.3,"länger",Lektionen[[#This Row],[Bearbeitungsdauer_abgewichen]]&lt;-0.3,"kürzer",TRUE,"keine Abweichung")</f>
        <v>keine Abweichung</v>
      </c>
      <c r="I59">
        <v>2</v>
      </c>
    </row>
    <row r="60" spans="1:9" hidden="1" x14ac:dyDescent="0.3">
      <c r="A60" s="13">
        <v>10</v>
      </c>
      <c r="B60" s="4">
        <v>3</v>
      </c>
      <c r="C60" t="s">
        <v>552</v>
      </c>
      <c r="D60" t="s">
        <v>530</v>
      </c>
      <c r="E60">
        <v>30</v>
      </c>
      <c r="F60">
        <v>30</v>
      </c>
      <c r="G60" s="8">
        <f>Lektionen[[#This Row],[Bearbeitungsdauer_real]]/Lektionen[[#This Row],[Bearbeitungsdauer_geschätzt]]-1</f>
        <v>0</v>
      </c>
      <c r="H60" s="8" t="str" cm="1">
        <f t="array" ref="H60">_xlfn.IFS(Lektionen[[#This Row],[Bearbeitungsdauer_abgewichen]]&gt;0.6,"viel länger",Lektionen[[#This Row],[Bearbeitungsdauer_abgewichen]]&gt;0.3,"länger",Lektionen[[#This Row],[Bearbeitungsdauer_abgewichen]]&lt;-0.3,"kürzer",TRUE,"keine Abweichung")</f>
        <v>keine Abweichung</v>
      </c>
      <c r="I60">
        <v>2</v>
      </c>
    </row>
    <row r="61" spans="1:9" hidden="1" x14ac:dyDescent="0.3">
      <c r="A61" s="13">
        <v>10</v>
      </c>
      <c r="B61" s="4">
        <v>4</v>
      </c>
      <c r="C61" t="s">
        <v>531</v>
      </c>
      <c r="D61" t="s">
        <v>530</v>
      </c>
      <c r="E61">
        <v>30</v>
      </c>
      <c r="F61">
        <v>22</v>
      </c>
      <c r="G61" s="8">
        <f>Lektionen[[#This Row],[Bearbeitungsdauer_real]]/Lektionen[[#This Row],[Bearbeitungsdauer_geschätzt]]-1</f>
        <v>-0.26666666666666672</v>
      </c>
      <c r="H61" s="8" t="str" cm="1">
        <f t="array" ref="H61">_xlfn.IFS(Lektionen[[#This Row],[Bearbeitungsdauer_abgewichen]]&gt;0.6,"viel länger",Lektionen[[#This Row],[Bearbeitungsdauer_abgewichen]]&gt;0.3,"länger",Lektionen[[#This Row],[Bearbeitungsdauer_abgewichen]]&lt;-0.3,"kürzer",TRUE,"keine Abweichung")</f>
        <v>keine Abweichung</v>
      </c>
      <c r="I61">
        <v>3</v>
      </c>
    </row>
    <row r="62" spans="1:9" x14ac:dyDescent="0.3">
      <c r="A62" s="13">
        <v>10</v>
      </c>
      <c r="B62" s="4">
        <v>5</v>
      </c>
      <c r="C62" t="s">
        <v>532</v>
      </c>
      <c r="D62" t="s">
        <v>530</v>
      </c>
      <c r="E62">
        <v>30</v>
      </c>
      <c r="F62">
        <v>46</v>
      </c>
      <c r="G62" s="8">
        <f>Lektionen[[#This Row],[Bearbeitungsdauer_real]]/Lektionen[[#This Row],[Bearbeitungsdauer_geschätzt]]-1</f>
        <v>0.53333333333333344</v>
      </c>
      <c r="H62" s="8" t="str" cm="1">
        <f t="array" ref="H62">_xlfn.IFS(Lektionen[[#This Row],[Bearbeitungsdauer_abgewichen]]&gt;0.6,"viel länger",Lektionen[[#This Row],[Bearbeitungsdauer_abgewichen]]&gt;0.3,"länger",Lektionen[[#This Row],[Bearbeitungsdauer_abgewichen]]&lt;-0.3,"kürzer",TRUE,"keine Abweichung")</f>
        <v>länger</v>
      </c>
      <c r="I62">
        <v>4</v>
      </c>
    </row>
    <row r="63" spans="1:9" hidden="1" x14ac:dyDescent="0.3">
      <c r="A63" s="13">
        <v>10</v>
      </c>
      <c r="B63" s="4">
        <v>6</v>
      </c>
      <c r="C63" t="s">
        <v>533</v>
      </c>
      <c r="D63" t="s">
        <v>534</v>
      </c>
      <c r="E63">
        <v>5</v>
      </c>
      <c r="F63">
        <v>2</v>
      </c>
      <c r="G63" s="8">
        <f>Lektionen[[#This Row],[Bearbeitungsdauer_real]]/Lektionen[[#This Row],[Bearbeitungsdauer_geschätzt]]-1</f>
        <v>-0.6</v>
      </c>
      <c r="H63" s="8" t="str" cm="1">
        <f t="array" ref="H63">_xlfn.IFS(Lektionen[[#This Row],[Bearbeitungsdauer_abgewichen]]&gt;0.6,"viel länger",Lektionen[[#This Row],[Bearbeitungsdauer_abgewichen]]&gt;0.3,"länger",Lektionen[[#This Row],[Bearbeitungsdauer_abgewichen]]&lt;-0.3,"kürzer",TRUE,"keine Abweichung")</f>
        <v>kürzer</v>
      </c>
      <c r="I63">
        <v>2</v>
      </c>
    </row>
    <row r="64" spans="1:9" hidden="1" x14ac:dyDescent="0.3">
      <c r="A64" s="13">
        <v>10</v>
      </c>
      <c r="B64" s="4">
        <v>7</v>
      </c>
      <c r="C64" t="s">
        <v>535</v>
      </c>
      <c r="D64" t="s">
        <v>536</v>
      </c>
      <c r="E64">
        <v>10</v>
      </c>
      <c r="F64">
        <v>10</v>
      </c>
      <c r="G64" s="8">
        <f>Lektionen[[#This Row],[Bearbeitungsdauer_real]]/Lektionen[[#This Row],[Bearbeitungsdauer_geschätzt]]-1</f>
        <v>0</v>
      </c>
      <c r="H64" s="8" t="str" cm="1">
        <f t="array" ref="H64">_xlfn.IFS(Lektionen[[#This Row],[Bearbeitungsdauer_abgewichen]]&gt;0.6,"viel länger",Lektionen[[#This Row],[Bearbeitungsdauer_abgewichen]]&gt;0.3,"länger",Lektionen[[#This Row],[Bearbeitungsdauer_abgewichen]]&lt;-0.3,"kürzer",TRUE,"keine Abweichung")</f>
        <v>keine Abweichung</v>
      </c>
      <c r="I64">
        <v>3</v>
      </c>
    </row>
    <row r="65" spans="1:9" hidden="1" x14ac:dyDescent="0.3">
      <c r="A65" s="13">
        <v>10</v>
      </c>
      <c r="B65" s="4">
        <v>8</v>
      </c>
      <c r="C65" t="s">
        <v>537</v>
      </c>
      <c r="D65" t="s">
        <v>527</v>
      </c>
      <c r="E65">
        <v>5</v>
      </c>
      <c r="F65">
        <v>5</v>
      </c>
      <c r="G65" s="8">
        <f>Lektionen[[#This Row],[Bearbeitungsdauer_real]]/Lektionen[[#This Row],[Bearbeitungsdauer_geschätzt]]-1</f>
        <v>0</v>
      </c>
      <c r="H65" s="8" t="str" cm="1">
        <f t="array" ref="H65">_xlfn.IFS(Lektionen[[#This Row],[Bearbeitungsdauer_abgewichen]]&gt;0.6,"viel länger",Lektionen[[#This Row],[Bearbeitungsdauer_abgewichen]]&gt;0.3,"länger",Lektionen[[#This Row],[Bearbeitungsdauer_abgewichen]]&lt;-0.3,"kürzer",TRUE,"keine Abweichung")</f>
        <v>keine Abweichung</v>
      </c>
      <c r="I65">
        <v>1</v>
      </c>
    </row>
    <row r="66" spans="1:9" hidden="1" x14ac:dyDescent="0.3">
      <c r="A66" s="13">
        <v>11</v>
      </c>
      <c r="B66" s="4">
        <v>1</v>
      </c>
      <c r="C66" t="s">
        <v>526</v>
      </c>
      <c r="D66" t="s">
        <v>527</v>
      </c>
      <c r="E66">
        <v>4</v>
      </c>
      <c r="F66">
        <v>4</v>
      </c>
      <c r="G66" s="8">
        <f>Lektionen[[#This Row],[Bearbeitungsdauer_real]]/Lektionen[[#This Row],[Bearbeitungsdauer_geschätzt]]-1</f>
        <v>0</v>
      </c>
      <c r="H66" s="8" t="str" cm="1">
        <f t="array" ref="H66">_xlfn.IFS(Lektionen[[#This Row],[Bearbeitungsdauer_abgewichen]]&gt;0.6,"viel länger",Lektionen[[#This Row],[Bearbeitungsdauer_abgewichen]]&gt;0.3,"länger",Lektionen[[#This Row],[Bearbeitungsdauer_abgewichen]]&lt;-0.3,"kürzer",TRUE,"keine Abweichung")</f>
        <v>keine Abweichung</v>
      </c>
      <c r="I66">
        <v>1</v>
      </c>
    </row>
    <row r="67" spans="1:9" hidden="1" x14ac:dyDescent="0.3">
      <c r="A67" s="13">
        <v>11</v>
      </c>
      <c r="B67" s="4">
        <v>2</v>
      </c>
      <c r="C67" t="s">
        <v>528</v>
      </c>
      <c r="D67" t="s">
        <v>529</v>
      </c>
      <c r="E67">
        <v>15</v>
      </c>
      <c r="F67">
        <v>16</v>
      </c>
      <c r="G67" s="8">
        <f>Lektionen[[#This Row],[Bearbeitungsdauer_real]]/Lektionen[[#This Row],[Bearbeitungsdauer_geschätzt]]-1</f>
        <v>6.6666666666666652E-2</v>
      </c>
      <c r="H67" s="8" t="str" cm="1">
        <f t="array" ref="H67">_xlfn.IFS(Lektionen[[#This Row],[Bearbeitungsdauer_abgewichen]]&gt;0.6,"viel länger",Lektionen[[#This Row],[Bearbeitungsdauer_abgewichen]]&gt;0.3,"länger",Lektionen[[#This Row],[Bearbeitungsdauer_abgewichen]]&lt;-0.3,"kürzer",TRUE,"keine Abweichung")</f>
        <v>keine Abweichung</v>
      </c>
      <c r="I67">
        <v>1</v>
      </c>
    </row>
    <row r="68" spans="1:9" hidden="1" x14ac:dyDescent="0.3">
      <c r="A68" s="13">
        <v>11</v>
      </c>
      <c r="B68" s="4">
        <v>3</v>
      </c>
      <c r="C68" t="s">
        <v>552</v>
      </c>
      <c r="D68" t="s">
        <v>530</v>
      </c>
      <c r="E68">
        <v>30</v>
      </c>
      <c r="F68">
        <v>29</v>
      </c>
      <c r="G68" s="8">
        <f>Lektionen[[#This Row],[Bearbeitungsdauer_real]]/Lektionen[[#This Row],[Bearbeitungsdauer_geschätzt]]-1</f>
        <v>-3.3333333333333326E-2</v>
      </c>
      <c r="H68" s="8" t="str" cm="1">
        <f t="array" ref="H68">_xlfn.IFS(Lektionen[[#This Row],[Bearbeitungsdauer_abgewichen]]&gt;0.6,"viel länger",Lektionen[[#This Row],[Bearbeitungsdauer_abgewichen]]&gt;0.3,"länger",Lektionen[[#This Row],[Bearbeitungsdauer_abgewichen]]&lt;-0.3,"kürzer",TRUE,"keine Abweichung")</f>
        <v>keine Abweichung</v>
      </c>
      <c r="I68">
        <v>2</v>
      </c>
    </row>
    <row r="69" spans="1:9" hidden="1" x14ac:dyDescent="0.3">
      <c r="A69" s="13">
        <v>11</v>
      </c>
      <c r="B69" s="4">
        <v>4</v>
      </c>
      <c r="C69" t="s">
        <v>531</v>
      </c>
      <c r="D69" t="s">
        <v>530</v>
      </c>
      <c r="E69">
        <v>30</v>
      </c>
      <c r="F69">
        <v>36</v>
      </c>
      <c r="G69" s="8">
        <f>Lektionen[[#This Row],[Bearbeitungsdauer_real]]/Lektionen[[#This Row],[Bearbeitungsdauer_geschätzt]]-1</f>
        <v>0.19999999999999996</v>
      </c>
      <c r="H69" s="8" t="str" cm="1">
        <f t="array" ref="H69">_xlfn.IFS(Lektionen[[#This Row],[Bearbeitungsdauer_abgewichen]]&gt;0.6,"viel länger",Lektionen[[#This Row],[Bearbeitungsdauer_abgewichen]]&gt;0.3,"länger",Lektionen[[#This Row],[Bearbeitungsdauer_abgewichen]]&lt;-0.3,"kürzer",TRUE,"keine Abweichung")</f>
        <v>keine Abweichung</v>
      </c>
      <c r="I69">
        <v>4</v>
      </c>
    </row>
    <row r="70" spans="1:9" x14ac:dyDescent="0.3">
      <c r="A70" s="13">
        <v>11</v>
      </c>
      <c r="B70" s="4">
        <v>5</v>
      </c>
      <c r="C70" t="s">
        <v>532</v>
      </c>
      <c r="D70" t="s">
        <v>530</v>
      </c>
      <c r="E70">
        <v>30</v>
      </c>
      <c r="F70">
        <v>51</v>
      </c>
      <c r="G70" s="8">
        <f>Lektionen[[#This Row],[Bearbeitungsdauer_real]]/Lektionen[[#This Row],[Bearbeitungsdauer_geschätzt]]-1</f>
        <v>0.7</v>
      </c>
      <c r="H70" s="8" t="str" cm="1">
        <f t="array" ref="H70">_xlfn.IFS(Lektionen[[#This Row],[Bearbeitungsdauer_abgewichen]]&gt;0.6,"viel länger",Lektionen[[#This Row],[Bearbeitungsdauer_abgewichen]]&gt;0.3,"länger",Lektionen[[#This Row],[Bearbeitungsdauer_abgewichen]]&lt;-0.3,"kürzer",TRUE,"keine Abweichung")</f>
        <v>viel länger</v>
      </c>
      <c r="I70">
        <v>4</v>
      </c>
    </row>
    <row r="71" spans="1:9" hidden="1" x14ac:dyDescent="0.3">
      <c r="A71" s="13">
        <v>11</v>
      </c>
      <c r="B71" s="4">
        <v>6</v>
      </c>
      <c r="C71" t="s">
        <v>533</v>
      </c>
      <c r="D71" t="s">
        <v>534</v>
      </c>
      <c r="E71">
        <v>5</v>
      </c>
      <c r="F71">
        <v>1</v>
      </c>
      <c r="G71" s="8">
        <f>Lektionen[[#This Row],[Bearbeitungsdauer_real]]/Lektionen[[#This Row],[Bearbeitungsdauer_geschätzt]]-1</f>
        <v>-0.8</v>
      </c>
      <c r="H71" s="8" t="str" cm="1">
        <f t="array" ref="H71">_xlfn.IFS(Lektionen[[#This Row],[Bearbeitungsdauer_abgewichen]]&gt;0.6,"viel länger",Lektionen[[#This Row],[Bearbeitungsdauer_abgewichen]]&gt;0.3,"länger",Lektionen[[#This Row],[Bearbeitungsdauer_abgewichen]]&lt;-0.3,"kürzer",TRUE,"keine Abweichung")</f>
        <v>kürzer</v>
      </c>
      <c r="I71">
        <v>2</v>
      </c>
    </row>
    <row r="72" spans="1:9" hidden="1" x14ac:dyDescent="0.3">
      <c r="A72" s="13">
        <v>11</v>
      </c>
      <c r="B72" s="4">
        <v>7</v>
      </c>
      <c r="C72" t="s">
        <v>535</v>
      </c>
      <c r="D72" t="s">
        <v>536</v>
      </c>
      <c r="E72">
        <v>10</v>
      </c>
      <c r="F72">
        <v>9</v>
      </c>
      <c r="G72" s="8">
        <f>Lektionen[[#This Row],[Bearbeitungsdauer_real]]/Lektionen[[#This Row],[Bearbeitungsdauer_geschätzt]]-1</f>
        <v>-9.9999999999999978E-2</v>
      </c>
      <c r="H72" s="8" t="str" cm="1">
        <f t="array" ref="H72">_xlfn.IFS(Lektionen[[#This Row],[Bearbeitungsdauer_abgewichen]]&gt;0.6,"viel länger",Lektionen[[#This Row],[Bearbeitungsdauer_abgewichen]]&gt;0.3,"länger",Lektionen[[#This Row],[Bearbeitungsdauer_abgewichen]]&lt;-0.3,"kürzer",TRUE,"keine Abweichung")</f>
        <v>keine Abweichung</v>
      </c>
      <c r="I72">
        <v>3</v>
      </c>
    </row>
    <row r="73" spans="1:9" hidden="1" x14ac:dyDescent="0.3">
      <c r="A73" s="13">
        <v>11</v>
      </c>
      <c r="B73" s="4">
        <v>8</v>
      </c>
      <c r="C73" t="s">
        <v>537</v>
      </c>
      <c r="D73" t="s">
        <v>527</v>
      </c>
      <c r="E73">
        <v>5</v>
      </c>
      <c r="F73">
        <v>5</v>
      </c>
      <c r="G73" s="8">
        <f>Lektionen[[#This Row],[Bearbeitungsdauer_real]]/Lektionen[[#This Row],[Bearbeitungsdauer_geschätzt]]-1</f>
        <v>0</v>
      </c>
      <c r="H73" s="8" t="str" cm="1">
        <f t="array" ref="H73">_xlfn.IFS(Lektionen[[#This Row],[Bearbeitungsdauer_abgewichen]]&gt;0.6,"viel länger",Lektionen[[#This Row],[Bearbeitungsdauer_abgewichen]]&gt;0.3,"länger",Lektionen[[#This Row],[Bearbeitungsdauer_abgewichen]]&lt;-0.3,"kürzer",TRUE,"keine Abweichung")</f>
        <v>keine Abweichung</v>
      </c>
      <c r="I73">
        <v>1</v>
      </c>
    </row>
    <row r="74" spans="1:9" hidden="1" x14ac:dyDescent="0.3">
      <c r="A74" s="13">
        <v>12</v>
      </c>
      <c r="B74" s="4">
        <v>1</v>
      </c>
      <c r="C74" t="s">
        <v>526</v>
      </c>
      <c r="D74" t="s">
        <v>527</v>
      </c>
      <c r="E74">
        <v>4</v>
      </c>
      <c r="F74">
        <v>6</v>
      </c>
      <c r="G74" s="8">
        <f>Lektionen[[#This Row],[Bearbeitungsdauer_real]]/Lektionen[[#This Row],[Bearbeitungsdauer_geschätzt]]-1</f>
        <v>0.5</v>
      </c>
      <c r="H74" s="8" t="str" cm="1">
        <f t="array" ref="H74">_xlfn.IFS(Lektionen[[#This Row],[Bearbeitungsdauer_abgewichen]]&gt;0.6,"viel länger",Lektionen[[#This Row],[Bearbeitungsdauer_abgewichen]]&gt;0.3,"länger",Lektionen[[#This Row],[Bearbeitungsdauer_abgewichen]]&lt;-0.3,"kürzer",TRUE,"keine Abweichung")</f>
        <v>länger</v>
      </c>
      <c r="I74">
        <v>1</v>
      </c>
    </row>
    <row r="75" spans="1:9" hidden="1" x14ac:dyDescent="0.3">
      <c r="A75" s="13">
        <v>12</v>
      </c>
      <c r="B75" s="4">
        <v>2</v>
      </c>
      <c r="C75" t="s">
        <v>528</v>
      </c>
      <c r="D75" t="s">
        <v>529</v>
      </c>
      <c r="E75">
        <v>15</v>
      </c>
      <c r="F75">
        <v>15</v>
      </c>
      <c r="G75" s="8">
        <f>Lektionen[[#This Row],[Bearbeitungsdauer_real]]/Lektionen[[#This Row],[Bearbeitungsdauer_geschätzt]]-1</f>
        <v>0</v>
      </c>
      <c r="H75" s="8" t="str" cm="1">
        <f t="array" ref="H75">_xlfn.IFS(Lektionen[[#This Row],[Bearbeitungsdauer_abgewichen]]&gt;0.6,"viel länger",Lektionen[[#This Row],[Bearbeitungsdauer_abgewichen]]&gt;0.3,"länger",Lektionen[[#This Row],[Bearbeitungsdauer_abgewichen]]&lt;-0.3,"kürzer",TRUE,"keine Abweichung")</f>
        <v>keine Abweichung</v>
      </c>
      <c r="I75">
        <v>1</v>
      </c>
    </row>
    <row r="76" spans="1:9" hidden="1" x14ac:dyDescent="0.3">
      <c r="A76" s="13">
        <v>12</v>
      </c>
      <c r="B76" s="4">
        <v>3</v>
      </c>
      <c r="C76" t="s">
        <v>552</v>
      </c>
      <c r="D76" t="s">
        <v>530</v>
      </c>
      <c r="E76">
        <v>30</v>
      </c>
      <c r="F76">
        <v>28</v>
      </c>
      <c r="G76" s="8">
        <f>Lektionen[[#This Row],[Bearbeitungsdauer_real]]/Lektionen[[#This Row],[Bearbeitungsdauer_geschätzt]]-1</f>
        <v>-6.6666666666666652E-2</v>
      </c>
      <c r="H76" s="8" t="str" cm="1">
        <f t="array" ref="H76">_xlfn.IFS(Lektionen[[#This Row],[Bearbeitungsdauer_abgewichen]]&gt;0.6,"viel länger",Lektionen[[#This Row],[Bearbeitungsdauer_abgewichen]]&gt;0.3,"länger",Lektionen[[#This Row],[Bearbeitungsdauer_abgewichen]]&lt;-0.3,"kürzer",TRUE,"keine Abweichung")</f>
        <v>keine Abweichung</v>
      </c>
      <c r="I76">
        <v>2</v>
      </c>
    </row>
    <row r="77" spans="1:9" hidden="1" x14ac:dyDescent="0.3">
      <c r="A77" s="13">
        <v>12</v>
      </c>
      <c r="B77" s="4">
        <v>4</v>
      </c>
      <c r="C77" t="s">
        <v>531</v>
      </c>
      <c r="D77" t="s">
        <v>530</v>
      </c>
      <c r="E77">
        <v>30</v>
      </c>
      <c r="F77">
        <v>32</v>
      </c>
      <c r="G77" s="8">
        <f>Lektionen[[#This Row],[Bearbeitungsdauer_real]]/Lektionen[[#This Row],[Bearbeitungsdauer_geschätzt]]-1</f>
        <v>6.6666666666666652E-2</v>
      </c>
      <c r="H77" s="8" t="str" cm="1">
        <f t="array" ref="H77">_xlfn.IFS(Lektionen[[#This Row],[Bearbeitungsdauer_abgewichen]]&gt;0.6,"viel länger",Lektionen[[#This Row],[Bearbeitungsdauer_abgewichen]]&gt;0.3,"länger",Lektionen[[#This Row],[Bearbeitungsdauer_abgewichen]]&lt;-0.3,"kürzer",TRUE,"keine Abweichung")</f>
        <v>keine Abweichung</v>
      </c>
      <c r="I77">
        <v>3</v>
      </c>
    </row>
    <row r="78" spans="1:9" x14ac:dyDescent="0.3">
      <c r="A78" s="13">
        <v>12</v>
      </c>
      <c r="B78" s="4">
        <v>5</v>
      </c>
      <c r="C78" t="s">
        <v>532</v>
      </c>
      <c r="D78" t="s">
        <v>530</v>
      </c>
      <c r="E78">
        <v>30</v>
      </c>
      <c r="F78">
        <v>47</v>
      </c>
      <c r="G78" s="8">
        <f>Lektionen[[#This Row],[Bearbeitungsdauer_real]]/Lektionen[[#This Row],[Bearbeitungsdauer_geschätzt]]-1</f>
        <v>0.56666666666666665</v>
      </c>
      <c r="H78" s="8" t="str" cm="1">
        <f t="array" ref="H78">_xlfn.IFS(Lektionen[[#This Row],[Bearbeitungsdauer_abgewichen]]&gt;0.6,"viel länger",Lektionen[[#This Row],[Bearbeitungsdauer_abgewichen]]&gt;0.3,"länger",Lektionen[[#This Row],[Bearbeitungsdauer_abgewichen]]&lt;-0.3,"kürzer",TRUE,"keine Abweichung")</f>
        <v>länger</v>
      </c>
      <c r="I78">
        <v>4</v>
      </c>
    </row>
    <row r="79" spans="1:9" hidden="1" x14ac:dyDescent="0.3">
      <c r="A79" s="13">
        <v>12</v>
      </c>
      <c r="B79" s="4">
        <v>6</v>
      </c>
      <c r="C79" t="s">
        <v>533</v>
      </c>
      <c r="D79" t="s">
        <v>534</v>
      </c>
      <c r="E79">
        <v>5</v>
      </c>
      <c r="F79">
        <v>2</v>
      </c>
      <c r="G79" s="8">
        <f>Lektionen[[#This Row],[Bearbeitungsdauer_real]]/Lektionen[[#This Row],[Bearbeitungsdauer_geschätzt]]-1</f>
        <v>-0.6</v>
      </c>
      <c r="H79" s="8" t="str" cm="1">
        <f t="array" ref="H79">_xlfn.IFS(Lektionen[[#This Row],[Bearbeitungsdauer_abgewichen]]&gt;0.6,"viel länger",Lektionen[[#This Row],[Bearbeitungsdauer_abgewichen]]&gt;0.3,"länger",Lektionen[[#This Row],[Bearbeitungsdauer_abgewichen]]&lt;-0.3,"kürzer",TRUE,"keine Abweichung")</f>
        <v>kürzer</v>
      </c>
      <c r="I79">
        <v>1</v>
      </c>
    </row>
    <row r="80" spans="1:9" hidden="1" x14ac:dyDescent="0.3">
      <c r="A80" s="13">
        <v>12</v>
      </c>
      <c r="B80" s="4">
        <v>7</v>
      </c>
      <c r="C80" t="s">
        <v>535</v>
      </c>
      <c r="D80" t="s">
        <v>536</v>
      </c>
      <c r="E80">
        <v>10</v>
      </c>
      <c r="F80">
        <v>8</v>
      </c>
      <c r="G80" s="8">
        <f>Lektionen[[#This Row],[Bearbeitungsdauer_real]]/Lektionen[[#This Row],[Bearbeitungsdauer_geschätzt]]-1</f>
        <v>-0.19999999999999996</v>
      </c>
      <c r="H80" s="8" t="str" cm="1">
        <f t="array" ref="H80">_xlfn.IFS(Lektionen[[#This Row],[Bearbeitungsdauer_abgewichen]]&gt;0.6,"viel länger",Lektionen[[#This Row],[Bearbeitungsdauer_abgewichen]]&gt;0.3,"länger",Lektionen[[#This Row],[Bearbeitungsdauer_abgewichen]]&lt;-0.3,"kürzer",TRUE,"keine Abweichung")</f>
        <v>keine Abweichung</v>
      </c>
      <c r="I80">
        <v>3</v>
      </c>
    </row>
    <row r="81" spans="1:9" hidden="1" x14ac:dyDescent="0.3">
      <c r="A81" s="13">
        <v>12</v>
      </c>
      <c r="B81" s="4">
        <v>8</v>
      </c>
      <c r="C81" t="s">
        <v>537</v>
      </c>
      <c r="D81" t="s">
        <v>527</v>
      </c>
      <c r="E81">
        <v>5</v>
      </c>
      <c r="F81">
        <v>5</v>
      </c>
      <c r="G81" s="8">
        <f>Lektionen[[#This Row],[Bearbeitungsdauer_real]]/Lektionen[[#This Row],[Bearbeitungsdauer_geschätzt]]-1</f>
        <v>0</v>
      </c>
      <c r="H81" s="8" t="str" cm="1">
        <f t="array" ref="H81">_xlfn.IFS(Lektionen[[#This Row],[Bearbeitungsdauer_abgewichen]]&gt;0.6,"viel länger",Lektionen[[#This Row],[Bearbeitungsdauer_abgewichen]]&gt;0.3,"länger",Lektionen[[#This Row],[Bearbeitungsdauer_abgewichen]]&lt;-0.3,"kürzer",TRUE,"keine Abweichung")</f>
        <v>keine Abweichung</v>
      </c>
      <c r="I81">
        <v>1</v>
      </c>
    </row>
    <row r="82" spans="1:9" hidden="1" x14ac:dyDescent="0.3">
      <c r="A82" s="13">
        <v>13</v>
      </c>
      <c r="B82" s="4">
        <v>1</v>
      </c>
      <c r="C82" t="s">
        <v>526</v>
      </c>
      <c r="D82" t="s">
        <v>527</v>
      </c>
      <c r="E82">
        <v>4</v>
      </c>
      <c r="F82">
        <v>4</v>
      </c>
      <c r="G82" s="8">
        <f>Lektionen[[#This Row],[Bearbeitungsdauer_real]]/Lektionen[[#This Row],[Bearbeitungsdauer_geschätzt]]-1</f>
        <v>0</v>
      </c>
      <c r="H82" s="8" t="str" cm="1">
        <f t="array" ref="H82">_xlfn.IFS(Lektionen[[#This Row],[Bearbeitungsdauer_abgewichen]]&gt;0.6,"viel länger",Lektionen[[#This Row],[Bearbeitungsdauer_abgewichen]]&gt;0.3,"länger",Lektionen[[#This Row],[Bearbeitungsdauer_abgewichen]]&lt;-0.3,"kürzer",TRUE,"keine Abweichung")</f>
        <v>keine Abweichung</v>
      </c>
      <c r="I82">
        <v>1</v>
      </c>
    </row>
    <row r="83" spans="1:9" hidden="1" x14ac:dyDescent="0.3">
      <c r="A83" s="13">
        <v>13</v>
      </c>
      <c r="B83" s="4">
        <v>2</v>
      </c>
      <c r="C83" t="s">
        <v>528</v>
      </c>
      <c r="D83" t="s">
        <v>529</v>
      </c>
      <c r="E83">
        <v>15</v>
      </c>
      <c r="F83">
        <v>20</v>
      </c>
      <c r="G83" s="8">
        <f>Lektionen[[#This Row],[Bearbeitungsdauer_real]]/Lektionen[[#This Row],[Bearbeitungsdauer_geschätzt]]-1</f>
        <v>0.33333333333333326</v>
      </c>
      <c r="H83" s="8" t="str" cm="1">
        <f t="array" ref="H83">_xlfn.IFS(Lektionen[[#This Row],[Bearbeitungsdauer_abgewichen]]&gt;0.6,"viel länger",Lektionen[[#This Row],[Bearbeitungsdauer_abgewichen]]&gt;0.3,"länger",Lektionen[[#This Row],[Bearbeitungsdauer_abgewichen]]&lt;-0.3,"kürzer",TRUE,"keine Abweichung")</f>
        <v>länger</v>
      </c>
      <c r="I83">
        <v>2</v>
      </c>
    </row>
    <row r="84" spans="1:9" hidden="1" x14ac:dyDescent="0.3">
      <c r="A84" s="13">
        <v>13</v>
      </c>
      <c r="B84" s="4">
        <v>3</v>
      </c>
      <c r="C84" t="s">
        <v>552</v>
      </c>
      <c r="D84" t="s">
        <v>530</v>
      </c>
      <c r="E84">
        <v>30</v>
      </c>
      <c r="F84">
        <v>29</v>
      </c>
      <c r="G84" s="8">
        <f>Lektionen[[#This Row],[Bearbeitungsdauer_real]]/Lektionen[[#This Row],[Bearbeitungsdauer_geschätzt]]-1</f>
        <v>-3.3333333333333326E-2</v>
      </c>
      <c r="H84" s="8" t="str" cm="1">
        <f t="array" ref="H84">_xlfn.IFS(Lektionen[[#This Row],[Bearbeitungsdauer_abgewichen]]&gt;0.6,"viel länger",Lektionen[[#This Row],[Bearbeitungsdauer_abgewichen]]&gt;0.3,"länger",Lektionen[[#This Row],[Bearbeitungsdauer_abgewichen]]&lt;-0.3,"kürzer",TRUE,"keine Abweichung")</f>
        <v>keine Abweichung</v>
      </c>
      <c r="I84">
        <v>2</v>
      </c>
    </row>
    <row r="85" spans="1:9" hidden="1" x14ac:dyDescent="0.3">
      <c r="A85" s="13">
        <v>13</v>
      </c>
      <c r="B85" s="4">
        <v>4</v>
      </c>
      <c r="C85" t="s">
        <v>531</v>
      </c>
      <c r="D85" t="s">
        <v>530</v>
      </c>
      <c r="E85">
        <v>30</v>
      </c>
      <c r="F85">
        <v>22</v>
      </c>
      <c r="G85" s="8">
        <f>Lektionen[[#This Row],[Bearbeitungsdauer_real]]/Lektionen[[#This Row],[Bearbeitungsdauer_geschätzt]]-1</f>
        <v>-0.26666666666666672</v>
      </c>
      <c r="H85" s="8" t="str" cm="1">
        <f t="array" ref="H85">_xlfn.IFS(Lektionen[[#This Row],[Bearbeitungsdauer_abgewichen]]&gt;0.6,"viel länger",Lektionen[[#This Row],[Bearbeitungsdauer_abgewichen]]&gt;0.3,"länger",Lektionen[[#This Row],[Bearbeitungsdauer_abgewichen]]&lt;-0.3,"kürzer",TRUE,"keine Abweichung")</f>
        <v>keine Abweichung</v>
      </c>
      <c r="I85">
        <v>3</v>
      </c>
    </row>
    <row r="86" spans="1:9" x14ac:dyDescent="0.3">
      <c r="A86" s="13">
        <v>13</v>
      </c>
      <c r="B86" s="4">
        <v>5</v>
      </c>
      <c r="C86" t="s">
        <v>532</v>
      </c>
      <c r="D86" t="s">
        <v>530</v>
      </c>
      <c r="E86">
        <v>30</v>
      </c>
      <c r="F86">
        <v>47</v>
      </c>
      <c r="G86" s="8">
        <f>Lektionen[[#This Row],[Bearbeitungsdauer_real]]/Lektionen[[#This Row],[Bearbeitungsdauer_geschätzt]]-1</f>
        <v>0.56666666666666665</v>
      </c>
      <c r="H86" s="8" t="str" cm="1">
        <f t="array" ref="H86">_xlfn.IFS(Lektionen[[#This Row],[Bearbeitungsdauer_abgewichen]]&gt;0.6,"viel länger",Lektionen[[#This Row],[Bearbeitungsdauer_abgewichen]]&gt;0.3,"länger",Lektionen[[#This Row],[Bearbeitungsdauer_abgewichen]]&lt;-0.3,"kürzer",TRUE,"keine Abweichung")</f>
        <v>länger</v>
      </c>
      <c r="I86">
        <v>4</v>
      </c>
    </row>
    <row r="87" spans="1:9" hidden="1" x14ac:dyDescent="0.3">
      <c r="A87" s="13">
        <v>13</v>
      </c>
      <c r="B87" s="4">
        <v>6</v>
      </c>
      <c r="C87" t="s">
        <v>533</v>
      </c>
      <c r="D87" t="s">
        <v>534</v>
      </c>
      <c r="E87">
        <v>5</v>
      </c>
      <c r="F87">
        <v>3</v>
      </c>
      <c r="G87" s="8">
        <f>Lektionen[[#This Row],[Bearbeitungsdauer_real]]/Lektionen[[#This Row],[Bearbeitungsdauer_geschätzt]]-1</f>
        <v>-0.4</v>
      </c>
      <c r="H87" s="8" t="str" cm="1">
        <f t="array" ref="H87">_xlfn.IFS(Lektionen[[#This Row],[Bearbeitungsdauer_abgewichen]]&gt;0.6,"viel länger",Lektionen[[#This Row],[Bearbeitungsdauer_abgewichen]]&gt;0.3,"länger",Lektionen[[#This Row],[Bearbeitungsdauer_abgewichen]]&lt;-0.3,"kürzer",TRUE,"keine Abweichung")</f>
        <v>kürzer</v>
      </c>
      <c r="I87">
        <v>3</v>
      </c>
    </row>
    <row r="88" spans="1:9" hidden="1" x14ac:dyDescent="0.3">
      <c r="A88" s="13">
        <v>13</v>
      </c>
      <c r="B88" s="4">
        <v>7</v>
      </c>
      <c r="C88" t="s">
        <v>535</v>
      </c>
      <c r="D88" t="s">
        <v>536</v>
      </c>
      <c r="E88">
        <v>10</v>
      </c>
      <c r="F88">
        <v>10</v>
      </c>
      <c r="G88" s="8">
        <f>Lektionen[[#This Row],[Bearbeitungsdauer_real]]/Lektionen[[#This Row],[Bearbeitungsdauer_geschätzt]]-1</f>
        <v>0</v>
      </c>
      <c r="H88" s="8" t="str" cm="1">
        <f t="array" ref="H88">_xlfn.IFS(Lektionen[[#This Row],[Bearbeitungsdauer_abgewichen]]&gt;0.6,"viel länger",Lektionen[[#This Row],[Bearbeitungsdauer_abgewichen]]&gt;0.3,"länger",Lektionen[[#This Row],[Bearbeitungsdauer_abgewichen]]&lt;-0.3,"kürzer",TRUE,"keine Abweichung")</f>
        <v>keine Abweichung</v>
      </c>
      <c r="I88">
        <v>3</v>
      </c>
    </row>
    <row r="89" spans="1:9" hidden="1" x14ac:dyDescent="0.3">
      <c r="A89" s="13">
        <v>13</v>
      </c>
      <c r="B89" s="4">
        <v>8</v>
      </c>
      <c r="C89" t="s">
        <v>537</v>
      </c>
      <c r="D89" t="s">
        <v>527</v>
      </c>
      <c r="E89">
        <v>5</v>
      </c>
      <c r="F89">
        <v>5</v>
      </c>
      <c r="G89" s="8">
        <f>Lektionen[[#This Row],[Bearbeitungsdauer_real]]/Lektionen[[#This Row],[Bearbeitungsdauer_geschätzt]]-1</f>
        <v>0</v>
      </c>
      <c r="H89" s="8" t="str" cm="1">
        <f t="array" ref="H89">_xlfn.IFS(Lektionen[[#This Row],[Bearbeitungsdauer_abgewichen]]&gt;0.6,"viel länger",Lektionen[[#This Row],[Bearbeitungsdauer_abgewichen]]&gt;0.3,"länger",Lektionen[[#This Row],[Bearbeitungsdauer_abgewichen]]&lt;-0.3,"kürzer",TRUE,"keine Abweichung")</f>
        <v>keine Abweichung</v>
      </c>
      <c r="I89">
        <v>1</v>
      </c>
    </row>
    <row r="90" spans="1:9" hidden="1" x14ac:dyDescent="0.3">
      <c r="A90" s="13">
        <v>14</v>
      </c>
      <c r="B90" s="4">
        <v>1</v>
      </c>
      <c r="C90" t="s">
        <v>526</v>
      </c>
      <c r="D90" t="s">
        <v>527</v>
      </c>
      <c r="E90">
        <v>4</v>
      </c>
      <c r="F90">
        <v>7</v>
      </c>
      <c r="G90" s="8">
        <f>Lektionen[[#This Row],[Bearbeitungsdauer_real]]/Lektionen[[#This Row],[Bearbeitungsdauer_geschätzt]]-1</f>
        <v>0.75</v>
      </c>
      <c r="H90" s="8" t="str" cm="1">
        <f t="array" ref="H90">_xlfn.IFS(Lektionen[[#This Row],[Bearbeitungsdauer_abgewichen]]&gt;0.6,"viel länger",Lektionen[[#This Row],[Bearbeitungsdauer_abgewichen]]&gt;0.3,"länger",Lektionen[[#This Row],[Bearbeitungsdauer_abgewichen]]&lt;-0.3,"kürzer",TRUE,"keine Abweichung")</f>
        <v>viel länger</v>
      </c>
      <c r="I90">
        <v>1</v>
      </c>
    </row>
    <row r="91" spans="1:9" hidden="1" x14ac:dyDescent="0.3">
      <c r="A91" s="13">
        <v>14</v>
      </c>
      <c r="B91" s="4">
        <v>2</v>
      </c>
      <c r="C91" t="s">
        <v>528</v>
      </c>
      <c r="D91" t="s">
        <v>529</v>
      </c>
      <c r="E91">
        <v>15</v>
      </c>
      <c r="F91">
        <v>18</v>
      </c>
      <c r="G91" s="8">
        <f>Lektionen[[#This Row],[Bearbeitungsdauer_real]]/Lektionen[[#This Row],[Bearbeitungsdauer_geschätzt]]-1</f>
        <v>0.19999999999999996</v>
      </c>
      <c r="H91" s="8" t="str" cm="1">
        <f t="array" ref="H91">_xlfn.IFS(Lektionen[[#This Row],[Bearbeitungsdauer_abgewichen]]&gt;0.6,"viel länger",Lektionen[[#This Row],[Bearbeitungsdauer_abgewichen]]&gt;0.3,"länger",Lektionen[[#This Row],[Bearbeitungsdauer_abgewichen]]&lt;-0.3,"kürzer",TRUE,"keine Abweichung")</f>
        <v>keine Abweichung</v>
      </c>
      <c r="I91">
        <v>2</v>
      </c>
    </row>
    <row r="92" spans="1:9" hidden="1" x14ac:dyDescent="0.3">
      <c r="A92" s="13">
        <v>14</v>
      </c>
      <c r="B92" s="4">
        <v>3</v>
      </c>
      <c r="C92" t="s">
        <v>552</v>
      </c>
      <c r="D92" t="s">
        <v>530</v>
      </c>
      <c r="E92">
        <v>30</v>
      </c>
      <c r="F92">
        <v>29</v>
      </c>
      <c r="G92" s="8">
        <f>Lektionen[[#This Row],[Bearbeitungsdauer_real]]/Lektionen[[#This Row],[Bearbeitungsdauer_geschätzt]]-1</f>
        <v>-3.3333333333333326E-2</v>
      </c>
      <c r="H92" s="8" t="str" cm="1">
        <f t="array" ref="H92">_xlfn.IFS(Lektionen[[#This Row],[Bearbeitungsdauer_abgewichen]]&gt;0.6,"viel länger",Lektionen[[#This Row],[Bearbeitungsdauer_abgewichen]]&gt;0.3,"länger",Lektionen[[#This Row],[Bearbeitungsdauer_abgewichen]]&lt;-0.3,"kürzer",TRUE,"keine Abweichung")</f>
        <v>keine Abweichung</v>
      </c>
      <c r="I92">
        <v>2</v>
      </c>
    </row>
    <row r="93" spans="1:9" hidden="1" x14ac:dyDescent="0.3">
      <c r="A93" s="13">
        <v>14</v>
      </c>
      <c r="B93" s="4">
        <v>4</v>
      </c>
      <c r="C93" t="s">
        <v>531</v>
      </c>
      <c r="D93" t="s">
        <v>530</v>
      </c>
      <c r="E93">
        <v>30</v>
      </c>
      <c r="F93">
        <v>33</v>
      </c>
      <c r="G93" s="8">
        <f>Lektionen[[#This Row],[Bearbeitungsdauer_real]]/Lektionen[[#This Row],[Bearbeitungsdauer_geschätzt]]-1</f>
        <v>0.10000000000000009</v>
      </c>
      <c r="H93" s="8" t="str" cm="1">
        <f t="array" ref="H93">_xlfn.IFS(Lektionen[[#This Row],[Bearbeitungsdauer_abgewichen]]&gt;0.6,"viel länger",Lektionen[[#This Row],[Bearbeitungsdauer_abgewichen]]&gt;0.3,"länger",Lektionen[[#This Row],[Bearbeitungsdauer_abgewichen]]&lt;-0.3,"kürzer",TRUE,"keine Abweichung")</f>
        <v>keine Abweichung</v>
      </c>
      <c r="I93">
        <v>3</v>
      </c>
    </row>
    <row r="94" spans="1:9" x14ac:dyDescent="0.3">
      <c r="A94" s="13">
        <v>14</v>
      </c>
      <c r="B94" s="4">
        <v>5</v>
      </c>
      <c r="C94" t="s">
        <v>532</v>
      </c>
      <c r="D94" t="s">
        <v>530</v>
      </c>
      <c r="E94">
        <v>30</v>
      </c>
      <c r="F94">
        <v>44</v>
      </c>
      <c r="G94" s="8">
        <f>Lektionen[[#This Row],[Bearbeitungsdauer_real]]/Lektionen[[#This Row],[Bearbeitungsdauer_geschätzt]]-1</f>
        <v>0.46666666666666656</v>
      </c>
      <c r="H94" s="8" t="str" cm="1">
        <f t="array" ref="H94">_xlfn.IFS(Lektionen[[#This Row],[Bearbeitungsdauer_abgewichen]]&gt;0.6,"viel länger",Lektionen[[#This Row],[Bearbeitungsdauer_abgewichen]]&gt;0.3,"länger",Lektionen[[#This Row],[Bearbeitungsdauer_abgewichen]]&lt;-0.3,"kürzer",TRUE,"keine Abweichung")</f>
        <v>länger</v>
      </c>
      <c r="I94">
        <v>3</v>
      </c>
    </row>
    <row r="95" spans="1:9" hidden="1" x14ac:dyDescent="0.3">
      <c r="A95" s="13">
        <v>14</v>
      </c>
      <c r="B95" s="4">
        <v>6</v>
      </c>
      <c r="C95" t="s">
        <v>533</v>
      </c>
      <c r="D95" t="s">
        <v>534</v>
      </c>
      <c r="E95">
        <v>5</v>
      </c>
      <c r="F95">
        <v>1</v>
      </c>
      <c r="G95" s="8">
        <f>Lektionen[[#This Row],[Bearbeitungsdauer_real]]/Lektionen[[#This Row],[Bearbeitungsdauer_geschätzt]]-1</f>
        <v>-0.8</v>
      </c>
      <c r="H95" s="8" t="str" cm="1">
        <f t="array" ref="H95">_xlfn.IFS(Lektionen[[#This Row],[Bearbeitungsdauer_abgewichen]]&gt;0.6,"viel länger",Lektionen[[#This Row],[Bearbeitungsdauer_abgewichen]]&gt;0.3,"länger",Lektionen[[#This Row],[Bearbeitungsdauer_abgewichen]]&lt;-0.3,"kürzer",TRUE,"keine Abweichung")</f>
        <v>kürzer</v>
      </c>
      <c r="I95">
        <v>1</v>
      </c>
    </row>
    <row r="96" spans="1:9" hidden="1" x14ac:dyDescent="0.3">
      <c r="A96" s="13">
        <v>14</v>
      </c>
      <c r="B96" s="4">
        <v>7</v>
      </c>
      <c r="C96" t="s">
        <v>535</v>
      </c>
      <c r="D96" t="s">
        <v>536</v>
      </c>
      <c r="E96">
        <v>10</v>
      </c>
      <c r="F96">
        <v>8</v>
      </c>
      <c r="G96" s="8">
        <f>Lektionen[[#This Row],[Bearbeitungsdauer_real]]/Lektionen[[#This Row],[Bearbeitungsdauer_geschätzt]]-1</f>
        <v>-0.19999999999999996</v>
      </c>
      <c r="H96" s="8" t="str" cm="1">
        <f t="array" ref="H96">_xlfn.IFS(Lektionen[[#This Row],[Bearbeitungsdauer_abgewichen]]&gt;0.6,"viel länger",Lektionen[[#This Row],[Bearbeitungsdauer_abgewichen]]&gt;0.3,"länger",Lektionen[[#This Row],[Bearbeitungsdauer_abgewichen]]&lt;-0.3,"kürzer",TRUE,"keine Abweichung")</f>
        <v>keine Abweichung</v>
      </c>
      <c r="I96">
        <v>4</v>
      </c>
    </row>
    <row r="97" spans="1:9" hidden="1" x14ac:dyDescent="0.3">
      <c r="A97" s="13">
        <v>14</v>
      </c>
      <c r="B97" s="4">
        <v>8</v>
      </c>
      <c r="C97" t="s">
        <v>537</v>
      </c>
      <c r="D97" t="s">
        <v>527</v>
      </c>
      <c r="E97">
        <v>5</v>
      </c>
      <c r="F97">
        <v>7</v>
      </c>
      <c r="G97" s="8">
        <f>Lektionen[[#This Row],[Bearbeitungsdauer_real]]/Lektionen[[#This Row],[Bearbeitungsdauer_geschätzt]]-1</f>
        <v>0.39999999999999991</v>
      </c>
      <c r="H97" s="8" t="str" cm="1">
        <f t="array" ref="H97">_xlfn.IFS(Lektionen[[#This Row],[Bearbeitungsdauer_abgewichen]]&gt;0.6,"viel länger",Lektionen[[#This Row],[Bearbeitungsdauer_abgewichen]]&gt;0.3,"länger",Lektionen[[#This Row],[Bearbeitungsdauer_abgewichen]]&lt;-0.3,"kürzer",TRUE,"keine Abweichung")</f>
        <v>länger</v>
      </c>
      <c r="I97">
        <v>1</v>
      </c>
    </row>
    <row r="98" spans="1:9" hidden="1" x14ac:dyDescent="0.3">
      <c r="A98" s="13">
        <v>15</v>
      </c>
      <c r="B98" s="4">
        <v>1</v>
      </c>
      <c r="C98" t="s">
        <v>526</v>
      </c>
      <c r="D98" t="s">
        <v>527</v>
      </c>
      <c r="E98">
        <v>4</v>
      </c>
      <c r="F98">
        <v>4</v>
      </c>
      <c r="G98" s="8">
        <f>Lektionen[[#This Row],[Bearbeitungsdauer_real]]/Lektionen[[#This Row],[Bearbeitungsdauer_geschätzt]]-1</f>
        <v>0</v>
      </c>
      <c r="H98" s="8" t="str" cm="1">
        <f t="array" ref="H98">_xlfn.IFS(Lektionen[[#This Row],[Bearbeitungsdauer_abgewichen]]&gt;0.6,"viel länger",Lektionen[[#This Row],[Bearbeitungsdauer_abgewichen]]&gt;0.3,"länger",Lektionen[[#This Row],[Bearbeitungsdauer_abgewichen]]&lt;-0.3,"kürzer",TRUE,"keine Abweichung")</f>
        <v>keine Abweichung</v>
      </c>
      <c r="I98">
        <v>1</v>
      </c>
    </row>
    <row r="99" spans="1:9" hidden="1" x14ac:dyDescent="0.3">
      <c r="A99" s="13">
        <v>15</v>
      </c>
      <c r="B99" s="4">
        <v>2</v>
      </c>
      <c r="C99" t="s">
        <v>528</v>
      </c>
      <c r="D99" t="s">
        <v>529</v>
      </c>
      <c r="E99">
        <v>15</v>
      </c>
      <c r="F99">
        <v>16</v>
      </c>
      <c r="G99" s="8">
        <f>Lektionen[[#This Row],[Bearbeitungsdauer_real]]/Lektionen[[#This Row],[Bearbeitungsdauer_geschätzt]]-1</f>
        <v>6.6666666666666652E-2</v>
      </c>
      <c r="H99" s="8" t="str" cm="1">
        <f t="array" ref="H99">_xlfn.IFS(Lektionen[[#This Row],[Bearbeitungsdauer_abgewichen]]&gt;0.6,"viel länger",Lektionen[[#This Row],[Bearbeitungsdauer_abgewichen]]&gt;0.3,"länger",Lektionen[[#This Row],[Bearbeitungsdauer_abgewichen]]&lt;-0.3,"kürzer",TRUE,"keine Abweichung")</f>
        <v>keine Abweichung</v>
      </c>
      <c r="I99">
        <v>1</v>
      </c>
    </row>
    <row r="100" spans="1:9" hidden="1" x14ac:dyDescent="0.3">
      <c r="A100" s="13">
        <v>15</v>
      </c>
      <c r="B100" s="4">
        <v>3</v>
      </c>
      <c r="C100" t="s">
        <v>552</v>
      </c>
      <c r="D100" t="s">
        <v>530</v>
      </c>
      <c r="E100">
        <v>30</v>
      </c>
      <c r="F100">
        <v>28</v>
      </c>
      <c r="G100" s="8">
        <f>Lektionen[[#This Row],[Bearbeitungsdauer_real]]/Lektionen[[#This Row],[Bearbeitungsdauer_geschätzt]]-1</f>
        <v>-6.6666666666666652E-2</v>
      </c>
      <c r="H100" s="8" t="str" cm="1">
        <f t="array" ref="H100">_xlfn.IFS(Lektionen[[#This Row],[Bearbeitungsdauer_abgewichen]]&gt;0.6,"viel länger",Lektionen[[#This Row],[Bearbeitungsdauer_abgewichen]]&gt;0.3,"länger",Lektionen[[#This Row],[Bearbeitungsdauer_abgewichen]]&lt;-0.3,"kürzer",TRUE,"keine Abweichung")</f>
        <v>keine Abweichung</v>
      </c>
      <c r="I100">
        <v>2</v>
      </c>
    </row>
    <row r="101" spans="1:9" hidden="1" x14ac:dyDescent="0.3">
      <c r="A101" s="13">
        <v>15</v>
      </c>
      <c r="B101" s="4">
        <v>4</v>
      </c>
      <c r="C101" t="s">
        <v>531</v>
      </c>
      <c r="D101" t="s">
        <v>530</v>
      </c>
      <c r="E101">
        <v>30</v>
      </c>
      <c r="F101">
        <v>35</v>
      </c>
      <c r="G101" s="8">
        <f>Lektionen[[#This Row],[Bearbeitungsdauer_real]]/Lektionen[[#This Row],[Bearbeitungsdauer_geschätzt]]-1</f>
        <v>0.16666666666666674</v>
      </c>
      <c r="H101" s="8" t="str" cm="1">
        <f t="array" ref="H101">_xlfn.IFS(Lektionen[[#This Row],[Bearbeitungsdauer_abgewichen]]&gt;0.6,"viel länger",Lektionen[[#This Row],[Bearbeitungsdauer_abgewichen]]&gt;0.3,"länger",Lektionen[[#This Row],[Bearbeitungsdauer_abgewichen]]&lt;-0.3,"kürzer",TRUE,"keine Abweichung")</f>
        <v>keine Abweichung</v>
      </c>
      <c r="I101">
        <v>2</v>
      </c>
    </row>
    <row r="102" spans="1:9" x14ac:dyDescent="0.3">
      <c r="A102" s="13">
        <v>15</v>
      </c>
      <c r="B102" s="4">
        <v>5</v>
      </c>
      <c r="C102" t="s">
        <v>532</v>
      </c>
      <c r="D102" t="s">
        <v>530</v>
      </c>
      <c r="E102">
        <v>30</v>
      </c>
      <c r="F102">
        <v>45</v>
      </c>
      <c r="G102" s="8">
        <f>Lektionen[[#This Row],[Bearbeitungsdauer_real]]/Lektionen[[#This Row],[Bearbeitungsdauer_geschätzt]]-1</f>
        <v>0.5</v>
      </c>
      <c r="H102" s="8" t="str" cm="1">
        <f t="array" ref="H102">_xlfn.IFS(Lektionen[[#This Row],[Bearbeitungsdauer_abgewichen]]&gt;0.6,"viel länger",Lektionen[[#This Row],[Bearbeitungsdauer_abgewichen]]&gt;0.3,"länger",Lektionen[[#This Row],[Bearbeitungsdauer_abgewichen]]&lt;-0.3,"kürzer",TRUE,"keine Abweichung")</f>
        <v>länger</v>
      </c>
      <c r="I102">
        <v>4</v>
      </c>
    </row>
    <row r="103" spans="1:9" hidden="1" x14ac:dyDescent="0.3">
      <c r="A103" s="13">
        <v>15</v>
      </c>
      <c r="B103" s="4">
        <v>6</v>
      </c>
      <c r="C103" t="s">
        <v>533</v>
      </c>
      <c r="D103" t="s">
        <v>534</v>
      </c>
      <c r="E103">
        <v>5</v>
      </c>
      <c r="F103">
        <v>2</v>
      </c>
      <c r="G103" s="8">
        <f>Lektionen[[#This Row],[Bearbeitungsdauer_real]]/Lektionen[[#This Row],[Bearbeitungsdauer_geschätzt]]-1</f>
        <v>-0.6</v>
      </c>
      <c r="H103" s="8" t="str" cm="1">
        <f t="array" ref="H103">_xlfn.IFS(Lektionen[[#This Row],[Bearbeitungsdauer_abgewichen]]&gt;0.6,"viel länger",Lektionen[[#This Row],[Bearbeitungsdauer_abgewichen]]&gt;0.3,"länger",Lektionen[[#This Row],[Bearbeitungsdauer_abgewichen]]&lt;-0.3,"kürzer",TRUE,"keine Abweichung")</f>
        <v>kürzer</v>
      </c>
      <c r="I103">
        <v>2</v>
      </c>
    </row>
    <row r="104" spans="1:9" hidden="1" x14ac:dyDescent="0.3">
      <c r="A104" s="13">
        <v>15</v>
      </c>
      <c r="B104" s="4">
        <v>7</v>
      </c>
      <c r="C104" t="s">
        <v>535</v>
      </c>
      <c r="D104" t="s">
        <v>536</v>
      </c>
      <c r="E104">
        <v>10</v>
      </c>
      <c r="F104">
        <v>10</v>
      </c>
      <c r="G104" s="8">
        <f>Lektionen[[#This Row],[Bearbeitungsdauer_real]]/Lektionen[[#This Row],[Bearbeitungsdauer_geschätzt]]-1</f>
        <v>0</v>
      </c>
      <c r="H104" s="8" t="str" cm="1">
        <f t="array" ref="H104">_xlfn.IFS(Lektionen[[#This Row],[Bearbeitungsdauer_abgewichen]]&gt;0.6,"viel länger",Lektionen[[#This Row],[Bearbeitungsdauer_abgewichen]]&gt;0.3,"länger",Lektionen[[#This Row],[Bearbeitungsdauer_abgewichen]]&lt;-0.3,"kürzer",TRUE,"keine Abweichung")</f>
        <v>keine Abweichung</v>
      </c>
      <c r="I104">
        <v>3</v>
      </c>
    </row>
    <row r="105" spans="1:9" hidden="1" x14ac:dyDescent="0.3">
      <c r="A105" s="13">
        <v>15</v>
      </c>
      <c r="B105" s="4">
        <v>8</v>
      </c>
      <c r="C105" t="s">
        <v>537</v>
      </c>
      <c r="D105" t="s">
        <v>527</v>
      </c>
      <c r="E105">
        <v>5</v>
      </c>
      <c r="F105">
        <v>5</v>
      </c>
      <c r="G105" s="8">
        <f>Lektionen[[#This Row],[Bearbeitungsdauer_real]]/Lektionen[[#This Row],[Bearbeitungsdauer_geschätzt]]-1</f>
        <v>0</v>
      </c>
      <c r="H105" s="8" t="str" cm="1">
        <f t="array" ref="H105">_xlfn.IFS(Lektionen[[#This Row],[Bearbeitungsdauer_abgewichen]]&gt;0.6,"viel länger",Lektionen[[#This Row],[Bearbeitungsdauer_abgewichen]]&gt;0.3,"länger",Lektionen[[#This Row],[Bearbeitungsdauer_abgewichen]]&lt;-0.3,"kürzer",TRUE,"keine Abweichung")</f>
        <v>keine Abweichung</v>
      </c>
      <c r="I105">
        <v>1</v>
      </c>
    </row>
    <row r="106" spans="1:9" hidden="1" x14ac:dyDescent="0.3">
      <c r="A106" s="13">
        <v>16</v>
      </c>
      <c r="B106" s="4">
        <v>1</v>
      </c>
      <c r="C106" t="s">
        <v>526</v>
      </c>
      <c r="D106" t="s">
        <v>527</v>
      </c>
      <c r="E106">
        <v>4</v>
      </c>
      <c r="F106">
        <v>4</v>
      </c>
      <c r="G106" s="8">
        <f>Lektionen[[#This Row],[Bearbeitungsdauer_real]]/Lektionen[[#This Row],[Bearbeitungsdauer_geschätzt]]-1</f>
        <v>0</v>
      </c>
      <c r="H106" s="8" t="str" cm="1">
        <f t="array" ref="H106">_xlfn.IFS(Lektionen[[#This Row],[Bearbeitungsdauer_abgewichen]]&gt;0.6,"viel länger",Lektionen[[#This Row],[Bearbeitungsdauer_abgewichen]]&gt;0.3,"länger",Lektionen[[#This Row],[Bearbeitungsdauer_abgewichen]]&lt;-0.3,"kürzer",TRUE,"keine Abweichung")</f>
        <v>keine Abweichung</v>
      </c>
      <c r="I106">
        <v>1</v>
      </c>
    </row>
    <row r="107" spans="1:9" hidden="1" x14ac:dyDescent="0.3">
      <c r="A107" s="13">
        <v>16</v>
      </c>
      <c r="B107" s="4">
        <v>2</v>
      </c>
      <c r="C107" t="s">
        <v>528</v>
      </c>
      <c r="D107" t="s">
        <v>529</v>
      </c>
      <c r="E107">
        <v>15</v>
      </c>
      <c r="F107">
        <v>22</v>
      </c>
      <c r="G107" s="8">
        <f>Lektionen[[#This Row],[Bearbeitungsdauer_real]]/Lektionen[[#This Row],[Bearbeitungsdauer_geschätzt]]-1</f>
        <v>0.46666666666666656</v>
      </c>
      <c r="H107" s="8" t="str" cm="1">
        <f t="array" ref="H107">_xlfn.IFS(Lektionen[[#This Row],[Bearbeitungsdauer_abgewichen]]&gt;0.6,"viel länger",Lektionen[[#This Row],[Bearbeitungsdauer_abgewichen]]&gt;0.3,"länger",Lektionen[[#This Row],[Bearbeitungsdauer_abgewichen]]&lt;-0.3,"kürzer",TRUE,"keine Abweichung")</f>
        <v>länger</v>
      </c>
      <c r="I107">
        <v>1</v>
      </c>
    </row>
    <row r="108" spans="1:9" hidden="1" x14ac:dyDescent="0.3">
      <c r="A108" s="13">
        <v>16</v>
      </c>
      <c r="B108" s="4">
        <v>3</v>
      </c>
      <c r="C108" t="s">
        <v>552</v>
      </c>
      <c r="D108" t="s">
        <v>530</v>
      </c>
      <c r="E108">
        <v>30</v>
      </c>
      <c r="F108">
        <v>28</v>
      </c>
      <c r="G108" s="8">
        <f>Lektionen[[#This Row],[Bearbeitungsdauer_real]]/Lektionen[[#This Row],[Bearbeitungsdauer_geschätzt]]-1</f>
        <v>-6.6666666666666652E-2</v>
      </c>
      <c r="H108" s="8" t="str" cm="1">
        <f t="array" ref="H108">_xlfn.IFS(Lektionen[[#This Row],[Bearbeitungsdauer_abgewichen]]&gt;0.6,"viel länger",Lektionen[[#This Row],[Bearbeitungsdauer_abgewichen]]&gt;0.3,"länger",Lektionen[[#This Row],[Bearbeitungsdauer_abgewichen]]&lt;-0.3,"kürzer",TRUE,"keine Abweichung")</f>
        <v>keine Abweichung</v>
      </c>
      <c r="I108">
        <v>4</v>
      </c>
    </row>
    <row r="109" spans="1:9" hidden="1" x14ac:dyDescent="0.3">
      <c r="A109" s="13">
        <v>16</v>
      </c>
      <c r="B109" s="4">
        <v>4</v>
      </c>
      <c r="C109" t="s">
        <v>531</v>
      </c>
      <c r="D109" t="s">
        <v>530</v>
      </c>
      <c r="E109">
        <v>30</v>
      </c>
      <c r="F109">
        <v>20</v>
      </c>
      <c r="G109" s="8">
        <f>Lektionen[[#This Row],[Bearbeitungsdauer_real]]/Lektionen[[#This Row],[Bearbeitungsdauer_geschätzt]]-1</f>
        <v>-0.33333333333333337</v>
      </c>
      <c r="H109" s="8" t="str" cm="1">
        <f t="array" ref="H109">_xlfn.IFS(Lektionen[[#This Row],[Bearbeitungsdauer_abgewichen]]&gt;0.6,"viel länger",Lektionen[[#This Row],[Bearbeitungsdauer_abgewichen]]&gt;0.3,"länger",Lektionen[[#This Row],[Bearbeitungsdauer_abgewichen]]&lt;-0.3,"kürzer",TRUE,"keine Abweichung")</f>
        <v>kürzer</v>
      </c>
      <c r="I109">
        <v>2</v>
      </c>
    </row>
    <row r="110" spans="1:9" x14ac:dyDescent="0.3">
      <c r="A110" s="13">
        <v>16</v>
      </c>
      <c r="B110" s="4">
        <v>5</v>
      </c>
      <c r="C110" t="s">
        <v>532</v>
      </c>
      <c r="D110" t="s">
        <v>530</v>
      </c>
      <c r="E110">
        <v>30</v>
      </c>
      <c r="F110">
        <v>51</v>
      </c>
      <c r="G110" s="8">
        <f>Lektionen[[#This Row],[Bearbeitungsdauer_real]]/Lektionen[[#This Row],[Bearbeitungsdauer_geschätzt]]-1</f>
        <v>0.7</v>
      </c>
      <c r="H110" s="8" t="str" cm="1">
        <f t="array" ref="H110">_xlfn.IFS(Lektionen[[#This Row],[Bearbeitungsdauer_abgewichen]]&gt;0.6,"viel länger",Lektionen[[#This Row],[Bearbeitungsdauer_abgewichen]]&gt;0.3,"länger",Lektionen[[#This Row],[Bearbeitungsdauer_abgewichen]]&lt;-0.3,"kürzer",TRUE,"keine Abweichung")</f>
        <v>viel länger</v>
      </c>
      <c r="I110">
        <v>3</v>
      </c>
    </row>
    <row r="111" spans="1:9" hidden="1" x14ac:dyDescent="0.3">
      <c r="A111" s="13">
        <v>16</v>
      </c>
      <c r="B111" s="4">
        <v>6</v>
      </c>
      <c r="C111" t="s">
        <v>533</v>
      </c>
      <c r="D111" t="s">
        <v>534</v>
      </c>
      <c r="E111">
        <v>5</v>
      </c>
      <c r="F111">
        <v>1</v>
      </c>
      <c r="G111" s="8">
        <f>Lektionen[[#This Row],[Bearbeitungsdauer_real]]/Lektionen[[#This Row],[Bearbeitungsdauer_geschätzt]]-1</f>
        <v>-0.8</v>
      </c>
      <c r="H111" s="8" t="str" cm="1">
        <f t="array" ref="H111">_xlfn.IFS(Lektionen[[#This Row],[Bearbeitungsdauer_abgewichen]]&gt;0.6,"viel länger",Lektionen[[#This Row],[Bearbeitungsdauer_abgewichen]]&gt;0.3,"länger",Lektionen[[#This Row],[Bearbeitungsdauer_abgewichen]]&lt;-0.3,"kürzer",TRUE,"keine Abweichung")</f>
        <v>kürzer</v>
      </c>
      <c r="I111">
        <v>2</v>
      </c>
    </row>
    <row r="112" spans="1:9" hidden="1" x14ac:dyDescent="0.3">
      <c r="A112" s="13">
        <v>16</v>
      </c>
      <c r="B112" s="4">
        <v>7</v>
      </c>
      <c r="C112" t="s">
        <v>535</v>
      </c>
      <c r="D112" t="s">
        <v>536</v>
      </c>
      <c r="E112">
        <v>10</v>
      </c>
      <c r="F112">
        <v>9</v>
      </c>
      <c r="G112" s="8">
        <f>Lektionen[[#This Row],[Bearbeitungsdauer_real]]/Lektionen[[#This Row],[Bearbeitungsdauer_geschätzt]]-1</f>
        <v>-9.9999999999999978E-2</v>
      </c>
      <c r="H112" s="8" t="str" cm="1">
        <f t="array" ref="H112">_xlfn.IFS(Lektionen[[#This Row],[Bearbeitungsdauer_abgewichen]]&gt;0.6,"viel länger",Lektionen[[#This Row],[Bearbeitungsdauer_abgewichen]]&gt;0.3,"länger",Lektionen[[#This Row],[Bearbeitungsdauer_abgewichen]]&lt;-0.3,"kürzer",TRUE,"keine Abweichung")</f>
        <v>keine Abweichung</v>
      </c>
      <c r="I112">
        <v>3</v>
      </c>
    </row>
    <row r="113" spans="1:9" hidden="1" x14ac:dyDescent="0.3">
      <c r="A113" s="13">
        <v>16</v>
      </c>
      <c r="B113" s="4">
        <v>8</v>
      </c>
      <c r="C113" t="s">
        <v>537</v>
      </c>
      <c r="D113" t="s">
        <v>527</v>
      </c>
      <c r="E113">
        <v>5</v>
      </c>
      <c r="F113">
        <v>5</v>
      </c>
      <c r="G113" s="8">
        <f>Lektionen[[#This Row],[Bearbeitungsdauer_real]]/Lektionen[[#This Row],[Bearbeitungsdauer_geschätzt]]-1</f>
        <v>0</v>
      </c>
      <c r="H113" s="8" t="str" cm="1">
        <f t="array" ref="H113">_xlfn.IFS(Lektionen[[#This Row],[Bearbeitungsdauer_abgewichen]]&gt;0.6,"viel länger",Lektionen[[#This Row],[Bearbeitungsdauer_abgewichen]]&gt;0.3,"länger",Lektionen[[#This Row],[Bearbeitungsdauer_abgewichen]]&lt;-0.3,"kürzer",TRUE,"keine Abweichung")</f>
        <v>keine Abweichung</v>
      </c>
      <c r="I113">
        <v>1</v>
      </c>
    </row>
    <row r="114" spans="1:9" hidden="1" x14ac:dyDescent="0.3">
      <c r="A114" s="13">
        <v>17</v>
      </c>
      <c r="B114" s="4">
        <v>1</v>
      </c>
      <c r="C114" t="s">
        <v>526</v>
      </c>
      <c r="D114" t="s">
        <v>527</v>
      </c>
      <c r="E114">
        <v>4</v>
      </c>
      <c r="F114">
        <v>4</v>
      </c>
      <c r="G114" s="8">
        <f>Lektionen[[#This Row],[Bearbeitungsdauer_real]]/Lektionen[[#This Row],[Bearbeitungsdauer_geschätzt]]-1</f>
        <v>0</v>
      </c>
      <c r="H114" s="8" t="str" cm="1">
        <f t="array" ref="H114">_xlfn.IFS(Lektionen[[#This Row],[Bearbeitungsdauer_abgewichen]]&gt;0.6,"viel länger",Lektionen[[#This Row],[Bearbeitungsdauer_abgewichen]]&gt;0.3,"länger",Lektionen[[#This Row],[Bearbeitungsdauer_abgewichen]]&lt;-0.3,"kürzer",TRUE,"keine Abweichung")</f>
        <v>keine Abweichung</v>
      </c>
      <c r="I114">
        <v>1</v>
      </c>
    </row>
    <row r="115" spans="1:9" hidden="1" x14ac:dyDescent="0.3">
      <c r="A115" s="13">
        <v>17</v>
      </c>
      <c r="B115" s="4">
        <v>2</v>
      </c>
      <c r="C115" t="s">
        <v>528</v>
      </c>
      <c r="D115" t="s">
        <v>529</v>
      </c>
      <c r="E115">
        <v>15</v>
      </c>
      <c r="F115">
        <v>17</v>
      </c>
      <c r="G115" s="8">
        <f>Lektionen[[#This Row],[Bearbeitungsdauer_real]]/Lektionen[[#This Row],[Bearbeitungsdauer_geschätzt]]-1</f>
        <v>0.1333333333333333</v>
      </c>
      <c r="H115" s="8" t="str" cm="1">
        <f t="array" ref="H115">_xlfn.IFS(Lektionen[[#This Row],[Bearbeitungsdauer_abgewichen]]&gt;0.6,"viel länger",Lektionen[[#This Row],[Bearbeitungsdauer_abgewichen]]&gt;0.3,"länger",Lektionen[[#This Row],[Bearbeitungsdauer_abgewichen]]&lt;-0.3,"kürzer",TRUE,"keine Abweichung")</f>
        <v>keine Abweichung</v>
      </c>
      <c r="I115">
        <v>2</v>
      </c>
    </row>
    <row r="116" spans="1:9" hidden="1" x14ac:dyDescent="0.3">
      <c r="A116" s="13">
        <v>17</v>
      </c>
      <c r="B116" s="4">
        <v>3</v>
      </c>
      <c r="C116" t="s">
        <v>552</v>
      </c>
      <c r="D116" t="s">
        <v>530</v>
      </c>
      <c r="E116">
        <v>30</v>
      </c>
      <c r="F116">
        <v>27</v>
      </c>
      <c r="G116" s="8">
        <f>Lektionen[[#This Row],[Bearbeitungsdauer_real]]/Lektionen[[#This Row],[Bearbeitungsdauer_geschätzt]]-1</f>
        <v>-9.9999999999999978E-2</v>
      </c>
      <c r="H116" s="8" t="str" cm="1">
        <f t="array" ref="H116">_xlfn.IFS(Lektionen[[#This Row],[Bearbeitungsdauer_abgewichen]]&gt;0.6,"viel länger",Lektionen[[#This Row],[Bearbeitungsdauer_abgewichen]]&gt;0.3,"länger",Lektionen[[#This Row],[Bearbeitungsdauer_abgewichen]]&lt;-0.3,"kürzer",TRUE,"keine Abweichung")</f>
        <v>keine Abweichung</v>
      </c>
      <c r="I116">
        <v>2</v>
      </c>
    </row>
    <row r="117" spans="1:9" hidden="1" x14ac:dyDescent="0.3">
      <c r="A117" s="13">
        <v>17</v>
      </c>
      <c r="B117" s="4">
        <v>4</v>
      </c>
      <c r="C117" t="s">
        <v>531</v>
      </c>
      <c r="D117" t="s">
        <v>530</v>
      </c>
      <c r="E117">
        <v>30</v>
      </c>
      <c r="F117">
        <v>24</v>
      </c>
      <c r="G117" s="8">
        <f>Lektionen[[#This Row],[Bearbeitungsdauer_real]]/Lektionen[[#This Row],[Bearbeitungsdauer_geschätzt]]-1</f>
        <v>-0.19999999999999996</v>
      </c>
      <c r="H117" s="8" t="str" cm="1">
        <f t="array" ref="H117">_xlfn.IFS(Lektionen[[#This Row],[Bearbeitungsdauer_abgewichen]]&gt;0.6,"viel länger",Lektionen[[#This Row],[Bearbeitungsdauer_abgewichen]]&gt;0.3,"länger",Lektionen[[#This Row],[Bearbeitungsdauer_abgewichen]]&lt;-0.3,"kürzer",TRUE,"keine Abweichung")</f>
        <v>keine Abweichung</v>
      </c>
      <c r="I117">
        <v>3</v>
      </c>
    </row>
    <row r="118" spans="1:9" x14ac:dyDescent="0.3">
      <c r="A118" s="13">
        <v>17</v>
      </c>
      <c r="B118" s="4">
        <v>5</v>
      </c>
      <c r="C118" t="s">
        <v>532</v>
      </c>
      <c r="D118" t="s">
        <v>530</v>
      </c>
      <c r="E118">
        <v>30</v>
      </c>
      <c r="F118">
        <v>37</v>
      </c>
      <c r="G118" s="8">
        <f>Lektionen[[#This Row],[Bearbeitungsdauer_real]]/Lektionen[[#This Row],[Bearbeitungsdauer_geschätzt]]-1</f>
        <v>0.23333333333333339</v>
      </c>
      <c r="H118" s="8" t="str" cm="1">
        <f t="array" ref="H118">_xlfn.IFS(Lektionen[[#This Row],[Bearbeitungsdauer_abgewichen]]&gt;0.6,"viel länger",Lektionen[[#This Row],[Bearbeitungsdauer_abgewichen]]&gt;0.3,"länger",Lektionen[[#This Row],[Bearbeitungsdauer_abgewichen]]&lt;-0.3,"kürzer",TRUE,"keine Abweichung")</f>
        <v>keine Abweichung</v>
      </c>
      <c r="I118">
        <v>3</v>
      </c>
    </row>
    <row r="119" spans="1:9" hidden="1" x14ac:dyDescent="0.3">
      <c r="A119" s="13">
        <v>17</v>
      </c>
      <c r="B119" s="4">
        <v>6</v>
      </c>
      <c r="C119" t="s">
        <v>533</v>
      </c>
      <c r="D119" t="s">
        <v>534</v>
      </c>
      <c r="E119">
        <v>5</v>
      </c>
      <c r="F119">
        <v>1</v>
      </c>
      <c r="G119" s="8">
        <f>Lektionen[[#This Row],[Bearbeitungsdauer_real]]/Lektionen[[#This Row],[Bearbeitungsdauer_geschätzt]]-1</f>
        <v>-0.8</v>
      </c>
      <c r="H119" s="8" t="str" cm="1">
        <f t="array" ref="H119">_xlfn.IFS(Lektionen[[#This Row],[Bearbeitungsdauer_abgewichen]]&gt;0.6,"viel länger",Lektionen[[#This Row],[Bearbeitungsdauer_abgewichen]]&gt;0.3,"länger",Lektionen[[#This Row],[Bearbeitungsdauer_abgewichen]]&lt;-0.3,"kürzer",TRUE,"keine Abweichung")</f>
        <v>kürzer</v>
      </c>
      <c r="I119">
        <v>2</v>
      </c>
    </row>
    <row r="120" spans="1:9" hidden="1" x14ac:dyDescent="0.3">
      <c r="A120" s="13">
        <v>17</v>
      </c>
      <c r="B120" s="4">
        <v>7</v>
      </c>
      <c r="C120" t="s">
        <v>535</v>
      </c>
      <c r="D120" t="s">
        <v>536</v>
      </c>
      <c r="E120">
        <v>10</v>
      </c>
      <c r="F120">
        <v>10</v>
      </c>
      <c r="G120" s="8">
        <f>Lektionen[[#This Row],[Bearbeitungsdauer_real]]/Lektionen[[#This Row],[Bearbeitungsdauer_geschätzt]]-1</f>
        <v>0</v>
      </c>
      <c r="H120" s="8" t="str" cm="1">
        <f t="array" ref="H120">_xlfn.IFS(Lektionen[[#This Row],[Bearbeitungsdauer_abgewichen]]&gt;0.6,"viel länger",Lektionen[[#This Row],[Bearbeitungsdauer_abgewichen]]&gt;0.3,"länger",Lektionen[[#This Row],[Bearbeitungsdauer_abgewichen]]&lt;-0.3,"kürzer",TRUE,"keine Abweichung")</f>
        <v>keine Abweichung</v>
      </c>
      <c r="I120">
        <v>3</v>
      </c>
    </row>
    <row r="121" spans="1:9" hidden="1" x14ac:dyDescent="0.3">
      <c r="A121" s="13">
        <v>17</v>
      </c>
      <c r="B121" s="4">
        <v>8</v>
      </c>
      <c r="C121" t="s">
        <v>537</v>
      </c>
      <c r="D121" t="s">
        <v>527</v>
      </c>
      <c r="E121">
        <v>5</v>
      </c>
      <c r="F121">
        <v>5</v>
      </c>
      <c r="G121" s="8">
        <f>Lektionen[[#This Row],[Bearbeitungsdauer_real]]/Lektionen[[#This Row],[Bearbeitungsdauer_geschätzt]]-1</f>
        <v>0</v>
      </c>
      <c r="H121" s="8" t="str" cm="1">
        <f t="array" ref="H121">_xlfn.IFS(Lektionen[[#This Row],[Bearbeitungsdauer_abgewichen]]&gt;0.6,"viel länger",Lektionen[[#This Row],[Bearbeitungsdauer_abgewichen]]&gt;0.3,"länger",Lektionen[[#This Row],[Bearbeitungsdauer_abgewichen]]&lt;-0.3,"kürzer",TRUE,"keine Abweichung")</f>
        <v>keine Abweichung</v>
      </c>
      <c r="I121">
        <v>1</v>
      </c>
    </row>
    <row r="122" spans="1:9" hidden="1" x14ac:dyDescent="0.3">
      <c r="A122" s="13">
        <v>18</v>
      </c>
      <c r="B122" s="4">
        <v>1</v>
      </c>
      <c r="C122" t="s">
        <v>526</v>
      </c>
      <c r="D122" t="s">
        <v>527</v>
      </c>
      <c r="E122">
        <v>4</v>
      </c>
      <c r="F122">
        <v>4</v>
      </c>
      <c r="G122" s="8">
        <f>Lektionen[[#This Row],[Bearbeitungsdauer_real]]/Lektionen[[#This Row],[Bearbeitungsdauer_geschätzt]]-1</f>
        <v>0</v>
      </c>
      <c r="H122" s="8" t="str" cm="1">
        <f t="array" ref="H122">_xlfn.IFS(Lektionen[[#This Row],[Bearbeitungsdauer_abgewichen]]&gt;0.6,"viel länger",Lektionen[[#This Row],[Bearbeitungsdauer_abgewichen]]&gt;0.3,"länger",Lektionen[[#This Row],[Bearbeitungsdauer_abgewichen]]&lt;-0.3,"kürzer",TRUE,"keine Abweichung")</f>
        <v>keine Abweichung</v>
      </c>
      <c r="I122">
        <v>1</v>
      </c>
    </row>
    <row r="123" spans="1:9" hidden="1" x14ac:dyDescent="0.3">
      <c r="A123" s="13">
        <v>18</v>
      </c>
      <c r="B123" s="4">
        <v>2</v>
      </c>
      <c r="C123" t="s">
        <v>528</v>
      </c>
      <c r="D123" t="s">
        <v>529</v>
      </c>
      <c r="E123">
        <v>15</v>
      </c>
      <c r="F123">
        <v>18</v>
      </c>
      <c r="G123" s="8">
        <f>Lektionen[[#This Row],[Bearbeitungsdauer_real]]/Lektionen[[#This Row],[Bearbeitungsdauer_geschätzt]]-1</f>
        <v>0.19999999999999996</v>
      </c>
      <c r="H123" s="8" t="str" cm="1">
        <f t="array" ref="H123">_xlfn.IFS(Lektionen[[#This Row],[Bearbeitungsdauer_abgewichen]]&gt;0.6,"viel länger",Lektionen[[#This Row],[Bearbeitungsdauer_abgewichen]]&gt;0.3,"länger",Lektionen[[#This Row],[Bearbeitungsdauer_abgewichen]]&lt;-0.3,"kürzer",TRUE,"keine Abweichung")</f>
        <v>keine Abweichung</v>
      </c>
      <c r="I123">
        <v>1</v>
      </c>
    </row>
    <row r="124" spans="1:9" hidden="1" x14ac:dyDescent="0.3">
      <c r="A124" s="13">
        <v>18</v>
      </c>
      <c r="B124" s="4">
        <v>3</v>
      </c>
      <c r="C124" t="s">
        <v>552</v>
      </c>
      <c r="D124" t="s">
        <v>530</v>
      </c>
      <c r="E124">
        <v>30</v>
      </c>
      <c r="F124">
        <v>28</v>
      </c>
      <c r="G124" s="8">
        <f>Lektionen[[#This Row],[Bearbeitungsdauer_real]]/Lektionen[[#This Row],[Bearbeitungsdauer_geschätzt]]-1</f>
        <v>-6.6666666666666652E-2</v>
      </c>
      <c r="H124" s="8" t="str" cm="1">
        <f t="array" ref="H124">_xlfn.IFS(Lektionen[[#This Row],[Bearbeitungsdauer_abgewichen]]&gt;0.6,"viel länger",Lektionen[[#This Row],[Bearbeitungsdauer_abgewichen]]&gt;0.3,"länger",Lektionen[[#This Row],[Bearbeitungsdauer_abgewichen]]&lt;-0.3,"kürzer",TRUE,"keine Abweichung")</f>
        <v>keine Abweichung</v>
      </c>
      <c r="I124">
        <v>2</v>
      </c>
    </row>
    <row r="125" spans="1:9" hidden="1" x14ac:dyDescent="0.3">
      <c r="A125" s="13">
        <v>18</v>
      </c>
      <c r="B125" s="4">
        <v>4</v>
      </c>
      <c r="C125" t="s">
        <v>531</v>
      </c>
      <c r="D125" t="s">
        <v>530</v>
      </c>
      <c r="E125">
        <v>30</v>
      </c>
      <c r="F125">
        <v>35</v>
      </c>
      <c r="G125" s="8">
        <f>Lektionen[[#This Row],[Bearbeitungsdauer_real]]/Lektionen[[#This Row],[Bearbeitungsdauer_geschätzt]]-1</f>
        <v>0.16666666666666674</v>
      </c>
      <c r="H125" s="8" t="str" cm="1">
        <f t="array" ref="H125">_xlfn.IFS(Lektionen[[#This Row],[Bearbeitungsdauer_abgewichen]]&gt;0.6,"viel länger",Lektionen[[#This Row],[Bearbeitungsdauer_abgewichen]]&gt;0.3,"länger",Lektionen[[#This Row],[Bearbeitungsdauer_abgewichen]]&lt;-0.3,"kürzer",TRUE,"keine Abweichung")</f>
        <v>keine Abweichung</v>
      </c>
      <c r="I125">
        <v>3</v>
      </c>
    </row>
    <row r="126" spans="1:9" x14ac:dyDescent="0.3">
      <c r="A126" s="13">
        <v>18</v>
      </c>
      <c r="B126" s="4">
        <v>5</v>
      </c>
      <c r="C126" t="s">
        <v>532</v>
      </c>
      <c r="D126" t="s">
        <v>530</v>
      </c>
      <c r="E126">
        <v>30</v>
      </c>
      <c r="F126">
        <v>38</v>
      </c>
      <c r="G126" s="8">
        <f>Lektionen[[#This Row],[Bearbeitungsdauer_real]]/Lektionen[[#This Row],[Bearbeitungsdauer_geschätzt]]-1</f>
        <v>0.26666666666666661</v>
      </c>
      <c r="H126" s="8" t="str" cm="1">
        <f t="array" ref="H126">_xlfn.IFS(Lektionen[[#This Row],[Bearbeitungsdauer_abgewichen]]&gt;0.6,"viel länger",Lektionen[[#This Row],[Bearbeitungsdauer_abgewichen]]&gt;0.3,"länger",Lektionen[[#This Row],[Bearbeitungsdauer_abgewichen]]&lt;-0.3,"kürzer",TRUE,"keine Abweichung")</f>
        <v>keine Abweichung</v>
      </c>
      <c r="I126">
        <v>4</v>
      </c>
    </row>
    <row r="127" spans="1:9" hidden="1" x14ac:dyDescent="0.3">
      <c r="A127" s="13">
        <v>18</v>
      </c>
      <c r="B127" s="4">
        <v>6</v>
      </c>
      <c r="C127" t="s">
        <v>533</v>
      </c>
      <c r="D127" t="s">
        <v>534</v>
      </c>
      <c r="E127">
        <v>5</v>
      </c>
      <c r="F127">
        <v>1</v>
      </c>
      <c r="G127" s="8">
        <f>Lektionen[[#This Row],[Bearbeitungsdauer_real]]/Lektionen[[#This Row],[Bearbeitungsdauer_geschätzt]]-1</f>
        <v>-0.8</v>
      </c>
      <c r="H127" s="8" t="str" cm="1">
        <f t="array" ref="H127">_xlfn.IFS(Lektionen[[#This Row],[Bearbeitungsdauer_abgewichen]]&gt;0.6,"viel länger",Lektionen[[#This Row],[Bearbeitungsdauer_abgewichen]]&gt;0.3,"länger",Lektionen[[#This Row],[Bearbeitungsdauer_abgewichen]]&lt;-0.3,"kürzer",TRUE,"keine Abweichung")</f>
        <v>kürzer</v>
      </c>
      <c r="I127">
        <v>2</v>
      </c>
    </row>
    <row r="128" spans="1:9" hidden="1" x14ac:dyDescent="0.3">
      <c r="A128" s="13">
        <v>18</v>
      </c>
      <c r="B128" s="4">
        <v>7</v>
      </c>
      <c r="C128" t="s">
        <v>535</v>
      </c>
      <c r="D128" t="s">
        <v>536</v>
      </c>
      <c r="E128">
        <v>10</v>
      </c>
      <c r="F128">
        <v>8</v>
      </c>
      <c r="G128" s="8">
        <f>Lektionen[[#This Row],[Bearbeitungsdauer_real]]/Lektionen[[#This Row],[Bearbeitungsdauer_geschätzt]]-1</f>
        <v>-0.19999999999999996</v>
      </c>
      <c r="H128" s="8" t="str" cm="1">
        <f t="array" ref="H128">_xlfn.IFS(Lektionen[[#This Row],[Bearbeitungsdauer_abgewichen]]&gt;0.6,"viel länger",Lektionen[[#This Row],[Bearbeitungsdauer_abgewichen]]&gt;0.3,"länger",Lektionen[[#This Row],[Bearbeitungsdauer_abgewichen]]&lt;-0.3,"kürzer",TRUE,"keine Abweichung")</f>
        <v>keine Abweichung</v>
      </c>
      <c r="I128">
        <v>3</v>
      </c>
    </row>
    <row r="129" spans="1:9" hidden="1" x14ac:dyDescent="0.3">
      <c r="A129" s="13">
        <v>18</v>
      </c>
      <c r="B129" s="4">
        <v>8</v>
      </c>
      <c r="C129" t="s">
        <v>537</v>
      </c>
      <c r="D129" t="s">
        <v>527</v>
      </c>
      <c r="E129">
        <v>5</v>
      </c>
      <c r="F129">
        <v>5</v>
      </c>
      <c r="G129" s="8">
        <f>Lektionen[[#This Row],[Bearbeitungsdauer_real]]/Lektionen[[#This Row],[Bearbeitungsdauer_geschätzt]]-1</f>
        <v>0</v>
      </c>
      <c r="H129" s="8" t="str" cm="1">
        <f t="array" ref="H129">_xlfn.IFS(Lektionen[[#This Row],[Bearbeitungsdauer_abgewichen]]&gt;0.6,"viel länger",Lektionen[[#This Row],[Bearbeitungsdauer_abgewichen]]&gt;0.3,"länger",Lektionen[[#This Row],[Bearbeitungsdauer_abgewichen]]&lt;-0.3,"kürzer",TRUE,"keine Abweichung")</f>
        <v>keine Abweichung</v>
      </c>
      <c r="I129">
        <v>1</v>
      </c>
    </row>
    <row r="130" spans="1:9" hidden="1" x14ac:dyDescent="0.3">
      <c r="A130" s="13">
        <v>20</v>
      </c>
      <c r="B130" s="4">
        <v>1</v>
      </c>
      <c r="C130" t="s">
        <v>526</v>
      </c>
      <c r="D130" t="s">
        <v>527</v>
      </c>
      <c r="E130">
        <v>4</v>
      </c>
      <c r="F130">
        <v>4</v>
      </c>
      <c r="G130" s="8">
        <f>Lektionen[[#This Row],[Bearbeitungsdauer_real]]/Lektionen[[#This Row],[Bearbeitungsdauer_geschätzt]]-1</f>
        <v>0</v>
      </c>
      <c r="H130" s="8" t="str" cm="1">
        <f t="array" ref="H130">_xlfn.IFS(Lektionen[[#This Row],[Bearbeitungsdauer_abgewichen]]&gt;0.6,"viel länger",Lektionen[[#This Row],[Bearbeitungsdauer_abgewichen]]&gt;0.3,"länger",Lektionen[[#This Row],[Bearbeitungsdauer_abgewichen]]&lt;-0.3,"kürzer",TRUE,"keine Abweichung")</f>
        <v>keine Abweichung</v>
      </c>
      <c r="I130">
        <v>1</v>
      </c>
    </row>
    <row r="131" spans="1:9" hidden="1" x14ac:dyDescent="0.3">
      <c r="A131" s="13">
        <v>20</v>
      </c>
      <c r="B131" s="4">
        <v>2</v>
      </c>
      <c r="C131" t="s">
        <v>528</v>
      </c>
      <c r="D131" t="s">
        <v>529</v>
      </c>
      <c r="E131">
        <v>15</v>
      </c>
      <c r="F131">
        <v>19</v>
      </c>
      <c r="G131" s="8">
        <f>Lektionen[[#This Row],[Bearbeitungsdauer_real]]/Lektionen[[#This Row],[Bearbeitungsdauer_geschätzt]]-1</f>
        <v>0.26666666666666661</v>
      </c>
      <c r="H131" s="8" t="str" cm="1">
        <f t="array" ref="H131">_xlfn.IFS(Lektionen[[#This Row],[Bearbeitungsdauer_abgewichen]]&gt;0.6,"viel länger",Lektionen[[#This Row],[Bearbeitungsdauer_abgewichen]]&gt;0.3,"länger",Lektionen[[#This Row],[Bearbeitungsdauer_abgewichen]]&lt;-0.3,"kürzer",TRUE,"keine Abweichung")</f>
        <v>keine Abweichung</v>
      </c>
      <c r="I131">
        <v>2</v>
      </c>
    </row>
    <row r="132" spans="1:9" hidden="1" x14ac:dyDescent="0.3">
      <c r="A132" s="13">
        <v>20</v>
      </c>
      <c r="B132" s="4">
        <v>3</v>
      </c>
      <c r="C132" t="s">
        <v>552</v>
      </c>
      <c r="D132" t="s">
        <v>530</v>
      </c>
      <c r="E132">
        <v>30</v>
      </c>
      <c r="F132">
        <v>29</v>
      </c>
      <c r="G132" s="8">
        <f>Lektionen[[#This Row],[Bearbeitungsdauer_real]]/Lektionen[[#This Row],[Bearbeitungsdauer_geschätzt]]-1</f>
        <v>-3.3333333333333326E-2</v>
      </c>
      <c r="H132" s="8" t="str" cm="1">
        <f t="array" ref="H132">_xlfn.IFS(Lektionen[[#This Row],[Bearbeitungsdauer_abgewichen]]&gt;0.6,"viel länger",Lektionen[[#This Row],[Bearbeitungsdauer_abgewichen]]&gt;0.3,"länger",Lektionen[[#This Row],[Bearbeitungsdauer_abgewichen]]&lt;-0.3,"kürzer",TRUE,"keine Abweichung")</f>
        <v>keine Abweichung</v>
      </c>
      <c r="I132">
        <v>2</v>
      </c>
    </row>
    <row r="133" spans="1:9" hidden="1" x14ac:dyDescent="0.3">
      <c r="A133" s="13">
        <v>20</v>
      </c>
      <c r="B133" s="4">
        <v>4</v>
      </c>
      <c r="C133" t="s">
        <v>531</v>
      </c>
      <c r="D133" t="s">
        <v>530</v>
      </c>
      <c r="E133">
        <v>30</v>
      </c>
      <c r="F133">
        <v>24</v>
      </c>
      <c r="G133" s="8">
        <f>Lektionen[[#This Row],[Bearbeitungsdauer_real]]/Lektionen[[#This Row],[Bearbeitungsdauer_geschätzt]]-1</f>
        <v>-0.19999999999999996</v>
      </c>
      <c r="H133" s="8" t="str" cm="1">
        <f t="array" ref="H133">_xlfn.IFS(Lektionen[[#This Row],[Bearbeitungsdauer_abgewichen]]&gt;0.6,"viel länger",Lektionen[[#This Row],[Bearbeitungsdauer_abgewichen]]&gt;0.3,"länger",Lektionen[[#This Row],[Bearbeitungsdauer_abgewichen]]&lt;-0.3,"kürzer",TRUE,"keine Abweichung")</f>
        <v>keine Abweichung</v>
      </c>
      <c r="I133">
        <v>3</v>
      </c>
    </row>
    <row r="134" spans="1:9" x14ac:dyDescent="0.3">
      <c r="A134" s="13">
        <v>20</v>
      </c>
      <c r="B134" s="4">
        <v>5</v>
      </c>
      <c r="C134" t="s">
        <v>532</v>
      </c>
      <c r="D134" t="s">
        <v>530</v>
      </c>
      <c r="E134">
        <v>30</v>
      </c>
      <c r="F134">
        <v>45</v>
      </c>
      <c r="G134" s="8">
        <f>Lektionen[[#This Row],[Bearbeitungsdauer_real]]/Lektionen[[#This Row],[Bearbeitungsdauer_geschätzt]]-1</f>
        <v>0.5</v>
      </c>
      <c r="H134" s="8" t="str" cm="1">
        <f t="array" ref="H134">_xlfn.IFS(Lektionen[[#This Row],[Bearbeitungsdauer_abgewichen]]&gt;0.6,"viel länger",Lektionen[[#This Row],[Bearbeitungsdauer_abgewichen]]&gt;0.3,"länger",Lektionen[[#This Row],[Bearbeitungsdauer_abgewichen]]&lt;-0.3,"kürzer",TRUE,"keine Abweichung")</f>
        <v>länger</v>
      </c>
      <c r="I134">
        <v>3</v>
      </c>
    </row>
    <row r="135" spans="1:9" hidden="1" x14ac:dyDescent="0.3">
      <c r="A135" s="13">
        <v>20</v>
      </c>
      <c r="B135" s="4">
        <v>6</v>
      </c>
      <c r="C135" t="s">
        <v>533</v>
      </c>
      <c r="D135" t="s">
        <v>534</v>
      </c>
      <c r="E135">
        <v>5</v>
      </c>
      <c r="F135">
        <v>2</v>
      </c>
      <c r="G135" s="8">
        <f>Lektionen[[#This Row],[Bearbeitungsdauer_real]]/Lektionen[[#This Row],[Bearbeitungsdauer_geschätzt]]-1</f>
        <v>-0.6</v>
      </c>
      <c r="H135" s="8" t="str" cm="1">
        <f t="array" ref="H135">_xlfn.IFS(Lektionen[[#This Row],[Bearbeitungsdauer_abgewichen]]&gt;0.6,"viel länger",Lektionen[[#This Row],[Bearbeitungsdauer_abgewichen]]&gt;0.3,"länger",Lektionen[[#This Row],[Bearbeitungsdauer_abgewichen]]&lt;-0.3,"kürzer",TRUE,"keine Abweichung")</f>
        <v>kürzer</v>
      </c>
      <c r="I135">
        <v>2</v>
      </c>
    </row>
    <row r="136" spans="1:9" hidden="1" x14ac:dyDescent="0.3">
      <c r="A136" s="13">
        <v>20</v>
      </c>
      <c r="B136" s="4">
        <v>7</v>
      </c>
      <c r="C136" t="s">
        <v>535</v>
      </c>
      <c r="D136" t="s">
        <v>536</v>
      </c>
      <c r="E136">
        <v>10</v>
      </c>
      <c r="F136">
        <v>10</v>
      </c>
      <c r="G136" s="8">
        <f>Lektionen[[#This Row],[Bearbeitungsdauer_real]]/Lektionen[[#This Row],[Bearbeitungsdauer_geschätzt]]-1</f>
        <v>0</v>
      </c>
      <c r="H136" s="8" t="str" cm="1">
        <f t="array" ref="H136">_xlfn.IFS(Lektionen[[#This Row],[Bearbeitungsdauer_abgewichen]]&gt;0.6,"viel länger",Lektionen[[#This Row],[Bearbeitungsdauer_abgewichen]]&gt;0.3,"länger",Lektionen[[#This Row],[Bearbeitungsdauer_abgewichen]]&lt;-0.3,"kürzer",TRUE,"keine Abweichung")</f>
        <v>keine Abweichung</v>
      </c>
      <c r="I136">
        <v>3</v>
      </c>
    </row>
    <row r="137" spans="1:9" hidden="1" x14ac:dyDescent="0.3">
      <c r="A137" s="13">
        <v>20</v>
      </c>
      <c r="B137" s="4">
        <v>8</v>
      </c>
      <c r="C137" t="s">
        <v>537</v>
      </c>
      <c r="D137" t="s">
        <v>527</v>
      </c>
      <c r="E137">
        <v>5</v>
      </c>
      <c r="F137">
        <v>5</v>
      </c>
      <c r="G137" s="8">
        <f>Lektionen[[#This Row],[Bearbeitungsdauer_real]]/Lektionen[[#This Row],[Bearbeitungsdauer_geschätzt]]-1</f>
        <v>0</v>
      </c>
      <c r="H137" s="8" t="str" cm="1">
        <f t="array" ref="H137">_xlfn.IFS(Lektionen[[#This Row],[Bearbeitungsdauer_abgewichen]]&gt;0.6,"viel länger",Lektionen[[#This Row],[Bearbeitungsdauer_abgewichen]]&gt;0.3,"länger",Lektionen[[#This Row],[Bearbeitungsdauer_abgewichen]]&lt;-0.3,"kürzer",TRUE,"keine Abweichung")</f>
        <v>keine Abweichung</v>
      </c>
      <c r="I137">
        <v>2</v>
      </c>
    </row>
    <row r="138" spans="1:9" hidden="1" x14ac:dyDescent="0.3">
      <c r="A138" s="13">
        <v>21</v>
      </c>
      <c r="B138" s="4">
        <v>1</v>
      </c>
      <c r="C138" t="s">
        <v>526</v>
      </c>
      <c r="D138" t="s">
        <v>527</v>
      </c>
      <c r="E138">
        <v>4</v>
      </c>
      <c r="F138">
        <v>5</v>
      </c>
      <c r="G138" s="8">
        <f>Lektionen[[#This Row],[Bearbeitungsdauer_real]]/Lektionen[[#This Row],[Bearbeitungsdauer_geschätzt]]-1</f>
        <v>0.25</v>
      </c>
      <c r="H138" s="8" t="str" cm="1">
        <f t="array" ref="H138">_xlfn.IFS(Lektionen[[#This Row],[Bearbeitungsdauer_abgewichen]]&gt;0.6,"viel länger",Lektionen[[#This Row],[Bearbeitungsdauer_abgewichen]]&gt;0.3,"länger",Lektionen[[#This Row],[Bearbeitungsdauer_abgewichen]]&lt;-0.3,"kürzer",TRUE,"keine Abweichung")</f>
        <v>keine Abweichung</v>
      </c>
      <c r="I138">
        <v>1</v>
      </c>
    </row>
    <row r="139" spans="1:9" hidden="1" x14ac:dyDescent="0.3">
      <c r="A139" s="13">
        <v>21</v>
      </c>
      <c r="B139" s="4">
        <v>2</v>
      </c>
      <c r="C139" t="s">
        <v>528</v>
      </c>
      <c r="D139" t="s">
        <v>529</v>
      </c>
      <c r="E139">
        <v>15</v>
      </c>
      <c r="F139">
        <v>20</v>
      </c>
      <c r="G139" s="8">
        <f>Lektionen[[#This Row],[Bearbeitungsdauer_real]]/Lektionen[[#This Row],[Bearbeitungsdauer_geschätzt]]-1</f>
        <v>0.33333333333333326</v>
      </c>
      <c r="H139" s="8" t="str" cm="1">
        <f t="array" ref="H139">_xlfn.IFS(Lektionen[[#This Row],[Bearbeitungsdauer_abgewichen]]&gt;0.6,"viel länger",Lektionen[[#This Row],[Bearbeitungsdauer_abgewichen]]&gt;0.3,"länger",Lektionen[[#This Row],[Bearbeitungsdauer_abgewichen]]&lt;-0.3,"kürzer",TRUE,"keine Abweichung")</f>
        <v>länger</v>
      </c>
      <c r="I139">
        <v>2</v>
      </c>
    </row>
    <row r="140" spans="1:9" hidden="1" x14ac:dyDescent="0.3">
      <c r="A140" s="13">
        <v>21</v>
      </c>
      <c r="B140" s="4">
        <v>3</v>
      </c>
      <c r="C140" t="s">
        <v>552</v>
      </c>
      <c r="D140" t="s">
        <v>530</v>
      </c>
      <c r="E140">
        <v>30</v>
      </c>
      <c r="F140">
        <v>38</v>
      </c>
      <c r="G140" s="8">
        <f>Lektionen[[#This Row],[Bearbeitungsdauer_real]]/Lektionen[[#This Row],[Bearbeitungsdauer_geschätzt]]-1</f>
        <v>0.26666666666666661</v>
      </c>
      <c r="H140" s="8" t="str" cm="1">
        <f t="array" ref="H140">_xlfn.IFS(Lektionen[[#This Row],[Bearbeitungsdauer_abgewichen]]&gt;0.6,"viel länger",Lektionen[[#This Row],[Bearbeitungsdauer_abgewichen]]&gt;0.3,"länger",Lektionen[[#This Row],[Bearbeitungsdauer_abgewichen]]&lt;-0.3,"kürzer",TRUE,"keine Abweichung")</f>
        <v>keine Abweichung</v>
      </c>
      <c r="I140">
        <v>2</v>
      </c>
    </row>
    <row r="141" spans="1:9" hidden="1" x14ac:dyDescent="0.3">
      <c r="A141" s="13">
        <v>21</v>
      </c>
      <c r="B141" s="4">
        <v>4</v>
      </c>
      <c r="C141" t="s">
        <v>531</v>
      </c>
      <c r="D141" t="s">
        <v>530</v>
      </c>
      <c r="E141">
        <v>30</v>
      </c>
      <c r="F141">
        <v>22</v>
      </c>
      <c r="G141" s="8">
        <f>Lektionen[[#This Row],[Bearbeitungsdauer_real]]/Lektionen[[#This Row],[Bearbeitungsdauer_geschätzt]]-1</f>
        <v>-0.26666666666666672</v>
      </c>
      <c r="H141" s="8" t="str" cm="1">
        <f t="array" ref="H141">_xlfn.IFS(Lektionen[[#This Row],[Bearbeitungsdauer_abgewichen]]&gt;0.6,"viel länger",Lektionen[[#This Row],[Bearbeitungsdauer_abgewichen]]&gt;0.3,"länger",Lektionen[[#This Row],[Bearbeitungsdauer_abgewichen]]&lt;-0.3,"kürzer",TRUE,"keine Abweichung")</f>
        <v>keine Abweichung</v>
      </c>
      <c r="I141">
        <v>3</v>
      </c>
    </row>
    <row r="142" spans="1:9" x14ac:dyDescent="0.3">
      <c r="A142" s="13">
        <v>21</v>
      </c>
      <c r="B142" s="4">
        <v>5</v>
      </c>
      <c r="C142" t="s">
        <v>532</v>
      </c>
      <c r="D142" t="s">
        <v>530</v>
      </c>
      <c r="E142">
        <v>30</v>
      </c>
      <c r="F142">
        <v>55</v>
      </c>
      <c r="G142" s="8">
        <f>Lektionen[[#This Row],[Bearbeitungsdauer_real]]/Lektionen[[#This Row],[Bearbeitungsdauer_geschätzt]]-1</f>
        <v>0.83333333333333326</v>
      </c>
      <c r="H142" s="8" t="str" cm="1">
        <f t="array" ref="H142">_xlfn.IFS(Lektionen[[#This Row],[Bearbeitungsdauer_abgewichen]]&gt;0.6,"viel länger",Lektionen[[#This Row],[Bearbeitungsdauer_abgewichen]]&gt;0.3,"länger",Lektionen[[#This Row],[Bearbeitungsdauer_abgewichen]]&lt;-0.3,"kürzer",TRUE,"keine Abweichung")</f>
        <v>viel länger</v>
      </c>
      <c r="I142">
        <v>4</v>
      </c>
    </row>
    <row r="143" spans="1:9" hidden="1" x14ac:dyDescent="0.3">
      <c r="A143" s="13">
        <v>21</v>
      </c>
      <c r="B143" s="4">
        <v>6</v>
      </c>
      <c r="C143" t="s">
        <v>533</v>
      </c>
      <c r="D143" t="s">
        <v>534</v>
      </c>
      <c r="E143">
        <v>5</v>
      </c>
      <c r="F143">
        <v>2</v>
      </c>
      <c r="G143" s="8">
        <f>Lektionen[[#This Row],[Bearbeitungsdauer_real]]/Lektionen[[#This Row],[Bearbeitungsdauer_geschätzt]]-1</f>
        <v>-0.6</v>
      </c>
      <c r="H143" s="8" t="str" cm="1">
        <f t="array" ref="H143">_xlfn.IFS(Lektionen[[#This Row],[Bearbeitungsdauer_abgewichen]]&gt;0.6,"viel länger",Lektionen[[#This Row],[Bearbeitungsdauer_abgewichen]]&gt;0.3,"länger",Lektionen[[#This Row],[Bearbeitungsdauer_abgewichen]]&lt;-0.3,"kürzer",TRUE,"keine Abweichung")</f>
        <v>kürzer</v>
      </c>
      <c r="I143">
        <v>3</v>
      </c>
    </row>
    <row r="144" spans="1:9" hidden="1" x14ac:dyDescent="0.3">
      <c r="A144" s="13">
        <v>21</v>
      </c>
      <c r="B144" s="4">
        <v>7</v>
      </c>
      <c r="C144" t="s">
        <v>535</v>
      </c>
      <c r="D144" t="s">
        <v>536</v>
      </c>
      <c r="E144">
        <v>10</v>
      </c>
      <c r="F144">
        <v>8</v>
      </c>
      <c r="G144" s="8">
        <f>Lektionen[[#This Row],[Bearbeitungsdauer_real]]/Lektionen[[#This Row],[Bearbeitungsdauer_geschätzt]]-1</f>
        <v>-0.19999999999999996</v>
      </c>
      <c r="H144" s="8" t="str" cm="1">
        <f t="array" ref="H144">_xlfn.IFS(Lektionen[[#This Row],[Bearbeitungsdauer_abgewichen]]&gt;0.6,"viel länger",Lektionen[[#This Row],[Bearbeitungsdauer_abgewichen]]&gt;0.3,"länger",Lektionen[[#This Row],[Bearbeitungsdauer_abgewichen]]&lt;-0.3,"kürzer",TRUE,"keine Abweichung")</f>
        <v>keine Abweichung</v>
      </c>
      <c r="I144">
        <v>3</v>
      </c>
    </row>
    <row r="145" spans="1:9" hidden="1" x14ac:dyDescent="0.3">
      <c r="A145" s="13">
        <v>21</v>
      </c>
      <c r="B145" s="4">
        <v>8</v>
      </c>
      <c r="C145" t="s">
        <v>537</v>
      </c>
      <c r="D145" t="s">
        <v>527</v>
      </c>
      <c r="E145">
        <v>5</v>
      </c>
      <c r="F145">
        <v>5</v>
      </c>
      <c r="G145" s="8">
        <f>Lektionen[[#This Row],[Bearbeitungsdauer_real]]/Lektionen[[#This Row],[Bearbeitungsdauer_geschätzt]]-1</f>
        <v>0</v>
      </c>
      <c r="H145" s="8" t="str" cm="1">
        <f t="array" ref="H145">_xlfn.IFS(Lektionen[[#This Row],[Bearbeitungsdauer_abgewichen]]&gt;0.6,"viel länger",Lektionen[[#This Row],[Bearbeitungsdauer_abgewichen]]&gt;0.3,"länger",Lektionen[[#This Row],[Bearbeitungsdauer_abgewichen]]&lt;-0.3,"kürzer",TRUE,"keine Abweichung")</f>
        <v>keine Abweichung</v>
      </c>
      <c r="I145">
        <v>1</v>
      </c>
    </row>
    <row r="146" spans="1:9" hidden="1" x14ac:dyDescent="0.3">
      <c r="A146" s="13">
        <v>22</v>
      </c>
      <c r="B146" s="4">
        <v>1</v>
      </c>
      <c r="C146" t="s">
        <v>526</v>
      </c>
      <c r="D146" t="s">
        <v>527</v>
      </c>
      <c r="E146">
        <v>4</v>
      </c>
      <c r="F146">
        <v>4</v>
      </c>
      <c r="G146" s="8">
        <f>Lektionen[[#This Row],[Bearbeitungsdauer_real]]/Lektionen[[#This Row],[Bearbeitungsdauer_geschätzt]]-1</f>
        <v>0</v>
      </c>
      <c r="H146" s="8" t="str" cm="1">
        <f t="array" ref="H146">_xlfn.IFS(Lektionen[[#This Row],[Bearbeitungsdauer_abgewichen]]&gt;0.6,"viel länger",Lektionen[[#This Row],[Bearbeitungsdauer_abgewichen]]&gt;0.3,"länger",Lektionen[[#This Row],[Bearbeitungsdauer_abgewichen]]&lt;-0.3,"kürzer",TRUE,"keine Abweichung")</f>
        <v>keine Abweichung</v>
      </c>
      <c r="I146">
        <v>1</v>
      </c>
    </row>
    <row r="147" spans="1:9" hidden="1" x14ac:dyDescent="0.3">
      <c r="A147" s="13">
        <v>22</v>
      </c>
      <c r="B147" s="4">
        <v>2</v>
      </c>
      <c r="C147" t="s">
        <v>528</v>
      </c>
      <c r="D147" t="s">
        <v>529</v>
      </c>
      <c r="E147">
        <v>15</v>
      </c>
      <c r="F147">
        <v>19</v>
      </c>
      <c r="G147" s="8">
        <f>Lektionen[[#This Row],[Bearbeitungsdauer_real]]/Lektionen[[#This Row],[Bearbeitungsdauer_geschätzt]]-1</f>
        <v>0.26666666666666661</v>
      </c>
      <c r="H147" s="8" t="str" cm="1">
        <f t="array" ref="H147">_xlfn.IFS(Lektionen[[#This Row],[Bearbeitungsdauer_abgewichen]]&gt;0.6,"viel länger",Lektionen[[#This Row],[Bearbeitungsdauer_abgewichen]]&gt;0.3,"länger",Lektionen[[#This Row],[Bearbeitungsdauer_abgewichen]]&lt;-0.3,"kürzer",TRUE,"keine Abweichung")</f>
        <v>keine Abweichung</v>
      </c>
      <c r="I147">
        <v>1</v>
      </c>
    </row>
    <row r="148" spans="1:9" hidden="1" x14ac:dyDescent="0.3">
      <c r="A148" s="13">
        <v>22</v>
      </c>
      <c r="B148" s="4">
        <v>3</v>
      </c>
      <c r="C148" t="s">
        <v>552</v>
      </c>
      <c r="D148" t="s">
        <v>530</v>
      </c>
      <c r="E148">
        <v>30</v>
      </c>
      <c r="F148">
        <v>29</v>
      </c>
      <c r="G148" s="8">
        <f>Lektionen[[#This Row],[Bearbeitungsdauer_real]]/Lektionen[[#This Row],[Bearbeitungsdauer_geschätzt]]-1</f>
        <v>-3.3333333333333326E-2</v>
      </c>
      <c r="H148" s="8" t="str" cm="1">
        <f t="array" ref="H148">_xlfn.IFS(Lektionen[[#This Row],[Bearbeitungsdauer_abgewichen]]&gt;0.6,"viel länger",Lektionen[[#This Row],[Bearbeitungsdauer_abgewichen]]&gt;0.3,"länger",Lektionen[[#This Row],[Bearbeitungsdauer_abgewichen]]&lt;-0.3,"kürzer",TRUE,"keine Abweichung")</f>
        <v>keine Abweichung</v>
      </c>
      <c r="I148">
        <v>2</v>
      </c>
    </row>
    <row r="149" spans="1:9" hidden="1" x14ac:dyDescent="0.3">
      <c r="A149" s="13">
        <v>22</v>
      </c>
      <c r="B149" s="4">
        <v>4</v>
      </c>
      <c r="C149" t="s">
        <v>531</v>
      </c>
      <c r="D149" t="s">
        <v>530</v>
      </c>
      <c r="E149">
        <v>30</v>
      </c>
      <c r="F149">
        <v>23</v>
      </c>
      <c r="G149" s="8">
        <f>Lektionen[[#This Row],[Bearbeitungsdauer_real]]/Lektionen[[#This Row],[Bearbeitungsdauer_geschätzt]]-1</f>
        <v>-0.23333333333333328</v>
      </c>
      <c r="H149" s="8" t="str" cm="1">
        <f t="array" ref="H149">_xlfn.IFS(Lektionen[[#This Row],[Bearbeitungsdauer_abgewichen]]&gt;0.6,"viel länger",Lektionen[[#This Row],[Bearbeitungsdauer_abgewichen]]&gt;0.3,"länger",Lektionen[[#This Row],[Bearbeitungsdauer_abgewichen]]&lt;-0.3,"kürzer",TRUE,"keine Abweichung")</f>
        <v>keine Abweichung</v>
      </c>
      <c r="I149">
        <v>2</v>
      </c>
    </row>
    <row r="150" spans="1:9" x14ac:dyDescent="0.3">
      <c r="A150" s="13">
        <v>22</v>
      </c>
      <c r="B150" s="4">
        <v>5</v>
      </c>
      <c r="C150" t="s">
        <v>532</v>
      </c>
      <c r="D150" t="s">
        <v>530</v>
      </c>
      <c r="E150">
        <v>30</v>
      </c>
      <c r="F150">
        <v>48</v>
      </c>
      <c r="G150" s="8">
        <f>Lektionen[[#This Row],[Bearbeitungsdauer_real]]/Lektionen[[#This Row],[Bearbeitungsdauer_geschätzt]]-1</f>
        <v>0.60000000000000009</v>
      </c>
      <c r="H150" s="8" t="str" cm="1">
        <f t="array" ref="H150">_xlfn.IFS(Lektionen[[#This Row],[Bearbeitungsdauer_abgewichen]]&gt;0.6,"viel länger",Lektionen[[#This Row],[Bearbeitungsdauer_abgewichen]]&gt;0.3,"länger",Lektionen[[#This Row],[Bearbeitungsdauer_abgewichen]]&lt;-0.3,"kürzer",TRUE,"keine Abweichung")</f>
        <v>länger</v>
      </c>
      <c r="I150">
        <v>3</v>
      </c>
    </row>
    <row r="151" spans="1:9" hidden="1" x14ac:dyDescent="0.3">
      <c r="A151" s="13">
        <v>22</v>
      </c>
      <c r="B151" s="4">
        <v>6</v>
      </c>
      <c r="C151" t="s">
        <v>533</v>
      </c>
      <c r="D151" t="s">
        <v>534</v>
      </c>
      <c r="E151">
        <v>5</v>
      </c>
      <c r="F151">
        <v>1</v>
      </c>
      <c r="G151" s="8">
        <f>Lektionen[[#This Row],[Bearbeitungsdauer_real]]/Lektionen[[#This Row],[Bearbeitungsdauer_geschätzt]]-1</f>
        <v>-0.8</v>
      </c>
      <c r="H151" s="8" t="str" cm="1">
        <f t="array" ref="H151">_xlfn.IFS(Lektionen[[#This Row],[Bearbeitungsdauer_abgewichen]]&gt;0.6,"viel länger",Lektionen[[#This Row],[Bearbeitungsdauer_abgewichen]]&gt;0.3,"länger",Lektionen[[#This Row],[Bearbeitungsdauer_abgewichen]]&lt;-0.3,"kürzer",TRUE,"keine Abweichung")</f>
        <v>kürzer</v>
      </c>
      <c r="I151">
        <v>2</v>
      </c>
    </row>
    <row r="152" spans="1:9" hidden="1" x14ac:dyDescent="0.3">
      <c r="A152" s="13">
        <v>22</v>
      </c>
      <c r="B152" s="4">
        <v>7</v>
      </c>
      <c r="C152" t="s">
        <v>535</v>
      </c>
      <c r="D152" t="s">
        <v>536</v>
      </c>
      <c r="E152">
        <v>10</v>
      </c>
      <c r="F152">
        <v>8</v>
      </c>
      <c r="G152" s="8">
        <f>Lektionen[[#This Row],[Bearbeitungsdauer_real]]/Lektionen[[#This Row],[Bearbeitungsdauer_geschätzt]]-1</f>
        <v>-0.19999999999999996</v>
      </c>
      <c r="H152" s="8" t="str" cm="1">
        <f t="array" ref="H152">_xlfn.IFS(Lektionen[[#This Row],[Bearbeitungsdauer_abgewichen]]&gt;0.6,"viel länger",Lektionen[[#This Row],[Bearbeitungsdauer_abgewichen]]&gt;0.3,"länger",Lektionen[[#This Row],[Bearbeitungsdauer_abgewichen]]&lt;-0.3,"kürzer",TRUE,"keine Abweichung")</f>
        <v>keine Abweichung</v>
      </c>
      <c r="I152">
        <v>3</v>
      </c>
    </row>
    <row r="153" spans="1:9" hidden="1" x14ac:dyDescent="0.3">
      <c r="A153" s="13">
        <v>22</v>
      </c>
      <c r="B153" s="4">
        <v>8</v>
      </c>
      <c r="C153" t="s">
        <v>537</v>
      </c>
      <c r="D153" t="s">
        <v>527</v>
      </c>
      <c r="E153">
        <v>5</v>
      </c>
      <c r="F153">
        <v>5</v>
      </c>
      <c r="G153" s="8">
        <f>Lektionen[[#This Row],[Bearbeitungsdauer_real]]/Lektionen[[#This Row],[Bearbeitungsdauer_geschätzt]]-1</f>
        <v>0</v>
      </c>
      <c r="H153" s="8" t="str" cm="1">
        <f t="array" ref="H153">_xlfn.IFS(Lektionen[[#This Row],[Bearbeitungsdauer_abgewichen]]&gt;0.6,"viel länger",Lektionen[[#This Row],[Bearbeitungsdauer_abgewichen]]&gt;0.3,"länger",Lektionen[[#This Row],[Bearbeitungsdauer_abgewichen]]&lt;-0.3,"kürzer",TRUE,"keine Abweichung")</f>
        <v>keine Abweichung</v>
      </c>
      <c r="I153">
        <v>1</v>
      </c>
    </row>
    <row r="154" spans="1:9" hidden="1" x14ac:dyDescent="0.3">
      <c r="A154" s="13">
        <v>23</v>
      </c>
      <c r="B154" s="4">
        <v>1</v>
      </c>
      <c r="C154" t="s">
        <v>526</v>
      </c>
      <c r="D154" t="s">
        <v>527</v>
      </c>
      <c r="E154">
        <v>4</v>
      </c>
      <c r="F154">
        <v>4</v>
      </c>
      <c r="G154" s="8">
        <f>Lektionen[[#This Row],[Bearbeitungsdauer_real]]/Lektionen[[#This Row],[Bearbeitungsdauer_geschätzt]]-1</f>
        <v>0</v>
      </c>
      <c r="H154" s="8" t="str" cm="1">
        <f t="array" ref="H154">_xlfn.IFS(Lektionen[[#This Row],[Bearbeitungsdauer_abgewichen]]&gt;0.6,"viel länger",Lektionen[[#This Row],[Bearbeitungsdauer_abgewichen]]&gt;0.3,"länger",Lektionen[[#This Row],[Bearbeitungsdauer_abgewichen]]&lt;-0.3,"kürzer",TRUE,"keine Abweichung")</f>
        <v>keine Abweichung</v>
      </c>
      <c r="I154">
        <v>1</v>
      </c>
    </row>
    <row r="155" spans="1:9" hidden="1" x14ac:dyDescent="0.3">
      <c r="A155" s="13">
        <v>23</v>
      </c>
      <c r="B155" s="4">
        <v>2</v>
      </c>
      <c r="C155" t="s">
        <v>528</v>
      </c>
      <c r="D155" t="s">
        <v>529</v>
      </c>
      <c r="E155">
        <v>15</v>
      </c>
      <c r="F155">
        <v>21</v>
      </c>
      <c r="G155" s="8">
        <f>Lektionen[[#This Row],[Bearbeitungsdauer_real]]/Lektionen[[#This Row],[Bearbeitungsdauer_geschätzt]]-1</f>
        <v>0.39999999999999991</v>
      </c>
      <c r="H155" s="8" t="str" cm="1">
        <f t="array" ref="H155">_xlfn.IFS(Lektionen[[#This Row],[Bearbeitungsdauer_abgewichen]]&gt;0.6,"viel länger",Lektionen[[#This Row],[Bearbeitungsdauer_abgewichen]]&gt;0.3,"länger",Lektionen[[#This Row],[Bearbeitungsdauer_abgewichen]]&lt;-0.3,"kürzer",TRUE,"keine Abweichung")</f>
        <v>länger</v>
      </c>
      <c r="I155">
        <v>2</v>
      </c>
    </row>
    <row r="156" spans="1:9" hidden="1" x14ac:dyDescent="0.3">
      <c r="A156" s="13">
        <v>23</v>
      </c>
      <c r="B156" s="4">
        <v>3</v>
      </c>
      <c r="C156" t="s">
        <v>552</v>
      </c>
      <c r="D156" t="s">
        <v>530</v>
      </c>
      <c r="E156">
        <v>30</v>
      </c>
      <c r="F156">
        <v>29</v>
      </c>
      <c r="G156" s="8">
        <f>Lektionen[[#This Row],[Bearbeitungsdauer_real]]/Lektionen[[#This Row],[Bearbeitungsdauer_geschätzt]]-1</f>
        <v>-3.3333333333333326E-2</v>
      </c>
      <c r="H156" s="8" t="str" cm="1">
        <f t="array" ref="H156">_xlfn.IFS(Lektionen[[#This Row],[Bearbeitungsdauer_abgewichen]]&gt;0.6,"viel länger",Lektionen[[#This Row],[Bearbeitungsdauer_abgewichen]]&gt;0.3,"länger",Lektionen[[#This Row],[Bearbeitungsdauer_abgewichen]]&lt;-0.3,"kürzer",TRUE,"keine Abweichung")</f>
        <v>keine Abweichung</v>
      </c>
      <c r="I156">
        <v>3</v>
      </c>
    </row>
    <row r="157" spans="1:9" hidden="1" x14ac:dyDescent="0.3">
      <c r="A157" s="13">
        <v>23</v>
      </c>
      <c r="B157" s="4">
        <v>4</v>
      </c>
      <c r="C157" t="s">
        <v>531</v>
      </c>
      <c r="D157" t="s">
        <v>530</v>
      </c>
      <c r="E157">
        <v>30</v>
      </c>
      <c r="F157">
        <v>20</v>
      </c>
      <c r="G157" s="8">
        <f>Lektionen[[#This Row],[Bearbeitungsdauer_real]]/Lektionen[[#This Row],[Bearbeitungsdauer_geschätzt]]-1</f>
        <v>-0.33333333333333337</v>
      </c>
      <c r="H157" s="8" t="str" cm="1">
        <f t="array" ref="H157">_xlfn.IFS(Lektionen[[#This Row],[Bearbeitungsdauer_abgewichen]]&gt;0.6,"viel länger",Lektionen[[#This Row],[Bearbeitungsdauer_abgewichen]]&gt;0.3,"länger",Lektionen[[#This Row],[Bearbeitungsdauer_abgewichen]]&lt;-0.3,"kürzer",TRUE,"keine Abweichung")</f>
        <v>kürzer</v>
      </c>
      <c r="I157">
        <v>4</v>
      </c>
    </row>
    <row r="158" spans="1:9" x14ac:dyDescent="0.3">
      <c r="A158" s="13">
        <v>23</v>
      </c>
      <c r="B158" s="4">
        <v>5</v>
      </c>
      <c r="C158" t="s">
        <v>532</v>
      </c>
      <c r="D158" t="s">
        <v>530</v>
      </c>
      <c r="E158">
        <v>30</v>
      </c>
      <c r="F158">
        <v>48</v>
      </c>
      <c r="G158" s="8">
        <f>Lektionen[[#This Row],[Bearbeitungsdauer_real]]/Lektionen[[#This Row],[Bearbeitungsdauer_geschätzt]]-1</f>
        <v>0.60000000000000009</v>
      </c>
      <c r="H158" s="8" t="str" cm="1">
        <f t="array" ref="H158">_xlfn.IFS(Lektionen[[#This Row],[Bearbeitungsdauer_abgewichen]]&gt;0.6,"viel länger",Lektionen[[#This Row],[Bearbeitungsdauer_abgewichen]]&gt;0.3,"länger",Lektionen[[#This Row],[Bearbeitungsdauer_abgewichen]]&lt;-0.3,"kürzer",TRUE,"keine Abweichung")</f>
        <v>länger</v>
      </c>
      <c r="I158">
        <v>4</v>
      </c>
    </row>
    <row r="159" spans="1:9" hidden="1" x14ac:dyDescent="0.3">
      <c r="A159" s="13">
        <v>23</v>
      </c>
      <c r="B159" s="4">
        <v>6</v>
      </c>
      <c r="C159" t="s">
        <v>533</v>
      </c>
      <c r="D159" t="s">
        <v>534</v>
      </c>
      <c r="E159">
        <v>5</v>
      </c>
      <c r="F159">
        <v>1</v>
      </c>
      <c r="G159" s="8">
        <f>Lektionen[[#This Row],[Bearbeitungsdauer_real]]/Lektionen[[#This Row],[Bearbeitungsdauer_geschätzt]]-1</f>
        <v>-0.8</v>
      </c>
      <c r="H159" s="8" t="str" cm="1">
        <f t="array" ref="H159">_xlfn.IFS(Lektionen[[#This Row],[Bearbeitungsdauer_abgewichen]]&gt;0.6,"viel länger",Lektionen[[#This Row],[Bearbeitungsdauer_abgewichen]]&gt;0.3,"länger",Lektionen[[#This Row],[Bearbeitungsdauer_abgewichen]]&lt;-0.3,"kürzer",TRUE,"keine Abweichung")</f>
        <v>kürzer</v>
      </c>
      <c r="I159">
        <v>2</v>
      </c>
    </row>
    <row r="160" spans="1:9" hidden="1" x14ac:dyDescent="0.3">
      <c r="A160" s="13">
        <v>23</v>
      </c>
      <c r="B160" s="4">
        <v>7</v>
      </c>
      <c r="C160" t="s">
        <v>535</v>
      </c>
      <c r="D160" t="s">
        <v>536</v>
      </c>
      <c r="E160">
        <v>10</v>
      </c>
      <c r="F160">
        <v>10</v>
      </c>
      <c r="G160" s="8">
        <f>Lektionen[[#This Row],[Bearbeitungsdauer_real]]/Lektionen[[#This Row],[Bearbeitungsdauer_geschätzt]]-1</f>
        <v>0</v>
      </c>
      <c r="H160" s="8" t="str" cm="1">
        <f t="array" ref="H160">_xlfn.IFS(Lektionen[[#This Row],[Bearbeitungsdauer_abgewichen]]&gt;0.6,"viel länger",Lektionen[[#This Row],[Bearbeitungsdauer_abgewichen]]&gt;0.3,"länger",Lektionen[[#This Row],[Bearbeitungsdauer_abgewichen]]&lt;-0.3,"kürzer",TRUE,"keine Abweichung")</f>
        <v>keine Abweichung</v>
      </c>
      <c r="I160">
        <v>3</v>
      </c>
    </row>
    <row r="161" spans="1:9" hidden="1" x14ac:dyDescent="0.3">
      <c r="A161" s="13">
        <v>23</v>
      </c>
      <c r="B161" s="4">
        <v>8</v>
      </c>
      <c r="C161" t="s">
        <v>537</v>
      </c>
      <c r="D161" t="s">
        <v>527</v>
      </c>
      <c r="E161">
        <v>5</v>
      </c>
      <c r="F161">
        <v>5</v>
      </c>
      <c r="G161" s="8">
        <f>Lektionen[[#This Row],[Bearbeitungsdauer_real]]/Lektionen[[#This Row],[Bearbeitungsdauer_geschätzt]]-1</f>
        <v>0</v>
      </c>
      <c r="H161" s="8" t="str" cm="1">
        <f t="array" ref="H161">_xlfn.IFS(Lektionen[[#This Row],[Bearbeitungsdauer_abgewichen]]&gt;0.6,"viel länger",Lektionen[[#This Row],[Bearbeitungsdauer_abgewichen]]&gt;0.3,"länger",Lektionen[[#This Row],[Bearbeitungsdauer_abgewichen]]&lt;-0.3,"kürzer",TRUE,"keine Abweichung")</f>
        <v>keine Abweichung</v>
      </c>
      <c r="I161">
        <v>1</v>
      </c>
    </row>
    <row r="162" spans="1:9" hidden="1" x14ac:dyDescent="0.3">
      <c r="A162" s="13">
        <v>24</v>
      </c>
      <c r="B162" s="4">
        <v>1</v>
      </c>
      <c r="C162" t="s">
        <v>526</v>
      </c>
      <c r="D162" t="s">
        <v>527</v>
      </c>
      <c r="E162">
        <v>4</v>
      </c>
      <c r="F162">
        <v>4</v>
      </c>
      <c r="G162" s="8">
        <f>Lektionen[[#This Row],[Bearbeitungsdauer_real]]/Lektionen[[#This Row],[Bearbeitungsdauer_geschätzt]]-1</f>
        <v>0</v>
      </c>
      <c r="H162" s="8" t="str" cm="1">
        <f t="array" ref="H162">_xlfn.IFS(Lektionen[[#This Row],[Bearbeitungsdauer_abgewichen]]&gt;0.6,"viel länger",Lektionen[[#This Row],[Bearbeitungsdauer_abgewichen]]&gt;0.3,"länger",Lektionen[[#This Row],[Bearbeitungsdauer_abgewichen]]&lt;-0.3,"kürzer",TRUE,"keine Abweichung")</f>
        <v>keine Abweichung</v>
      </c>
      <c r="I162">
        <v>1</v>
      </c>
    </row>
    <row r="163" spans="1:9" hidden="1" x14ac:dyDescent="0.3">
      <c r="A163" s="13">
        <v>24</v>
      </c>
      <c r="B163" s="4">
        <v>2</v>
      </c>
      <c r="C163" t="s">
        <v>528</v>
      </c>
      <c r="D163" t="s">
        <v>529</v>
      </c>
      <c r="E163">
        <v>15</v>
      </c>
      <c r="F163">
        <v>18</v>
      </c>
      <c r="G163" s="8">
        <f>Lektionen[[#This Row],[Bearbeitungsdauer_real]]/Lektionen[[#This Row],[Bearbeitungsdauer_geschätzt]]-1</f>
        <v>0.19999999999999996</v>
      </c>
      <c r="H163" s="8" t="str" cm="1">
        <f t="array" ref="H163">_xlfn.IFS(Lektionen[[#This Row],[Bearbeitungsdauer_abgewichen]]&gt;0.6,"viel länger",Lektionen[[#This Row],[Bearbeitungsdauer_abgewichen]]&gt;0.3,"länger",Lektionen[[#This Row],[Bearbeitungsdauer_abgewichen]]&lt;-0.3,"kürzer",TRUE,"keine Abweichung")</f>
        <v>keine Abweichung</v>
      </c>
      <c r="I163">
        <v>2</v>
      </c>
    </row>
    <row r="164" spans="1:9" hidden="1" x14ac:dyDescent="0.3">
      <c r="A164" s="13">
        <v>24</v>
      </c>
      <c r="B164" s="4">
        <v>3</v>
      </c>
      <c r="C164" t="s">
        <v>552</v>
      </c>
      <c r="D164" t="s">
        <v>530</v>
      </c>
      <c r="E164">
        <v>30</v>
      </c>
      <c r="F164">
        <v>28</v>
      </c>
      <c r="G164" s="8">
        <f>Lektionen[[#This Row],[Bearbeitungsdauer_real]]/Lektionen[[#This Row],[Bearbeitungsdauer_geschätzt]]-1</f>
        <v>-6.6666666666666652E-2</v>
      </c>
      <c r="H164" s="8" t="str" cm="1">
        <f t="array" ref="H164">_xlfn.IFS(Lektionen[[#This Row],[Bearbeitungsdauer_abgewichen]]&gt;0.6,"viel länger",Lektionen[[#This Row],[Bearbeitungsdauer_abgewichen]]&gt;0.3,"länger",Lektionen[[#This Row],[Bearbeitungsdauer_abgewichen]]&lt;-0.3,"kürzer",TRUE,"keine Abweichung")</f>
        <v>keine Abweichung</v>
      </c>
      <c r="I164">
        <v>3</v>
      </c>
    </row>
    <row r="165" spans="1:9" hidden="1" x14ac:dyDescent="0.3">
      <c r="A165" s="13">
        <v>24</v>
      </c>
      <c r="B165" s="4">
        <v>4</v>
      </c>
      <c r="C165" t="s">
        <v>531</v>
      </c>
      <c r="D165" t="s">
        <v>530</v>
      </c>
      <c r="E165">
        <v>30</v>
      </c>
      <c r="F165">
        <v>18</v>
      </c>
      <c r="G165" s="8">
        <f>Lektionen[[#This Row],[Bearbeitungsdauer_real]]/Lektionen[[#This Row],[Bearbeitungsdauer_geschätzt]]-1</f>
        <v>-0.4</v>
      </c>
      <c r="H165" s="8" t="str" cm="1">
        <f t="array" ref="H165">_xlfn.IFS(Lektionen[[#This Row],[Bearbeitungsdauer_abgewichen]]&gt;0.6,"viel länger",Lektionen[[#This Row],[Bearbeitungsdauer_abgewichen]]&gt;0.3,"länger",Lektionen[[#This Row],[Bearbeitungsdauer_abgewichen]]&lt;-0.3,"kürzer",TRUE,"keine Abweichung")</f>
        <v>kürzer</v>
      </c>
      <c r="I165">
        <v>3</v>
      </c>
    </row>
    <row r="166" spans="1:9" x14ac:dyDescent="0.3">
      <c r="A166" s="13">
        <v>24</v>
      </c>
      <c r="B166" s="4">
        <v>5</v>
      </c>
      <c r="C166" t="s">
        <v>532</v>
      </c>
      <c r="D166" t="s">
        <v>530</v>
      </c>
      <c r="E166">
        <v>30</v>
      </c>
      <c r="F166">
        <v>46</v>
      </c>
      <c r="G166" s="8">
        <f>Lektionen[[#This Row],[Bearbeitungsdauer_real]]/Lektionen[[#This Row],[Bearbeitungsdauer_geschätzt]]-1</f>
        <v>0.53333333333333344</v>
      </c>
      <c r="H166" s="8" t="str" cm="1">
        <f t="array" ref="H166">_xlfn.IFS(Lektionen[[#This Row],[Bearbeitungsdauer_abgewichen]]&gt;0.6,"viel länger",Lektionen[[#This Row],[Bearbeitungsdauer_abgewichen]]&gt;0.3,"länger",Lektionen[[#This Row],[Bearbeitungsdauer_abgewichen]]&lt;-0.3,"kürzer",TRUE,"keine Abweichung")</f>
        <v>länger</v>
      </c>
      <c r="I166">
        <v>3</v>
      </c>
    </row>
    <row r="167" spans="1:9" hidden="1" x14ac:dyDescent="0.3">
      <c r="A167" s="13">
        <v>24</v>
      </c>
      <c r="B167" s="4">
        <v>6</v>
      </c>
      <c r="C167" t="s">
        <v>533</v>
      </c>
      <c r="D167" t="s">
        <v>534</v>
      </c>
      <c r="E167">
        <v>5</v>
      </c>
      <c r="F167">
        <v>4</v>
      </c>
      <c r="G167" s="8">
        <f>Lektionen[[#This Row],[Bearbeitungsdauer_real]]/Lektionen[[#This Row],[Bearbeitungsdauer_geschätzt]]-1</f>
        <v>-0.19999999999999996</v>
      </c>
      <c r="H167" s="8" t="str" cm="1">
        <f t="array" ref="H167">_xlfn.IFS(Lektionen[[#This Row],[Bearbeitungsdauer_abgewichen]]&gt;0.6,"viel länger",Lektionen[[#This Row],[Bearbeitungsdauer_abgewichen]]&gt;0.3,"länger",Lektionen[[#This Row],[Bearbeitungsdauer_abgewichen]]&lt;-0.3,"kürzer",TRUE,"keine Abweichung")</f>
        <v>keine Abweichung</v>
      </c>
      <c r="I167">
        <v>2</v>
      </c>
    </row>
    <row r="168" spans="1:9" hidden="1" x14ac:dyDescent="0.3">
      <c r="A168" s="13">
        <v>24</v>
      </c>
      <c r="B168" s="4">
        <v>7</v>
      </c>
      <c r="C168" t="s">
        <v>535</v>
      </c>
      <c r="D168" t="s">
        <v>536</v>
      </c>
      <c r="E168">
        <v>10</v>
      </c>
      <c r="F168">
        <v>9</v>
      </c>
      <c r="G168" s="8">
        <f>Lektionen[[#This Row],[Bearbeitungsdauer_real]]/Lektionen[[#This Row],[Bearbeitungsdauer_geschätzt]]-1</f>
        <v>-9.9999999999999978E-2</v>
      </c>
      <c r="H168" s="8" t="str" cm="1">
        <f t="array" ref="H168">_xlfn.IFS(Lektionen[[#This Row],[Bearbeitungsdauer_abgewichen]]&gt;0.6,"viel länger",Lektionen[[#This Row],[Bearbeitungsdauer_abgewichen]]&gt;0.3,"länger",Lektionen[[#This Row],[Bearbeitungsdauer_abgewichen]]&lt;-0.3,"kürzer",TRUE,"keine Abweichung")</f>
        <v>keine Abweichung</v>
      </c>
      <c r="I168">
        <v>4</v>
      </c>
    </row>
    <row r="169" spans="1:9" hidden="1" x14ac:dyDescent="0.3">
      <c r="A169" s="13">
        <v>24</v>
      </c>
      <c r="B169" s="4">
        <v>8</v>
      </c>
      <c r="C169" t="s">
        <v>537</v>
      </c>
      <c r="D169" t="s">
        <v>527</v>
      </c>
      <c r="E169">
        <v>5</v>
      </c>
      <c r="F169">
        <v>5</v>
      </c>
      <c r="G169" s="8">
        <f>Lektionen[[#This Row],[Bearbeitungsdauer_real]]/Lektionen[[#This Row],[Bearbeitungsdauer_geschätzt]]-1</f>
        <v>0</v>
      </c>
      <c r="H169" s="8" t="str" cm="1">
        <f t="array" ref="H169">_xlfn.IFS(Lektionen[[#This Row],[Bearbeitungsdauer_abgewichen]]&gt;0.6,"viel länger",Lektionen[[#This Row],[Bearbeitungsdauer_abgewichen]]&gt;0.3,"länger",Lektionen[[#This Row],[Bearbeitungsdauer_abgewichen]]&lt;-0.3,"kürzer",TRUE,"keine Abweichung")</f>
        <v>keine Abweichung</v>
      </c>
      <c r="I169">
        <v>1</v>
      </c>
    </row>
    <row r="170" spans="1:9" hidden="1" x14ac:dyDescent="0.3">
      <c r="A170" s="13">
        <v>25</v>
      </c>
      <c r="B170" s="4">
        <v>1</v>
      </c>
      <c r="C170" t="s">
        <v>526</v>
      </c>
      <c r="D170" t="s">
        <v>527</v>
      </c>
      <c r="E170">
        <v>4</v>
      </c>
      <c r="F170">
        <v>4</v>
      </c>
      <c r="G170" s="8">
        <f>Lektionen[[#This Row],[Bearbeitungsdauer_real]]/Lektionen[[#This Row],[Bearbeitungsdauer_geschätzt]]-1</f>
        <v>0</v>
      </c>
      <c r="H170" s="8" t="str" cm="1">
        <f t="array" ref="H170">_xlfn.IFS(Lektionen[[#This Row],[Bearbeitungsdauer_abgewichen]]&gt;0.6,"viel länger",Lektionen[[#This Row],[Bearbeitungsdauer_abgewichen]]&gt;0.3,"länger",Lektionen[[#This Row],[Bearbeitungsdauer_abgewichen]]&lt;-0.3,"kürzer",TRUE,"keine Abweichung")</f>
        <v>keine Abweichung</v>
      </c>
      <c r="I170">
        <v>1</v>
      </c>
    </row>
    <row r="171" spans="1:9" hidden="1" x14ac:dyDescent="0.3">
      <c r="A171" s="13">
        <v>25</v>
      </c>
      <c r="B171" s="4">
        <v>2</v>
      </c>
      <c r="C171" t="s">
        <v>528</v>
      </c>
      <c r="D171" t="s">
        <v>529</v>
      </c>
      <c r="E171">
        <v>15</v>
      </c>
      <c r="F171">
        <v>18</v>
      </c>
      <c r="G171" s="8">
        <f>Lektionen[[#This Row],[Bearbeitungsdauer_real]]/Lektionen[[#This Row],[Bearbeitungsdauer_geschätzt]]-1</f>
        <v>0.19999999999999996</v>
      </c>
      <c r="H171" s="8" t="str" cm="1">
        <f t="array" ref="H171">_xlfn.IFS(Lektionen[[#This Row],[Bearbeitungsdauer_abgewichen]]&gt;0.6,"viel länger",Lektionen[[#This Row],[Bearbeitungsdauer_abgewichen]]&gt;0.3,"länger",Lektionen[[#This Row],[Bearbeitungsdauer_abgewichen]]&lt;-0.3,"kürzer",TRUE,"keine Abweichung")</f>
        <v>keine Abweichung</v>
      </c>
      <c r="I171">
        <v>1</v>
      </c>
    </row>
    <row r="172" spans="1:9" hidden="1" x14ac:dyDescent="0.3">
      <c r="A172" s="13">
        <v>25</v>
      </c>
      <c r="B172" s="4">
        <v>3</v>
      </c>
      <c r="C172" t="s">
        <v>552</v>
      </c>
      <c r="D172" t="s">
        <v>530</v>
      </c>
      <c r="E172">
        <v>30</v>
      </c>
      <c r="F172">
        <v>26</v>
      </c>
      <c r="G172" s="8">
        <f>Lektionen[[#This Row],[Bearbeitungsdauer_real]]/Lektionen[[#This Row],[Bearbeitungsdauer_geschätzt]]-1</f>
        <v>-0.1333333333333333</v>
      </c>
      <c r="H172" s="8" t="str" cm="1">
        <f t="array" ref="H172">_xlfn.IFS(Lektionen[[#This Row],[Bearbeitungsdauer_abgewichen]]&gt;0.6,"viel länger",Lektionen[[#This Row],[Bearbeitungsdauer_abgewichen]]&gt;0.3,"länger",Lektionen[[#This Row],[Bearbeitungsdauer_abgewichen]]&lt;-0.3,"kürzer",TRUE,"keine Abweichung")</f>
        <v>keine Abweichung</v>
      </c>
      <c r="I172">
        <v>3</v>
      </c>
    </row>
    <row r="173" spans="1:9" hidden="1" x14ac:dyDescent="0.3">
      <c r="A173" s="13">
        <v>25</v>
      </c>
      <c r="B173" s="4">
        <v>4</v>
      </c>
      <c r="C173" t="s">
        <v>531</v>
      </c>
      <c r="D173" t="s">
        <v>530</v>
      </c>
      <c r="E173">
        <v>30</v>
      </c>
      <c r="F173">
        <v>25</v>
      </c>
      <c r="G173" s="8">
        <f>Lektionen[[#This Row],[Bearbeitungsdauer_real]]/Lektionen[[#This Row],[Bearbeitungsdauer_geschätzt]]-1</f>
        <v>-0.16666666666666663</v>
      </c>
      <c r="H173" s="8" t="str" cm="1">
        <f t="array" ref="H173">_xlfn.IFS(Lektionen[[#This Row],[Bearbeitungsdauer_abgewichen]]&gt;0.6,"viel länger",Lektionen[[#This Row],[Bearbeitungsdauer_abgewichen]]&gt;0.3,"länger",Lektionen[[#This Row],[Bearbeitungsdauer_abgewichen]]&lt;-0.3,"kürzer",TRUE,"keine Abweichung")</f>
        <v>keine Abweichung</v>
      </c>
      <c r="I173">
        <v>2</v>
      </c>
    </row>
    <row r="174" spans="1:9" x14ac:dyDescent="0.3">
      <c r="A174" s="13">
        <v>25</v>
      </c>
      <c r="B174" s="4">
        <v>5</v>
      </c>
      <c r="C174" t="s">
        <v>532</v>
      </c>
      <c r="D174" t="s">
        <v>530</v>
      </c>
      <c r="E174">
        <v>30</v>
      </c>
      <c r="F174">
        <v>35</v>
      </c>
      <c r="G174" s="8">
        <f>Lektionen[[#This Row],[Bearbeitungsdauer_real]]/Lektionen[[#This Row],[Bearbeitungsdauer_geschätzt]]-1</f>
        <v>0.16666666666666674</v>
      </c>
      <c r="H174" s="8" t="str" cm="1">
        <f t="array" ref="H174">_xlfn.IFS(Lektionen[[#This Row],[Bearbeitungsdauer_abgewichen]]&gt;0.6,"viel länger",Lektionen[[#This Row],[Bearbeitungsdauer_abgewichen]]&gt;0.3,"länger",Lektionen[[#This Row],[Bearbeitungsdauer_abgewichen]]&lt;-0.3,"kürzer",TRUE,"keine Abweichung")</f>
        <v>keine Abweichung</v>
      </c>
      <c r="I174">
        <v>5</v>
      </c>
    </row>
    <row r="175" spans="1:9" hidden="1" x14ac:dyDescent="0.3">
      <c r="A175" s="13">
        <v>25</v>
      </c>
      <c r="B175" s="4">
        <v>6</v>
      </c>
      <c r="C175" t="s">
        <v>533</v>
      </c>
      <c r="D175" t="s">
        <v>534</v>
      </c>
      <c r="E175">
        <v>5</v>
      </c>
      <c r="F175">
        <v>3</v>
      </c>
      <c r="G175" s="8">
        <f>Lektionen[[#This Row],[Bearbeitungsdauer_real]]/Lektionen[[#This Row],[Bearbeitungsdauer_geschätzt]]-1</f>
        <v>-0.4</v>
      </c>
      <c r="H175" s="8" t="str" cm="1">
        <f t="array" ref="H175">_xlfn.IFS(Lektionen[[#This Row],[Bearbeitungsdauer_abgewichen]]&gt;0.6,"viel länger",Lektionen[[#This Row],[Bearbeitungsdauer_abgewichen]]&gt;0.3,"länger",Lektionen[[#This Row],[Bearbeitungsdauer_abgewichen]]&lt;-0.3,"kürzer",TRUE,"keine Abweichung")</f>
        <v>kürzer</v>
      </c>
      <c r="I175">
        <v>1</v>
      </c>
    </row>
    <row r="176" spans="1:9" hidden="1" x14ac:dyDescent="0.3">
      <c r="A176" s="13">
        <v>25</v>
      </c>
      <c r="B176" s="4">
        <v>7</v>
      </c>
      <c r="C176" t="s">
        <v>535</v>
      </c>
      <c r="D176" t="s">
        <v>536</v>
      </c>
      <c r="E176">
        <v>10</v>
      </c>
      <c r="F176">
        <v>9</v>
      </c>
      <c r="G176" s="8">
        <f>Lektionen[[#This Row],[Bearbeitungsdauer_real]]/Lektionen[[#This Row],[Bearbeitungsdauer_geschätzt]]-1</f>
        <v>-9.9999999999999978E-2</v>
      </c>
      <c r="H176" s="8" t="str" cm="1">
        <f t="array" ref="H176">_xlfn.IFS(Lektionen[[#This Row],[Bearbeitungsdauer_abgewichen]]&gt;0.6,"viel länger",Lektionen[[#This Row],[Bearbeitungsdauer_abgewichen]]&gt;0.3,"länger",Lektionen[[#This Row],[Bearbeitungsdauer_abgewichen]]&lt;-0.3,"kürzer",TRUE,"keine Abweichung")</f>
        <v>keine Abweichung</v>
      </c>
      <c r="I176">
        <v>3</v>
      </c>
    </row>
    <row r="177" spans="1:9" hidden="1" x14ac:dyDescent="0.3">
      <c r="A177" s="13">
        <v>25</v>
      </c>
      <c r="B177" s="4">
        <v>8</v>
      </c>
      <c r="C177" t="s">
        <v>537</v>
      </c>
      <c r="D177" t="s">
        <v>527</v>
      </c>
      <c r="E177">
        <v>5</v>
      </c>
      <c r="F177">
        <v>5</v>
      </c>
      <c r="G177" s="8">
        <f>Lektionen[[#This Row],[Bearbeitungsdauer_real]]/Lektionen[[#This Row],[Bearbeitungsdauer_geschätzt]]-1</f>
        <v>0</v>
      </c>
      <c r="H177" s="8" t="str" cm="1">
        <f t="array" ref="H177">_xlfn.IFS(Lektionen[[#This Row],[Bearbeitungsdauer_abgewichen]]&gt;0.6,"viel länger",Lektionen[[#This Row],[Bearbeitungsdauer_abgewichen]]&gt;0.3,"länger",Lektionen[[#This Row],[Bearbeitungsdauer_abgewichen]]&lt;-0.3,"kürzer",TRUE,"keine Abweichung")</f>
        <v>keine Abweichung</v>
      </c>
      <c r="I177">
        <v>1</v>
      </c>
    </row>
    <row r="178" spans="1:9" hidden="1" x14ac:dyDescent="0.3">
      <c r="A178" s="13">
        <v>27</v>
      </c>
      <c r="B178" s="4">
        <v>1</v>
      </c>
      <c r="C178" t="s">
        <v>526</v>
      </c>
      <c r="D178" t="s">
        <v>527</v>
      </c>
      <c r="E178">
        <v>4</v>
      </c>
      <c r="F178">
        <v>4</v>
      </c>
      <c r="G178" s="8">
        <f>Lektionen[[#This Row],[Bearbeitungsdauer_real]]/Lektionen[[#This Row],[Bearbeitungsdauer_geschätzt]]-1</f>
        <v>0</v>
      </c>
      <c r="H178" s="8" t="str" cm="1">
        <f t="array" ref="H178">_xlfn.IFS(Lektionen[[#This Row],[Bearbeitungsdauer_abgewichen]]&gt;0.6,"viel länger",Lektionen[[#This Row],[Bearbeitungsdauer_abgewichen]]&gt;0.3,"länger",Lektionen[[#This Row],[Bearbeitungsdauer_abgewichen]]&lt;-0.3,"kürzer",TRUE,"keine Abweichung")</f>
        <v>keine Abweichung</v>
      </c>
      <c r="I178">
        <v>2</v>
      </c>
    </row>
    <row r="179" spans="1:9" hidden="1" x14ac:dyDescent="0.3">
      <c r="A179" s="13">
        <v>27</v>
      </c>
      <c r="B179" s="4">
        <v>2</v>
      </c>
      <c r="C179" t="s">
        <v>528</v>
      </c>
      <c r="D179" t="s">
        <v>529</v>
      </c>
      <c r="E179">
        <v>15</v>
      </c>
      <c r="F179">
        <v>20</v>
      </c>
      <c r="G179" s="8">
        <f>Lektionen[[#This Row],[Bearbeitungsdauer_real]]/Lektionen[[#This Row],[Bearbeitungsdauer_geschätzt]]-1</f>
        <v>0.33333333333333326</v>
      </c>
      <c r="H179" s="8" t="str" cm="1">
        <f t="array" ref="H179">_xlfn.IFS(Lektionen[[#This Row],[Bearbeitungsdauer_abgewichen]]&gt;0.6,"viel länger",Lektionen[[#This Row],[Bearbeitungsdauer_abgewichen]]&gt;0.3,"länger",Lektionen[[#This Row],[Bearbeitungsdauer_abgewichen]]&lt;-0.3,"kürzer",TRUE,"keine Abweichung")</f>
        <v>länger</v>
      </c>
      <c r="I179">
        <v>2</v>
      </c>
    </row>
    <row r="180" spans="1:9" hidden="1" x14ac:dyDescent="0.3">
      <c r="A180" s="13">
        <v>27</v>
      </c>
      <c r="B180" s="4">
        <v>3</v>
      </c>
      <c r="C180" t="s">
        <v>552</v>
      </c>
      <c r="D180" t="s">
        <v>530</v>
      </c>
      <c r="E180">
        <v>30</v>
      </c>
      <c r="F180">
        <v>29</v>
      </c>
      <c r="G180" s="8">
        <f>Lektionen[[#This Row],[Bearbeitungsdauer_real]]/Lektionen[[#This Row],[Bearbeitungsdauer_geschätzt]]-1</f>
        <v>-3.3333333333333326E-2</v>
      </c>
      <c r="H180" s="8" t="str" cm="1">
        <f t="array" ref="H180">_xlfn.IFS(Lektionen[[#This Row],[Bearbeitungsdauer_abgewichen]]&gt;0.6,"viel länger",Lektionen[[#This Row],[Bearbeitungsdauer_abgewichen]]&gt;0.3,"länger",Lektionen[[#This Row],[Bearbeitungsdauer_abgewichen]]&lt;-0.3,"kürzer",TRUE,"keine Abweichung")</f>
        <v>keine Abweichung</v>
      </c>
      <c r="I180">
        <v>2</v>
      </c>
    </row>
    <row r="181" spans="1:9" hidden="1" x14ac:dyDescent="0.3">
      <c r="A181" s="13">
        <v>27</v>
      </c>
      <c r="B181" s="4">
        <v>4</v>
      </c>
      <c r="C181" t="s">
        <v>531</v>
      </c>
      <c r="D181" t="s">
        <v>530</v>
      </c>
      <c r="E181">
        <v>30</v>
      </c>
      <c r="F181">
        <v>30</v>
      </c>
      <c r="G181" s="8">
        <f>Lektionen[[#This Row],[Bearbeitungsdauer_real]]/Lektionen[[#This Row],[Bearbeitungsdauer_geschätzt]]-1</f>
        <v>0</v>
      </c>
      <c r="H181" s="8" t="str" cm="1">
        <f t="array" ref="H181">_xlfn.IFS(Lektionen[[#This Row],[Bearbeitungsdauer_abgewichen]]&gt;0.6,"viel länger",Lektionen[[#This Row],[Bearbeitungsdauer_abgewichen]]&gt;0.3,"länger",Lektionen[[#This Row],[Bearbeitungsdauer_abgewichen]]&lt;-0.3,"kürzer",TRUE,"keine Abweichung")</f>
        <v>keine Abweichung</v>
      </c>
      <c r="I181">
        <v>5</v>
      </c>
    </row>
    <row r="182" spans="1:9" x14ac:dyDescent="0.3">
      <c r="A182" s="13">
        <v>27</v>
      </c>
      <c r="B182" s="4">
        <v>5</v>
      </c>
      <c r="C182" t="s">
        <v>532</v>
      </c>
      <c r="D182" t="s">
        <v>530</v>
      </c>
      <c r="E182">
        <v>30</v>
      </c>
      <c r="F182">
        <v>41</v>
      </c>
      <c r="G182" s="8">
        <f>Lektionen[[#This Row],[Bearbeitungsdauer_real]]/Lektionen[[#This Row],[Bearbeitungsdauer_geschätzt]]-1</f>
        <v>0.3666666666666667</v>
      </c>
      <c r="H182" s="8" t="str" cm="1">
        <f t="array" ref="H182">_xlfn.IFS(Lektionen[[#This Row],[Bearbeitungsdauer_abgewichen]]&gt;0.6,"viel länger",Lektionen[[#This Row],[Bearbeitungsdauer_abgewichen]]&gt;0.3,"länger",Lektionen[[#This Row],[Bearbeitungsdauer_abgewichen]]&lt;-0.3,"kürzer",TRUE,"keine Abweichung")</f>
        <v>länger</v>
      </c>
      <c r="I182">
        <v>3</v>
      </c>
    </row>
    <row r="183" spans="1:9" hidden="1" x14ac:dyDescent="0.3">
      <c r="A183" s="13">
        <v>27</v>
      </c>
      <c r="B183" s="4">
        <v>6</v>
      </c>
      <c r="C183" t="s">
        <v>533</v>
      </c>
      <c r="D183" t="s">
        <v>534</v>
      </c>
      <c r="E183">
        <v>5</v>
      </c>
      <c r="F183">
        <v>2</v>
      </c>
      <c r="G183" s="8">
        <f>Lektionen[[#This Row],[Bearbeitungsdauer_real]]/Lektionen[[#This Row],[Bearbeitungsdauer_geschätzt]]-1</f>
        <v>-0.6</v>
      </c>
      <c r="H183" s="8" t="str" cm="1">
        <f t="array" ref="H183">_xlfn.IFS(Lektionen[[#This Row],[Bearbeitungsdauer_abgewichen]]&gt;0.6,"viel länger",Lektionen[[#This Row],[Bearbeitungsdauer_abgewichen]]&gt;0.3,"länger",Lektionen[[#This Row],[Bearbeitungsdauer_abgewichen]]&lt;-0.3,"kürzer",TRUE,"keine Abweichung")</f>
        <v>kürzer</v>
      </c>
      <c r="I183">
        <v>2</v>
      </c>
    </row>
    <row r="184" spans="1:9" hidden="1" x14ac:dyDescent="0.3">
      <c r="A184" s="13">
        <v>27</v>
      </c>
      <c r="B184" s="4">
        <v>7</v>
      </c>
      <c r="C184" t="s">
        <v>535</v>
      </c>
      <c r="D184" t="s">
        <v>536</v>
      </c>
      <c r="E184">
        <v>10</v>
      </c>
      <c r="F184">
        <v>10</v>
      </c>
      <c r="G184" s="8">
        <f>Lektionen[[#This Row],[Bearbeitungsdauer_real]]/Lektionen[[#This Row],[Bearbeitungsdauer_geschätzt]]-1</f>
        <v>0</v>
      </c>
      <c r="H184" s="8" t="str" cm="1">
        <f t="array" ref="H184">_xlfn.IFS(Lektionen[[#This Row],[Bearbeitungsdauer_abgewichen]]&gt;0.6,"viel länger",Lektionen[[#This Row],[Bearbeitungsdauer_abgewichen]]&gt;0.3,"länger",Lektionen[[#This Row],[Bearbeitungsdauer_abgewichen]]&lt;-0.3,"kürzer",TRUE,"keine Abweichung")</f>
        <v>keine Abweichung</v>
      </c>
      <c r="I184">
        <v>4</v>
      </c>
    </row>
    <row r="185" spans="1:9" hidden="1" x14ac:dyDescent="0.3">
      <c r="A185" s="13">
        <v>27</v>
      </c>
      <c r="B185" s="4">
        <v>8</v>
      </c>
      <c r="C185" t="s">
        <v>537</v>
      </c>
      <c r="D185" t="s">
        <v>527</v>
      </c>
      <c r="E185">
        <v>5</v>
      </c>
      <c r="F185">
        <v>5</v>
      </c>
      <c r="G185" s="8">
        <f>Lektionen[[#This Row],[Bearbeitungsdauer_real]]/Lektionen[[#This Row],[Bearbeitungsdauer_geschätzt]]-1</f>
        <v>0</v>
      </c>
      <c r="H185" s="8" t="str" cm="1">
        <f t="array" ref="H185">_xlfn.IFS(Lektionen[[#This Row],[Bearbeitungsdauer_abgewichen]]&gt;0.6,"viel länger",Lektionen[[#This Row],[Bearbeitungsdauer_abgewichen]]&gt;0.3,"länger",Lektionen[[#This Row],[Bearbeitungsdauer_abgewichen]]&lt;-0.3,"kürzer",TRUE,"keine Abweichung")</f>
        <v>keine Abweichung</v>
      </c>
      <c r="I185">
        <v>1</v>
      </c>
    </row>
    <row r="186" spans="1:9" hidden="1" x14ac:dyDescent="0.3">
      <c r="A186" s="13">
        <v>28</v>
      </c>
      <c r="B186" s="4">
        <v>1</v>
      </c>
      <c r="C186" t="s">
        <v>526</v>
      </c>
      <c r="D186" t="s">
        <v>527</v>
      </c>
      <c r="E186">
        <v>4</v>
      </c>
      <c r="F186">
        <v>4</v>
      </c>
      <c r="G186" s="8">
        <f>Lektionen[[#This Row],[Bearbeitungsdauer_real]]/Lektionen[[#This Row],[Bearbeitungsdauer_geschätzt]]-1</f>
        <v>0</v>
      </c>
      <c r="H186" s="8" t="str" cm="1">
        <f t="array" ref="H186">_xlfn.IFS(Lektionen[[#This Row],[Bearbeitungsdauer_abgewichen]]&gt;0.6,"viel länger",Lektionen[[#This Row],[Bearbeitungsdauer_abgewichen]]&gt;0.3,"länger",Lektionen[[#This Row],[Bearbeitungsdauer_abgewichen]]&lt;-0.3,"kürzer",TRUE,"keine Abweichung")</f>
        <v>keine Abweichung</v>
      </c>
      <c r="I186">
        <v>1</v>
      </c>
    </row>
    <row r="187" spans="1:9" hidden="1" x14ac:dyDescent="0.3">
      <c r="A187" s="13">
        <v>28</v>
      </c>
      <c r="B187" s="4">
        <v>2</v>
      </c>
      <c r="C187" t="s">
        <v>528</v>
      </c>
      <c r="D187" t="s">
        <v>529</v>
      </c>
      <c r="E187">
        <v>15</v>
      </c>
      <c r="F187">
        <v>22</v>
      </c>
      <c r="G187" s="8">
        <f>Lektionen[[#This Row],[Bearbeitungsdauer_real]]/Lektionen[[#This Row],[Bearbeitungsdauer_geschätzt]]-1</f>
        <v>0.46666666666666656</v>
      </c>
      <c r="H187" s="8" t="str" cm="1">
        <f t="array" ref="H187">_xlfn.IFS(Lektionen[[#This Row],[Bearbeitungsdauer_abgewichen]]&gt;0.6,"viel länger",Lektionen[[#This Row],[Bearbeitungsdauer_abgewichen]]&gt;0.3,"länger",Lektionen[[#This Row],[Bearbeitungsdauer_abgewichen]]&lt;-0.3,"kürzer",TRUE,"keine Abweichung")</f>
        <v>länger</v>
      </c>
      <c r="I187">
        <v>2</v>
      </c>
    </row>
    <row r="188" spans="1:9" hidden="1" x14ac:dyDescent="0.3">
      <c r="A188" s="13">
        <v>28</v>
      </c>
      <c r="B188" s="4">
        <v>3</v>
      </c>
      <c r="C188" t="s">
        <v>552</v>
      </c>
      <c r="D188" t="s">
        <v>530</v>
      </c>
      <c r="E188">
        <v>30</v>
      </c>
      <c r="F188">
        <v>29</v>
      </c>
      <c r="G188" s="8">
        <f>Lektionen[[#This Row],[Bearbeitungsdauer_real]]/Lektionen[[#This Row],[Bearbeitungsdauer_geschätzt]]-1</f>
        <v>-3.3333333333333326E-2</v>
      </c>
      <c r="H188" s="8" t="str" cm="1">
        <f t="array" ref="H188">_xlfn.IFS(Lektionen[[#This Row],[Bearbeitungsdauer_abgewichen]]&gt;0.6,"viel länger",Lektionen[[#This Row],[Bearbeitungsdauer_abgewichen]]&gt;0.3,"länger",Lektionen[[#This Row],[Bearbeitungsdauer_abgewichen]]&lt;-0.3,"kürzer",TRUE,"keine Abweichung")</f>
        <v>keine Abweichung</v>
      </c>
      <c r="I188">
        <v>3</v>
      </c>
    </row>
    <row r="189" spans="1:9" hidden="1" x14ac:dyDescent="0.3">
      <c r="A189" s="13">
        <v>28</v>
      </c>
      <c r="B189" s="4">
        <v>4</v>
      </c>
      <c r="C189" t="s">
        <v>531</v>
      </c>
      <c r="D189" t="s">
        <v>530</v>
      </c>
      <c r="E189">
        <v>30</v>
      </c>
      <c r="F189">
        <v>28</v>
      </c>
      <c r="G189" s="8">
        <f>Lektionen[[#This Row],[Bearbeitungsdauer_real]]/Lektionen[[#This Row],[Bearbeitungsdauer_geschätzt]]-1</f>
        <v>-6.6666666666666652E-2</v>
      </c>
      <c r="H189" s="8" t="str" cm="1">
        <f t="array" ref="H189">_xlfn.IFS(Lektionen[[#This Row],[Bearbeitungsdauer_abgewichen]]&gt;0.6,"viel länger",Lektionen[[#This Row],[Bearbeitungsdauer_abgewichen]]&gt;0.3,"länger",Lektionen[[#This Row],[Bearbeitungsdauer_abgewichen]]&lt;-0.3,"kürzer",TRUE,"keine Abweichung")</f>
        <v>keine Abweichung</v>
      </c>
      <c r="I189">
        <v>3</v>
      </c>
    </row>
    <row r="190" spans="1:9" x14ac:dyDescent="0.3">
      <c r="A190" s="13">
        <v>28</v>
      </c>
      <c r="B190" s="4">
        <v>5</v>
      </c>
      <c r="C190" t="s">
        <v>532</v>
      </c>
      <c r="D190" t="s">
        <v>530</v>
      </c>
      <c r="E190">
        <v>30</v>
      </c>
      <c r="F190">
        <v>47</v>
      </c>
      <c r="G190" s="8">
        <f>Lektionen[[#This Row],[Bearbeitungsdauer_real]]/Lektionen[[#This Row],[Bearbeitungsdauer_geschätzt]]-1</f>
        <v>0.56666666666666665</v>
      </c>
      <c r="H190" s="8" t="str" cm="1">
        <f t="array" ref="H190">_xlfn.IFS(Lektionen[[#This Row],[Bearbeitungsdauer_abgewichen]]&gt;0.6,"viel länger",Lektionen[[#This Row],[Bearbeitungsdauer_abgewichen]]&gt;0.3,"länger",Lektionen[[#This Row],[Bearbeitungsdauer_abgewichen]]&lt;-0.3,"kürzer",TRUE,"keine Abweichung")</f>
        <v>länger</v>
      </c>
      <c r="I190">
        <v>3</v>
      </c>
    </row>
    <row r="191" spans="1:9" hidden="1" x14ac:dyDescent="0.3">
      <c r="A191" s="13">
        <v>28</v>
      </c>
      <c r="B191" s="4">
        <v>6</v>
      </c>
      <c r="C191" t="s">
        <v>533</v>
      </c>
      <c r="D191" t="s">
        <v>534</v>
      </c>
      <c r="E191">
        <v>5</v>
      </c>
      <c r="F191">
        <v>1</v>
      </c>
      <c r="G191" s="8">
        <f>Lektionen[[#This Row],[Bearbeitungsdauer_real]]/Lektionen[[#This Row],[Bearbeitungsdauer_geschätzt]]-1</f>
        <v>-0.8</v>
      </c>
      <c r="H191" s="8" t="str" cm="1">
        <f t="array" ref="H191">_xlfn.IFS(Lektionen[[#This Row],[Bearbeitungsdauer_abgewichen]]&gt;0.6,"viel länger",Lektionen[[#This Row],[Bearbeitungsdauer_abgewichen]]&gt;0.3,"länger",Lektionen[[#This Row],[Bearbeitungsdauer_abgewichen]]&lt;-0.3,"kürzer",TRUE,"keine Abweichung")</f>
        <v>kürzer</v>
      </c>
      <c r="I191">
        <v>3</v>
      </c>
    </row>
    <row r="192" spans="1:9" hidden="1" x14ac:dyDescent="0.3">
      <c r="A192" s="13">
        <v>28</v>
      </c>
      <c r="B192" s="4">
        <v>7</v>
      </c>
      <c r="C192" t="s">
        <v>535</v>
      </c>
      <c r="D192" t="s">
        <v>536</v>
      </c>
      <c r="E192">
        <v>10</v>
      </c>
      <c r="F192">
        <v>9</v>
      </c>
      <c r="G192" s="8">
        <f>Lektionen[[#This Row],[Bearbeitungsdauer_real]]/Lektionen[[#This Row],[Bearbeitungsdauer_geschätzt]]-1</f>
        <v>-9.9999999999999978E-2</v>
      </c>
      <c r="H192" s="8" t="str" cm="1">
        <f t="array" ref="H192">_xlfn.IFS(Lektionen[[#This Row],[Bearbeitungsdauer_abgewichen]]&gt;0.6,"viel länger",Lektionen[[#This Row],[Bearbeitungsdauer_abgewichen]]&gt;0.3,"länger",Lektionen[[#This Row],[Bearbeitungsdauer_abgewichen]]&lt;-0.3,"kürzer",TRUE,"keine Abweichung")</f>
        <v>keine Abweichung</v>
      </c>
      <c r="I192">
        <v>3</v>
      </c>
    </row>
    <row r="193" spans="1:9" hidden="1" x14ac:dyDescent="0.3">
      <c r="A193" s="13">
        <v>28</v>
      </c>
      <c r="B193" s="4">
        <v>8</v>
      </c>
      <c r="C193" t="s">
        <v>537</v>
      </c>
      <c r="D193" t="s">
        <v>527</v>
      </c>
      <c r="E193">
        <v>5</v>
      </c>
      <c r="F193">
        <v>9</v>
      </c>
      <c r="G193" s="8">
        <f>Lektionen[[#This Row],[Bearbeitungsdauer_real]]/Lektionen[[#This Row],[Bearbeitungsdauer_geschätzt]]-1</f>
        <v>0.8</v>
      </c>
      <c r="H193" s="8" t="str" cm="1">
        <f t="array" ref="H193">_xlfn.IFS(Lektionen[[#This Row],[Bearbeitungsdauer_abgewichen]]&gt;0.6,"viel länger",Lektionen[[#This Row],[Bearbeitungsdauer_abgewichen]]&gt;0.3,"länger",Lektionen[[#This Row],[Bearbeitungsdauer_abgewichen]]&lt;-0.3,"kürzer",TRUE,"keine Abweichung")</f>
        <v>viel länger</v>
      </c>
      <c r="I193">
        <v>1</v>
      </c>
    </row>
    <row r="194" spans="1:9" hidden="1" x14ac:dyDescent="0.3">
      <c r="A194" s="13">
        <v>29</v>
      </c>
      <c r="B194" s="4">
        <v>1</v>
      </c>
      <c r="C194" t="s">
        <v>526</v>
      </c>
      <c r="D194" t="s">
        <v>527</v>
      </c>
      <c r="E194">
        <v>4</v>
      </c>
      <c r="F194">
        <v>7</v>
      </c>
      <c r="G194" s="8">
        <f>Lektionen[[#This Row],[Bearbeitungsdauer_real]]/Lektionen[[#This Row],[Bearbeitungsdauer_geschätzt]]-1</f>
        <v>0.75</v>
      </c>
      <c r="H194" s="8" t="str" cm="1">
        <f t="array" ref="H194">_xlfn.IFS(Lektionen[[#This Row],[Bearbeitungsdauer_abgewichen]]&gt;0.6,"viel länger",Lektionen[[#This Row],[Bearbeitungsdauer_abgewichen]]&gt;0.3,"länger",Lektionen[[#This Row],[Bearbeitungsdauer_abgewichen]]&lt;-0.3,"kürzer",TRUE,"keine Abweichung")</f>
        <v>viel länger</v>
      </c>
      <c r="I194">
        <v>1</v>
      </c>
    </row>
    <row r="195" spans="1:9" hidden="1" x14ac:dyDescent="0.3">
      <c r="A195" s="13">
        <v>29</v>
      </c>
      <c r="B195" s="4">
        <v>2</v>
      </c>
      <c r="C195" t="s">
        <v>528</v>
      </c>
      <c r="D195" t="s">
        <v>529</v>
      </c>
      <c r="E195">
        <v>15</v>
      </c>
      <c r="F195">
        <v>17</v>
      </c>
      <c r="G195" s="8">
        <f>Lektionen[[#This Row],[Bearbeitungsdauer_real]]/Lektionen[[#This Row],[Bearbeitungsdauer_geschätzt]]-1</f>
        <v>0.1333333333333333</v>
      </c>
      <c r="H195" s="8" t="str" cm="1">
        <f t="array" ref="H195">_xlfn.IFS(Lektionen[[#This Row],[Bearbeitungsdauer_abgewichen]]&gt;0.6,"viel länger",Lektionen[[#This Row],[Bearbeitungsdauer_abgewichen]]&gt;0.3,"länger",Lektionen[[#This Row],[Bearbeitungsdauer_abgewichen]]&lt;-0.3,"kürzer",TRUE,"keine Abweichung")</f>
        <v>keine Abweichung</v>
      </c>
      <c r="I195">
        <v>1</v>
      </c>
    </row>
    <row r="196" spans="1:9" hidden="1" x14ac:dyDescent="0.3">
      <c r="A196" s="13">
        <v>29</v>
      </c>
      <c r="B196" s="4">
        <v>3</v>
      </c>
      <c r="C196" t="s">
        <v>552</v>
      </c>
      <c r="D196" t="s">
        <v>530</v>
      </c>
      <c r="E196">
        <v>30</v>
      </c>
      <c r="F196">
        <v>27</v>
      </c>
      <c r="G196" s="8">
        <f>Lektionen[[#This Row],[Bearbeitungsdauer_real]]/Lektionen[[#This Row],[Bearbeitungsdauer_geschätzt]]-1</f>
        <v>-9.9999999999999978E-2</v>
      </c>
      <c r="H196" s="8" t="str" cm="1">
        <f t="array" ref="H196">_xlfn.IFS(Lektionen[[#This Row],[Bearbeitungsdauer_abgewichen]]&gt;0.6,"viel länger",Lektionen[[#This Row],[Bearbeitungsdauer_abgewichen]]&gt;0.3,"länger",Lektionen[[#This Row],[Bearbeitungsdauer_abgewichen]]&lt;-0.3,"kürzer",TRUE,"keine Abweichung")</f>
        <v>keine Abweichung</v>
      </c>
      <c r="I196">
        <v>2</v>
      </c>
    </row>
    <row r="197" spans="1:9" hidden="1" x14ac:dyDescent="0.3">
      <c r="A197" s="13">
        <v>29</v>
      </c>
      <c r="B197" s="4">
        <v>4</v>
      </c>
      <c r="C197" t="s">
        <v>531</v>
      </c>
      <c r="D197" t="s">
        <v>530</v>
      </c>
      <c r="E197">
        <v>30</v>
      </c>
      <c r="F197">
        <v>28</v>
      </c>
      <c r="G197" s="8">
        <f>Lektionen[[#This Row],[Bearbeitungsdauer_real]]/Lektionen[[#This Row],[Bearbeitungsdauer_geschätzt]]-1</f>
        <v>-6.6666666666666652E-2</v>
      </c>
      <c r="H197" s="8" t="str" cm="1">
        <f t="array" ref="H197">_xlfn.IFS(Lektionen[[#This Row],[Bearbeitungsdauer_abgewichen]]&gt;0.6,"viel länger",Lektionen[[#This Row],[Bearbeitungsdauer_abgewichen]]&gt;0.3,"länger",Lektionen[[#This Row],[Bearbeitungsdauer_abgewichen]]&lt;-0.3,"kürzer",TRUE,"keine Abweichung")</f>
        <v>keine Abweichung</v>
      </c>
      <c r="I197">
        <v>3</v>
      </c>
    </row>
    <row r="198" spans="1:9" x14ac:dyDescent="0.3">
      <c r="A198" s="13">
        <v>29</v>
      </c>
      <c r="B198" s="4">
        <v>5</v>
      </c>
      <c r="C198" t="s">
        <v>532</v>
      </c>
      <c r="D198" t="s">
        <v>530</v>
      </c>
      <c r="E198">
        <v>30</v>
      </c>
      <c r="F198">
        <v>49</v>
      </c>
      <c r="G198" s="8">
        <f>Lektionen[[#This Row],[Bearbeitungsdauer_real]]/Lektionen[[#This Row],[Bearbeitungsdauer_geschätzt]]-1</f>
        <v>0.6333333333333333</v>
      </c>
      <c r="H198" s="8" t="str" cm="1">
        <f t="array" ref="H198">_xlfn.IFS(Lektionen[[#This Row],[Bearbeitungsdauer_abgewichen]]&gt;0.6,"viel länger",Lektionen[[#This Row],[Bearbeitungsdauer_abgewichen]]&gt;0.3,"länger",Lektionen[[#This Row],[Bearbeitungsdauer_abgewichen]]&lt;-0.3,"kürzer",TRUE,"keine Abweichung")</f>
        <v>viel länger</v>
      </c>
      <c r="I198">
        <v>4</v>
      </c>
    </row>
    <row r="199" spans="1:9" hidden="1" x14ac:dyDescent="0.3">
      <c r="A199" s="13">
        <v>29</v>
      </c>
      <c r="B199" s="4">
        <v>6</v>
      </c>
      <c r="C199" t="s">
        <v>533</v>
      </c>
      <c r="D199" t="s">
        <v>534</v>
      </c>
      <c r="E199">
        <v>5</v>
      </c>
      <c r="F199">
        <v>2</v>
      </c>
      <c r="G199" s="8">
        <f>Lektionen[[#This Row],[Bearbeitungsdauer_real]]/Lektionen[[#This Row],[Bearbeitungsdauer_geschätzt]]-1</f>
        <v>-0.6</v>
      </c>
      <c r="H199" s="8" t="str" cm="1">
        <f t="array" ref="H199">_xlfn.IFS(Lektionen[[#This Row],[Bearbeitungsdauer_abgewichen]]&gt;0.6,"viel länger",Lektionen[[#This Row],[Bearbeitungsdauer_abgewichen]]&gt;0.3,"länger",Lektionen[[#This Row],[Bearbeitungsdauer_abgewichen]]&lt;-0.3,"kürzer",TRUE,"keine Abweichung")</f>
        <v>kürzer</v>
      </c>
      <c r="I199">
        <v>2</v>
      </c>
    </row>
    <row r="200" spans="1:9" hidden="1" x14ac:dyDescent="0.3">
      <c r="A200" s="13">
        <v>29</v>
      </c>
      <c r="B200" s="4">
        <v>7</v>
      </c>
      <c r="C200" t="s">
        <v>535</v>
      </c>
      <c r="D200" t="s">
        <v>536</v>
      </c>
      <c r="E200">
        <v>10</v>
      </c>
      <c r="F200">
        <v>10</v>
      </c>
      <c r="G200" s="8">
        <f>Lektionen[[#This Row],[Bearbeitungsdauer_real]]/Lektionen[[#This Row],[Bearbeitungsdauer_geschätzt]]-1</f>
        <v>0</v>
      </c>
      <c r="H200" s="8" t="str" cm="1">
        <f t="array" ref="H200">_xlfn.IFS(Lektionen[[#This Row],[Bearbeitungsdauer_abgewichen]]&gt;0.6,"viel länger",Lektionen[[#This Row],[Bearbeitungsdauer_abgewichen]]&gt;0.3,"länger",Lektionen[[#This Row],[Bearbeitungsdauer_abgewichen]]&lt;-0.3,"kürzer",TRUE,"keine Abweichung")</f>
        <v>keine Abweichung</v>
      </c>
      <c r="I200">
        <v>3</v>
      </c>
    </row>
    <row r="201" spans="1:9" hidden="1" x14ac:dyDescent="0.3">
      <c r="A201" s="13">
        <v>29</v>
      </c>
      <c r="B201" s="4">
        <v>8</v>
      </c>
      <c r="C201" t="s">
        <v>537</v>
      </c>
      <c r="D201" t="s">
        <v>527</v>
      </c>
      <c r="E201">
        <v>5</v>
      </c>
      <c r="F201">
        <v>9</v>
      </c>
      <c r="G201" s="8">
        <f>Lektionen[[#This Row],[Bearbeitungsdauer_real]]/Lektionen[[#This Row],[Bearbeitungsdauer_geschätzt]]-1</f>
        <v>0.8</v>
      </c>
      <c r="H201" s="8" t="str" cm="1">
        <f t="array" ref="H201">_xlfn.IFS(Lektionen[[#This Row],[Bearbeitungsdauer_abgewichen]]&gt;0.6,"viel länger",Lektionen[[#This Row],[Bearbeitungsdauer_abgewichen]]&gt;0.3,"länger",Lektionen[[#This Row],[Bearbeitungsdauer_abgewichen]]&lt;-0.3,"kürzer",TRUE,"keine Abweichung")</f>
        <v>viel länger</v>
      </c>
      <c r="I201">
        <v>1</v>
      </c>
    </row>
    <row r="202" spans="1:9" hidden="1" x14ac:dyDescent="0.3">
      <c r="A202" s="13">
        <v>30</v>
      </c>
      <c r="B202" s="4">
        <v>1</v>
      </c>
      <c r="C202" t="s">
        <v>526</v>
      </c>
      <c r="D202" t="s">
        <v>527</v>
      </c>
      <c r="E202">
        <v>4</v>
      </c>
      <c r="F202">
        <v>4</v>
      </c>
      <c r="G202" s="8">
        <f>Lektionen[[#This Row],[Bearbeitungsdauer_real]]/Lektionen[[#This Row],[Bearbeitungsdauer_geschätzt]]-1</f>
        <v>0</v>
      </c>
      <c r="H202" s="8" t="str" cm="1">
        <f t="array" ref="H202">_xlfn.IFS(Lektionen[[#This Row],[Bearbeitungsdauer_abgewichen]]&gt;0.6,"viel länger",Lektionen[[#This Row],[Bearbeitungsdauer_abgewichen]]&gt;0.3,"länger",Lektionen[[#This Row],[Bearbeitungsdauer_abgewichen]]&lt;-0.3,"kürzer",TRUE,"keine Abweichung")</f>
        <v>keine Abweichung</v>
      </c>
      <c r="I202">
        <v>1</v>
      </c>
    </row>
    <row r="203" spans="1:9" hidden="1" x14ac:dyDescent="0.3">
      <c r="A203" s="13">
        <v>30</v>
      </c>
      <c r="B203" s="4">
        <v>2</v>
      </c>
      <c r="C203" t="s">
        <v>528</v>
      </c>
      <c r="D203" t="s">
        <v>529</v>
      </c>
      <c r="E203">
        <v>15</v>
      </c>
      <c r="F203">
        <v>19</v>
      </c>
      <c r="G203" s="8">
        <f>Lektionen[[#This Row],[Bearbeitungsdauer_real]]/Lektionen[[#This Row],[Bearbeitungsdauer_geschätzt]]-1</f>
        <v>0.26666666666666661</v>
      </c>
      <c r="H203" s="8" t="str" cm="1">
        <f t="array" ref="H203">_xlfn.IFS(Lektionen[[#This Row],[Bearbeitungsdauer_abgewichen]]&gt;0.6,"viel länger",Lektionen[[#This Row],[Bearbeitungsdauer_abgewichen]]&gt;0.3,"länger",Lektionen[[#This Row],[Bearbeitungsdauer_abgewichen]]&lt;-0.3,"kürzer",TRUE,"keine Abweichung")</f>
        <v>keine Abweichung</v>
      </c>
      <c r="I203">
        <v>2</v>
      </c>
    </row>
    <row r="204" spans="1:9" hidden="1" x14ac:dyDescent="0.3">
      <c r="A204" s="13">
        <v>30</v>
      </c>
      <c r="B204" s="4">
        <v>3</v>
      </c>
      <c r="C204" t="s">
        <v>552</v>
      </c>
      <c r="D204" t="s">
        <v>530</v>
      </c>
      <c r="E204">
        <v>30</v>
      </c>
      <c r="F204">
        <v>28</v>
      </c>
      <c r="G204" s="8">
        <f>Lektionen[[#This Row],[Bearbeitungsdauer_real]]/Lektionen[[#This Row],[Bearbeitungsdauer_geschätzt]]-1</f>
        <v>-6.6666666666666652E-2</v>
      </c>
      <c r="H204" s="8" t="str" cm="1">
        <f t="array" ref="H204">_xlfn.IFS(Lektionen[[#This Row],[Bearbeitungsdauer_abgewichen]]&gt;0.6,"viel länger",Lektionen[[#This Row],[Bearbeitungsdauer_abgewichen]]&gt;0.3,"länger",Lektionen[[#This Row],[Bearbeitungsdauer_abgewichen]]&lt;-0.3,"kürzer",TRUE,"keine Abweichung")</f>
        <v>keine Abweichung</v>
      </c>
      <c r="I204">
        <v>3</v>
      </c>
    </row>
    <row r="205" spans="1:9" hidden="1" x14ac:dyDescent="0.3">
      <c r="A205" s="13">
        <v>30</v>
      </c>
      <c r="B205" s="4">
        <v>4</v>
      </c>
      <c r="C205" t="s">
        <v>531</v>
      </c>
      <c r="D205" t="s">
        <v>530</v>
      </c>
      <c r="E205">
        <v>30</v>
      </c>
      <c r="F205">
        <v>24</v>
      </c>
      <c r="G205" s="8">
        <f>Lektionen[[#This Row],[Bearbeitungsdauer_real]]/Lektionen[[#This Row],[Bearbeitungsdauer_geschätzt]]-1</f>
        <v>-0.19999999999999996</v>
      </c>
      <c r="H205" s="8" t="str" cm="1">
        <f t="array" ref="H205">_xlfn.IFS(Lektionen[[#This Row],[Bearbeitungsdauer_abgewichen]]&gt;0.6,"viel länger",Lektionen[[#This Row],[Bearbeitungsdauer_abgewichen]]&gt;0.3,"länger",Lektionen[[#This Row],[Bearbeitungsdauer_abgewichen]]&lt;-0.3,"kürzer",TRUE,"keine Abweichung")</f>
        <v>keine Abweichung</v>
      </c>
      <c r="I205">
        <v>4</v>
      </c>
    </row>
    <row r="206" spans="1:9" x14ac:dyDescent="0.3">
      <c r="A206" s="13">
        <v>30</v>
      </c>
      <c r="B206" s="4">
        <v>5</v>
      </c>
      <c r="C206" t="s">
        <v>532</v>
      </c>
      <c r="D206" t="s">
        <v>530</v>
      </c>
      <c r="E206">
        <v>30</v>
      </c>
      <c r="F206">
        <v>33</v>
      </c>
      <c r="G206" s="8">
        <f>Lektionen[[#This Row],[Bearbeitungsdauer_real]]/Lektionen[[#This Row],[Bearbeitungsdauer_geschätzt]]-1</f>
        <v>0.10000000000000009</v>
      </c>
      <c r="H206" s="8" t="str" cm="1">
        <f t="array" ref="H206">_xlfn.IFS(Lektionen[[#This Row],[Bearbeitungsdauer_abgewichen]]&gt;0.6,"viel länger",Lektionen[[#This Row],[Bearbeitungsdauer_abgewichen]]&gt;0.3,"länger",Lektionen[[#This Row],[Bearbeitungsdauer_abgewichen]]&lt;-0.3,"kürzer",TRUE,"keine Abweichung")</f>
        <v>keine Abweichung</v>
      </c>
      <c r="I206">
        <v>5</v>
      </c>
    </row>
    <row r="207" spans="1:9" hidden="1" x14ac:dyDescent="0.3">
      <c r="A207" s="13">
        <v>30</v>
      </c>
      <c r="B207" s="4">
        <v>6</v>
      </c>
      <c r="C207" t="s">
        <v>533</v>
      </c>
      <c r="D207" t="s">
        <v>534</v>
      </c>
      <c r="E207">
        <v>5</v>
      </c>
      <c r="F207">
        <v>2</v>
      </c>
      <c r="G207" s="8">
        <f>Lektionen[[#This Row],[Bearbeitungsdauer_real]]/Lektionen[[#This Row],[Bearbeitungsdauer_geschätzt]]-1</f>
        <v>-0.6</v>
      </c>
      <c r="H207" s="8" t="str" cm="1">
        <f t="array" ref="H207">_xlfn.IFS(Lektionen[[#This Row],[Bearbeitungsdauer_abgewichen]]&gt;0.6,"viel länger",Lektionen[[#This Row],[Bearbeitungsdauer_abgewichen]]&gt;0.3,"länger",Lektionen[[#This Row],[Bearbeitungsdauer_abgewichen]]&lt;-0.3,"kürzer",TRUE,"keine Abweichung")</f>
        <v>kürzer</v>
      </c>
      <c r="I207">
        <v>3</v>
      </c>
    </row>
    <row r="208" spans="1:9" hidden="1" x14ac:dyDescent="0.3">
      <c r="A208" s="13">
        <v>30</v>
      </c>
      <c r="B208" s="4">
        <v>7</v>
      </c>
      <c r="C208" t="s">
        <v>535</v>
      </c>
      <c r="D208" t="s">
        <v>536</v>
      </c>
      <c r="E208">
        <v>10</v>
      </c>
      <c r="F208">
        <v>9</v>
      </c>
      <c r="G208" s="8">
        <f>Lektionen[[#This Row],[Bearbeitungsdauer_real]]/Lektionen[[#This Row],[Bearbeitungsdauer_geschätzt]]-1</f>
        <v>-9.9999999999999978E-2</v>
      </c>
      <c r="H208" s="8" t="str" cm="1">
        <f t="array" ref="H208">_xlfn.IFS(Lektionen[[#This Row],[Bearbeitungsdauer_abgewichen]]&gt;0.6,"viel länger",Lektionen[[#This Row],[Bearbeitungsdauer_abgewichen]]&gt;0.3,"länger",Lektionen[[#This Row],[Bearbeitungsdauer_abgewichen]]&lt;-0.3,"kürzer",TRUE,"keine Abweichung")</f>
        <v>keine Abweichung</v>
      </c>
      <c r="I208">
        <v>3</v>
      </c>
    </row>
    <row r="209" spans="1:9" hidden="1" x14ac:dyDescent="0.3">
      <c r="A209" s="13">
        <v>30</v>
      </c>
      <c r="B209" s="4">
        <v>8</v>
      </c>
      <c r="C209" t="s">
        <v>537</v>
      </c>
      <c r="D209" t="s">
        <v>527</v>
      </c>
      <c r="E209">
        <v>5</v>
      </c>
      <c r="F209">
        <v>5</v>
      </c>
      <c r="G209" s="8">
        <f>Lektionen[[#This Row],[Bearbeitungsdauer_real]]/Lektionen[[#This Row],[Bearbeitungsdauer_geschätzt]]-1</f>
        <v>0</v>
      </c>
      <c r="H209" s="8" t="str" cm="1">
        <f t="array" ref="H209">_xlfn.IFS(Lektionen[[#This Row],[Bearbeitungsdauer_abgewichen]]&gt;0.6,"viel länger",Lektionen[[#This Row],[Bearbeitungsdauer_abgewichen]]&gt;0.3,"länger",Lektionen[[#This Row],[Bearbeitungsdauer_abgewichen]]&lt;-0.3,"kürzer",TRUE,"keine Abweichung")</f>
        <v>keine Abweichung</v>
      </c>
      <c r="I209">
        <v>2</v>
      </c>
    </row>
    <row r="210" spans="1:9" hidden="1" x14ac:dyDescent="0.3">
      <c r="A210" s="13">
        <v>31</v>
      </c>
      <c r="B210" s="4">
        <v>1</v>
      </c>
      <c r="C210" t="s">
        <v>526</v>
      </c>
      <c r="D210" t="s">
        <v>527</v>
      </c>
      <c r="E210">
        <v>4</v>
      </c>
      <c r="F210">
        <v>4</v>
      </c>
      <c r="G210" s="8">
        <f>Lektionen[[#This Row],[Bearbeitungsdauer_real]]/Lektionen[[#This Row],[Bearbeitungsdauer_geschätzt]]-1</f>
        <v>0</v>
      </c>
      <c r="H210" s="8" t="str" cm="1">
        <f t="array" ref="H210">_xlfn.IFS(Lektionen[[#This Row],[Bearbeitungsdauer_abgewichen]]&gt;0.6,"viel länger",Lektionen[[#This Row],[Bearbeitungsdauer_abgewichen]]&gt;0.3,"länger",Lektionen[[#This Row],[Bearbeitungsdauer_abgewichen]]&lt;-0.3,"kürzer",TRUE,"keine Abweichung")</f>
        <v>keine Abweichung</v>
      </c>
      <c r="I210">
        <v>1</v>
      </c>
    </row>
    <row r="211" spans="1:9" hidden="1" x14ac:dyDescent="0.3">
      <c r="A211" s="13">
        <v>31</v>
      </c>
      <c r="B211" s="4">
        <v>2</v>
      </c>
      <c r="C211" t="s">
        <v>528</v>
      </c>
      <c r="D211" t="s">
        <v>529</v>
      </c>
      <c r="E211">
        <v>15</v>
      </c>
      <c r="F211">
        <v>18</v>
      </c>
      <c r="G211" s="8">
        <f>Lektionen[[#This Row],[Bearbeitungsdauer_real]]/Lektionen[[#This Row],[Bearbeitungsdauer_geschätzt]]-1</f>
        <v>0.19999999999999996</v>
      </c>
      <c r="H211" s="8" t="str" cm="1">
        <f t="array" ref="H211">_xlfn.IFS(Lektionen[[#This Row],[Bearbeitungsdauer_abgewichen]]&gt;0.6,"viel länger",Lektionen[[#This Row],[Bearbeitungsdauer_abgewichen]]&gt;0.3,"länger",Lektionen[[#This Row],[Bearbeitungsdauer_abgewichen]]&lt;-0.3,"kürzer",TRUE,"keine Abweichung")</f>
        <v>keine Abweichung</v>
      </c>
      <c r="I211">
        <v>1</v>
      </c>
    </row>
    <row r="212" spans="1:9" hidden="1" x14ac:dyDescent="0.3">
      <c r="A212" s="13">
        <v>31</v>
      </c>
      <c r="B212" s="4">
        <v>3</v>
      </c>
      <c r="C212" t="s">
        <v>552</v>
      </c>
      <c r="D212" t="s">
        <v>530</v>
      </c>
      <c r="E212">
        <v>30</v>
      </c>
      <c r="F212">
        <v>28</v>
      </c>
      <c r="G212" s="8">
        <f>Lektionen[[#This Row],[Bearbeitungsdauer_real]]/Lektionen[[#This Row],[Bearbeitungsdauer_geschätzt]]-1</f>
        <v>-6.6666666666666652E-2</v>
      </c>
      <c r="H212" s="8" t="str" cm="1">
        <f t="array" ref="H212">_xlfn.IFS(Lektionen[[#This Row],[Bearbeitungsdauer_abgewichen]]&gt;0.6,"viel länger",Lektionen[[#This Row],[Bearbeitungsdauer_abgewichen]]&gt;0.3,"länger",Lektionen[[#This Row],[Bearbeitungsdauer_abgewichen]]&lt;-0.3,"kürzer",TRUE,"keine Abweichung")</f>
        <v>keine Abweichung</v>
      </c>
      <c r="I212">
        <v>3</v>
      </c>
    </row>
    <row r="213" spans="1:9" hidden="1" x14ac:dyDescent="0.3">
      <c r="A213" s="13">
        <v>31</v>
      </c>
      <c r="B213" s="4">
        <v>4</v>
      </c>
      <c r="C213" t="s">
        <v>531</v>
      </c>
      <c r="D213" t="s">
        <v>530</v>
      </c>
      <c r="E213">
        <v>30</v>
      </c>
      <c r="F213">
        <v>22</v>
      </c>
      <c r="G213" s="8">
        <f>Lektionen[[#This Row],[Bearbeitungsdauer_real]]/Lektionen[[#This Row],[Bearbeitungsdauer_geschätzt]]-1</f>
        <v>-0.26666666666666672</v>
      </c>
      <c r="H213" s="8" t="str" cm="1">
        <f t="array" ref="H213">_xlfn.IFS(Lektionen[[#This Row],[Bearbeitungsdauer_abgewichen]]&gt;0.6,"viel länger",Lektionen[[#This Row],[Bearbeitungsdauer_abgewichen]]&gt;0.3,"länger",Lektionen[[#This Row],[Bearbeitungsdauer_abgewichen]]&lt;-0.3,"kürzer",TRUE,"keine Abweichung")</f>
        <v>keine Abweichung</v>
      </c>
      <c r="I213">
        <v>2</v>
      </c>
    </row>
    <row r="214" spans="1:9" x14ac:dyDescent="0.3">
      <c r="A214" s="13">
        <v>31</v>
      </c>
      <c r="B214" s="4">
        <v>5</v>
      </c>
      <c r="C214" t="s">
        <v>532</v>
      </c>
      <c r="D214" t="s">
        <v>530</v>
      </c>
      <c r="E214">
        <v>30</v>
      </c>
      <c r="F214">
        <v>46</v>
      </c>
      <c r="G214" s="8">
        <f>Lektionen[[#This Row],[Bearbeitungsdauer_real]]/Lektionen[[#This Row],[Bearbeitungsdauer_geschätzt]]-1</f>
        <v>0.53333333333333344</v>
      </c>
      <c r="H214" s="8" t="str" cm="1">
        <f t="array" ref="H214">_xlfn.IFS(Lektionen[[#This Row],[Bearbeitungsdauer_abgewichen]]&gt;0.6,"viel länger",Lektionen[[#This Row],[Bearbeitungsdauer_abgewichen]]&gt;0.3,"länger",Lektionen[[#This Row],[Bearbeitungsdauer_abgewichen]]&lt;-0.3,"kürzer",TRUE,"keine Abweichung")</f>
        <v>länger</v>
      </c>
      <c r="I214">
        <v>4</v>
      </c>
    </row>
    <row r="215" spans="1:9" hidden="1" x14ac:dyDescent="0.3">
      <c r="A215" s="13">
        <v>31</v>
      </c>
      <c r="B215" s="4">
        <v>6</v>
      </c>
      <c r="C215" t="s">
        <v>533</v>
      </c>
      <c r="D215" t="s">
        <v>534</v>
      </c>
      <c r="E215">
        <v>5</v>
      </c>
      <c r="F215">
        <v>2</v>
      </c>
      <c r="G215" s="8">
        <f>Lektionen[[#This Row],[Bearbeitungsdauer_real]]/Lektionen[[#This Row],[Bearbeitungsdauer_geschätzt]]-1</f>
        <v>-0.6</v>
      </c>
      <c r="H215" s="8" t="str" cm="1">
        <f t="array" ref="H215">_xlfn.IFS(Lektionen[[#This Row],[Bearbeitungsdauer_abgewichen]]&gt;0.6,"viel länger",Lektionen[[#This Row],[Bearbeitungsdauer_abgewichen]]&gt;0.3,"länger",Lektionen[[#This Row],[Bearbeitungsdauer_abgewichen]]&lt;-0.3,"kürzer",TRUE,"keine Abweichung")</f>
        <v>kürzer</v>
      </c>
      <c r="I215">
        <v>2</v>
      </c>
    </row>
    <row r="216" spans="1:9" hidden="1" x14ac:dyDescent="0.3">
      <c r="A216" s="13">
        <v>31</v>
      </c>
      <c r="B216" s="4">
        <v>7</v>
      </c>
      <c r="C216" t="s">
        <v>535</v>
      </c>
      <c r="D216" t="s">
        <v>536</v>
      </c>
      <c r="E216">
        <v>10</v>
      </c>
      <c r="F216">
        <v>8</v>
      </c>
      <c r="G216" s="8">
        <f>Lektionen[[#This Row],[Bearbeitungsdauer_real]]/Lektionen[[#This Row],[Bearbeitungsdauer_geschätzt]]-1</f>
        <v>-0.19999999999999996</v>
      </c>
      <c r="H216" s="8" t="str" cm="1">
        <f t="array" ref="H216">_xlfn.IFS(Lektionen[[#This Row],[Bearbeitungsdauer_abgewichen]]&gt;0.6,"viel länger",Lektionen[[#This Row],[Bearbeitungsdauer_abgewichen]]&gt;0.3,"länger",Lektionen[[#This Row],[Bearbeitungsdauer_abgewichen]]&lt;-0.3,"kürzer",TRUE,"keine Abweichung")</f>
        <v>keine Abweichung</v>
      </c>
      <c r="I216">
        <v>4</v>
      </c>
    </row>
    <row r="217" spans="1:9" hidden="1" x14ac:dyDescent="0.3">
      <c r="A217" s="13">
        <v>31</v>
      </c>
      <c r="B217" s="4">
        <v>8</v>
      </c>
      <c r="C217" t="s">
        <v>537</v>
      </c>
      <c r="D217" t="s">
        <v>527</v>
      </c>
      <c r="E217">
        <v>5</v>
      </c>
      <c r="F217">
        <v>5</v>
      </c>
      <c r="G217" s="8">
        <f>Lektionen[[#This Row],[Bearbeitungsdauer_real]]/Lektionen[[#This Row],[Bearbeitungsdauer_geschätzt]]-1</f>
        <v>0</v>
      </c>
      <c r="H217" s="8" t="str" cm="1">
        <f t="array" ref="H217">_xlfn.IFS(Lektionen[[#This Row],[Bearbeitungsdauer_abgewichen]]&gt;0.6,"viel länger",Lektionen[[#This Row],[Bearbeitungsdauer_abgewichen]]&gt;0.3,"länger",Lektionen[[#This Row],[Bearbeitungsdauer_abgewichen]]&lt;-0.3,"kürzer",TRUE,"keine Abweichung")</f>
        <v>keine Abweichung</v>
      </c>
      <c r="I217">
        <v>1</v>
      </c>
    </row>
    <row r="218" spans="1:9" hidden="1" x14ac:dyDescent="0.3">
      <c r="A218" s="13">
        <v>32</v>
      </c>
      <c r="B218" s="4">
        <v>1</v>
      </c>
      <c r="C218" t="s">
        <v>526</v>
      </c>
      <c r="D218" t="s">
        <v>527</v>
      </c>
      <c r="E218">
        <v>4</v>
      </c>
      <c r="F218">
        <v>4</v>
      </c>
      <c r="G218" s="8">
        <f>Lektionen[[#This Row],[Bearbeitungsdauer_real]]/Lektionen[[#This Row],[Bearbeitungsdauer_geschätzt]]-1</f>
        <v>0</v>
      </c>
      <c r="H218" s="8" t="str" cm="1">
        <f t="array" ref="H218">_xlfn.IFS(Lektionen[[#This Row],[Bearbeitungsdauer_abgewichen]]&gt;0.6,"viel länger",Lektionen[[#This Row],[Bearbeitungsdauer_abgewichen]]&gt;0.3,"länger",Lektionen[[#This Row],[Bearbeitungsdauer_abgewichen]]&lt;-0.3,"kürzer",TRUE,"keine Abweichung")</f>
        <v>keine Abweichung</v>
      </c>
      <c r="I218">
        <v>1</v>
      </c>
    </row>
    <row r="219" spans="1:9" hidden="1" x14ac:dyDescent="0.3">
      <c r="A219" s="13">
        <v>32</v>
      </c>
      <c r="B219" s="4">
        <v>2</v>
      </c>
      <c r="C219" t="s">
        <v>528</v>
      </c>
      <c r="D219" t="s">
        <v>529</v>
      </c>
      <c r="E219">
        <v>15</v>
      </c>
      <c r="F219">
        <v>17</v>
      </c>
      <c r="G219" s="8">
        <f>Lektionen[[#This Row],[Bearbeitungsdauer_real]]/Lektionen[[#This Row],[Bearbeitungsdauer_geschätzt]]-1</f>
        <v>0.1333333333333333</v>
      </c>
      <c r="H219" s="8" t="str" cm="1">
        <f t="array" ref="H219">_xlfn.IFS(Lektionen[[#This Row],[Bearbeitungsdauer_abgewichen]]&gt;0.6,"viel länger",Lektionen[[#This Row],[Bearbeitungsdauer_abgewichen]]&gt;0.3,"länger",Lektionen[[#This Row],[Bearbeitungsdauer_abgewichen]]&lt;-0.3,"kürzer",TRUE,"keine Abweichung")</f>
        <v>keine Abweichung</v>
      </c>
      <c r="I219">
        <v>2</v>
      </c>
    </row>
    <row r="220" spans="1:9" hidden="1" x14ac:dyDescent="0.3">
      <c r="A220" s="13">
        <v>32</v>
      </c>
      <c r="B220" s="4">
        <v>3</v>
      </c>
      <c r="C220" t="s">
        <v>552</v>
      </c>
      <c r="D220" t="s">
        <v>530</v>
      </c>
      <c r="E220">
        <v>30</v>
      </c>
      <c r="F220">
        <v>30</v>
      </c>
      <c r="G220" s="8">
        <f>Lektionen[[#This Row],[Bearbeitungsdauer_real]]/Lektionen[[#This Row],[Bearbeitungsdauer_geschätzt]]-1</f>
        <v>0</v>
      </c>
      <c r="H220" s="8" t="str" cm="1">
        <f t="array" ref="H220">_xlfn.IFS(Lektionen[[#This Row],[Bearbeitungsdauer_abgewichen]]&gt;0.6,"viel länger",Lektionen[[#This Row],[Bearbeitungsdauer_abgewichen]]&gt;0.3,"länger",Lektionen[[#This Row],[Bearbeitungsdauer_abgewichen]]&lt;-0.3,"kürzer",TRUE,"keine Abweichung")</f>
        <v>keine Abweichung</v>
      </c>
      <c r="I220">
        <v>3</v>
      </c>
    </row>
    <row r="221" spans="1:9" hidden="1" x14ac:dyDescent="0.3">
      <c r="A221" s="13">
        <v>32</v>
      </c>
      <c r="B221" s="4">
        <v>4</v>
      </c>
      <c r="C221" t="s">
        <v>531</v>
      </c>
      <c r="D221" t="s">
        <v>530</v>
      </c>
      <c r="E221">
        <v>30</v>
      </c>
      <c r="F221">
        <v>26</v>
      </c>
      <c r="G221" s="8">
        <f>Lektionen[[#This Row],[Bearbeitungsdauer_real]]/Lektionen[[#This Row],[Bearbeitungsdauer_geschätzt]]-1</f>
        <v>-0.1333333333333333</v>
      </c>
      <c r="H221" s="8" t="str" cm="1">
        <f t="array" ref="H221">_xlfn.IFS(Lektionen[[#This Row],[Bearbeitungsdauer_abgewichen]]&gt;0.6,"viel länger",Lektionen[[#This Row],[Bearbeitungsdauer_abgewichen]]&gt;0.3,"länger",Lektionen[[#This Row],[Bearbeitungsdauer_abgewichen]]&lt;-0.3,"kürzer",TRUE,"keine Abweichung")</f>
        <v>keine Abweichung</v>
      </c>
      <c r="I221">
        <v>3</v>
      </c>
    </row>
    <row r="222" spans="1:9" x14ac:dyDescent="0.3">
      <c r="A222" s="13">
        <v>32</v>
      </c>
      <c r="B222" s="4">
        <v>5</v>
      </c>
      <c r="C222" t="s">
        <v>532</v>
      </c>
      <c r="D222" t="s">
        <v>530</v>
      </c>
      <c r="E222">
        <v>30</v>
      </c>
      <c r="F222">
        <v>49</v>
      </c>
      <c r="G222" s="8">
        <f>Lektionen[[#This Row],[Bearbeitungsdauer_real]]/Lektionen[[#This Row],[Bearbeitungsdauer_geschätzt]]-1</f>
        <v>0.6333333333333333</v>
      </c>
      <c r="H222" s="8" t="str" cm="1">
        <f t="array" ref="H222">_xlfn.IFS(Lektionen[[#This Row],[Bearbeitungsdauer_abgewichen]]&gt;0.6,"viel länger",Lektionen[[#This Row],[Bearbeitungsdauer_abgewichen]]&gt;0.3,"länger",Lektionen[[#This Row],[Bearbeitungsdauer_abgewichen]]&lt;-0.3,"kürzer",TRUE,"keine Abweichung")</f>
        <v>viel länger</v>
      </c>
      <c r="I222">
        <v>4</v>
      </c>
    </row>
    <row r="223" spans="1:9" hidden="1" x14ac:dyDescent="0.3">
      <c r="A223" s="13">
        <v>32</v>
      </c>
      <c r="B223" s="4">
        <v>6</v>
      </c>
      <c r="C223" t="s">
        <v>533</v>
      </c>
      <c r="D223" t="s">
        <v>534</v>
      </c>
      <c r="E223">
        <v>5</v>
      </c>
      <c r="F223">
        <v>2</v>
      </c>
      <c r="G223" s="8">
        <f>Lektionen[[#This Row],[Bearbeitungsdauer_real]]/Lektionen[[#This Row],[Bearbeitungsdauer_geschätzt]]-1</f>
        <v>-0.6</v>
      </c>
      <c r="H223" s="8" t="str" cm="1">
        <f t="array" ref="H223">_xlfn.IFS(Lektionen[[#This Row],[Bearbeitungsdauer_abgewichen]]&gt;0.6,"viel länger",Lektionen[[#This Row],[Bearbeitungsdauer_abgewichen]]&gt;0.3,"länger",Lektionen[[#This Row],[Bearbeitungsdauer_abgewichen]]&lt;-0.3,"kürzer",TRUE,"keine Abweichung")</f>
        <v>kürzer</v>
      </c>
      <c r="I223">
        <v>1</v>
      </c>
    </row>
    <row r="224" spans="1:9" hidden="1" x14ac:dyDescent="0.3">
      <c r="A224" s="13">
        <v>32</v>
      </c>
      <c r="B224" s="4">
        <v>7</v>
      </c>
      <c r="C224" t="s">
        <v>535</v>
      </c>
      <c r="D224" t="s">
        <v>536</v>
      </c>
      <c r="E224">
        <v>10</v>
      </c>
      <c r="F224">
        <v>9</v>
      </c>
      <c r="G224" s="8">
        <f>Lektionen[[#This Row],[Bearbeitungsdauer_real]]/Lektionen[[#This Row],[Bearbeitungsdauer_geschätzt]]-1</f>
        <v>-9.9999999999999978E-2</v>
      </c>
      <c r="H224" s="8" t="str" cm="1">
        <f t="array" ref="H224">_xlfn.IFS(Lektionen[[#This Row],[Bearbeitungsdauer_abgewichen]]&gt;0.6,"viel länger",Lektionen[[#This Row],[Bearbeitungsdauer_abgewichen]]&gt;0.3,"länger",Lektionen[[#This Row],[Bearbeitungsdauer_abgewichen]]&lt;-0.3,"kürzer",TRUE,"keine Abweichung")</f>
        <v>keine Abweichung</v>
      </c>
      <c r="I224">
        <v>4</v>
      </c>
    </row>
    <row r="225" spans="1:9" hidden="1" x14ac:dyDescent="0.3">
      <c r="A225" s="13">
        <v>32</v>
      </c>
      <c r="B225" s="4">
        <v>8</v>
      </c>
      <c r="C225" t="s">
        <v>537</v>
      </c>
      <c r="D225" t="s">
        <v>527</v>
      </c>
      <c r="E225">
        <v>5</v>
      </c>
      <c r="F225">
        <v>5</v>
      </c>
      <c r="G225" s="8">
        <f>Lektionen[[#This Row],[Bearbeitungsdauer_real]]/Lektionen[[#This Row],[Bearbeitungsdauer_geschätzt]]-1</f>
        <v>0</v>
      </c>
      <c r="H225" s="8" t="str" cm="1">
        <f t="array" ref="H225">_xlfn.IFS(Lektionen[[#This Row],[Bearbeitungsdauer_abgewichen]]&gt;0.6,"viel länger",Lektionen[[#This Row],[Bearbeitungsdauer_abgewichen]]&gt;0.3,"länger",Lektionen[[#This Row],[Bearbeitungsdauer_abgewichen]]&lt;-0.3,"kürzer",TRUE,"keine Abweichung")</f>
        <v>keine Abweichung</v>
      </c>
      <c r="I225">
        <v>1</v>
      </c>
    </row>
    <row r="226" spans="1:9" hidden="1" x14ac:dyDescent="0.3">
      <c r="A226" s="13">
        <v>33</v>
      </c>
      <c r="B226" s="4">
        <v>1</v>
      </c>
      <c r="C226" t="s">
        <v>526</v>
      </c>
      <c r="D226" t="s">
        <v>527</v>
      </c>
      <c r="E226">
        <v>4</v>
      </c>
      <c r="F226">
        <v>5</v>
      </c>
      <c r="G226" s="8">
        <f>Lektionen[[#This Row],[Bearbeitungsdauer_real]]/Lektionen[[#This Row],[Bearbeitungsdauer_geschätzt]]-1</f>
        <v>0.25</v>
      </c>
      <c r="H226" s="8" t="str" cm="1">
        <f t="array" ref="H226">_xlfn.IFS(Lektionen[[#This Row],[Bearbeitungsdauer_abgewichen]]&gt;0.6,"viel länger",Lektionen[[#This Row],[Bearbeitungsdauer_abgewichen]]&gt;0.3,"länger",Lektionen[[#This Row],[Bearbeitungsdauer_abgewichen]]&lt;-0.3,"kürzer",TRUE,"keine Abweichung")</f>
        <v>keine Abweichung</v>
      </c>
      <c r="I226">
        <v>1</v>
      </c>
    </row>
    <row r="227" spans="1:9" hidden="1" x14ac:dyDescent="0.3">
      <c r="A227" s="13">
        <v>33</v>
      </c>
      <c r="B227" s="4">
        <v>2</v>
      </c>
      <c r="C227" t="s">
        <v>528</v>
      </c>
      <c r="D227" t="s">
        <v>529</v>
      </c>
      <c r="E227">
        <v>15</v>
      </c>
      <c r="F227">
        <v>17</v>
      </c>
      <c r="G227" s="8">
        <f>Lektionen[[#This Row],[Bearbeitungsdauer_real]]/Lektionen[[#This Row],[Bearbeitungsdauer_geschätzt]]-1</f>
        <v>0.1333333333333333</v>
      </c>
      <c r="H227" s="8" t="str" cm="1">
        <f t="array" ref="H227">_xlfn.IFS(Lektionen[[#This Row],[Bearbeitungsdauer_abgewichen]]&gt;0.6,"viel länger",Lektionen[[#This Row],[Bearbeitungsdauer_abgewichen]]&gt;0.3,"länger",Lektionen[[#This Row],[Bearbeitungsdauer_abgewichen]]&lt;-0.3,"kürzer",TRUE,"keine Abweichung")</f>
        <v>keine Abweichung</v>
      </c>
      <c r="I227">
        <v>1</v>
      </c>
    </row>
    <row r="228" spans="1:9" hidden="1" x14ac:dyDescent="0.3">
      <c r="A228" s="13">
        <v>33</v>
      </c>
      <c r="B228" s="4">
        <v>3</v>
      </c>
      <c r="C228" t="s">
        <v>552</v>
      </c>
      <c r="D228" t="s">
        <v>530</v>
      </c>
      <c r="E228">
        <v>30</v>
      </c>
      <c r="F228">
        <v>30</v>
      </c>
      <c r="G228" s="8">
        <f>Lektionen[[#This Row],[Bearbeitungsdauer_real]]/Lektionen[[#This Row],[Bearbeitungsdauer_geschätzt]]-1</f>
        <v>0</v>
      </c>
      <c r="H228" s="8" t="str" cm="1">
        <f t="array" ref="H228">_xlfn.IFS(Lektionen[[#This Row],[Bearbeitungsdauer_abgewichen]]&gt;0.6,"viel länger",Lektionen[[#This Row],[Bearbeitungsdauer_abgewichen]]&gt;0.3,"länger",Lektionen[[#This Row],[Bearbeitungsdauer_abgewichen]]&lt;-0.3,"kürzer",TRUE,"keine Abweichung")</f>
        <v>keine Abweichung</v>
      </c>
      <c r="I228">
        <v>3</v>
      </c>
    </row>
    <row r="229" spans="1:9" hidden="1" x14ac:dyDescent="0.3">
      <c r="A229" s="13">
        <v>33</v>
      </c>
      <c r="B229" s="4">
        <v>4</v>
      </c>
      <c r="C229" t="s">
        <v>531</v>
      </c>
      <c r="D229" t="s">
        <v>530</v>
      </c>
      <c r="E229">
        <v>30</v>
      </c>
      <c r="F229">
        <v>23</v>
      </c>
      <c r="G229" s="8">
        <f>Lektionen[[#This Row],[Bearbeitungsdauer_real]]/Lektionen[[#This Row],[Bearbeitungsdauer_geschätzt]]-1</f>
        <v>-0.23333333333333328</v>
      </c>
      <c r="H229" s="8" t="str" cm="1">
        <f t="array" ref="H229">_xlfn.IFS(Lektionen[[#This Row],[Bearbeitungsdauer_abgewichen]]&gt;0.6,"viel länger",Lektionen[[#This Row],[Bearbeitungsdauer_abgewichen]]&gt;0.3,"länger",Lektionen[[#This Row],[Bearbeitungsdauer_abgewichen]]&lt;-0.3,"kürzer",TRUE,"keine Abweichung")</f>
        <v>keine Abweichung</v>
      </c>
      <c r="I229">
        <v>3</v>
      </c>
    </row>
    <row r="230" spans="1:9" x14ac:dyDescent="0.3">
      <c r="A230" s="13">
        <v>33</v>
      </c>
      <c r="B230" s="4">
        <v>5</v>
      </c>
      <c r="C230" t="s">
        <v>532</v>
      </c>
      <c r="D230" t="s">
        <v>530</v>
      </c>
      <c r="E230">
        <v>30</v>
      </c>
      <c r="F230">
        <v>46</v>
      </c>
      <c r="G230" s="8">
        <f>Lektionen[[#This Row],[Bearbeitungsdauer_real]]/Lektionen[[#This Row],[Bearbeitungsdauer_geschätzt]]-1</f>
        <v>0.53333333333333344</v>
      </c>
      <c r="H230" s="8" t="str" cm="1">
        <f t="array" ref="H230">_xlfn.IFS(Lektionen[[#This Row],[Bearbeitungsdauer_abgewichen]]&gt;0.6,"viel länger",Lektionen[[#This Row],[Bearbeitungsdauer_abgewichen]]&gt;0.3,"länger",Lektionen[[#This Row],[Bearbeitungsdauer_abgewichen]]&lt;-0.3,"kürzer",TRUE,"keine Abweichung")</f>
        <v>länger</v>
      </c>
      <c r="I230">
        <v>4</v>
      </c>
    </row>
    <row r="231" spans="1:9" hidden="1" x14ac:dyDescent="0.3">
      <c r="A231" s="13">
        <v>33</v>
      </c>
      <c r="B231" s="4">
        <v>6</v>
      </c>
      <c r="C231" t="s">
        <v>533</v>
      </c>
      <c r="D231" t="s">
        <v>534</v>
      </c>
      <c r="E231">
        <v>5</v>
      </c>
      <c r="F231">
        <v>1</v>
      </c>
      <c r="G231" s="8">
        <f>Lektionen[[#This Row],[Bearbeitungsdauer_real]]/Lektionen[[#This Row],[Bearbeitungsdauer_geschätzt]]-1</f>
        <v>-0.8</v>
      </c>
      <c r="H231" s="8" t="str" cm="1">
        <f t="array" ref="H231">_xlfn.IFS(Lektionen[[#This Row],[Bearbeitungsdauer_abgewichen]]&gt;0.6,"viel länger",Lektionen[[#This Row],[Bearbeitungsdauer_abgewichen]]&gt;0.3,"länger",Lektionen[[#This Row],[Bearbeitungsdauer_abgewichen]]&lt;-0.3,"kürzer",TRUE,"keine Abweichung")</f>
        <v>kürzer</v>
      </c>
      <c r="I231">
        <v>2</v>
      </c>
    </row>
    <row r="232" spans="1:9" hidden="1" x14ac:dyDescent="0.3">
      <c r="A232" s="13">
        <v>33</v>
      </c>
      <c r="B232" s="4">
        <v>7</v>
      </c>
      <c r="C232" t="s">
        <v>535</v>
      </c>
      <c r="D232" t="s">
        <v>536</v>
      </c>
      <c r="E232">
        <v>10</v>
      </c>
      <c r="F232">
        <v>11</v>
      </c>
      <c r="G232" s="8">
        <f>Lektionen[[#This Row],[Bearbeitungsdauer_real]]/Lektionen[[#This Row],[Bearbeitungsdauer_geschätzt]]-1</f>
        <v>0.10000000000000009</v>
      </c>
      <c r="H232" s="8" t="str" cm="1">
        <f t="array" ref="H232">_xlfn.IFS(Lektionen[[#This Row],[Bearbeitungsdauer_abgewichen]]&gt;0.6,"viel länger",Lektionen[[#This Row],[Bearbeitungsdauer_abgewichen]]&gt;0.3,"länger",Lektionen[[#This Row],[Bearbeitungsdauer_abgewichen]]&lt;-0.3,"kürzer",TRUE,"keine Abweichung")</f>
        <v>keine Abweichung</v>
      </c>
      <c r="I232">
        <v>4</v>
      </c>
    </row>
    <row r="233" spans="1:9" hidden="1" x14ac:dyDescent="0.3">
      <c r="A233" s="13">
        <v>33</v>
      </c>
      <c r="B233" s="4">
        <v>8</v>
      </c>
      <c r="C233" t="s">
        <v>537</v>
      </c>
      <c r="D233" t="s">
        <v>527</v>
      </c>
      <c r="E233">
        <v>5</v>
      </c>
      <c r="F233">
        <v>5</v>
      </c>
      <c r="G233" s="8">
        <f>Lektionen[[#This Row],[Bearbeitungsdauer_real]]/Lektionen[[#This Row],[Bearbeitungsdauer_geschätzt]]-1</f>
        <v>0</v>
      </c>
      <c r="H233" s="8" t="str" cm="1">
        <f t="array" ref="H233">_xlfn.IFS(Lektionen[[#This Row],[Bearbeitungsdauer_abgewichen]]&gt;0.6,"viel länger",Lektionen[[#This Row],[Bearbeitungsdauer_abgewichen]]&gt;0.3,"länger",Lektionen[[#This Row],[Bearbeitungsdauer_abgewichen]]&lt;-0.3,"kürzer",TRUE,"keine Abweichung")</f>
        <v>keine Abweichung</v>
      </c>
      <c r="I233">
        <v>1</v>
      </c>
    </row>
    <row r="234" spans="1:9" hidden="1" x14ac:dyDescent="0.3">
      <c r="A234" s="13">
        <v>34</v>
      </c>
      <c r="B234" s="4">
        <v>1</v>
      </c>
      <c r="C234" t="s">
        <v>526</v>
      </c>
      <c r="D234" t="s">
        <v>527</v>
      </c>
      <c r="E234">
        <v>4</v>
      </c>
      <c r="F234">
        <v>4</v>
      </c>
      <c r="G234" s="8">
        <f>Lektionen[[#This Row],[Bearbeitungsdauer_real]]/Lektionen[[#This Row],[Bearbeitungsdauer_geschätzt]]-1</f>
        <v>0</v>
      </c>
      <c r="H234" s="8" t="str" cm="1">
        <f t="array" ref="H234">_xlfn.IFS(Lektionen[[#This Row],[Bearbeitungsdauer_abgewichen]]&gt;0.6,"viel länger",Lektionen[[#This Row],[Bearbeitungsdauer_abgewichen]]&gt;0.3,"länger",Lektionen[[#This Row],[Bearbeitungsdauer_abgewichen]]&lt;-0.3,"kürzer",TRUE,"keine Abweichung")</f>
        <v>keine Abweichung</v>
      </c>
      <c r="I234">
        <v>1</v>
      </c>
    </row>
    <row r="235" spans="1:9" hidden="1" x14ac:dyDescent="0.3">
      <c r="A235" s="13">
        <v>34</v>
      </c>
      <c r="B235" s="4">
        <v>2</v>
      </c>
      <c r="C235" t="s">
        <v>528</v>
      </c>
      <c r="D235" t="s">
        <v>529</v>
      </c>
      <c r="E235">
        <v>15</v>
      </c>
      <c r="F235">
        <v>15</v>
      </c>
      <c r="G235" s="8">
        <f>Lektionen[[#This Row],[Bearbeitungsdauer_real]]/Lektionen[[#This Row],[Bearbeitungsdauer_geschätzt]]-1</f>
        <v>0</v>
      </c>
      <c r="H235" s="8" t="str" cm="1">
        <f t="array" ref="H235">_xlfn.IFS(Lektionen[[#This Row],[Bearbeitungsdauer_abgewichen]]&gt;0.6,"viel länger",Lektionen[[#This Row],[Bearbeitungsdauer_abgewichen]]&gt;0.3,"länger",Lektionen[[#This Row],[Bearbeitungsdauer_abgewichen]]&lt;-0.3,"kürzer",TRUE,"keine Abweichung")</f>
        <v>keine Abweichung</v>
      </c>
      <c r="I235">
        <v>1</v>
      </c>
    </row>
    <row r="236" spans="1:9" hidden="1" x14ac:dyDescent="0.3">
      <c r="A236" s="13">
        <v>34</v>
      </c>
      <c r="B236" s="4">
        <v>3</v>
      </c>
      <c r="C236" t="s">
        <v>552</v>
      </c>
      <c r="D236" t="s">
        <v>530</v>
      </c>
      <c r="E236">
        <v>30</v>
      </c>
      <c r="F236">
        <v>28</v>
      </c>
      <c r="G236" s="8">
        <f>Lektionen[[#This Row],[Bearbeitungsdauer_real]]/Lektionen[[#This Row],[Bearbeitungsdauer_geschätzt]]-1</f>
        <v>-6.6666666666666652E-2</v>
      </c>
      <c r="H236" s="8" t="str" cm="1">
        <f t="array" ref="H236">_xlfn.IFS(Lektionen[[#This Row],[Bearbeitungsdauer_abgewichen]]&gt;0.6,"viel länger",Lektionen[[#This Row],[Bearbeitungsdauer_abgewichen]]&gt;0.3,"länger",Lektionen[[#This Row],[Bearbeitungsdauer_abgewichen]]&lt;-0.3,"kürzer",TRUE,"keine Abweichung")</f>
        <v>keine Abweichung</v>
      </c>
      <c r="I236">
        <v>2</v>
      </c>
    </row>
    <row r="237" spans="1:9" hidden="1" x14ac:dyDescent="0.3">
      <c r="A237" s="13">
        <v>34</v>
      </c>
      <c r="B237" s="4">
        <v>4</v>
      </c>
      <c r="C237" t="s">
        <v>531</v>
      </c>
      <c r="D237" t="s">
        <v>530</v>
      </c>
      <c r="E237">
        <v>30</v>
      </c>
      <c r="F237">
        <v>17</v>
      </c>
      <c r="G237" s="8">
        <f>Lektionen[[#This Row],[Bearbeitungsdauer_real]]/Lektionen[[#This Row],[Bearbeitungsdauer_geschätzt]]-1</f>
        <v>-0.43333333333333335</v>
      </c>
      <c r="H237" s="8" t="str" cm="1">
        <f t="array" ref="H237">_xlfn.IFS(Lektionen[[#This Row],[Bearbeitungsdauer_abgewichen]]&gt;0.6,"viel länger",Lektionen[[#This Row],[Bearbeitungsdauer_abgewichen]]&gt;0.3,"länger",Lektionen[[#This Row],[Bearbeitungsdauer_abgewichen]]&lt;-0.3,"kürzer",TRUE,"keine Abweichung")</f>
        <v>kürzer</v>
      </c>
      <c r="I237">
        <v>3</v>
      </c>
    </row>
    <row r="238" spans="1:9" x14ac:dyDescent="0.3">
      <c r="A238" s="13">
        <v>34</v>
      </c>
      <c r="B238" s="4">
        <v>5</v>
      </c>
      <c r="C238" t="s">
        <v>532</v>
      </c>
      <c r="D238" t="s">
        <v>530</v>
      </c>
      <c r="E238">
        <v>30</v>
      </c>
      <c r="F238">
        <v>39</v>
      </c>
      <c r="G238" s="8">
        <f>Lektionen[[#This Row],[Bearbeitungsdauer_real]]/Lektionen[[#This Row],[Bearbeitungsdauer_geschätzt]]-1</f>
        <v>0.30000000000000004</v>
      </c>
      <c r="H238" s="8" t="str" cm="1">
        <f t="array" ref="H238">_xlfn.IFS(Lektionen[[#This Row],[Bearbeitungsdauer_abgewichen]]&gt;0.6,"viel länger",Lektionen[[#This Row],[Bearbeitungsdauer_abgewichen]]&gt;0.3,"länger",Lektionen[[#This Row],[Bearbeitungsdauer_abgewichen]]&lt;-0.3,"kürzer",TRUE,"keine Abweichung")</f>
        <v>keine Abweichung</v>
      </c>
      <c r="I238">
        <v>4</v>
      </c>
    </row>
    <row r="239" spans="1:9" hidden="1" x14ac:dyDescent="0.3">
      <c r="A239" s="13">
        <v>34</v>
      </c>
      <c r="B239" s="4">
        <v>6</v>
      </c>
      <c r="C239" t="s">
        <v>533</v>
      </c>
      <c r="D239" t="s">
        <v>534</v>
      </c>
      <c r="E239">
        <v>5</v>
      </c>
      <c r="F239">
        <v>1</v>
      </c>
      <c r="G239" s="8">
        <f>Lektionen[[#This Row],[Bearbeitungsdauer_real]]/Lektionen[[#This Row],[Bearbeitungsdauer_geschätzt]]-1</f>
        <v>-0.8</v>
      </c>
      <c r="H239" s="8" t="str" cm="1">
        <f t="array" ref="H239">_xlfn.IFS(Lektionen[[#This Row],[Bearbeitungsdauer_abgewichen]]&gt;0.6,"viel länger",Lektionen[[#This Row],[Bearbeitungsdauer_abgewichen]]&gt;0.3,"länger",Lektionen[[#This Row],[Bearbeitungsdauer_abgewichen]]&lt;-0.3,"kürzer",TRUE,"keine Abweichung")</f>
        <v>kürzer</v>
      </c>
      <c r="I239">
        <v>3</v>
      </c>
    </row>
    <row r="240" spans="1:9" hidden="1" x14ac:dyDescent="0.3">
      <c r="A240" s="13">
        <v>34</v>
      </c>
      <c r="B240" s="4">
        <v>7</v>
      </c>
      <c r="C240" t="s">
        <v>535</v>
      </c>
      <c r="D240" t="s">
        <v>536</v>
      </c>
      <c r="E240">
        <v>10</v>
      </c>
      <c r="F240">
        <v>9</v>
      </c>
      <c r="G240" s="8">
        <f>Lektionen[[#This Row],[Bearbeitungsdauer_real]]/Lektionen[[#This Row],[Bearbeitungsdauer_geschätzt]]-1</f>
        <v>-9.9999999999999978E-2</v>
      </c>
      <c r="H240" s="8" t="str" cm="1">
        <f t="array" ref="H240">_xlfn.IFS(Lektionen[[#This Row],[Bearbeitungsdauer_abgewichen]]&gt;0.6,"viel länger",Lektionen[[#This Row],[Bearbeitungsdauer_abgewichen]]&gt;0.3,"länger",Lektionen[[#This Row],[Bearbeitungsdauer_abgewichen]]&lt;-0.3,"kürzer",TRUE,"keine Abweichung")</f>
        <v>keine Abweichung</v>
      </c>
      <c r="I240">
        <v>3</v>
      </c>
    </row>
    <row r="241" spans="1:9" hidden="1" x14ac:dyDescent="0.3">
      <c r="A241" s="13">
        <v>34</v>
      </c>
      <c r="B241" s="4">
        <v>8</v>
      </c>
      <c r="C241" t="s">
        <v>537</v>
      </c>
      <c r="D241" t="s">
        <v>527</v>
      </c>
      <c r="E241">
        <v>5</v>
      </c>
      <c r="F241">
        <v>5</v>
      </c>
      <c r="G241" s="8">
        <f>Lektionen[[#This Row],[Bearbeitungsdauer_real]]/Lektionen[[#This Row],[Bearbeitungsdauer_geschätzt]]-1</f>
        <v>0</v>
      </c>
      <c r="H241" s="8" t="str" cm="1">
        <f t="array" ref="H241">_xlfn.IFS(Lektionen[[#This Row],[Bearbeitungsdauer_abgewichen]]&gt;0.6,"viel länger",Lektionen[[#This Row],[Bearbeitungsdauer_abgewichen]]&gt;0.3,"länger",Lektionen[[#This Row],[Bearbeitungsdauer_abgewichen]]&lt;-0.3,"kürzer",TRUE,"keine Abweichung")</f>
        <v>keine Abweichung</v>
      </c>
      <c r="I241">
        <v>1</v>
      </c>
    </row>
    <row r="242" spans="1:9" hidden="1" x14ac:dyDescent="0.3">
      <c r="A242" s="13">
        <v>36</v>
      </c>
      <c r="B242" s="4">
        <v>1</v>
      </c>
      <c r="C242" t="s">
        <v>526</v>
      </c>
      <c r="D242" t="s">
        <v>527</v>
      </c>
      <c r="E242">
        <v>4</v>
      </c>
      <c r="F242">
        <v>4</v>
      </c>
      <c r="G242" s="8">
        <f>Lektionen[[#This Row],[Bearbeitungsdauer_real]]/Lektionen[[#This Row],[Bearbeitungsdauer_geschätzt]]-1</f>
        <v>0</v>
      </c>
      <c r="H242" s="8" t="str" cm="1">
        <f t="array" ref="H242">_xlfn.IFS(Lektionen[[#This Row],[Bearbeitungsdauer_abgewichen]]&gt;0.6,"viel länger",Lektionen[[#This Row],[Bearbeitungsdauer_abgewichen]]&gt;0.3,"länger",Lektionen[[#This Row],[Bearbeitungsdauer_abgewichen]]&lt;-0.3,"kürzer",TRUE,"keine Abweichung")</f>
        <v>keine Abweichung</v>
      </c>
      <c r="I242">
        <v>1</v>
      </c>
    </row>
    <row r="243" spans="1:9" hidden="1" x14ac:dyDescent="0.3">
      <c r="A243" s="13">
        <v>36</v>
      </c>
      <c r="B243" s="4">
        <v>2</v>
      </c>
      <c r="C243" t="s">
        <v>528</v>
      </c>
      <c r="D243" t="s">
        <v>529</v>
      </c>
      <c r="E243">
        <v>15</v>
      </c>
      <c r="F243">
        <v>18</v>
      </c>
      <c r="G243" s="8">
        <f>Lektionen[[#This Row],[Bearbeitungsdauer_real]]/Lektionen[[#This Row],[Bearbeitungsdauer_geschätzt]]-1</f>
        <v>0.19999999999999996</v>
      </c>
      <c r="H243" s="8" t="str" cm="1">
        <f t="array" ref="H243">_xlfn.IFS(Lektionen[[#This Row],[Bearbeitungsdauer_abgewichen]]&gt;0.6,"viel länger",Lektionen[[#This Row],[Bearbeitungsdauer_abgewichen]]&gt;0.3,"länger",Lektionen[[#This Row],[Bearbeitungsdauer_abgewichen]]&lt;-0.3,"kürzer",TRUE,"keine Abweichung")</f>
        <v>keine Abweichung</v>
      </c>
      <c r="I243">
        <v>2</v>
      </c>
    </row>
    <row r="244" spans="1:9" hidden="1" x14ac:dyDescent="0.3">
      <c r="A244" s="13">
        <v>36</v>
      </c>
      <c r="B244" s="4">
        <v>3</v>
      </c>
      <c r="C244" t="s">
        <v>552</v>
      </c>
      <c r="D244" t="s">
        <v>530</v>
      </c>
      <c r="E244">
        <v>30</v>
      </c>
      <c r="F244">
        <v>30</v>
      </c>
      <c r="G244" s="8">
        <f>Lektionen[[#This Row],[Bearbeitungsdauer_real]]/Lektionen[[#This Row],[Bearbeitungsdauer_geschätzt]]-1</f>
        <v>0</v>
      </c>
      <c r="H244" s="8" t="str" cm="1">
        <f t="array" ref="H244">_xlfn.IFS(Lektionen[[#This Row],[Bearbeitungsdauer_abgewichen]]&gt;0.6,"viel länger",Lektionen[[#This Row],[Bearbeitungsdauer_abgewichen]]&gt;0.3,"länger",Lektionen[[#This Row],[Bearbeitungsdauer_abgewichen]]&lt;-0.3,"kürzer",TRUE,"keine Abweichung")</f>
        <v>keine Abweichung</v>
      </c>
      <c r="I244">
        <v>2</v>
      </c>
    </row>
    <row r="245" spans="1:9" hidden="1" x14ac:dyDescent="0.3">
      <c r="A245" s="13">
        <v>36</v>
      </c>
      <c r="B245" s="4">
        <v>4</v>
      </c>
      <c r="C245" t="s">
        <v>531</v>
      </c>
      <c r="D245" t="s">
        <v>530</v>
      </c>
      <c r="E245">
        <v>30</v>
      </c>
      <c r="F245">
        <v>31</v>
      </c>
      <c r="G245" s="8">
        <f>Lektionen[[#This Row],[Bearbeitungsdauer_real]]/Lektionen[[#This Row],[Bearbeitungsdauer_geschätzt]]-1</f>
        <v>3.3333333333333437E-2</v>
      </c>
      <c r="H245" s="8" t="str" cm="1">
        <f t="array" ref="H245">_xlfn.IFS(Lektionen[[#This Row],[Bearbeitungsdauer_abgewichen]]&gt;0.6,"viel länger",Lektionen[[#This Row],[Bearbeitungsdauer_abgewichen]]&gt;0.3,"länger",Lektionen[[#This Row],[Bearbeitungsdauer_abgewichen]]&lt;-0.3,"kürzer",TRUE,"keine Abweichung")</f>
        <v>keine Abweichung</v>
      </c>
      <c r="I245">
        <v>3</v>
      </c>
    </row>
    <row r="246" spans="1:9" x14ac:dyDescent="0.3">
      <c r="A246" s="13">
        <v>36</v>
      </c>
      <c r="B246" s="4">
        <v>5</v>
      </c>
      <c r="C246" t="s">
        <v>532</v>
      </c>
      <c r="D246" t="s">
        <v>530</v>
      </c>
      <c r="E246">
        <v>30</v>
      </c>
      <c r="F246">
        <v>45</v>
      </c>
      <c r="G246" s="8">
        <f>Lektionen[[#This Row],[Bearbeitungsdauer_real]]/Lektionen[[#This Row],[Bearbeitungsdauer_geschätzt]]-1</f>
        <v>0.5</v>
      </c>
      <c r="H246" s="8" t="str" cm="1">
        <f t="array" ref="H246">_xlfn.IFS(Lektionen[[#This Row],[Bearbeitungsdauer_abgewichen]]&gt;0.6,"viel länger",Lektionen[[#This Row],[Bearbeitungsdauer_abgewichen]]&gt;0.3,"länger",Lektionen[[#This Row],[Bearbeitungsdauer_abgewichen]]&lt;-0.3,"kürzer",TRUE,"keine Abweichung")</f>
        <v>länger</v>
      </c>
      <c r="I246">
        <v>3</v>
      </c>
    </row>
    <row r="247" spans="1:9" hidden="1" x14ac:dyDescent="0.3">
      <c r="A247" s="13">
        <v>36</v>
      </c>
      <c r="B247" s="4">
        <v>6</v>
      </c>
      <c r="C247" t="s">
        <v>533</v>
      </c>
      <c r="D247" t="s">
        <v>534</v>
      </c>
      <c r="E247">
        <v>5</v>
      </c>
      <c r="F247">
        <v>1</v>
      </c>
      <c r="G247" s="8">
        <f>Lektionen[[#This Row],[Bearbeitungsdauer_real]]/Lektionen[[#This Row],[Bearbeitungsdauer_geschätzt]]-1</f>
        <v>-0.8</v>
      </c>
      <c r="H247" s="8" t="str" cm="1">
        <f t="array" ref="H247">_xlfn.IFS(Lektionen[[#This Row],[Bearbeitungsdauer_abgewichen]]&gt;0.6,"viel länger",Lektionen[[#This Row],[Bearbeitungsdauer_abgewichen]]&gt;0.3,"länger",Lektionen[[#This Row],[Bearbeitungsdauer_abgewichen]]&lt;-0.3,"kürzer",TRUE,"keine Abweichung")</f>
        <v>kürzer</v>
      </c>
      <c r="I247">
        <v>2</v>
      </c>
    </row>
    <row r="248" spans="1:9" hidden="1" x14ac:dyDescent="0.3">
      <c r="A248" s="13">
        <v>36</v>
      </c>
      <c r="B248" s="4">
        <v>7</v>
      </c>
      <c r="C248" t="s">
        <v>535</v>
      </c>
      <c r="D248" t="s">
        <v>536</v>
      </c>
      <c r="E248">
        <v>10</v>
      </c>
      <c r="F248">
        <v>12</v>
      </c>
      <c r="G248" s="8">
        <f>Lektionen[[#This Row],[Bearbeitungsdauer_real]]/Lektionen[[#This Row],[Bearbeitungsdauer_geschätzt]]-1</f>
        <v>0.19999999999999996</v>
      </c>
      <c r="H248" s="8" t="str" cm="1">
        <f t="array" ref="H248">_xlfn.IFS(Lektionen[[#This Row],[Bearbeitungsdauer_abgewichen]]&gt;0.6,"viel länger",Lektionen[[#This Row],[Bearbeitungsdauer_abgewichen]]&gt;0.3,"länger",Lektionen[[#This Row],[Bearbeitungsdauer_abgewichen]]&lt;-0.3,"kürzer",TRUE,"keine Abweichung")</f>
        <v>keine Abweichung</v>
      </c>
      <c r="I248">
        <v>4</v>
      </c>
    </row>
    <row r="249" spans="1:9" hidden="1" x14ac:dyDescent="0.3">
      <c r="A249" s="13">
        <v>36</v>
      </c>
      <c r="B249" s="4">
        <v>8</v>
      </c>
      <c r="C249" t="s">
        <v>537</v>
      </c>
      <c r="D249" t="s">
        <v>527</v>
      </c>
      <c r="E249">
        <v>5</v>
      </c>
      <c r="F249">
        <v>5</v>
      </c>
      <c r="G249" s="8">
        <f>Lektionen[[#This Row],[Bearbeitungsdauer_real]]/Lektionen[[#This Row],[Bearbeitungsdauer_geschätzt]]-1</f>
        <v>0</v>
      </c>
      <c r="H249" s="8" t="str" cm="1">
        <f t="array" ref="H249">_xlfn.IFS(Lektionen[[#This Row],[Bearbeitungsdauer_abgewichen]]&gt;0.6,"viel länger",Lektionen[[#This Row],[Bearbeitungsdauer_abgewichen]]&gt;0.3,"länger",Lektionen[[#This Row],[Bearbeitungsdauer_abgewichen]]&lt;-0.3,"kürzer",TRUE,"keine Abweichung")</f>
        <v>keine Abweichung</v>
      </c>
      <c r="I249">
        <v>1</v>
      </c>
    </row>
    <row r="250" spans="1:9" hidden="1" x14ac:dyDescent="0.3">
      <c r="A250" s="13">
        <v>37</v>
      </c>
      <c r="B250" s="4">
        <v>1</v>
      </c>
      <c r="C250" t="s">
        <v>526</v>
      </c>
      <c r="D250" t="s">
        <v>527</v>
      </c>
      <c r="E250">
        <v>4</v>
      </c>
      <c r="F250">
        <v>4</v>
      </c>
      <c r="G250" s="8">
        <f>Lektionen[[#This Row],[Bearbeitungsdauer_real]]/Lektionen[[#This Row],[Bearbeitungsdauer_geschätzt]]-1</f>
        <v>0</v>
      </c>
      <c r="H250" s="8" t="str" cm="1">
        <f t="array" ref="H250">_xlfn.IFS(Lektionen[[#This Row],[Bearbeitungsdauer_abgewichen]]&gt;0.6,"viel länger",Lektionen[[#This Row],[Bearbeitungsdauer_abgewichen]]&gt;0.3,"länger",Lektionen[[#This Row],[Bearbeitungsdauer_abgewichen]]&lt;-0.3,"kürzer",TRUE,"keine Abweichung")</f>
        <v>keine Abweichung</v>
      </c>
      <c r="I250">
        <v>1</v>
      </c>
    </row>
    <row r="251" spans="1:9" hidden="1" x14ac:dyDescent="0.3">
      <c r="A251" s="13">
        <v>37</v>
      </c>
      <c r="B251" s="4">
        <v>2</v>
      </c>
      <c r="C251" t="s">
        <v>528</v>
      </c>
      <c r="D251" t="s">
        <v>529</v>
      </c>
      <c r="E251">
        <v>15</v>
      </c>
      <c r="F251">
        <v>20</v>
      </c>
      <c r="G251" s="8">
        <f>Lektionen[[#This Row],[Bearbeitungsdauer_real]]/Lektionen[[#This Row],[Bearbeitungsdauer_geschätzt]]-1</f>
        <v>0.33333333333333326</v>
      </c>
      <c r="H251" s="8" t="str" cm="1">
        <f t="array" ref="H251">_xlfn.IFS(Lektionen[[#This Row],[Bearbeitungsdauer_abgewichen]]&gt;0.6,"viel länger",Lektionen[[#This Row],[Bearbeitungsdauer_abgewichen]]&gt;0.3,"länger",Lektionen[[#This Row],[Bearbeitungsdauer_abgewichen]]&lt;-0.3,"kürzer",TRUE,"keine Abweichung")</f>
        <v>länger</v>
      </c>
      <c r="I251">
        <v>1</v>
      </c>
    </row>
    <row r="252" spans="1:9" hidden="1" x14ac:dyDescent="0.3">
      <c r="A252" s="13">
        <v>37</v>
      </c>
      <c r="B252" s="4">
        <v>3</v>
      </c>
      <c r="C252" t="s">
        <v>552</v>
      </c>
      <c r="D252" t="s">
        <v>530</v>
      </c>
      <c r="E252">
        <v>30</v>
      </c>
      <c r="F252">
        <v>29</v>
      </c>
      <c r="G252" s="8">
        <f>Lektionen[[#This Row],[Bearbeitungsdauer_real]]/Lektionen[[#This Row],[Bearbeitungsdauer_geschätzt]]-1</f>
        <v>-3.3333333333333326E-2</v>
      </c>
      <c r="H252" s="8" t="str" cm="1">
        <f t="array" ref="H252">_xlfn.IFS(Lektionen[[#This Row],[Bearbeitungsdauer_abgewichen]]&gt;0.6,"viel länger",Lektionen[[#This Row],[Bearbeitungsdauer_abgewichen]]&gt;0.3,"länger",Lektionen[[#This Row],[Bearbeitungsdauer_abgewichen]]&lt;-0.3,"kürzer",TRUE,"keine Abweichung")</f>
        <v>keine Abweichung</v>
      </c>
      <c r="I252">
        <v>2</v>
      </c>
    </row>
    <row r="253" spans="1:9" hidden="1" x14ac:dyDescent="0.3">
      <c r="A253" s="13">
        <v>37</v>
      </c>
      <c r="B253" s="4">
        <v>4</v>
      </c>
      <c r="C253" t="s">
        <v>531</v>
      </c>
      <c r="D253" t="s">
        <v>530</v>
      </c>
      <c r="E253">
        <v>30</v>
      </c>
      <c r="F253">
        <v>25</v>
      </c>
      <c r="G253" s="8">
        <f>Lektionen[[#This Row],[Bearbeitungsdauer_real]]/Lektionen[[#This Row],[Bearbeitungsdauer_geschätzt]]-1</f>
        <v>-0.16666666666666663</v>
      </c>
      <c r="H253" s="8" t="str" cm="1">
        <f t="array" ref="H253">_xlfn.IFS(Lektionen[[#This Row],[Bearbeitungsdauer_abgewichen]]&gt;0.6,"viel länger",Lektionen[[#This Row],[Bearbeitungsdauer_abgewichen]]&gt;0.3,"länger",Lektionen[[#This Row],[Bearbeitungsdauer_abgewichen]]&lt;-0.3,"kürzer",TRUE,"keine Abweichung")</f>
        <v>keine Abweichung</v>
      </c>
      <c r="I253">
        <v>3</v>
      </c>
    </row>
    <row r="254" spans="1:9" x14ac:dyDescent="0.3">
      <c r="A254" s="13">
        <v>37</v>
      </c>
      <c r="B254" s="4">
        <v>5</v>
      </c>
      <c r="C254" t="s">
        <v>532</v>
      </c>
      <c r="D254" t="s">
        <v>530</v>
      </c>
      <c r="E254">
        <v>30</v>
      </c>
      <c r="F254">
        <v>41</v>
      </c>
      <c r="G254" s="8">
        <f>Lektionen[[#This Row],[Bearbeitungsdauer_real]]/Lektionen[[#This Row],[Bearbeitungsdauer_geschätzt]]-1</f>
        <v>0.3666666666666667</v>
      </c>
      <c r="H254" s="8" t="str" cm="1">
        <f t="array" ref="H254">_xlfn.IFS(Lektionen[[#This Row],[Bearbeitungsdauer_abgewichen]]&gt;0.6,"viel länger",Lektionen[[#This Row],[Bearbeitungsdauer_abgewichen]]&gt;0.3,"länger",Lektionen[[#This Row],[Bearbeitungsdauer_abgewichen]]&lt;-0.3,"kürzer",TRUE,"keine Abweichung")</f>
        <v>länger</v>
      </c>
      <c r="I254">
        <v>4</v>
      </c>
    </row>
    <row r="255" spans="1:9" hidden="1" x14ac:dyDescent="0.3">
      <c r="A255" s="13">
        <v>37</v>
      </c>
      <c r="B255" s="4">
        <v>6</v>
      </c>
      <c r="C255" t="s">
        <v>533</v>
      </c>
      <c r="D255" t="s">
        <v>534</v>
      </c>
      <c r="E255">
        <v>5</v>
      </c>
      <c r="F255">
        <v>2</v>
      </c>
      <c r="G255" s="8">
        <f>Lektionen[[#This Row],[Bearbeitungsdauer_real]]/Lektionen[[#This Row],[Bearbeitungsdauer_geschätzt]]-1</f>
        <v>-0.6</v>
      </c>
      <c r="H255" s="8" t="str" cm="1">
        <f t="array" ref="H255">_xlfn.IFS(Lektionen[[#This Row],[Bearbeitungsdauer_abgewichen]]&gt;0.6,"viel länger",Lektionen[[#This Row],[Bearbeitungsdauer_abgewichen]]&gt;0.3,"länger",Lektionen[[#This Row],[Bearbeitungsdauer_abgewichen]]&lt;-0.3,"kürzer",TRUE,"keine Abweichung")</f>
        <v>kürzer</v>
      </c>
      <c r="I255">
        <v>2</v>
      </c>
    </row>
    <row r="256" spans="1:9" hidden="1" x14ac:dyDescent="0.3">
      <c r="A256" s="13">
        <v>37</v>
      </c>
      <c r="B256" s="4">
        <v>7</v>
      </c>
      <c r="C256" t="s">
        <v>535</v>
      </c>
      <c r="D256" t="s">
        <v>536</v>
      </c>
      <c r="E256">
        <v>10</v>
      </c>
      <c r="F256">
        <v>8</v>
      </c>
      <c r="G256" s="8">
        <f>Lektionen[[#This Row],[Bearbeitungsdauer_real]]/Lektionen[[#This Row],[Bearbeitungsdauer_geschätzt]]-1</f>
        <v>-0.19999999999999996</v>
      </c>
      <c r="H256" s="8" t="str" cm="1">
        <f t="array" ref="H256">_xlfn.IFS(Lektionen[[#This Row],[Bearbeitungsdauer_abgewichen]]&gt;0.6,"viel länger",Lektionen[[#This Row],[Bearbeitungsdauer_abgewichen]]&gt;0.3,"länger",Lektionen[[#This Row],[Bearbeitungsdauer_abgewichen]]&lt;-0.3,"kürzer",TRUE,"keine Abweichung")</f>
        <v>keine Abweichung</v>
      </c>
      <c r="I256">
        <v>3</v>
      </c>
    </row>
    <row r="257" spans="1:9" hidden="1" x14ac:dyDescent="0.3">
      <c r="A257" s="13">
        <v>37</v>
      </c>
      <c r="B257" s="4">
        <v>8</v>
      </c>
      <c r="C257" t="s">
        <v>537</v>
      </c>
      <c r="D257" t="s">
        <v>527</v>
      </c>
      <c r="E257">
        <v>5</v>
      </c>
      <c r="F257">
        <v>5</v>
      </c>
      <c r="G257" s="8">
        <f>Lektionen[[#This Row],[Bearbeitungsdauer_real]]/Lektionen[[#This Row],[Bearbeitungsdauer_geschätzt]]-1</f>
        <v>0</v>
      </c>
      <c r="H257" s="8" t="str" cm="1">
        <f t="array" ref="H257">_xlfn.IFS(Lektionen[[#This Row],[Bearbeitungsdauer_abgewichen]]&gt;0.6,"viel länger",Lektionen[[#This Row],[Bearbeitungsdauer_abgewichen]]&gt;0.3,"länger",Lektionen[[#This Row],[Bearbeitungsdauer_abgewichen]]&lt;-0.3,"kürzer",TRUE,"keine Abweichung")</f>
        <v>keine Abweichung</v>
      </c>
      <c r="I257">
        <v>1</v>
      </c>
    </row>
    <row r="258" spans="1:9" hidden="1" x14ac:dyDescent="0.3">
      <c r="A258" s="13">
        <v>38</v>
      </c>
      <c r="B258" s="4">
        <v>1</v>
      </c>
      <c r="C258" t="s">
        <v>526</v>
      </c>
      <c r="D258" t="s">
        <v>527</v>
      </c>
      <c r="E258">
        <v>4</v>
      </c>
      <c r="F258">
        <v>4</v>
      </c>
      <c r="G258" s="8">
        <f>Lektionen[[#This Row],[Bearbeitungsdauer_real]]/Lektionen[[#This Row],[Bearbeitungsdauer_geschätzt]]-1</f>
        <v>0</v>
      </c>
      <c r="H258" s="8" t="str" cm="1">
        <f t="array" ref="H258">_xlfn.IFS(Lektionen[[#This Row],[Bearbeitungsdauer_abgewichen]]&gt;0.6,"viel länger",Lektionen[[#This Row],[Bearbeitungsdauer_abgewichen]]&gt;0.3,"länger",Lektionen[[#This Row],[Bearbeitungsdauer_abgewichen]]&lt;-0.3,"kürzer",TRUE,"keine Abweichung")</f>
        <v>keine Abweichung</v>
      </c>
      <c r="I258">
        <v>1</v>
      </c>
    </row>
    <row r="259" spans="1:9" hidden="1" x14ac:dyDescent="0.3">
      <c r="A259" s="13">
        <v>38</v>
      </c>
      <c r="B259" s="4">
        <v>2</v>
      </c>
      <c r="C259" t="s">
        <v>528</v>
      </c>
      <c r="D259" t="s">
        <v>529</v>
      </c>
      <c r="E259">
        <v>15</v>
      </c>
      <c r="F259">
        <v>16</v>
      </c>
      <c r="G259" s="8">
        <f>Lektionen[[#This Row],[Bearbeitungsdauer_real]]/Lektionen[[#This Row],[Bearbeitungsdauer_geschätzt]]-1</f>
        <v>6.6666666666666652E-2</v>
      </c>
      <c r="H259" s="8" t="str" cm="1">
        <f t="array" ref="H259">_xlfn.IFS(Lektionen[[#This Row],[Bearbeitungsdauer_abgewichen]]&gt;0.6,"viel länger",Lektionen[[#This Row],[Bearbeitungsdauer_abgewichen]]&gt;0.3,"länger",Lektionen[[#This Row],[Bearbeitungsdauer_abgewichen]]&lt;-0.3,"kürzer",TRUE,"keine Abweichung")</f>
        <v>keine Abweichung</v>
      </c>
      <c r="I259">
        <v>2</v>
      </c>
    </row>
    <row r="260" spans="1:9" hidden="1" x14ac:dyDescent="0.3">
      <c r="A260" s="13">
        <v>38</v>
      </c>
      <c r="B260" s="4">
        <v>3</v>
      </c>
      <c r="C260" t="s">
        <v>552</v>
      </c>
      <c r="D260" t="s">
        <v>530</v>
      </c>
      <c r="E260">
        <v>30</v>
      </c>
      <c r="F260">
        <v>28</v>
      </c>
      <c r="G260" s="8">
        <f>Lektionen[[#This Row],[Bearbeitungsdauer_real]]/Lektionen[[#This Row],[Bearbeitungsdauer_geschätzt]]-1</f>
        <v>-6.6666666666666652E-2</v>
      </c>
      <c r="H260" s="8" t="str" cm="1">
        <f t="array" ref="H260">_xlfn.IFS(Lektionen[[#This Row],[Bearbeitungsdauer_abgewichen]]&gt;0.6,"viel länger",Lektionen[[#This Row],[Bearbeitungsdauer_abgewichen]]&gt;0.3,"länger",Lektionen[[#This Row],[Bearbeitungsdauer_abgewichen]]&lt;-0.3,"kürzer",TRUE,"keine Abweichung")</f>
        <v>keine Abweichung</v>
      </c>
      <c r="I260">
        <v>3</v>
      </c>
    </row>
    <row r="261" spans="1:9" hidden="1" x14ac:dyDescent="0.3">
      <c r="A261" s="13">
        <v>38</v>
      </c>
      <c r="B261" s="4">
        <v>4</v>
      </c>
      <c r="C261" t="s">
        <v>531</v>
      </c>
      <c r="D261" t="s">
        <v>530</v>
      </c>
      <c r="E261">
        <v>30</v>
      </c>
      <c r="F261">
        <v>23</v>
      </c>
      <c r="G261" s="8">
        <f>Lektionen[[#This Row],[Bearbeitungsdauer_real]]/Lektionen[[#This Row],[Bearbeitungsdauer_geschätzt]]-1</f>
        <v>-0.23333333333333328</v>
      </c>
      <c r="H261" s="8" t="str" cm="1">
        <f t="array" ref="H261">_xlfn.IFS(Lektionen[[#This Row],[Bearbeitungsdauer_abgewichen]]&gt;0.6,"viel länger",Lektionen[[#This Row],[Bearbeitungsdauer_abgewichen]]&gt;0.3,"länger",Lektionen[[#This Row],[Bearbeitungsdauer_abgewichen]]&lt;-0.3,"kürzer",TRUE,"keine Abweichung")</f>
        <v>keine Abweichung</v>
      </c>
      <c r="I261">
        <v>2</v>
      </c>
    </row>
    <row r="262" spans="1:9" x14ac:dyDescent="0.3">
      <c r="A262" s="13">
        <v>38</v>
      </c>
      <c r="B262" s="4">
        <v>5</v>
      </c>
      <c r="C262" t="s">
        <v>532</v>
      </c>
      <c r="D262" t="s">
        <v>530</v>
      </c>
      <c r="E262">
        <v>30</v>
      </c>
      <c r="F262">
        <v>43</v>
      </c>
      <c r="G262" s="8">
        <f>Lektionen[[#This Row],[Bearbeitungsdauer_real]]/Lektionen[[#This Row],[Bearbeitungsdauer_geschätzt]]-1</f>
        <v>0.43333333333333335</v>
      </c>
      <c r="H262" s="8" t="str" cm="1">
        <f t="array" ref="H262">_xlfn.IFS(Lektionen[[#This Row],[Bearbeitungsdauer_abgewichen]]&gt;0.6,"viel länger",Lektionen[[#This Row],[Bearbeitungsdauer_abgewichen]]&gt;0.3,"länger",Lektionen[[#This Row],[Bearbeitungsdauer_abgewichen]]&lt;-0.3,"kürzer",TRUE,"keine Abweichung")</f>
        <v>länger</v>
      </c>
      <c r="I262">
        <v>5</v>
      </c>
    </row>
    <row r="263" spans="1:9" hidden="1" x14ac:dyDescent="0.3">
      <c r="A263" s="13">
        <v>38</v>
      </c>
      <c r="B263" s="4">
        <v>6</v>
      </c>
      <c r="C263" t="s">
        <v>533</v>
      </c>
      <c r="D263" t="s">
        <v>534</v>
      </c>
      <c r="E263">
        <v>5</v>
      </c>
      <c r="F263">
        <v>1</v>
      </c>
      <c r="G263" s="8">
        <f>Lektionen[[#This Row],[Bearbeitungsdauer_real]]/Lektionen[[#This Row],[Bearbeitungsdauer_geschätzt]]-1</f>
        <v>-0.8</v>
      </c>
      <c r="H263" s="8" t="str" cm="1">
        <f t="array" ref="H263">_xlfn.IFS(Lektionen[[#This Row],[Bearbeitungsdauer_abgewichen]]&gt;0.6,"viel länger",Lektionen[[#This Row],[Bearbeitungsdauer_abgewichen]]&gt;0.3,"länger",Lektionen[[#This Row],[Bearbeitungsdauer_abgewichen]]&lt;-0.3,"kürzer",TRUE,"keine Abweichung")</f>
        <v>kürzer</v>
      </c>
      <c r="I263">
        <v>2</v>
      </c>
    </row>
    <row r="264" spans="1:9" hidden="1" x14ac:dyDescent="0.3">
      <c r="A264" s="13">
        <v>38</v>
      </c>
      <c r="B264" s="4">
        <v>7</v>
      </c>
      <c r="C264" t="s">
        <v>535</v>
      </c>
      <c r="D264" t="s">
        <v>536</v>
      </c>
      <c r="E264">
        <v>10</v>
      </c>
      <c r="F264">
        <v>9</v>
      </c>
      <c r="G264" s="8">
        <f>Lektionen[[#This Row],[Bearbeitungsdauer_real]]/Lektionen[[#This Row],[Bearbeitungsdauer_geschätzt]]-1</f>
        <v>-9.9999999999999978E-2</v>
      </c>
      <c r="H264" s="8" t="str" cm="1">
        <f t="array" ref="H264">_xlfn.IFS(Lektionen[[#This Row],[Bearbeitungsdauer_abgewichen]]&gt;0.6,"viel länger",Lektionen[[#This Row],[Bearbeitungsdauer_abgewichen]]&gt;0.3,"länger",Lektionen[[#This Row],[Bearbeitungsdauer_abgewichen]]&lt;-0.3,"kürzer",TRUE,"keine Abweichung")</f>
        <v>keine Abweichung</v>
      </c>
      <c r="I264">
        <v>3</v>
      </c>
    </row>
    <row r="265" spans="1:9" hidden="1" x14ac:dyDescent="0.3">
      <c r="A265" s="13">
        <v>38</v>
      </c>
      <c r="B265" s="4">
        <v>8</v>
      </c>
      <c r="C265" t="s">
        <v>537</v>
      </c>
      <c r="D265" t="s">
        <v>527</v>
      </c>
      <c r="E265">
        <v>5</v>
      </c>
      <c r="F265">
        <v>7</v>
      </c>
      <c r="G265" s="8">
        <f>Lektionen[[#This Row],[Bearbeitungsdauer_real]]/Lektionen[[#This Row],[Bearbeitungsdauer_geschätzt]]-1</f>
        <v>0.39999999999999991</v>
      </c>
      <c r="H265" s="8" t="str" cm="1">
        <f t="array" ref="H265">_xlfn.IFS(Lektionen[[#This Row],[Bearbeitungsdauer_abgewichen]]&gt;0.6,"viel länger",Lektionen[[#This Row],[Bearbeitungsdauer_abgewichen]]&gt;0.3,"länger",Lektionen[[#This Row],[Bearbeitungsdauer_abgewichen]]&lt;-0.3,"kürzer",TRUE,"keine Abweichung")</f>
        <v>länger</v>
      </c>
      <c r="I265">
        <v>1</v>
      </c>
    </row>
    <row r="266" spans="1:9" hidden="1" x14ac:dyDescent="0.3">
      <c r="A266" s="13">
        <v>39</v>
      </c>
      <c r="B266" s="4">
        <v>1</v>
      </c>
      <c r="C266" t="s">
        <v>526</v>
      </c>
      <c r="D266" t="s">
        <v>527</v>
      </c>
      <c r="E266">
        <v>4</v>
      </c>
      <c r="F266">
        <v>4</v>
      </c>
      <c r="G266" s="8">
        <f>Lektionen[[#This Row],[Bearbeitungsdauer_real]]/Lektionen[[#This Row],[Bearbeitungsdauer_geschätzt]]-1</f>
        <v>0</v>
      </c>
      <c r="H266" s="8" t="str" cm="1">
        <f t="array" ref="H266">_xlfn.IFS(Lektionen[[#This Row],[Bearbeitungsdauer_abgewichen]]&gt;0.6,"viel länger",Lektionen[[#This Row],[Bearbeitungsdauer_abgewichen]]&gt;0.3,"länger",Lektionen[[#This Row],[Bearbeitungsdauer_abgewichen]]&lt;-0.3,"kürzer",TRUE,"keine Abweichung")</f>
        <v>keine Abweichung</v>
      </c>
      <c r="I266">
        <v>1</v>
      </c>
    </row>
    <row r="267" spans="1:9" hidden="1" x14ac:dyDescent="0.3">
      <c r="A267" s="13">
        <v>39</v>
      </c>
      <c r="B267" s="4">
        <v>2</v>
      </c>
      <c r="C267" t="s">
        <v>528</v>
      </c>
      <c r="D267" t="s">
        <v>529</v>
      </c>
      <c r="E267">
        <v>15</v>
      </c>
      <c r="F267">
        <v>20</v>
      </c>
      <c r="G267" s="8">
        <f>Lektionen[[#This Row],[Bearbeitungsdauer_real]]/Lektionen[[#This Row],[Bearbeitungsdauer_geschätzt]]-1</f>
        <v>0.33333333333333326</v>
      </c>
      <c r="H267" s="8" t="str" cm="1">
        <f t="array" ref="H267">_xlfn.IFS(Lektionen[[#This Row],[Bearbeitungsdauer_abgewichen]]&gt;0.6,"viel länger",Lektionen[[#This Row],[Bearbeitungsdauer_abgewichen]]&gt;0.3,"länger",Lektionen[[#This Row],[Bearbeitungsdauer_abgewichen]]&lt;-0.3,"kürzer",TRUE,"keine Abweichung")</f>
        <v>länger</v>
      </c>
      <c r="I267">
        <v>1</v>
      </c>
    </row>
    <row r="268" spans="1:9" hidden="1" x14ac:dyDescent="0.3">
      <c r="A268" s="13">
        <v>39</v>
      </c>
      <c r="B268" s="4">
        <v>3</v>
      </c>
      <c r="C268" t="s">
        <v>552</v>
      </c>
      <c r="D268" t="s">
        <v>530</v>
      </c>
      <c r="E268">
        <v>30</v>
      </c>
      <c r="F268">
        <v>29</v>
      </c>
      <c r="G268" s="8">
        <f>Lektionen[[#This Row],[Bearbeitungsdauer_real]]/Lektionen[[#This Row],[Bearbeitungsdauer_geschätzt]]-1</f>
        <v>-3.3333333333333326E-2</v>
      </c>
      <c r="H268" s="8" t="str" cm="1">
        <f t="array" ref="H268">_xlfn.IFS(Lektionen[[#This Row],[Bearbeitungsdauer_abgewichen]]&gt;0.6,"viel länger",Lektionen[[#This Row],[Bearbeitungsdauer_abgewichen]]&gt;0.3,"länger",Lektionen[[#This Row],[Bearbeitungsdauer_abgewichen]]&lt;-0.3,"kürzer",TRUE,"keine Abweichung")</f>
        <v>keine Abweichung</v>
      </c>
      <c r="I268">
        <v>3</v>
      </c>
    </row>
    <row r="269" spans="1:9" hidden="1" x14ac:dyDescent="0.3">
      <c r="A269" s="13">
        <v>39</v>
      </c>
      <c r="B269" s="4">
        <v>4</v>
      </c>
      <c r="C269" t="s">
        <v>531</v>
      </c>
      <c r="D269" t="s">
        <v>530</v>
      </c>
      <c r="E269">
        <v>30</v>
      </c>
      <c r="F269">
        <v>22</v>
      </c>
      <c r="G269" s="8">
        <f>Lektionen[[#This Row],[Bearbeitungsdauer_real]]/Lektionen[[#This Row],[Bearbeitungsdauer_geschätzt]]-1</f>
        <v>-0.26666666666666672</v>
      </c>
      <c r="H269" s="8" t="str" cm="1">
        <f t="array" ref="H269">_xlfn.IFS(Lektionen[[#This Row],[Bearbeitungsdauer_abgewichen]]&gt;0.6,"viel länger",Lektionen[[#This Row],[Bearbeitungsdauer_abgewichen]]&gt;0.3,"länger",Lektionen[[#This Row],[Bearbeitungsdauer_abgewichen]]&lt;-0.3,"kürzer",TRUE,"keine Abweichung")</f>
        <v>keine Abweichung</v>
      </c>
      <c r="I269">
        <v>3</v>
      </c>
    </row>
    <row r="270" spans="1:9" x14ac:dyDescent="0.3">
      <c r="A270" s="13">
        <v>39</v>
      </c>
      <c r="B270" s="4">
        <v>5</v>
      </c>
      <c r="C270" t="s">
        <v>532</v>
      </c>
      <c r="D270" t="s">
        <v>530</v>
      </c>
      <c r="E270">
        <v>30</v>
      </c>
      <c r="F270">
        <v>44</v>
      </c>
      <c r="G270" s="8">
        <f>Lektionen[[#This Row],[Bearbeitungsdauer_real]]/Lektionen[[#This Row],[Bearbeitungsdauer_geschätzt]]-1</f>
        <v>0.46666666666666656</v>
      </c>
      <c r="H270" s="8" t="str" cm="1">
        <f t="array" ref="H270">_xlfn.IFS(Lektionen[[#This Row],[Bearbeitungsdauer_abgewichen]]&gt;0.6,"viel länger",Lektionen[[#This Row],[Bearbeitungsdauer_abgewichen]]&gt;0.3,"länger",Lektionen[[#This Row],[Bearbeitungsdauer_abgewichen]]&lt;-0.3,"kürzer",TRUE,"keine Abweichung")</f>
        <v>länger</v>
      </c>
      <c r="I270">
        <v>3</v>
      </c>
    </row>
    <row r="271" spans="1:9" hidden="1" x14ac:dyDescent="0.3">
      <c r="A271" s="13">
        <v>39</v>
      </c>
      <c r="B271" s="4">
        <v>6</v>
      </c>
      <c r="C271" t="s">
        <v>533</v>
      </c>
      <c r="D271" t="s">
        <v>534</v>
      </c>
      <c r="E271">
        <v>5</v>
      </c>
      <c r="F271">
        <v>1</v>
      </c>
      <c r="G271" s="8">
        <f>Lektionen[[#This Row],[Bearbeitungsdauer_real]]/Lektionen[[#This Row],[Bearbeitungsdauer_geschätzt]]-1</f>
        <v>-0.8</v>
      </c>
      <c r="H271" s="8" t="str" cm="1">
        <f t="array" ref="H271">_xlfn.IFS(Lektionen[[#This Row],[Bearbeitungsdauer_abgewichen]]&gt;0.6,"viel länger",Lektionen[[#This Row],[Bearbeitungsdauer_abgewichen]]&gt;0.3,"länger",Lektionen[[#This Row],[Bearbeitungsdauer_abgewichen]]&lt;-0.3,"kürzer",TRUE,"keine Abweichung")</f>
        <v>kürzer</v>
      </c>
      <c r="I271">
        <v>2</v>
      </c>
    </row>
    <row r="272" spans="1:9" hidden="1" x14ac:dyDescent="0.3">
      <c r="A272" s="13">
        <v>39</v>
      </c>
      <c r="B272" s="4">
        <v>7</v>
      </c>
      <c r="C272" t="s">
        <v>535</v>
      </c>
      <c r="D272" t="s">
        <v>536</v>
      </c>
      <c r="E272">
        <v>10</v>
      </c>
      <c r="F272">
        <v>9</v>
      </c>
      <c r="G272" s="8">
        <f>Lektionen[[#This Row],[Bearbeitungsdauer_real]]/Lektionen[[#This Row],[Bearbeitungsdauer_geschätzt]]-1</f>
        <v>-9.9999999999999978E-2</v>
      </c>
      <c r="H272" s="8" t="str" cm="1">
        <f t="array" ref="H272">_xlfn.IFS(Lektionen[[#This Row],[Bearbeitungsdauer_abgewichen]]&gt;0.6,"viel länger",Lektionen[[#This Row],[Bearbeitungsdauer_abgewichen]]&gt;0.3,"länger",Lektionen[[#This Row],[Bearbeitungsdauer_abgewichen]]&lt;-0.3,"kürzer",TRUE,"keine Abweichung")</f>
        <v>keine Abweichung</v>
      </c>
      <c r="I272">
        <v>4</v>
      </c>
    </row>
    <row r="273" spans="1:9" hidden="1" x14ac:dyDescent="0.3">
      <c r="A273" s="13">
        <v>39</v>
      </c>
      <c r="B273" s="4">
        <v>8</v>
      </c>
      <c r="C273" t="s">
        <v>537</v>
      </c>
      <c r="D273" t="s">
        <v>527</v>
      </c>
      <c r="E273">
        <v>5</v>
      </c>
      <c r="F273">
        <v>5</v>
      </c>
      <c r="G273" s="8">
        <f>Lektionen[[#This Row],[Bearbeitungsdauer_real]]/Lektionen[[#This Row],[Bearbeitungsdauer_geschätzt]]-1</f>
        <v>0</v>
      </c>
      <c r="H273" s="8" t="str" cm="1">
        <f t="array" ref="H273">_xlfn.IFS(Lektionen[[#This Row],[Bearbeitungsdauer_abgewichen]]&gt;0.6,"viel länger",Lektionen[[#This Row],[Bearbeitungsdauer_abgewichen]]&gt;0.3,"länger",Lektionen[[#This Row],[Bearbeitungsdauer_abgewichen]]&lt;-0.3,"kürzer",TRUE,"keine Abweichung")</f>
        <v>keine Abweichung</v>
      </c>
      <c r="I273">
        <v>1</v>
      </c>
    </row>
    <row r="274" spans="1:9" hidden="1" x14ac:dyDescent="0.3">
      <c r="A274" s="13">
        <v>40</v>
      </c>
      <c r="B274" s="4">
        <v>1</v>
      </c>
      <c r="C274" t="s">
        <v>526</v>
      </c>
      <c r="D274" t="s">
        <v>527</v>
      </c>
      <c r="E274">
        <v>4</v>
      </c>
      <c r="F274">
        <v>4</v>
      </c>
      <c r="G274" s="8">
        <f>Lektionen[[#This Row],[Bearbeitungsdauer_real]]/Lektionen[[#This Row],[Bearbeitungsdauer_geschätzt]]-1</f>
        <v>0</v>
      </c>
      <c r="H274" s="8" t="str" cm="1">
        <f t="array" ref="H274">_xlfn.IFS(Lektionen[[#This Row],[Bearbeitungsdauer_abgewichen]]&gt;0.6,"viel länger",Lektionen[[#This Row],[Bearbeitungsdauer_abgewichen]]&gt;0.3,"länger",Lektionen[[#This Row],[Bearbeitungsdauer_abgewichen]]&lt;-0.3,"kürzer",TRUE,"keine Abweichung")</f>
        <v>keine Abweichung</v>
      </c>
      <c r="I274">
        <v>1</v>
      </c>
    </row>
    <row r="275" spans="1:9" hidden="1" x14ac:dyDescent="0.3">
      <c r="A275" s="13">
        <v>40</v>
      </c>
      <c r="B275" s="4">
        <v>2</v>
      </c>
      <c r="C275" t="s">
        <v>528</v>
      </c>
      <c r="D275" t="s">
        <v>529</v>
      </c>
      <c r="E275">
        <v>15</v>
      </c>
      <c r="F275">
        <v>18</v>
      </c>
      <c r="G275" s="8">
        <f>Lektionen[[#This Row],[Bearbeitungsdauer_real]]/Lektionen[[#This Row],[Bearbeitungsdauer_geschätzt]]-1</f>
        <v>0.19999999999999996</v>
      </c>
      <c r="H275" s="8" t="str" cm="1">
        <f t="array" ref="H275">_xlfn.IFS(Lektionen[[#This Row],[Bearbeitungsdauer_abgewichen]]&gt;0.6,"viel länger",Lektionen[[#This Row],[Bearbeitungsdauer_abgewichen]]&gt;0.3,"länger",Lektionen[[#This Row],[Bearbeitungsdauer_abgewichen]]&lt;-0.3,"kürzer",TRUE,"keine Abweichung")</f>
        <v>keine Abweichung</v>
      </c>
      <c r="I275">
        <v>1</v>
      </c>
    </row>
    <row r="276" spans="1:9" hidden="1" x14ac:dyDescent="0.3">
      <c r="A276" s="13">
        <v>40</v>
      </c>
      <c r="B276" s="4">
        <v>3</v>
      </c>
      <c r="C276" t="s">
        <v>552</v>
      </c>
      <c r="D276" t="s">
        <v>530</v>
      </c>
      <c r="E276">
        <v>30</v>
      </c>
      <c r="F276">
        <v>30</v>
      </c>
      <c r="G276" s="8">
        <f>Lektionen[[#This Row],[Bearbeitungsdauer_real]]/Lektionen[[#This Row],[Bearbeitungsdauer_geschätzt]]-1</f>
        <v>0</v>
      </c>
      <c r="H276" s="8" t="str" cm="1">
        <f t="array" ref="H276">_xlfn.IFS(Lektionen[[#This Row],[Bearbeitungsdauer_abgewichen]]&gt;0.6,"viel länger",Lektionen[[#This Row],[Bearbeitungsdauer_abgewichen]]&gt;0.3,"länger",Lektionen[[#This Row],[Bearbeitungsdauer_abgewichen]]&lt;-0.3,"kürzer",TRUE,"keine Abweichung")</f>
        <v>keine Abweichung</v>
      </c>
      <c r="I276">
        <v>3</v>
      </c>
    </row>
    <row r="277" spans="1:9" hidden="1" x14ac:dyDescent="0.3">
      <c r="A277" s="13">
        <v>40</v>
      </c>
      <c r="B277" s="4">
        <v>4</v>
      </c>
      <c r="C277" t="s">
        <v>531</v>
      </c>
      <c r="D277" t="s">
        <v>530</v>
      </c>
      <c r="E277">
        <v>30</v>
      </c>
      <c r="F277">
        <v>24</v>
      </c>
      <c r="G277" s="8">
        <f>Lektionen[[#This Row],[Bearbeitungsdauer_real]]/Lektionen[[#This Row],[Bearbeitungsdauer_geschätzt]]-1</f>
        <v>-0.19999999999999996</v>
      </c>
      <c r="H277" s="8" t="str" cm="1">
        <f t="array" ref="H277">_xlfn.IFS(Lektionen[[#This Row],[Bearbeitungsdauer_abgewichen]]&gt;0.6,"viel länger",Lektionen[[#This Row],[Bearbeitungsdauer_abgewichen]]&gt;0.3,"länger",Lektionen[[#This Row],[Bearbeitungsdauer_abgewichen]]&lt;-0.3,"kürzer",TRUE,"keine Abweichung")</f>
        <v>keine Abweichung</v>
      </c>
      <c r="I277">
        <v>3</v>
      </c>
    </row>
    <row r="278" spans="1:9" x14ac:dyDescent="0.3">
      <c r="A278" s="13">
        <v>40</v>
      </c>
      <c r="B278" s="4">
        <v>5</v>
      </c>
      <c r="C278" t="s">
        <v>532</v>
      </c>
      <c r="D278" t="s">
        <v>530</v>
      </c>
      <c r="E278">
        <v>30</v>
      </c>
      <c r="F278">
        <v>42</v>
      </c>
      <c r="G278" s="8">
        <f>Lektionen[[#This Row],[Bearbeitungsdauer_real]]/Lektionen[[#This Row],[Bearbeitungsdauer_geschätzt]]-1</f>
        <v>0.39999999999999991</v>
      </c>
      <c r="H278" s="8" t="str" cm="1">
        <f t="array" ref="H278">_xlfn.IFS(Lektionen[[#This Row],[Bearbeitungsdauer_abgewichen]]&gt;0.6,"viel länger",Lektionen[[#This Row],[Bearbeitungsdauer_abgewichen]]&gt;0.3,"länger",Lektionen[[#This Row],[Bearbeitungsdauer_abgewichen]]&lt;-0.3,"kürzer",TRUE,"keine Abweichung")</f>
        <v>länger</v>
      </c>
      <c r="I278">
        <v>3</v>
      </c>
    </row>
    <row r="279" spans="1:9" hidden="1" x14ac:dyDescent="0.3">
      <c r="A279" s="13">
        <v>40</v>
      </c>
      <c r="B279" s="4">
        <v>6</v>
      </c>
      <c r="C279" t="s">
        <v>533</v>
      </c>
      <c r="D279" t="s">
        <v>534</v>
      </c>
      <c r="E279">
        <v>5</v>
      </c>
      <c r="F279">
        <v>3</v>
      </c>
      <c r="G279" s="8">
        <f>Lektionen[[#This Row],[Bearbeitungsdauer_real]]/Lektionen[[#This Row],[Bearbeitungsdauer_geschätzt]]-1</f>
        <v>-0.4</v>
      </c>
      <c r="H279" s="8" t="str" cm="1">
        <f t="array" ref="H279">_xlfn.IFS(Lektionen[[#This Row],[Bearbeitungsdauer_abgewichen]]&gt;0.6,"viel länger",Lektionen[[#This Row],[Bearbeitungsdauer_abgewichen]]&gt;0.3,"länger",Lektionen[[#This Row],[Bearbeitungsdauer_abgewichen]]&lt;-0.3,"kürzer",TRUE,"keine Abweichung")</f>
        <v>kürzer</v>
      </c>
      <c r="I279">
        <v>1</v>
      </c>
    </row>
    <row r="280" spans="1:9" hidden="1" x14ac:dyDescent="0.3">
      <c r="A280" s="13">
        <v>40</v>
      </c>
      <c r="B280" s="4">
        <v>7</v>
      </c>
      <c r="C280" t="s">
        <v>535</v>
      </c>
      <c r="D280" t="s">
        <v>536</v>
      </c>
      <c r="E280">
        <v>10</v>
      </c>
      <c r="F280">
        <v>10</v>
      </c>
      <c r="G280" s="8">
        <f>Lektionen[[#This Row],[Bearbeitungsdauer_real]]/Lektionen[[#This Row],[Bearbeitungsdauer_geschätzt]]-1</f>
        <v>0</v>
      </c>
      <c r="H280" s="8" t="str" cm="1">
        <f t="array" ref="H280">_xlfn.IFS(Lektionen[[#This Row],[Bearbeitungsdauer_abgewichen]]&gt;0.6,"viel länger",Lektionen[[#This Row],[Bearbeitungsdauer_abgewichen]]&gt;0.3,"länger",Lektionen[[#This Row],[Bearbeitungsdauer_abgewichen]]&lt;-0.3,"kürzer",TRUE,"keine Abweichung")</f>
        <v>keine Abweichung</v>
      </c>
      <c r="I280">
        <v>3</v>
      </c>
    </row>
    <row r="281" spans="1:9" hidden="1" x14ac:dyDescent="0.3">
      <c r="A281" s="13">
        <v>40</v>
      </c>
      <c r="B281" s="4">
        <v>8</v>
      </c>
      <c r="C281" t="s">
        <v>537</v>
      </c>
      <c r="D281" t="s">
        <v>527</v>
      </c>
      <c r="E281">
        <v>5</v>
      </c>
      <c r="F281">
        <v>5</v>
      </c>
      <c r="G281" s="8">
        <f>Lektionen[[#This Row],[Bearbeitungsdauer_real]]/Lektionen[[#This Row],[Bearbeitungsdauer_geschätzt]]-1</f>
        <v>0</v>
      </c>
      <c r="H281" s="8" t="str" cm="1">
        <f t="array" ref="H281">_xlfn.IFS(Lektionen[[#This Row],[Bearbeitungsdauer_abgewichen]]&gt;0.6,"viel länger",Lektionen[[#This Row],[Bearbeitungsdauer_abgewichen]]&gt;0.3,"länger",Lektionen[[#This Row],[Bearbeitungsdauer_abgewichen]]&lt;-0.3,"kürzer",TRUE,"keine Abweichung")</f>
        <v>keine Abweichung</v>
      </c>
      <c r="I281">
        <v>1</v>
      </c>
    </row>
    <row r="282" spans="1:9" hidden="1" x14ac:dyDescent="0.3">
      <c r="A282" s="13">
        <v>41</v>
      </c>
      <c r="B282" s="4">
        <v>1</v>
      </c>
      <c r="C282" t="s">
        <v>526</v>
      </c>
      <c r="D282" t="s">
        <v>527</v>
      </c>
      <c r="E282">
        <v>4</v>
      </c>
      <c r="F282">
        <v>4</v>
      </c>
      <c r="G282" s="8">
        <f>Lektionen[[#This Row],[Bearbeitungsdauer_real]]/Lektionen[[#This Row],[Bearbeitungsdauer_geschätzt]]-1</f>
        <v>0</v>
      </c>
      <c r="H282" s="8" t="str" cm="1">
        <f t="array" ref="H282">_xlfn.IFS(Lektionen[[#This Row],[Bearbeitungsdauer_abgewichen]]&gt;0.6,"viel länger",Lektionen[[#This Row],[Bearbeitungsdauer_abgewichen]]&gt;0.3,"länger",Lektionen[[#This Row],[Bearbeitungsdauer_abgewichen]]&lt;-0.3,"kürzer",TRUE,"keine Abweichung")</f>
        <v>keine Abweichung</v>
      </c>
      <c r="I282">
        <v>1</v>
      </c>
    </row>
    <row r="283" spans="1:9" hidden="1" x14ac:dyDescent="0.3">
      <c r="A283" s="13">
        <v>41</v>
      </c>
      <c r="B283" s="4">
        <v>2</v>
      </c>
      <c r="C283" t="s">
        <v>528</v>
      </c>
      <c r="D283" t="s">
        <v>529</v>
      </c>
      <c r="E283">
        <v>15</v>
      </c>
      <c r="F283">
        <v>16</v>
      </c>
      <c r="G283" s="8">
        <f>Lektionen[[#This Row],[Bearbeitungsdauer_real]]/Lektionen[[#This Row],[Bearbeitungsdauer_geschätzt]]-1</f>
        <v>6.6666666666666652E-2</v>
      </c>
      <c r="H283" s="8" t="str" cm="1">
        <f t="array" ref="H283">_xlfn.IFS(Lektionen[[#This Row],[Bearbeitungsdauer_abgewichen]]&gt;0.6,"viel länger",Lektionen[[#This Row],[Bearbeitungsdauer_abgewichen]]&gt;0.3,"länger",Lektionen[[#This Row],[Bearbeitungsdauer_abgewichen]]&lt;-0.3,"kürzer",TRUE,"keine Abweichung")</f>
        <v>keine Abweichung</v>
      </c>
      <c r="I283">
        <v>1</v>
      </c>
    </row>
    <row r="284" spans="1:9" hidden="1" x14ac:dyDescent="0.3">
      <c r="A284" s="13">
        <v>41</v>
      </c>
      <c r="B284" s="4">
        <v>3</v>
      </c>
      <c r="C284" t="s">
        <v>552</v>
      </c>
      <c r="D284" t="s">
        <v>530</v>
      </c>
      <c r="E284">
        <v>30</v>
      </c>
      <c r="F284">
        <v>28</v>
      </c>
      <c r="G284" s="8">
        <f>Lektionen[[#This Row],[Bearbeitungsdauer_real]]/Lektionen[[#This Row],[Bearbeitungsdauer_geschätzt]]-1</f>
        <v>-6.6666666666666652E-2</v>
      </c>
      <c r="H284" s="8" t="str" cm="1">
        <f t="array" ref="H284">_xlfn.IFS(Lektionen[[#This Row],[Bearbeitungsdauer_abgewichen]]&gt;0.6,"viel länger",Lektionen[[#This Row],[Bearbeitungsdauer_abgewichen]]&gt;0.3,"länger",Lektionen[[#This Row],[Bearbeitungsdauer_abgewichen]]&lt;-0.3,"kürzer",TRUE,"keine Abweichung")</f>
        <v>keine Abweichung</v>
      </c>
      <c r="I284">
        <v>3</v>
      </c>
    </row>
    <row r="285" spans="1:9" hidden="1" x14ac:dyDescent="0.3">
      <c r="A285" s="13">
        <v>41</v>
      </c>
      <c r="B285" s="4">
        <v>4</v>
      </c>
      <c r="C285" t="s">
        <v>531</v>
      </c>
      <c r="D285" t="s">
        <v>530</v>
      </c>
      <c r="E285">
        <v>30</v>
      </c>
      <c r="F285">
        <v>23</v>
      </c>
      <c r="G285" s="8">
        <f>Lektionen[[#This Row],[Bearbeitungsdauer_real]]/Lektionen[[#This Row],[Bearbeitungsdauer_geschätzt]]-1</f>
        <v>-0.23333333333333328</v>
      </c>
      <c r="H285" s="8" t="str" cm="1">
        <f t="array" ref="H285">_xlfn.IFS(Lektionen[[#This Row],[Bearbeitungsdauer_abgewichen]]&gt;0.6,"viel länger",Lektionen[[#This Row],[Bearbeitungsdauer_abgewichen]]&gt;0.3,"länger",Lektionen[[#This Row],[Bearbeitungsdauer_abgewichen]]&lt;-0.3,"kürzer",TRUE,"keine Abweichung")</f>
        <v>keine Abweichung</v>
      </c>
      <c r="I285">
        <v>4</v>
      </c>
    </row>
    <row r="286" spans="1:9" x14ac:dyDescent="0.3">
      <c r="A286" s="13">
        <v>41</v>
      </c>
      <c r="B286" s="4">
        <v>5</v>
      </c>
      <c r="C286" t="s">
        <v>532</v>
      </c>
      <c r="D286" t="s">
        <v>530</v>
      </c>
      <c r="E286">
        <v>30</v>
      </c>
      <c r="F286">
        <v>35</v>
      </c>
      <c r="G286" s="8">
        <f>Lektionen[[#This Row],[Bearbeitungsdauer_real]]/Lektionen[[#This Row],[Bearbeitungsdauer_geschätzt]]-1</f>
        <v>0.16666666666666674</v>
      </c>
      <c r="H286" s="8" t="str" cm="1">
        <f t="array" ref="H286">_xlfn.IFS(Lektionen[[#This Row],[Bearbeitungsdauer_abgewichen]]&gt;0.6,"viel länger",Lektionen[[#This Row],[Bearbeitungsdauer_abgewichen]]&gt;0.3,"länger",Lektionen[[#This Row],[Bearbeitungsdauer_abgewichen]]&lt;-0.3,"kürzer",TRUE,"keine Abweichung")</f>
        <v>keine Abweichung</v>
      </c>
      <c r="I286">
        <v>4</v>
      </c>
    </row>
    <row r="287" spans="1:9" hidden="1" x14ac:dyDescent="0.3">
      <c r="A287" s="13">
        <v>41</v>
      </c>
      <c r="B287" s="4">
        <v>6</v>
      </c>
      <c r="C287" t="s">
        <v>533</v>
      </c>
      <c r="D287" t="s">
        <v>534</v>
      </c>
      <c r="E287">
        <v>5</v>
      </c>
      <c r="F287">
        <v>1</v>
      </c>
      <c r="G287" s="8">
        <f>Lektionen[[#This Row],[Bearbeitungsdauer_real]]/Lektionen[[#This Row],[Bearbeitungsdauer_geschätzt]]-1</f>
        <v>-0.8</v>
      </c>
      <c r="H287" s="8" t="str" cm="1">
        <f t="array" ref="H287">_xlfn.IFS(Lektionen[[#This Row],[Bearbeitungsdauer_abgewichen]]&gt;0.6,"viel länger",Lektionen[[#This Row],[Bearbeitungsdauer_abgewichen]]&gt;0.3,"länger",Lektionen[[#This Row],[Bearbeitungsdauer_abgewichen]]&lt;-0.3,"kürzer",TRUE,"keine Abweichung")</f>
        <v>kürzer</v>
      </c>
      <c r="I287">
        <v>2</v>
      </c>
    </row>
    <row r="288" spans="1:9" hidden="1" x14ac:dyDescent="0.3">
      <c r="A288" s="13">
        <v>41</v>
      </c>
      <c r="B288" s="4">
        <v>7</v>
      </c>
      <c r="C288" t="s">
        <v>535</v>
      </c>
      <c r="D288" t="s">
        <v>536</v>
      </c>
      <c r="E288">
        <v>10</v>
      </c>
      <c r="F288">
        <v>10</v>
      </c>
      <c r="G288" s="8">
        <f>Lektionen[[#This Row],[Bearbeitungsdauer_real]]/Lektionen[[#This Row],[Bearbeitungsdauer_geschätzt]]-1</f>
        <v>0</v>
      </c>
      <c r="H288" s="8" t="str" cm="1">
        <f t="array" ref="H288">_xlfn.IFS(Lektionen[[#This Row],[Bearbeitungsdauer_abgewichen]]&gt;0.6,"viel länger",Lektionen[[#This Row],[Bearbeitungsdauer_abgewichen]]&gt;0.3,"länger",Lektionen[[#This Row],[Bearbeitungsdauer_abgewichen]]&lt;-0.3,"kürzer",TRUE,"keine Abweichung")</f>
        <v>keine Abweichung</v>
      </c>
      <c r="I288">
        <v>3</v>
      </c>
    </row>
    <row r="289" spans="1:9" hidden="1" x14ac:dyDescent="0.3">
      <c r="A289" s="13">
        <v>41</v>
      </c>
      <c r="B289" s="4">
        <v>8</v>
      </c>
      <c r="C289" t="s">
        <v>537</v>
      </c>
      <c r="D289" t="s">
        <v>527</v>
      </c>
      <c r="E289">
        <v>5</v>
      </c>
      <c r="F289">
        <v>5</v>
      </c>
      <c r="G289" s="8">
        <f>Lektionen[[#This Row],[Bearbeitungsdauer_real]]/Lektionen[[#This Row],[Bearbeitungsdauer_geschätzt]]-1</f>
        <v>0</v>
      </c>
      <c r="H289" s="8" t="str" cm="1">
        <f t="array" ref="H289">_xlfn.IFS(Lektionen[[#This Row],[Bearbeitungsdauer_abgewichen]]&gt;0.6,"viel länger",Lektionen[[#This Row],[Bearbeitungsdauer_abgewichen]]&gt;0.3,"länger",Lektionen[[#This Row],[Bearbeitungsdauer_abgewichen]]&lt;-0.3,"kürzer",TRUE,"keine Abweichung")</f>
        <v>keine Abweichung</v>
      </c>
      <c r="I289">
        <v>1</v>
      </c>
    </row>
    <row r="290" spans="1:9" hidden="1" x14ac:dyDescent="0.3">
      <c r="A290" s="13">
        <v>42</v>
      </c>
      <c r="B290" s="4">
        <v>1</v>
      </c>
      <c r="C290" t="s">
        <v>526</v>
      </c>
      <c r="D290" t="s">
        <v>527</v>
      </c>
      <c r="E290">
        <v>4</v>
      </c>
      <c r="F290">
        <v>7</v>
      </c>
      <c r="G290" s="8">
        <f>Lektionen[[#This Row],[Bearbeitungsdauer_real]]/Lektionen[[#This Row],[Bearbeitungsdauer_geschätzt]]-1</f>
        <v>0.75</v>
      </c>
      <c r="H290" s="8" t="str" cm="1">
        <f t="array" ref="H290">_xlfn.IFS(Lektionen[[#This Row],[Bearbeitungsdauer_abgewichen]]&gt;0.6,"viel länger",Lektionen[[#This Row],[Bearbeitungsdauer_abgewichen]]&gt;0.3,"länger",Lektionen[[#This Row],[Bearbeitungsdauer_abgewichen]]&lt;-0.3,"kürzer",TRUE,"keine Abweichung")</f>
        <v>viel länger</v>
      </c>
      <c r="I290">
        <v>1</v>
      </c>
    </row>
    <row r="291" spans="1:9" hidden="1" x14ac:dyDescent="0.3">
      <c r="A291" s="13">
        <v>42</v>
      </c>
      <c r="B291" s="4">
        <v>2</v>
      </c>
      <c r="C291" t="s">
        <v>528</v>
      </c>
      <c r="D291" t="s">
        <v>529</v>
      </c>
      <c r="E291">
        <v>15</v>
      </c>
      <c r="F291">
        <v>17</v>
      </c>
      <c r="G291" s="8">
        <f>Lektionen[[#This Row],[Bearbeitungsdauer_real]]/Lektionen[[#This Row],[Bearbeitungsdauer_geschätzt]]-1</f>
        <v>0.1333333333333333</v>
      </c>
      <c r="H291" s="8" t="str" cm="1">
        <f t="array" ref="H291">_xlfn.IFS(Lektionen[[#This Row],[Bearbeitungsdauer_abgewichen]]&gt;0.6,"viel länger",Lektionen[[#This Row],[Bearbeitungsdauer_abgewichen]]&gt;0.3,"länger",Lektionen[[#This Row],[Bearbeitungsdauer_abgewichen]]&lt;-0.3,"kürzer",TRUE,"keine Abweichung")</f>
        <v>keine Abweichung</v>
      </c>
      <c r="I291">
        <v>1</v>
      </c>
    </row>
    <row r="292" spans="1:9" hidden="1" x14ac:dyDescent="0.3">
      <c r="A292" s="13">
        <v>42</v>
      </c>
      <c r="B292" s="4">
        <v>3</v>
      </c>
      <c r="C292" t="s">
        <v>552</v>
      </c>
      <c r="D292" t="s">
        <v>530</v>
      </c>
      <c r="E292">
        <v>30</v>
      </c>
      <c r="F292">
        <v>28</v>
      </c>
      <c r="G292" s="8">
        <f>Lektionen[[#This Row],[Bearbeitungsdauer_real]]/Lektionen[[#This Row],[Bearbeitungsdauer_geschätzt]]-1</f>
        <v>-6.6666666666666652E-2</v>
      </c>
      <c r="H292" s="8" t="str" cm="1">
        <f t="array" ref="H292">_xlfn.IFS(Lektionen[[#This Row],[Bearbeitungsdauer_abgewichen]]&gt;0.6,"viel länger",Lektionen[[#This Row],[Bearbeitungsdauer_abgewichen]]&gt;0.3,"länger",Lektionen[[#This Row],[Bearbeitungsdauer_abgewichen]]&lt;-0.3,"kürzer",TRUE,"keine Abweichung")</f>
        <v>keine Abweichung</v>
      </c>
      <c r="I292">
        <v>2</v>
      </c>
    </row>
    <row r="293" spans="1:9" hidden="1" x14ac:dyDescent="0.3">
      <c r="A293" s="13">
        <v>42</v>
      </c>
      <c r="B293" s="4">
        <v>4</v>
      </c>
      <c r="C293" t="s">
        <v>531</v>
      </c>
      <c r="D293" t="s">
        <v>530</v>
      </c>
      <c r="E293">
        <v>30</v>
      </c>
      <c r="F293">
        <v>17</v>
      </c>
      <c r="G293" s="8">
        <f>Lektionen[[#This Row],[Bearbeitungsdauer_real]]/Lektionen[[#This Row],[Bearbeitungsdauer_geschätzt]]-1</f>
        <v>-0.43333333333333335</v>
      </c>
      <c r="H293" s="8" t="str" cm="1">
        <f t="array" ref="H293">_xlfn.IFS(Lektionen[[#This Row],[Bearbeitungsdauer_abgewichen]]&gt;0.6,"viel länger",Lektionen[[#This Row],[Bearbeitungsdauer_abgewichen]]&gt;0.3,"länger",Lektionen[[#This Row],[Bearbeitungsdauer_abgewichen]]&lt;-0.3,"kürzer",TRUE,"keine Abweichung")</f>
        <v>kürzer</v>
      </c>
      <c r="I293">
        <v>3</v>
      </c>
    </row>
    <row r="294" spans="1:9" x14ac:dyDescent="0.3">
      <c r="A294" s="13">
        <v>42</v>
      </c>
      <c r="B294" s="4">
        <v>5</v>
      </c>
      <c r="C294" t="s">
        <v>532</v>
      </c>
      <c r="D294" t="s">
        <v>530</v>
      </c>
      <c r="E294">
        <v>30</v>
      </c>
      <c r="F294">
        <v>49</v>
      </c>
      <c r="G294" s="8">
        <f>Lektionen[[#This Row],[Bearbeitungsdauer_real]]/Lektionen[[#This Row],[Bearbeitungsdauer_geschätzt]]-1</f>
        <v>0.6333333333333333</v>
      </c>
      <c r="H294" s="8" t="str" cm="1">
        <f t="array" ref="H294">_xlfn.IFS(Lektionen[[#This Row],[Bearbeitungsdauer_abgewichen]]&gt;0.6,"viel länger",Lektionen[[#This Row],[Bearbeitungsdauer_abgewichen]]&gt;0.3,"länger",Lektionen[[#This Row],[Bearbeitungsdauer_abgewichen]]&lt;-0.3,"kürzer",TRUE,"keine Abweichung")</f>
        <v>viel länger</v>
      </c>
      <c r="I294">
        <v>4</v>
      </c>
    </row>
    <row r="295" spans="1:9" hidden="1" x14ac:dyDescent="0.3">
      <c r="A295" s="13">
        <v>42</v>
      </c>
      <c r="B295" s="4">
        <v>6</v>
      </c>
      <c r="C295" t="s">
        <v>533</v>
      </c>
      <c r="D295" t="s">
        <v>534</v>
      </c>
      <c r="E295">
        <v>5</v>
      </c>
      <c r="F295">
        <v>1</v>
      </c>
      <c r="G295" s="8">
        <f>Lektionen[[#This Row],[Bearbeitungsdauer_real]]/Lektionen[[#This Row],[Bearbeitungsdauer_geschätzt]]-1</f>
        <v>-0.8</v>
      </c>
      <c r="H295" s="8" t="str" cm="1">
        <f t="array" ref="H295">_xlfn.IFS(Lektionen[[#This Row],[Bearbeitungsdauer_abgewichen]]&gt;0.6,"viel länger",Lektionen[[#This Row],[Bearbeitungsdauer_abgewichen]]&gt;0.3,"länger",Lektionen[[#This Row],[Bearbeitungsdauer_abgewichen]]&lt;-0.3,"kürzer",TRUE,"keine Abweichung")</f>
        <v>kürzer</v>
      </c>
      <c r="I295">
        <v>2</v>
      </c>
    </row>
    <row r="296" spans="1:9" hidden="1" x14ac:dyDescent="0.3">
      <c r="A296" s="13">
        <v>42</v>
      </c>
      <c r="B296" s="4">
        <v>7</v>
      </c>
      <c r="C296" t="s">
        <v>535</v>
      </c>
      <c r="D296" t="s">
        <v>536</v>
      </c>
      <c r="E296">
        <v>10</v>
      </c>
      <c r="F296">
        <v>8</v>
      </c>
      <c r="G296" s="8">
        <f>Lektionen[[#This Row],[Bearbeitungsdauer_real]]/Lektionen[[#This Row],[Bearbeitungsdauer_geschätzt]]-1</f>
        <v>-0.19999999999999996</v>
      </c>
      <c r="H296" s="8" t="str" cm="1">
        <f t="array" ref="H296">_xlfn.IFS(Lektionen[[#This Row],[Bearbeitungsdauer_abgewichen]]&gt;0.6,"viel länger",Lektionen[[#This Row],[Bearbeitungsdauer_abgewichen]]&gt;0.3,"länger",Lektionen[[#This Row],[Bearbeitungsdauer_abgewichen]]&lt;-0.3,"kürzer",TRUE,"keine Abweichung")</f>
        <v>keine Abweichung</v>
      </c>
      <c r="I296">
        <v>3</v>
      </c>
    </row>
    <row r="297" spans="1:9" hidden="1" x14ac:dyDescent="0.3">
      <c r="A297" s="13">
        <v>42</v>
      </c>
      <c r="B297" s="4">
        <v>8</v>
      </c>
      <c r="C297" t="s">
        <v>537</v>
      </c>
      <c r="D297" t="s">
        <v>527</v>
      </c>
      <c r="E297">
        <v>5</v>
      </c>
      <c r="F297">
        <v>5</v>
      </c>
      <c r="G297" s="8">
        <f>Lektionen[[#This Row],[Bearbeitungsdauer_real]]/Lektionen[[#This Row],[Bearbeitungsdauer_geschätzt]]-1</f>
        <v>0</v>
      </c>
      <c r="H297" s="8" t="str" cm="1">
        <f t="array" ref="H297">_xlfn.IFS(Lektionen[[#This Row],[Bearbeitungsdauer_abgewichen]]&gt;0.6,"viel länger",Lektionen[[#This Row],[Bearbeitungsdauer_abgewichen]]&gt;0.3,"länger",Lektionen[[#This Row],[Bearbeitungsdauer_abgewichen]]&lt;-0.3,"kürzer",TRUE,"keine Abweichung")</f>
        <v>keine Abweichung</v>
      </c>
      <c r="I297">
        <v>1</v>
      </c>
    </row>
    <row r="298" spans="1:9" hidden="1" x14ac:dyDescent="0.3">
      <c r="A298" s="13">
        <v>43</v>
      </c>
      <c r="B298" s="4">
        <v>1</v>
      </c>
      <c r="C298" t="s">
        <v>526</v>
      </c>
      <c r="D298" t="s">
        <v>527</v>
      </c>
      <c r="E298">
        <v>4</v>
      </c>
      <c r="F298">
        <v>4</v>
      </c>
      <c r="G298" s="8">
        <f>Lektionen[[#This Row],[Bearbeitungsdauer_real]]/Lektionen[[#This Row],[Bearbeitungsdauer_geschätzt]]-1</f>
        <v>0</v>
      </c>
      <c r="H298" s="8" t="str" cm="1">
        <f t="array" ref="H298">_xlfn.IFS(Lektionen[[#This Row],[Bearbeitungsdauer_abgewichen]]&gt;0.6,"viel länger",Lektionen[[#This Row],[Bearbeitungsdauer_abgewichen]]&gt;0.3,"länger",Lektionen[[#This Row],[Bearbeitungsdauer_abgewichen]]&lt;-0.3,"kürzer",TRUE,"keine Abweichung")</f>
        <v>keine Abweichung</v>
      </c>
      <c r="I298">
        <v>1</v>
      </c>
    </row>
    <row r="299" spans="1:9" hidden="1" x14ac:dyDescent="0.3">
      <c r="A299" s="13">
        <v>43</v>
      </c>
      <c r="B299" s="4">
        <v>2</v>
      </c>
      <c r="C299" t="s">
        <v>528</v>
      </c>
      <c r="D299" t="s">
        <v>529</v>
      </c>
      <c r="E299">
        <v>15</v>
      </c>
      <c r="F299">
        <v>19</v>
      </c>
      <c r="G299" s="8">
        <f>Lektionen[[#This Row],[Bearbeitungsdauer_real]]/Lektionen[[#This Row],[Bearbeitungsdauer_geschätzt]]-1</f>
        <v>0.26666666666666661</v>
      </c>
      <c r="H299" s="8" t="str" cm="1">
        <f t="array" ref="H299">_xlfn.IFS(Lektionen[[#This Row],[Bearbeitungsdauer_abgewichen]]&gt;0.6,"viel länger",Lektionen[[#This Row],[Bearbeitungsdauer_abgewichen]]&gt;0.3,"länger",Lektionen[[#This Row],[Bearbeitungsdauer_abgewichen]]&lt;-0.3,"kürzer",TRUE,"keine Abweichung")</f>
        <v>keine Abweichung</v>
      </c>
      <c r="I299">
        <v>2</v>
      </c>
    </row>
    <row r="300" spans="1:9" hidden="1" x14ac:dyDescent="0.3">
      <c r="A300" s="13">
        <v>43</v>
      </c>
      <c r="B300" s="4">
        <v>3</v>
      </c>
      <c r="C300" t="s">
        <v>552</v>
      </c>
      <c r="D300" t="s">
        <v>530</v>
      </c>
      <c r="E300">
        <v>30</v>
      </c>
      <c r="F300">
        <v>29</v>
      </c>
      <c r="G300" s="8">
        <f>Lektionen[[#This Row],[Bearbeitungsdauer_real]]/Lektionen[[#This Row],[Bearbeitungsdauer_geschätzt]]-1</f>
        <v>-3.3333333333333326E-2</v>
      </c>
      <c r="H300" s="8" t="str" cm="1">
        <f t="array" ref="H300">_xlfn.IFS(Lektionen[[#This Row],[Bearbeitungsdauer_abgewichen]]&gt;0.6,"viel länger",Lektionen[[#This Row],[Bearbeitungsdauer_abgewichen]]&gt;0.3,"länger",Lektionen[[#This Row],[Bearbeitungsdauer_abgewichen]]&lt;-0.3,"kürzer",TRUE,"keine Abweichung")</f>
        <v>keine Abweichung</v>
      </c>
      <c r="I300">
        <v>3</v>
      </c>
    </row>
    <row r="301" spans="1:9" hidden="1" x14ac:dyDescent="0.3">
      <c r="A301" s="13">
        <v>43</v>
      </c>
      <c r="B301" s="4">
        <v>4</v>
      </c>
      <c r="C301" t="s">
        <v>531</v>
      </c>
      <c r="D301" t="s">
        <v>530</v>
      </c>
      <c r="E301">
        <v>30</v>
      </c>
      <c r="F301">
        <v>23</v>
      </c>
      <c r="G301" s="8">
        <f>Lektionen[[#This Row],[Bearbeitungsdauer_real]]/Lektionen[[#This Row],[Bearbeitungsdauer_geschätzt]]-1</f>
        <v>-0.23333333333333328</v>
      </c>
      <c r="H301" s="8" t="str" cm="1">
        <f t="array" ref="H301">_xlfn.IFS(Lektionen[[#This Row],[Bearbeitungsdauer_abgewichen]]&gt;0.6,"viel länger",Lektionen[[#This Row],[Bearbeitungsdauer_abgewichen]]&gt;0.3,"länger",Lektionen[[#This Row],[Bearbeitungsdauer_abgewichen]]&lt;-0.3,"kürzer",TRUE,"keine Abweichung")</f>
        <v>keine Abweichung</v>
      </c>
      <c r="I301">
        <v>3</v>
      </c>
    </row>
    <row r="302" spans="1:9" x14ac:dyDescent="0.3">
      <c r="A302" s="13">
        <v>43</v>
      </c>
      <c r="B302" s="4">
        <v>5</v>
      </c>
      <c r="C302" t="s">
        <v>532</v>
      </c>
      <c r="D302" t="s">
        <v>530</v>
      </c>
      <c r="E302">
        <v>30</v>
      </c>
      <c r="F302">
        <v>50</v>
      </c>
      <c r="G302" s="8">
        <f>Lektionen[[#This Row],[Bearbeitungsdauer_real]]/Lektionen[[#This Row],[Bearbeitungsdauer_geschätzt]]-1</f>
        <v>0.66666666666666674</v>
      </c>
      <c r="H302" s="8" t="str" cm="1">
        <f t="array" ref="H302">_xlfn.IFS(Lektionen[[#This Row],[Bearbeitungsdauer_abgewichen]]&gt;0.6,"viel länger",Lektionen[[#This Row],[Bearbeitungsdauer_abgewichen]]&gt;0.3,"länger",Lektionen[[#This Row],[Bearbeitungsdauer_abgewichen]]&lt;-0.3,"kürzer",TRUE,"keine Abweichung")</f>
        <v>viel länger</v>
      </c>
      <c r="I302">
        <v>3</v>
      </c>
    </row>
    <row r="303" spans="1:9" hidden="1" x14ac:dyDescent="0.3">
      <c r="A303" s="13">
        <v>43</v>
      </c>
      <c r="B303" s="4">
        <v>6</v>
      </c>
      <c r="C303" t="s">
        <v>533</v>
      </c>
      <c r="D303" t="s">
        <v>534</v>
      </c>
      <c r="E303">
        <v>5</v>
      </c>
      <c r="F303">
        <v>2</v>
      </c>
      <c r="G303" s="8">
        <f>Lektionen[[#This Row],[Bearbeitungsdauer_real]]/Lektionen[[#This Row],[Bearbeitungsdauer_geschätzt]]-1</f>
        <v>-0.6</v>
      </c>
      <c r="H303" s="8" t="str" cm="1">
        <f t="array" ref="H303">_xlfn.IFS(Lektionen[[#This Row],[Bearbeitungsdauer_abgewichen]]&gt;0.6,"viel länger",Lektionen[[#This Row],[Bearbeitungsdauer_abgewichen]]&gt;0.3,"länger",Lektionen[[#This Row],[Bearbeitungsdauer_abgewichen]]&lt;-0.3,"kürzer",TRUE,"keine Abweichung")</f>
        <v>kürzer</v>
      </c>
      <c r="I303">
        <v>3</v>
      </c>
    </row>
    <row r="304" spans="1:9" hidden="1" x14ac:dyDescent="0.3">
      <c r="A304" s="13">
        <v>43</v>
      </c>
      <c r="B304" s="4">
        <v>7</v>
      </c>
      <c r="C304" t="s">
        <v>535</v>
      </c>
      <c r="D304" t="s">
        <v>536</v>
      </c>
      <c r="E304">
        <v>10</v>
      </c>
      <c r="F304">
        <v>11</v>
      </c>
      <c r="G304" s="8">
        <f>Lektionen[[#This Row],[Bearbeitungsdauer_real]]/Lektionen[[#This Row],[Bearbeitungsdauer_geschätzt]]-1</f>
        <v>0.10000000000000009</v>
      </c>
      <c r="H304" s="8" t="str" cm="1">
        <f t="array" ref="H304">_xlfn.IFS(Lektionen[[#This Row],[Bearbeitungsdauer_abgewichen]]&gt;0.6,"viel länger",Lektionen[[#This Row],[Bearbeitungsdauer_abgewichen]]&gt;0.3,"länger",Lektionen[[#This Row],[Bearbeitungsdauer_abgewichen]]&lt;-0.3,"kürzer",TRUE,"keine Abweichung")</f>
        <v>keine Abweichung</v>
      </c>
      <c r="I304">
        <v>4</v>
      </c>
    </row>
    <row r="305" spans="1:9" hidden="1" x14ac:dyDescent="0.3">
      <c r="A305" s="13">
        <v>43</v>
      </c>
      <c r="B305" s="4">
        <v>8</v>
      </c>
      <c r="C305" t="s">
        <v>537</v>
      </c>
      <c r="D305" t="s">
        <v>527</v>
      </c>
      <c r="E305">
        <v>5</v>
      </c>
      <c r="F305">
        <v>5</v>
      </c>
      <c r="G305" s="8">
        <f>Lektionen[[#This Row],[Bearbeitungsdauer_real]]/Lektionen[[#This Row],[Bearbeitungsdauer_geschätzt]]-1</f>
        <v>0</v>
      </c>
      <c r="H305" s="8" t="str" cm="1">
        <f t="array" ref="H305">_xlfn.IFS(Lektionen[[#This Row],[Bearbeitungsdauer_abgewichen]]&gt;0.6,"viel länger",Lektionen[[#This Row],[Bearbeitungsdauer_abgewichen]]&gt;0.3,"länger",Lektionen[[#This Row],[Bearbeitungsdauer_abgewichen]]&lt;-0.3,"kürzer",TRUE,"keine Abweichung")</f>
        <v>keine Abweichung</v>
      </c>
      <c r="I305">
        <v>1</v>
      </c>
    </row>
    <row r="306" spans="1:9" hidden="1" x14ac:dyDescent="0.3">
      <c r="A306" s="13">
        <v>44</v>
      </c>
      <c r="B306" s="4">
        <v>1</v>
      </c>
      <c r="C306" t="s">
        <v>526</v>
      </c>
      <c r="D306" t="s">
        <v>527</v>
      </c>
      <c r="E306">
        <v>4</v>
      </c>
      <c r="F306">
        <v>4</v>
      </c>
      <c r="G306" s="8">
        <f>Lektionen[[#This Row],[Bearbeitungsdauer_real]]/Lektionen[[#This Row],[Bearbeitungsdauer_geschätzt]]-1</f>
        <v>0</v>
      </c>
      <c r="H306" s="8" t="str" cm="1">
        <f t="array" ref="H306">_xlfn.IFS(Lektionen[[#This Row],[Bearbeitungsdauer_abgewichen]]&gt;0.6,"viel länger",Lektionen[[#This Row],[Bearbeitungsdauer_abgewichen]]&gt;0.3,"länger",Lektionen[[#This Row],[Bearbeitungsdauer_abgewichen]]&lt;-0.3,"kürzer",TRUE,"keine Abweichung")</f>
        <v>keine Abweichung</v>
      </c>
      <c r="I306">
        <v>1</v>
      </c>
    </row>
    <row r="307" spans="1:9" hidden="1" x14ac:dyDescent="0.3">
      <c r="A307" s="13">
        <v>44</v>
      </c>
      <c r="B307" s="4">
        <v>2</v>
      </c>
      <c r="C307" t="s">
        <v>528</v>
      </c>
      <c r="D307" t="s">
        <v>529</v>
      </c>
      <c r="E307">
        <v>15</v>
      </c>
      <c r="F307">
        <v>20</v>
      </c>
      <c r="G307" s="8">
        <f>Lektionen[[#This Row],[Bearbeitungsdauer_real]]/Lektionen[[#This Row],[Bearbeitungsdauer_geschätzt]]-1</f>
        <v>0.33333333333333326</v>
      </c>
      <c r="H307" s="8" t="str" cm="1">
        <f t="array" ref="H307">_xlfn.IFS(Lektionen[[#This Row],[Bearbeitungsdauer_abgewichen]]&gt;0.6,"viel länger",Lektionen[[#This Row],[Bearbeitungsdauer_abgewichen]]&gt;0.3,"länger",Lektionen[[#This Row],[Bearbeitungsdauer_abgewichen]]&lt;-0.3,"kürzer",TRUE,"keine Abweichung")</f>
        <v>länger</v>
      </c>
      <c r="I307">
        <v>2</v>
      </c>
    </row>
    <row r="308" spans="1:9" hidden="1" x14ac:dyDescent="0.3">
      <c r="A308" s="13">
        <v>44</v>
      </c>
      <c r="B308" s="4">
        <v>3</v>
      </c>
      <c r="C308" t="s">
        <v>552</v>
      </c>
      <c r="D308" t="s">
        <v>530</v>
      </c>
      <c r="E308">
        <v>30</v>
      </c>
      <c r="F308">
        <v>28</v>
      </c>
      <c r="G308" s="8">
        <f>Lektionen[[#This Row],[Bearbeitungsdauer_real]]/Lektionen[[#This Row],[Bearbeitungsdauer_geschätzt]]-1</f>
        <v>-6.6666666666666652E-2</v>
      </c>
      <c r="H308" s="8" t="str" cm="1">
        <f t="array" ref="H308">_xlfn.IFS(Lektionen[[#This Row],[Bearbeitungsdauer_abgewichen]]&gt;0.6,"viel länger",Lektionen[[#This Row],[Bearbeitungsdauer_abgewichen]]&gt;0.3,"länger",Lektionen[[#This Row],[Bearbeitungsdauer_abgewichen]]&lt;-0.3,"kürzer",TRUE,"keine Abweichung")</f>
        <v>keine Abweichung</v>
      </c>
      <c r="I308">
        <v>2</v>
      </c>
    </row>
    <row r="309" spans="1:9" hidden="1" x14ac:dyDescent="0.3">
      <c r="A309" s="13">
        <v>44</v>
      </c>
      <c r="B309" s="4">
        <v>4</v>
      </c>
      <c r="C309" t="s">
        <v>531</v>
      </c>
      <c r="D309" t="s">
        <v>530</v>
      </c>
      <c r="E309">
        <v>30</v>
      </c>
      <c r="F309">
        <v>27</v>
      </c>
      <c r="G309" s="8">
        <f>Lektionen[[#This Row],[Bearbeitungsdauer_real]]/Lektionen[[#This Row],[Bearbeitungsdauer_geschätzt]]-1</f>
        <v>-9.9999999999999978E-2</v>
      </c>
      <c r="H309" s="8" t="str" cm="1">
        <f t="array" ref="H309">_xlfn.IFS(Lektionen[[#This Row],[Bearbeitungsdauer_abgewichen]]&gt;0.6,"viel länger",Lektionen[[#This Row],[Bearbeitungsdauer_abgewichen]]&gt;0.3,"länger",Lektionen[[#This Row],[Bearbeitungsdauer_abgewichen]]&lt;-0.3,"kürzer",TRUE,"keine Abweichung")</f>
        <v>keine Abweichung</v>
      </c>
      <c r="I309">
        <v>3</v>
      </c>
    </row>
    <row r="310" spans="1:9" x14ac:dyDescent="0.3">
      <c r="A310" s="13">
        <v>44</v>
      </c>
      <c r="B310" s="4">
        <v>5</v>
      </c>
      <c r="C310" t="s">
        <v>532</v>
      </c>
      <c r="D310" t="s">
        <v>530</v>
      </c>
      <c r="E310">
        <v>30</v>
      </c>
      <c r="F310">
        <v>38</v>
      </c>
      <c r="G310" s="8">
        <f>Lektionen[[#This Row],[Bearbeitungsdauer_real]]/Lektionen[[#This Row],[Bearbeitungsdauer_geschätzt]]-1</f>
        <v>0.26666666666666661</v>
      </c>
      <c r="H310" s="8" t="str" cm="1">
        <f t="array" ref="H310">_xlfn.IFS(Lektionen[[#This Row],[Bearbeitungsdauer_abgewichen]]&gt;0.6,"viel länger",Lektionen[[#This Row],[Bearbeitungsdauer_abgewichen]]&gt;0.3,"länger",Lektionen[[#This Row],[Bearbeitungsdauer_abgewichen]]&lt;-0.3,"kürzer",TRUE,"keine Abweichung")</f>
        <v>keine Abweichung</v>
      </c>
      <c r="I310">
        <v>4</v>
      </c>
    </row>
    <row r="311" spans="1:9" hidden="1" x14ac:dyDescent="0.3">
      <c r="A311" s="13">
        <v>44</v>
      </c>
      <c r="B311" s="4">
        <v>6</v>
      </c>
      <c r="C311" t="s">
        <v>533</v>
      </c>
      <c r="D311" t="s">
        <v>534</v>
      </c>
      <c r="E311">
        <v>5</v>
      </c>
      <c r="F311">
        <v>1</v>
      </c>
      <c r="G311" s="8">
        <f>Lektionen[[#This Row],[Bearbeitungsdauer_real]]/Lektionen[[#This Row],[Bearbeitungsdauer_geschätzt]]-1</f>
        <v>-0.8</v>
      </c>
      <c r="H311" s="8" t="str" cm="1">
        <f t="array" ref="H311">_xlfn.IFS(Lektionen[[#This Row],[Bearbeitungsdauer_abgewichen]]&gt;0.6,"viel länger",Lektionen[[#This Row],[Bearbeitungsdauer_abgewichen]]&gt;0.3,"länger",Lektionen[[#This Row],[Bearbeitungsdauer_abgewichen]]&lt;-0.3,"kürzer",TRUE,"keine Abweichung")</f>
        <v>kürzer</v>
      </c>
      <c r="I311">
        <v>1</v>
      </c>
    </row>
    <row r="312" spans="1:9" hidden="1" x14ac:dyDescent="0.3">
      <c r="A312" s="13">
        <v>44</v>
      </c>
      <c r="B312" s="4">
        <v>7</v>
      </c>
      <c r="C312" t="s">
        <v>535</v>
      </c>
      <c r="D312" t="s">
        <v>536</v>
      </c>
      <c r="E312">
        <v>10</v>
      </c>
      <c r="F312">
        <v>10</v>
      </c>
      <c r="G312" s="8">
        <f>Lektionen[[#This Row],[Bearbeitungsdauer_real]]/Lektionen[[#This Row],[Bearbeitungsdauer_geschätzt]]-1</f>
        <v>0</v>
      </c>
      <c r="H312" s="8" t="str" cm="1">
        <f t="array" ref="H312">_xlfn.IFS(Lektionen[[#This Row],[Bearbeitungsdauer_abgewichen]]&gt;0.6,"viel länger",Lektionen[[#This Row],[Bearbeitungsdauer_abgewichen]]&gt;0.3,"länger",Lektionen[[#This Row],[Bearbeitungsdauer_abgewichen]]&lt;-0.3,"kürzer",TRUE,"keine Abweichung")</f>
        <v>keine Abweichung</v>
      </c>
      <c r="I312">
        <v>4</v>
      </c>
    </row>
    <row r="313" spans="1:9" hidden="1" x14ac:dyDescent="0.3">
      <c r="A313" s="13">
        <v>44</v>
      </c>
      <c r="B313" s="4">
        <v>8</v>
      </c>
      <c r="C313" t="s">
        <v>537</v>
      </c>
      <c r="D313" t="s">
        <v>527</v>
      </c>
      <c r="E313">
        <v>5</v>
      </c>
      <c r="F313">
        <v>5</v>
      </c>
      <c r="G313" s="8">
        <f>Lektionen[[#This Row],[Bearbeitungsdauer_real]]/Lektionen[[#This Row],[Bearbeitungsdauer_geschätzt]]-1</f>
        <v>0</v>
      </c>
      <c r="H313" s="8" t="str" cm="1">
        <f t="array" ref="H313">_xlfn.IFS(Lektionen[[#This Row],[Bearbeitungsdauer_abgewichen]]&gt;0.6,"viel länger",Lektionen[[#This Row],[Bearbeitungsdauer_abgewichen]]&gt;0.3,"länger",Lektionen[[#This Row],[Bearbeitungsdauer_abgewichen]]&lt;-0.3,"kürzer",TRUE,"keine Abweichung")</f>
        <v>keine Abweichung</v>
      </c>
      <c r="I313">
        <v>1</v>
      </c>
    </row>
    <row r="314" spans="1:9" hidden="1" x14ac:dyDescent="0.3">
      <c r="A314" s="13">
        <v>46</v>
      </c>
      <c r="B314" s="4">
        <v>1</v>
      </c>
      <c r="C314" t="s">
        <v>526</v>
      </c>
      <c r="D314" t="s">
        <v>527</v>
      </c>
      <c r="E314">
        <v>4</v>
      </c>
      <c r="F314">
        <v>4</v>
      </c>
      <c r="G314" s="8">
        <f>Lektionen[[#This Row],[Bearbeitungsdauer_real]]/Lektionen[[#This Row],[Bearbeitungsdauer_geschätzt]]-1</f>
        <v>0</v>
      </c>
      <c r="H314" s="8" t="str" cm="1">
        <f t="array" ref="H314">_xlfn.IFS(Lektionen[[#This Row],[Bearbeitungsdauer_abgewichen]]&gt;0.6,"viel länger",Lektionen[[#This Row],[Bearbeitungsdauer_abgewichen]]&gt;0.3,"länger",Lektionen[[#This Row],[Bearbeitungsdauer_abgewichen]]&lt;-0.3,"kürzer",TRUE,"keine Abweichung")</f>
        <v>keine Abweichung</v>
      </c>
      <c r="I314">
        <v>1</v>
      </c>
    </row>
    <row r="315" spans="1:9" hidden="1" x14ac:dyDescent="0.3">
      <c r="A315" s="13">
        <v>46</v>
      </c>
      <c r="B315" s="4">
        <v>2</v>
      </c>
      <c r="C315" t="s">
        <v>528</v>
      </c>
      <c r="D315" t="s">
        <v>529</v>
      </c>
      <c r="E315">
        <v>15</v>
      </c>
      <c r="F315">
        <v>16</v>
      </c>
      <c r="G315" s="8">
        <f>Lektionen[[#This Row],[Bearbeitungsdauer_real]]/Lektionen[[#This Row],[Bearbeitungsdauer_geschätzt]]-1</f>
        <v>6.6666666666666652E-2</v>
      </c>
      <c r="H315" s="8" t="str" cm="1">
        <f t="array" ref="H315">_xlfn.IFS(Lektionen[[#This Row],[Bearbeitungsdauer_abgewichen]]&gt;0.6,"viel länger",Lektionen[[#This Row],[Bearbeitungsdauer_abgewichen]]&gt;0.3,"länger",Lektionen[[#This Row],[Bearbeitungsdauer_abgewichen]]&lt;-0.3,"kürzer",TRUE,"keine Abweichung")</f>
        <v>keine Abweichung</v>
      </c>
      <c r="I315">
        <v>1</v>
      </c>
    </row>
    <row r="316" spans="1:9" hidden="1" x14ac:dyDescent="0.3">
      <c r="A316" s="13">
        <v>46</v>
      </c>
      <c r="B316" s="4">
        <v>3</v>
      </c>
      <c r="C316" t="s">
        <v>552</v>
      </c>
      <c r="D316" t="s">
        <v>530</v>
      </c>
      <c r="E316">
        <v>30</v>
      </c>
      <c r="F316">
        <v>28</v>
      </c>
      <c r="G316" s="8">
        <f>Lektionen[[#This Row],[Bearbeitungsdauer_real]]/Lektionen[[#This Row],[Bearbeitungsdauer_geschätzt]]-1</f>
        <v>-6.6666666666666652E-2</v>
      </c>
      <c r="H316" s="8" t="str" cm="1">
        <f t="array" ref="H316">_xlfn.IFS(Lektionen[[#This Row],[Bearbeitungsdauer_abgewichen]]&gt;0.6,"viel länger",Lektionen[[#This Row],[Bearbeitungsdauer_abgewichen]]&gt;0.3,"länger",Lektionen[[#This Row],[Bearbeitungsdauer_abgewichen]]&lt;-0.3,"kürzer",TRUE,"keine Abweichung")</f>
        <v>keine Abweichung</v>
      </c>
      <c r="I316">
        <v>2</v>
      </c>
    </row>
    <row r="317" spans="1:9" hidden="1" x14ac:dyDescent="0.3">
      <c r="A317" s="13">
        <v>46</v>
      </c>
      <c r="B317" s="4">
        <v>4</v>
      </c>
      <c r="C317" t="s">
        <v>531</v>
      </c>
      <c r="D317" t="s">
        <v>530</v>
      </c>
      <c r="E317">
        <v>30</v>
      </c>
      <c r="F317">
        <v>25</v>
      </c>
      <c r="G317" s="8">
        <f>Lektionen[[#This Row],[Bearbeitungsdauer_real]]/Lektionen[[#This Row],[Bearbeitungsdauer_geschätzt]]-1</f>
        <v>-0.16666666666666663</v>
      </c>
      <c r="H317" s="8" t="str" cm="1">
        <f t="array" ref="H317">_xlfn.IFS(Lektionen[[#This Row],[Bearbeitungsdauer_abgewichen]]&gt;0.6,"viel länger",Lektionen[[#This Row],[Bearbeitungsdauer_abgewichen]]&gt;0.3,"länger",Lektionen[[#This Row],[Bearbeitungsdauer_abgewichen]]&lt;-0.3,"kürzer",TRUE,"keine Abweichung")</f>
        <v>keine Abweichung</v>
      </c>
      <c r="I317">
        <v>3</v>
      </c>
    </row>
    <row r="318" spans="1:9" x14ac:dyDescent="0.3">
      <c r="A318" s="13">
        <v>46</v>
      </c>
      <c r="B318" s="4">
        <v>5</v>
      </c>
      <c r="C318" t="s">
        <v>532</v>
      </c>
      <c r="D318" t="s">
        <v>530</v>
      </c>
      <c r="E318">
        <v>30</v>
      </c>
      <c r="F318">
        <v>49</v>
      </c>
      <c r="G318" s="8">
        <f>Lektionen[[#This Row],[Bearbeitungsdauer_real]]/Lektionen[[#This Row],[Bearbeitungsdauer_geschätzt]]-1</f>
        <v>0.6333333333333333</v>
      </c>
      <c r="H318" s="8" t="str" cm="1">
        <f t="array" ref="H318">_xlfn.IFS(Lektionen[[#This Row],[Bearbeitungsdauer_abgewichen]]&gt;0.6,"viel länger",Lektionen[[#This Row],[Bearbeitungsdauer_abgewichen]]&gt;0.3,"länger",Lektionen[[#This Row],[Bearbeitungsdauer_abgewichen]]&lt;-0.3,"kürzer",TRUE,"keine Abweichung")</f>
        <v>viel länger</v>
      </c>
      <c r="I318">
        <v>4</v>
      </c>
    </row>
    <row r="319" spans="1:9" hidden="1" x14ac:dyDescent="0.3">
      <c r="A319" s="13">
        <v>46</v>
      </c>
      <c r="B319" s="4">
        <v>6</v>
      </c>
      <c r="C319" t="s">
        <v>533</v>
      </c>
      <c r="D319" t="s">
        <v>534</v>
      </c>
      <c r="E319">
        <v>5</v>
      </c>
      <c r="F319">
        <v>2</v>
      </c>
      <c r="G319" s="8">
        <f>Lektionen[[#This Row],[Bearbeitungsdauer_real]]/Lektionen[[#This Row],[Bearbeitungsdauer_geschätzt]]-1</f>
        <v>-0.6</v>
      </c>
      <c r="H319" s="8" t="str" cm="1">
        <f t="array" ref="H319">_xlfn.IFS(Lektionen[[#This Row],[Bearbeitungsdauer_abgewichen]]&gt;0.6,"viel länger",Lektionen[[#This Row],[Bearbeitungsdauer_abgewichen]]&gt;0.3,"länger",Lektionen[[#This Row],[Bearbeitungsdauer_abgewichen]]&lt;-0.3,"kürzer",TRUE,"keine Abweichung")</f>
        <v>kürzer</v>
      </c>
      <c r="I319">
        <v>2</v>
      </c>
    </row>
    <row r="320" spans="1:9" hidden="1" x14ac:dyDescent="0.3">
      <c r="A320" s="13">
        <v>46</v>
      </c>
      <c r="B320" s="4">
        <v>7</v>
      </c>
      <c r="C320" t="s">
        <v>535</v>
      </c>
      <c r="D320" t="s">
        <v>536</v>
      </c>
      <c r="E320">
        <v>10</v>
      </c>
      <c r="F320">
        <v>11</v>
      </c>
      <c r="G320" s="8">
        <f>Lektionen[[#This Row],[Bearbeitungsdauer_real]]/Lektionen[[#This Row],[Bearbeitungsdauer_geschätzt]]-1</f>
        <v>0.10000000000000009</v>
      </c>
      <c r="H320" s="8" t="str" cm="1">
        <f t="array" ref="H320">_xlfn.IFS(Lektionen[[#This Row],[Bearbeitungsdauer_abgewichen]]&gt;0.6,"viel länger",Lektionen[[#This Row],[Bearbeitungsdauer_abgewichen]]&gt;0.3,"länger",Lektionen[[#This Row],[Bearbeitungsdauer_abgewichen]]&lt;-0.3,"kürzer",TRUE,"keine Abweichung")</f>
        <v>keine Abweichung</v>
      </c>
      <c r="I320">
        <v>3</v>
      </c>
    </row>
    <row r="321" spans="1:9" hidden="1" x14ac:dyDescent="0.3">
      <c r="A321" s="13">
        <v>46</v>
      </c>
      <c r="B321" s="4">
        <v>8</v>
      </c>
      <c r="C321" t="s">
        <v>537</v>
      </c>
      <c r="D321" t="s">
        <v>527</v>
      </c>
      <c r="E321">
        <v>5</v>
      </c>
      <c r="F321">
        <v>5</v>
      </c>
      <c r="G321" s="8">
        <f>Lektionen[[#This Row],[Bearbeitungsdauer_real]]/Lektionen[[#This Row],[Bearbeitungsdauer_geschätzt]]-1</f>
        <v>0</v>
      </c>
      <c r="H321" s="8" t="str" cm="1">
        <f t="array" ref="H321">_xlfn.IFS(Lektionen[[#This Row],[Bearbeitungsdauer_abgewichen]]&gt;0.6,"viel länger",Lektionen[[#This Row],[Bearbeitungsdauer_abgewichen]]&gt;0.3,"länger",Lektionen[[#This Row],[Bearbeitungsdauer_abgewichen]]&lt;-0.3,"kürzer",TRUE,"keine Abweichung")</f>
        <v>keine Abweichung</v>
      </c>
      <c r="I321">
        <v>1</v>
      </c>
    </row>
    <row r="322" spans="1:9" hidden="1" x14ac:dyDescent="0.3">
      <c r="A322" s="13">
        <v>47</v>
      </c>
      <c r="B322" s="4">
        <v>1</v>
      </c>
      <c r="C322" t="s">
        <v>526</v>
      </c>
      <c r="D322" t="s">
        <v>527</v>
      </c>
      <c r="E322">
        <v>4</v>
      </c>
      <c r="F322">
        <v>4</v>
      </c>
      <c r="G322" s="8">
        <f>Lektionen[[#This Row],[Bearbeitungsdauer_real]]/Lektionen[[#This Row],[Bearbeitungsdauer_geschätzt]]-1</f>
        <v>0</v>
      </c>
      <c r="H322" s="8" t="str" cm="1">
        <f t="array" ref="H322">_xlfn.IFS(Lektionen[[#This Row],[Bearbeitungsdauer_abgewichen]]&gt;0.6,"viel länger",Lektionen[[#This Row],[Bearbeitungsdauer_abgewichen]]&gt;0.3,"länger",Lektionen[[#This Row],[Bearbeitungsdauer_abgewichen]]&lt;-0.3,"kürzer",TRUE,"keine Abweichung")</f>
        <v>keine Abweichung</v>
      </c>
      <c r="I322">
        <v>1</v>
      </c>
    </row>
    <row r="323" spans="1:9" hidden="1" x14ac:dyDescent="0.3">
      <c r="A323" s="13">
        <v>47</v>
      </c>
      <c r="B323" s="4">
        <v>2</v>
      </c>
      <c r="C323" t="s">
        <v>528</v>
      </c>
      <c r="D323" t="s">
        <v>529</v>
      </c>
      <c r="E323">
        <v>15</v>
      </c>
      <c r="F323">
        <v>18</v>
      </c>
      <c r="G323" s="8">
        <f>Lektionen[[#This Row],[Bearbeitungsdauer_real]]/Lektionen[[#This Row],[Bearbeitungsdauer_geschätzt]]-1</f>
        <v>0.19999999999999996</v>
      </c>
      <c r="H323" s="8" t="str" cm="1">
        <f t="array" ref="H323">_xlfn.IFS(Lektionen[[#This Row],[Bearbeitungsdauer_abgewichen]]&gt;0.6,"viel länger",Lektionen[[#This Row],[Bearbeitungsdauer_abgewichen]]&gt;0.3,"länger",Lektionen[[#This Row],[Bearbeitungsdauer_abgewichen]]&lt;-0.3,"kürzer",TRUE,"keine Abweichung")</f>
        <v>keine Abweichung</v>
      </c>
      <c r="I323">
        <v>2</v>
      </c>
    </row>
    <row r="324" spans="1:9" hidden="1" x14ac:dyDescent="0.3">
      <c r="A324" s="13">
        <v>47</v>
      </c>
      <c r="B324" s="4">
        <v>3</v>
      </c>
      <c r="C324" t="s">
        <v>552</v>
      </c>
      <c r="D324" t="s">
        <v>530</v>
      </c>
      <c r="E324">
        <v>30</v>
      </c>
      <c r="F324">
        <v>41</v>
      </c>
      <c r="G324" s="8">
        <f>Lektionen[[#This Row],[Bearbeitungsdauer_real]]/Lektionen[[#This Row],[Bearbeitungsdauer_geschätzt]]-1</f>
        <v>0.3666666666666667</v>
      </c>
      <c r="H324" s="8" t="str" cm="1">
        <f t="array" ref="H324">_xlfn.IFS(Lektionen[[#This Row],[Bearbeitungsdauer_abgewichen]]&gt;0.6,"viel länger",Lektionen[[#This Row],[Bearbeitungsdauer_abgewichen]]&gt;0.3,"länger",Lektionen[[#This Row],[Bearbeitungsdauer_abgewichen]]&lt;-0.3,"kürzer",TRUE,"keine Abweichung")</f>
        <v>länger</v>
      </c>
      <c r="I324">
        <v>3</v>
      </c>
    </row>
    <row r="325" spans="1:9" hidden="1" x14ac:dyDescent="0.3">
      <c r="A325" s="13">
        <v>47</v>
      </c>
      <c r="B325" s="4">
        <v>4</v>
      </c>
      <c r="C325" t="s">
        <v>531</v>
      </c>
      <c r="D325" t="s">
        <v>530</v>
      </c>
      <c r="E325">
        <v>30</v>
      </c>
      <c r="F325">
        <v>30</v>
      </c>
      <c r="G325" s="8">
        <f>Lektionen[[#This Row],[Bearbeitungsdauer_real]]/Lektionen[[#This Row],[Bearbeitungsdauer_geschätzt]]-1</f>
        <v>0</v>
      </c>
      <c r="H325" s="8" t="str" cm="1">
        <f t="array" ref="H325">_xlfn.IFS(Lektionen[[#This Row],[Bearbeitungsdauer_abgewichen]]&gt;0.6,"viel länger",Lektionen[[#This Row],[Bearbeitungsdauer_abgewichen]]&gt;0.3,"länger",Lektionen[[#This Row],[Bearbeitungsdauer_abgewichen]]&lt;-0.3,"kürzer",TRUE,"keine Abweichung")</f>
        <v>keine Abweichung</v>
      </c>
      <c r="I325">
        <v>3</v>
      </c>
    </row>
    <row r="326" spans="1:9" x14ac:dyDescent="0.3">
      <c r="A326" s="13">
        <v>47</v>
      </c>
      <c r="B326" s="4">
        <v>5</v>
      </c>
      <c r="C326" t="s">
        <v>532</v>
      </c>
      <c r="D326" t="s">
        <v>530</v>
      </c>
      <c r="E326">
        <v>30</v>
      </c>
      <c r="F326">
        <v>39</v>
      </c>
      <c r="G326" s="8">
        <f>Lektionen[[#This Row],[Bearbeitungsdauer_real]]/Lektionen[[#This Row],[Bearbeitungsdauer_geschätzt]]-1</f>
        <v>0.30000000000000004</v>
      </c>
      <c r="H326" s="8" t="str" cm="1">
        <f t="array" ref="H326">_xlfn.IFS(Lektionen[[#This Row],[Bearbeitungsdauer_abgewichen]]&gt;0.6,"viel länger",Lektionen[[#This Row],[Bearbeitungsdauer_abgewichen]]&gt;0.3,"länger",Lektionen[[#This Row],[Bearbeitungsdauer_abgewichen]]&lt;-0.3,"kürzer",TRUE,"keine Abweichung")</f>
        <v>keine Abweichung</v>
      </c>
      <c r="I326">
        <v>4</v>
      </c>
    </row>
    <row r="327" spans="1:9" hidden="1" x14ac:dyDescent="0.3">
      <c r="A327" s="13">
        <v>47</v>
      </c>
      <c r="B327" s="4">
        <v>6</v>
      </c>
      <c r="C327" t="s">
        <v>533</v>
      </c>
      <c r="D327" t="s">
        <v>534</v>
      </c>
      <c r="E327">
        <v>5</v>
      </c>
      <c r="F327">
        <v>1</v>
      </c>
      <c r="G327" s="8">
        <f>Lektionen[[#This Row],[Bearbeitungsdauer_real]]/Lektionen[[#This Row],[Bearbeitungsdauer_geschätzt]]-1</f>
        <v>-0.8</v>
      </c>
      <c r="H327" s="8" t="str" cm="1">
        <f t="array" ref="H327">_xlfn.IFS(Lektionen[[#This Row],[Bearbeitungsdauer_abgewichen]]&gt;0.6,"viel länger",Lektionen[[#This Row],[Bearbeitungsdauer_abgewichen]]&gt;0.3,"länger",Lektionen[[#This Row],[Bearbeitungsdauer_abgewichen]]&lt;-0.3,"kürzer",TRUE,"keine Abweichung")</f>
        <v>kürzer</v>
      </c>
      <c r="I327">
        <v>2</v>
      </c>
    </row>
    <row r="328" spans="1:9" hidden="1" x14ac:dyDescent="0.3">
      <c r="A328" s="13">
        <v>47</v>
      </c>
      <c r="B328" s="4">
        <v>7</v>
      </c>
      <c r="C328" t="s">
        <v>535</v>
      </c>
      <c r="D328" t="s">
        <v>536</v>
      </c>
      <c r="E328">
        <v>10</v>
      </c>
      <c r="F328">
        <v>10</v>
      </c>
      <c r="G328" s="8">
        <f>Lektionen[[#This Row],[Bearbeitungsdauer_real]]/Lektionen[[#This Row],[Bearbeitungsdauer_geschätzt]]-1</f>
        <v>0</v>
      </c>
      <c r="H328" s="8" t="str" cm="1">
        <f t="array" ref="H328">_xlfn.IFS(Lektionen[[#This Row],[Bearbeitungsdauer_abgewichen]]&gt;0.6,"viel länger",Lektionen[[#This Row],[Bearbeitungsdauer_abgewichen]]&gt;0.3,"länger",Lektionen[[#This Row],[Bearbeitungsdauer_abgewichen]]&lt;-0.3,"kürzer",TRUE,"keine Abweichung")</f>
        <v>keine Abweichung</v>
      </c>
      <c r="I328">
        <v>4</v>
      </c>
    </row>
    <row r="329" spans="1:9" hidden="1" x14ac:dyDescent="0.3">
      <c r="A329" s="13">
        <v>47</v>
      </c>
      <c r="B329" s="4">
        <v>8</v>
      </c>
      <c r="C329" t="s">
        <v>537</v>
      </c>
      <c r="D329" t="s">
        <v>527</v>
      </c>
      <c r="E329">
        <v>5</v>
      </c>
      <c r="F329">
        <v>5</v>
      </c>
      <c r="G329" s="8">
        <f>Lektionen[[#This Row],[Bearbeitungsdauer_real]]/Lektionen[[#This Row],[Bearbeitungsdauer_geschätzt]]-1</f>
        <v>0</v>
      </c>
      <c r="H329" s="8" t="str" cm="1">
        <f t="array" ref="H329">_xlfn.IFS(Lektionen[[#This Row],[Bearbeitungsdauer_abgewichen]]&gt;0.6,"viel länger",Lektionen[[#This Row],[Bearbeitungsdauer_abgewichen]]&gt;0.3,"länger",Lektionen[[#This Row],[Bearbeitungsdauer_abgewichen]]&lt;-0.3,"kürzer",TRUE,"keine Abweichung")</f>
        <v>keine Abweichung</v>
      </c>
      <c r="I329">
        <v>1</v>
      </c>
    </row>
    <row r="330" spans="1:9" hidden="1" x14ac:dyDescent="0.3">
      <c r="A330" s="13">
        <v>48</v>
      </c>
      <c r="B330" s="4">
        <v>1</v>
      </c>
      <c r="C330" t="s">
        <v>526</v>
      </c>
      <c r="D330" t="s">
        <v>527</v>
      </c>
      <c r="E330">
        <v>4</v>
      </c>
      <c r="F330">
        <v>4</v>
      </c>
      <c r="G330" s="8">
        <f>Lektionen[[#This Row],[Bearbeitungsdauer_real]]/Lektionen[[#This Row],[Bearbeitungsdauer_geschätzt]]-1</f>
        <v>0</v>
      </c>
      <c r="H330" s="8" t="str" cm="1">
        <f t="array" ref="H330">_xlfn.IFS(Lektionen[[#This Row],[Bearbeitungsdauer_abgewichen]]&gt;0.6,"viel länger",Lektionen[[#This Row],[Bearbeitungsdauer_abgewichen]]&gt;0.3,"länger",Lektionen[[#This Row],[Bearbeitungsdauer_abgewichen]]&lt;-0.3,"kürzer",TRUE,"keine Abweichung")</f>
        <v>keine Abweichung</v>
      </c>
      <c r="I330">
        <v>1</v>
      </c>
    </row>
    <row r="331" spans="1:9" hidden="1" x14ac:dyDescent="0.3">
      <c r="A331" s="13">
        <v>48</v>
      </c>
      <c r="B331" s="4">
        <v>2</v>
      </c>
      <c r="C331" t="s">
        <v>528</v>
      </c>
      <c r="D331" t="s">
        <v>529</v>
      </c>
      <c r="E331">
        <v>15</v>
      </c>
      <c r="F331">
        <v>20</v>
      </c>
      <c r="G331" s="8">
        <f>Lektionen[[#This Row],[Bearbeitungsdauer_real]]/Lektionen[[#This Row],[Bearbeitungsdauer_geschätzt]]-1</f>
        <v>0.33333333333333326</v>
      </c>
      <c r="H331" s="8" t="str" cm="1">
        <f t="array" ref="H331">_xlfn.IFS(Lektionen[[#This Row],[Bearbeitungsdauer_abgewichen]]&gt;0.6,"viel länger",Lektionen[[#This Row],[Bearbeitungsdauer_abgewichen]]&gt;0.3,"länger",Lektionen[[#This Row],[Bearbeitungsdauer_abgewichen]]&lt;-0.3,"kürzer",TRUE,"keine Abweichung")</f>
        <v>länger</v>
      </c>
      <c r="I331">
        <v>1</v>
      </c>
    </row>
    <row r="332" spans="1:9" hidden="1" x14ac:dyDescent="0.3">
      <c r="A332" s="13">
        <v>48</v>
      </c>
      <c r="B332" s="4">
        <v>3</v>
      </c>
      <c r="C332" t="s">
        <v>552</v>
      </c>
      <c r="D332" t="s">
        <v>530</v>
      </c>
      <c r="E332">
        <v>30</v>
      </c>
      <c r="F332">
        <v>30</v>
      </c>
      <c r="G332" s="8">
        <f>Lektionen[[#This Row],[Bearbeitungsdauer_real]]/Lektionen[[#This Row],[Bearbeitungsdauer_geschätzt]]-1</f>
        <v>0</v>
      </c>
      <c r="H332" s="8" t="str" cm="1">
        <f t="array" ref="H332">_xlfn.IFS(Lektionen[[#This Row],[Bearbeitungsdauer_abgewichen]]&gt;0.6,"viel länger",Lektionen[[#This Row],[Bearbeitungsdauer_abgewichen]]&gt;0.3,"länger",Lektionen[[#This Row],[Bearbeitungsdauer_abgewichen]]&lt;-0.3,"kürzer",TRUE,"keine Abweichung")</f>
        <v>keine Abweichung</v>
      </c>
      <c r="I332">
        <v>2</v>
      </c>
    </row>
    <row r="333" spans="1:9" hidden="1" x14ac:dyDescent="0.3">
      <c r="A333" s="13">
        <v>48</v>
      </c>
      <c r="B333" s="4">
        <v>4</v>
      </c>
      <c r="C333" t="s">
        <v>531</v>
      </c>
      <c r="D333" t="s">
        <v>530</v>
      </c>
      <c r="E333">
        <v>30</v>
      </c>
      <c r="F333">
        <v>22</v>
      </c>
      <c r="G333" s="8">
        <f>Lektionen[[#This Row],[Bearbeitungsdauer_real]]/Lektionen[[#This Row],[Bearbeitungsdauer_geschätzt]]-1</f>
        <v>-0.26666666666666672</v>
      </c>
      <c r="H333" s="8" t="str" cm="1">
        <f t="array" ref="H333">_xlfn.IFS(Lektionen[[#This Row],[Bearbeitungsdauer_abgewichen]]&gt;0.6,"viel länger",Lektionen[[#This Row],[Bearbeitungsdauer_abgewichen]]&gt;0.3,"länger",Lektionen[[#This Row],[Bearbeitungsdauer_abgewichen]]&lt;-0.3,"kürzer",TRUE,"keine Abweichung")</f>
        <v>keine Abweichung</v>
      </c>
      <c r="I333">
        <v>3</v>
      </c>
    </row>
    <row r="334" spans="1:9" x14ac:dyDescent="0.3">
      <c r="A334" s="13">
        <v>48</v>
      </c>
      <c r="B334" s="4">
        <v>5</v>
      </c>
      <c r="C334" t="s">
        <v>532</v>
      </c>
      <c r="D334" t="s">
        <v>530</v>
      </c>
      <c r="E334">
        <v>30</v>
      </c>
      <c r="F334">
        <v>47</v>
      </c>
      <c r="G334" s="8">
        <f>Lektionen[[#This Row],[Bearbeitungsdauer_real]]/Lektionen[[#This Row],[Bearbeitungsdauer_geschätzt]]-1</f>
        <v>0.56666666666666665</v>
      </c>
      <c r="H334" s="8" t="str" cm="1">
        <f t="array" ref="H334">_xlfn.IFS(Lektionen[[#This Row],[Bearbeitungsdauer_abgewichen]]&gt;0.6,"viel länger",Lektionen[[#This Row],[Bearbeitungsdauer_abgewichen]]&gt;0.3,"länger",Lektionen[[#This Row],[Bearbeitungsdauer_abgewichen]]&lt;-0.3,"kürzer",TRUE,"keine Abweichung")</f>
        <v>länger</v>
      </c>
      <c r="I334">
        <v>3</v>
      </c>
    </row>
    <row r="335" spans="1:9" hidden="1" x14ac:dyDescent="0.3">
      <c r="A335" s="13">
        <v>48</v>
      </c>
      <c r="B335" s="4">
        <v>6</v>
      </c>
      <c r="C335" t="s">
        <v>533</v>
      </c>
      <c r="D335" t="s">
        <v>534</v>
      </c>
      <c r="E335">
        <v>5</v>
      </c>
      <c r="F335">
        <v>1</v>
      </c>
      <c r="G335" s="8">
        <f>Lektionen[[#This Row],[Bearbeitungsdauer_real]]/Lektionen[[#This Row],[Bearbeitungsdauer_geschätzt]]-1</f>
        <v>-0.8</v>
      </c>
      <c r="H335" s="8" t="str" cm="1">
        <f t="array" ref="H335">_xlfn.IFS(Lektionen[[#This Row],[Bearbeitungsdauer_abgewichen]]&gt;0.6,"viel länger",Lektionen[[#This Row],[Bearbeitungsdauer_abgewichen]]&gt;0.3,"länger",Lektionen[[#This Row],[Bearbeitungsdauer_abgewichen]]&lt;-0.3,"kürzer",TRUE,"keine Abweichung")</f>
        <v>kürzer</v>
      </c>
      <c r="I335">
        <v>2</v>
      </c>
    </row>
    <row r="336" spans="1:9" hidden="1" x14ac:dyDescent="0.3">
      <c r="A336" s="13">
        <v>48</v>
      </c>
      <c r="B336" s="4">
        <v>7</v>
      </c>
      <c r="C336" t="s">
        <v>535</v>
      </c>
      <c r="D336" t="s">
        <v>536</v>
      </c>
      <c r="E336">
        <v>10</v>
      </c>
      <c r="F336">
        <v>9</v>
      </c>
      <c r="G336" s="8">
        <f>Lektionen[[#This Row],[Bearbeitungsdauer_real]]/Lektionen[[#This Row],[Bearbeitungsdauer_geschätzt]]-1</f>
        <v>-9.9999999999999978E-2</v>
      </c>
      <c r="H336" s="8" t="str" cm="1">
        <f t="array" ref="H336">_xlfn.IFS(Lektionen[[#This Row],[Bearbeitungsdauer_abgewichen]]&gt;0.6,"viel länger",Lektionen[[#This Row],[Bearbeitungsdauer_abgewichen]]&gt;0.3,"länger",Lektionen[[#This Row],[Bearbeitungsdauer_abgewichen]]&lt;-0.3,"kürzer",TRUE,"keine Abweichung")</f>
        <v>keine Abweichung</v>
      </c>
      <c r="I336">
        <v>3</v>
      </c>
    </row>
    <row r="337" spans="1:9" hidden="1" x14ac:dyDescent="0.3">
      <c r="A337" s="13">
        <v>48</v>
      </c>
      <c r="B337" s="4">
        <v>8</v>
      </c>
      <c r="C337" t="s">
        <v>537</v>
      </c>
      <c r="D337" t="s">
        <v>527</v>
      </c>
      <c r="E337">
        <v>5</v>
      </c>
      <c r="F337">
        <v>8</v>
      </c>
      <c r="G337" s="8">
        <f>Lektionen[[#This Row],[Bearbeitungsdauer_real]]/Lektionen[[#This Row],[Bearbeitungsdauer_geschätzt]]-1</f>
        <v>0.60000000000000009</v>
      </c>
      <c r="H337" s="8" t="str" cm="1">
        <f t="array" ref="H337">_xlfn.IFS(Lektionen[[#This Row],[Bearbeitungsdauer_abgewichen]]&gt;0.6,"viel länger",Lektionen[[#This Row],[Bearbeitungsdauer_abgewichen]]&gt;0.3,"länger",Lektionen[[#This Row],[Bearbeitungsdauer_abgewichen]]&lt;-0.3,"kürzer",TRUE,"keine Abweichung")</f>
        <v>länger</v>
      </c>
      <c r="I337">
        <v>1</v>
      </c>
    </row>
    <row r="338" spans="1:9" hidden="1" x14ac:dyDescent="0.3">
      <c r="A338" s="13">
        <v>50</v>
      </c>
      <c r="B338" s="4">
        <v>1</v>
      </c>
      <c r="C338" t="s">
        <v>526</v>
      </c>
      <c r="D338" t="s">
        <v>527</v>
      </c>
      <c r="E338">
        <v>4</v>
      </c>
      <c r="F338">
        <v>5</v>
      </c>
      <c r="G338" s="8">
        <f>Lektionen[[#This Row],[Bearbeitungsdauer_real]]/Lektionen[[#This Row],[Bearbeitungsdauer_geschätzt]]-1</f>
        <v>0.25</v>
      </c>
      <c r="H338" s="8" t="str" cm="1">
        <f t="array" ref="H338">_xlfn.IFS(Lektionen[[#This Row],[Bearbeitungsdauer_abgewichen]]&gt;0.6,"viel länger",Lektionen[[#This Row],[Bearbeitungsdauer_abgewichen]]&gt;0.3,"länger",Lektionen[[#This Row],[Bearbeitungsdauer_abgewichen]]&lt;-0.3,"kürzer",TRUE,"keine Abweichung")</f>
        <v>keine Abweichung</v>
      </c>
      <c r="I338">
        <v>1</v>
      </c>
    </row>
    <row r="339" spans="1:9" hidden="1" x14ac:dyDescent="0.3">
      <c r="A339" s="13">
        <v>50</v>
      </c>
      <c r="B339" s="4">
        <v>2</v>
      </c>
      <c r="C339" t="s">
        <v>528</v>
      </c>
      <c r="D339" t="s">
        <v>529</v>
      </c>
      <c r="E339">
        <v>15</v>
      </c>
      <c r="F339">
        <v>18</v>
      </c>
      <c r="G339" s="8">
        <f>Lektionen[[#This Row],[Bearbeitungsdauer_real]]/Lektionen[[#This Row],[Bearbeitungsdauer_geschätzt]]-1</f>
        <v>0.19999999999999996</v>
      </c>
      <c r="H339" s="8" t="str" cm="1">
        <f t="array" ref="H339">_xlfn.IFS(Lektionen[[#This Row],[Bearbeitungsdauer_abgewichen]]&gt;0.6,"viel länger",Lektionen[[#This Row],[Bearbeitungsdauer_abgewichen]]&gt;0.3,"länger",Lektionen[[#This Row],[Bearbeitungsdauer_abgewichen]]&lt;-0.3,"kürzer",TRUE,"keine Abweichung")</f>
        <v>keine Abweichung</v>
      </c>
      <c r="I339">
        <v>1</v>
      </c>
    </row>
    <row r="340" spans="1:9" hidden="1" x14ac:dyDescent="0.3">
      <c r="A340" s="13">
        <v>50</v>
      </c>
      <c r="B340" s="4">
        <v>3</v>
      </c>
      <c r="C340" t="s">
        <v>552</v>
      </c>
      <c r="D340" t="s">
        <v>530</v>
      </c>
      <c r="E340">
        <v>30</v>
      </c>
      <c r="F340">
        <v>29</v>
      </c>
      <c r="G340" s="8">
        <f>Lektionen[[#This Row],[Bearbeitungsdauer_real]]/Lektionen[[#This Row],[Bearbeitungsdauer_geschätzt]]-1</f>
        <v>-3.3333333333333326E-2</v>
      </c>
      <c r="H340" s="8" t="str" cm="1">
        <f t="array" ref="H340">_xlfn.IFS(Lektionen[[#This Row],[Bearbeitungsdauer_abgewichen]]&gt;0.6,"viel länger",Lektionen[[#This Row],[Bearbeitungsdauer_abgewichen]]&gt;0.3,"länger",Lektionen[[#This Row],[Bearbeitungsdauer_abgewichen]]&lt;-0.3,"kürzer",TRUE,"keine Abweichung")</f>
        <v>keine Abweichung</v>
      </c>
      <c r="I340">
        <v>3</v>
      </c>
    </row>
    <row r="341" spans="1:9" hidden="1" x14ac:dyDescent="0.3">
      <c r="A341" s="13">
        <v>50</v>
      </c>
      <c r="B341" s="4">
        <v>4</v>
      </c>
      <c r="C341" t="s">
        <v>531</v>
      </c>
      <c r="D341" t="s">
        <v>530</v>
      </c>
      <c r="E341">
        <v>30</v>
      </c>
      <c r="F341">
        <v>22</v>
      </c>
      <c r="G341" s="8">
        <f>Lektionen[[#This Row],[Bearbeitungsdauer_real]]/Lektionen[[#This Row],[Bearbeitungsdauer_geschätzt]]-1</f>
        <v>-0.26666666666666672</v>
      </c>
      <c r="H341" s="8" t="str" cm="1">
        <f t="array" ref="H341">_xlfn.IFS(Lektionen[[#This Row],[Bearbeitungsdauer_abgewichen]]&gt;0.6,"viel länger",Lektionen[[#This Row],[Bearbeitungsdauer_abgewichen]]&gt;0.3,"länger",Lektionen[[#This Row],[Bearbeitungsdauer_abgewichen]]&lt;-0.3,"kürzer",TRUE,"keine Abweichung")</f>
        <v>keine Abweichung</v>
      </c>
      <c r="I341">
        <v>3</v>
      </c>
    </row>
    <row r="342" spans="1:9" x14ac:dyDescent="0.3">
      <c r="A342" s="13">
        <v>50</v>
      </c>
      <c r="B342" s="4">
        <v>5</v>
      </c>
      <c r="C342" t="s">
        <v>532</v>
      </c>
      <c r="D342" t="s">
        <v>530</v>
      </c>
      <c r="E342">
        <v>30</v>
      </c>
      <c r="F342">
        <v>45</v>
      </c>
      <c r="G342" s="8">
        <f>Lektionen[[#This Row],[Bearbeitungsdauer_real]]/Lektionen[[#This Row],[Bearbeitungsdauer_geschätzt]]-1</f>
        <v>0.5</v>
      </c>
      <c r="H342" s="8" t="str" cm="1">
        <f t="array" ref="H342">_xlfn.IFS(Lektionen[[#This Row],[Bearbeitungsdauer_abgewichen]]&gt;0.6,"viel länger",Lektionen[[#This Row],[Bearbeitungsdauer_abgewichen]]&gt;0.3,"länger",Lektionen[[#This Row],[Bearbeitungsdauer_abgewichen]]&lt;-0.3,"kürzer",TRUE,"keine Abweichung")</f>
        <v>länger</v>
      </c>
      <c r="I342">
        <v>4</v>
      </c>
    </row>
    <row r="343" spans="1:9" hidden="1" x14ac:dyDescent="0.3">
      <c r="A343" s="13">
        <v>50</v>
      </c>
      <c r="B343" s="4">
        <v>6</v>
      </c>
      <c r="C343" t="s">
        <v>533</v>
      </c>
      <c r="D343" t="s">
        <v>534</v>
      </c>
      <c r="E343">
        <v>5</v>
      </c>
      <c r="F343">
        <v>2</v>
      </c>
      <c r="G343" s="8">
        <f>Lektionen[[#This Row],[Bearbeitungsdauer_real]]/Lektionen[[#This Row],[Bearbeitungsdauer_geschätzt]]-1</f>
        <v>-0.6</v>
      </c>
      <c r="H343" s="8" t="str" cm="1">
        <f t="array" ref="H343">_xlfn.IFS(Lektionen[[#This Row],[Bearbeitungsdauer_abgewichen]]&gt;0.6,"viel länger",Lektionen[[#This Row],[Bearbeitungsdauer_abgewichen]]&gt;0.3,"länger",Lektionen[[#This Row],[Bearbeitungsdauer_abgewichen]]&lt;-0.3,"kürzer",TRUE,"keine Abweichung")</f>
        <v>kürzer</v>
      </c>
      <c r="I343">
        <v>1</v>
      </c>
    </row>
    <row r="344" spans="1:9" hidden="1" x14ac:dyDescent="0.3">
      <c r="A344" s="13">
        <v>50</v>
      </c>
      <c r="B344" s="4">
        <v>7</v>
      </c>
      <c r="C344" t="s">
        <v>535</v>
      </c>
      <c r="D344" t="s">
        <v>536</v>
      </c>
      <c r="E344">
        <v>10</v>
      </c>
      <c r="F344">
        <v>11</v>
      </c>
      <c r="G344" s="8">
        <f>Lektionen[[#This Row],[Bearbeitungsdauer_real]]/Lektionen[[#This Row],[Bearbeitungsdauer_geschätzt]]-1</f>
        <v>0.10000000000000009</v>
      </c>
      <c r="H344" s="8" t="str" cm="1">
        <f t="array" ref="H344">_xlfn.IFS(Lektionen[[#This Row],[Bearbeitungsdauer_abgewichen]]&gt;0.6,"viel länger",Lektionen[[#This Row],[Bearbeitungsdauer_abgewichen]]&gt;0.3,"länger",Lektionen[[#This Row],[Bearbeitungsdauer_abgewichen]]&lt;-0.3,"kürzer",TRUE,"keine Abweichung")</f>
        <v>keine Abweichung</v>
      </c>
      <c r="I344">
        <v>4</v>
      </c>
    </row>
    <row r="345" spans="1:9" hidden="1" x14ac:dyDescent="0.3">
      <c r="A345" s="13">
        <v>50</v>
      </c>
      <c r="B345" s="4">
        <v>8</v>
      </c>
      <c r="C345" t="s">
        <v>537</v>
      </c>
      <c r="D345" t="s">
        <v>527</v>
      </c>
      <c r="E345">
        <v>5</v>
      </c>
      <c r="F345">
        <v>9</v>
      </c>
      <c r="G345" s="8">
        <f>Lektionen[[#This Row],[Bearbeitungsdauer_real]]/Lektionen[[#This Row],[Bearbeitungsdauer_geschätzt]]-1</f>
        <v>0.8</v>
      </c>
      <c r="H345" s="8" t="str" cm="1">
        <f t="array" ref="H345">_xlfn.IFS(Lektionen[[#This Row],[Bearbeitungsdauer_abgewichen]]&gt;0.6,"viel länger",Lektionen[[#This Row],[Bearbeitungsdauer_abgewichen]]&gt;0.3,"länger",Lektionen[[#This Row],[Bearbeitungsdauer_abgewichen]]&lt;-0.3,"kürzer",TRUE,"keine Abweichung")</f>
        <v>viel länger</v>
      </c>
      <c r="I345">
        <v>1</v>
      </c>
    </row>
    <row r="346" spans="1:9" hidden="1" x14ac:dyDescent="0.3">
      <c r="A346" s="13">
        <v>51</v>
      </c>
      <c r="B346" s="4">
        <v>1</v>
      </c>
      <c r="C346" t="s">
        <v>526</v>
      </c>
      <c r="D346" t="s">
        <v>527</v>
      </c>
      <c r="E346">
        <v>4</v>
      </c>
      <c r="F346">
        <v>4</v>
      </c>
      <c r="G346" s="8">
        <f>Lektionen[[#This Row],[Bearbeitungsdauer_real]]/Lektionen[[#This Row],[Bearbeitungsdauer_geschätzt]]-1</f>
        <v>0</v>
      </c>
      <c r="H346" s="8" t="str" cm="1">
        <f t="array" ref="H346">_xlfn.IFS(Lektionen[[#This Row],[Bearbeitungsdauer_abgewichen]]&gt;0.6,"viel länger",Lektionen[[#This Row],[Bearbeitungsdauer_abgewichen]]&gt;0.3,"länger",Lektionen[[#This Row],[Bearbeitungsdauer_abgewichen]]&lt;-0.3,"kürzer",TRUE,"keine Abweichung")</f>
        <v>keine Abweichung</v>
      </c>
      <c r="I346">
        <v>1</v>
      </c>
    </row>
    <row r="347" spans="1:9" hidden="1" x14ac:dyDescent="0.3">
      <c r="A347" s="13">
        <v>51</v>
      </c>
      <c r="B347" s="4">
        <v>2</v>
      </c>
      <c r="C347" t="s">
        <v>528</v>
      </c>
      <c r="D347" t="s">
        <v>529</v>
      </c>
      <c r="E347">
        <v>15</v>
      </c>
      <c r="F347">
        <v>18</v>
      </c>
      <c r="G347" s="8">
        <f>Lektionen[[#This Row],[Bearbeitungsdauer_real]]/Lektionen[[#This Row],[Bearbeitungsdauer_geschätzt]]-1</f>
        <v>0.19999999999999996</v>
      </c>
      <c r="H347" s="8" t="str" cm="1">
        <f t="array" ref="H347">_xlfn.IFS(Lektionen[[#This Row],[Bearbeitungsdauer_abgewichen]]&gt;0.6,"viel länger",Lektionen[[#This Row],[Bearbeitungsdauer_abgewichen]]&gt;0.3,"länger",Lektionen[[#This Row],[Bearbeitungsdauer_abgewichen]]&lt;-0.3,"kürzer",TRUE,"keine Abweichung")</f>
        <v>keine Abweichung</v>
      </c>
      <c r="I347">
        <v>2</v>
      </c>
    </row>
    <row r="348" spans="1:9" hidden="1" x14ac:dyDescent="0.3">
      <c r="A348" s="13">
        <v>51</v>
      </c>
      <c r="B348" s="4">
        <v>3</v>
      </c>
      <c r="C348" t="s">
        <v>552</v>
      </c>
      <c r="D348" t="s">
        <v>530</v>
      </c>
      <c r="E348">
        <v>30</v>
      </c>
      <c r="F348">
        <v>29</v>
      </c>
      <c r="G348" s="8">
        <f>Lektionen[[#This Row],[Bearbeitungsdauer_real]]/Lektionen[[#This Row],[Bearbeitungsdauer_geschätzt]]-1</f>
        <v>-3.3333333333333326E-2</v>
      </c>
      <c r="H348" s="8" t="str" cm="1">
        <f t="array" ref="H348">_xlfn.IFS(Lektionen[[#This Row],[Bearbeitungsdauer_abgewichen]]&gt;0.6,"viel länger",Lektionen[[#This Row],[Bearbeitungsdauer_abgewichen]]&gt;0.3,"länger",Lektionen[[#This Row],[Bearbeitungsdauer_abgewichen]]&lt;-0.3,"kürzer",TRUE,"keine Abweichung")</f>
        <v>keine Abweichung</v>
      </c>
      <c r="I348">
        <v>3</v>
      </c>
    </row>
    <row r="349" spans="1:9" hidden="1" x14ac:dyDescent="0.3">
      <c r="A349" s="13">
        <v>51</v>
      </c>
      <c r="B349" s="4">
        <v>4</v>
      </c>
      <c r="C349" t="s">
        <v>531</v>
      </c>
      <c r="D349" t="s">
        <v>530</v>
      </c>
      <c r="E349">
        <v>30</v>
      </c>
      <c r="F349">
        <v>29</v>
      </c>
      <c r="G349" s="8">
        <f>Lektionen[[#This Row],[Bearbeitungsdauer_real]]/Lektionen[[#This Row],[Bearbeitungsdauer_geschätzt]]-1</f>
        <v>-3.3333333333333326E-2</v>
      </c>
      <c r="H349" s="8" t="str" cm="1">
        <f t="array" ref="H349">_xlfn.IFS(Lektionen[[#This Row],[Bearbeitungsdauer_abgewichen]]&gt;0.6,"viel länger",Lektionen[[#This Row],[Bearbeitungsdauer_abgewichen]]&gt;0.3,"länger",Lektionen[[#This Row],[Bearbeitungsdauer_abgewichen]]&lt;-0.3,"kürzer",TRUE,"keine Abweichung")</f>
        <v>keine Abweichung</v>
      </c>
      <c r="I349">
        <v>3</v>
      </c>
    </row>
    <row r="350" spans="1:9" x14ac:dyDescent="0.3">
      <c r="A350" s="13">
        <v>51</v>
      </c>
      <c r="B350" s="4">
        <v>5</v>
      </c>
      <c r="C350" t="s">
        <v>532</v>
      </c>
      <c r="D350" t="s">
        <v>530</v>
      </c>
      <c r="E350">
        <v>30</v>
      </c>
      <c r="F350">
        <v>49</v>
      </c>
      <c r="G350" s="8">
        <f>Lektionen[[#This Row],[Bearbeitungsdauer_real]]/Lektionen[[#This Row],[Bearbeitungsdauer_geschätzt]]-1</f>
        <v>0.6333333333333333</v>
      </c>
      <c r="H350" s="8" t="str" cm="1">
        <f t="array" ref="H350">_xlfn.IFS(Lektionen[[#This Row],[Bearbeitungsdauer_abgewichen]]&gt;0.6,"viel länger",Lektionen[[#This Row],[Bearbeitungsdauer_abgewichen]]&gt;0.3,"länger",Lektionen[[#This Row],[Bearbeitungsdauer_abgewichen]]&lt;-0.3,"kürzer",TRUE,"keine Abweichung")</f>
        <v>viel länger</v>
      </c>
      <c r="I350">
        <v>3</v>
      </c>
    </row>
    <row r="351" spans="1:9" hidden="1" x14ac:dyDescent="0.3">
      <c r="A351" s="13">
        <v>51</v>
      </c>
      <c r="B351" s="4">
        <v>6</v>
      </c>
      <c r="C351" t="s">
        <v>533</v>
      </c>
      <c r="D351" t="s">
        <v>534</v>
      </c>
      <c r="E351">
        <v>5</v>
      </c>
      <c r="F351">
        <v>2</v>
      </c>
      <c r="G351" s="8">
        <f>Lektionen[[#This Row],[Bearbeitungsdauer_real]]/Lektionen[[#This Row],[Bearbeitungsdauer_geschätzt]]-1</f>
        <v>-0.6</v>
      </c>
      <c r="H351" s="8" t="str" cm="1">
        <f t="array" ref="H351">_xlfn.IFS(Lektionen[[#This Row],[Bearbeitungsdauer_abgewichen]]&gt;0.6,"viel länger",Lektionen[[#This Row],[Bearbeitungsdauer_abgewichen]]&gt;0.3,"länger",Lektionen[[#This Row],[Bearbeitungsdauer_abgewichen]]&lt;-0.3,"kürzer",TRUE,"keine Abweichung")</f>
        <v>kürzer</v>
      </c>
      <c r="I351">
        <v>3</v>
      </c>
    </row>
    <row r="352" spans="1:9" hidden="1" x14ac:dyDescent="0.3">
      <c r="A352" s="13">
        <v>51</v>
      </c>
      <c r="B352" s="4">
        <v>7</v>
      </c>
      <c r="C352" t="s">
        <v>535</v>
      </c>
      <c r="D352" t="s">
        <v>536</v>
      </c>
      <c r="E352">
        <v>10</v>
      </c>
      <c r="F352">
        <v>10</v>
      </c>
      <c r="G352" s="8">
        <f>Lektionen[[#This Row],[Bearbeitungsdauer_real]]/Lektionen[[#This Row],[Bearbeitungsdauer_geschätzt]]-1</f>
        <v>0</v>
      </c>
      <c r="H352" s="8" t="str" cm="1">
        <f t="array" ref="H352">_xlfn.IFS(Lektionen[[#This Row],[Bearbeitungsdauer_abgewichen]]&gt;0.6,"viel länger",Lektionen[[#This Row],[Bearbeitungsdauer_abgewichen]]&gt;0.3,"länger",Lektionen[[#This Row],[Bearbeitungsdauer_abgewichen]]&lt;-0.3,"kürzer",TRUE,"keine Abweichung")</f>
        <v>keine Abweichung</v>
      </c>
      <c r="I352">
        <v>3</v>
      </c>
    </row>
    <row r="353" spans="1:9" hidden="1" x14ac:dyDescent="0.3">
      <c r="A353" s="13">
        <v>51</v>
      </c>
      <c r="B353" s="4">
        <v>8</v>
      </c>
      <c r="C353" t="s">
        <v>537</v>
      </c>
      <c r="D353" t="s">
        <v>527</v>
      </c>
      <c r="E353">
        <v>5</v>
      </c>
      <c r="F353">
        <v>5</v>
      </c>
      <c r="G353" s="8">
        <f>Lektionen[[#This Row],[Bearbeitungsdauer_real]]/Lektionen[[#This Row],[Bearbeitungsdauer_geschätzt]]-1</f>
        <v>0</v>
      </c>
      <c r="H353" s="8" t="str" cm="1">
        <f t="array" ref="H353">_xlfn.IFS(Lektionen[[#This Row],[Bearbeitungsdauer_abgewichen]]&gt;0.6,"viel länger",Lektionen[[#This Row],[Bearbeitungsdauer_abgewichen]]&gt;0.3,"länger",Lektionen[[#This Row],[Bearbeitungsdauer_abgewichen]]&lt;-0.3,"kürzer",TRUE,"keine Abweichung")</f>
        <v>keine Abweichung</v>
      </c>
      <c r="I353">
        <v>1</v>
      </c>
    </row>
    <row r="354" spans="1:9" hidden="1" x14ac:dyDescent="0.3">
      <c r="A354" s="13">
        <v>52</v>
      </c>
      <c r="B354" s="4">
        <v>1</v>
      </c>
      <c r="C354" t="s">
        <v>526</v>
      </c>
      <c r="D354" t="s">
        <v>527</v>
      </c>
      <c r="E354">
        <v>4</v>
      </c>
      <c r="F354">
        <v>4</v>
      </c>
      <c r="G354" s="8">
        <f>Lektionen[[#This Row],[Bearbeitungsdauer_real]]/Lektionen[[#This Row],[Bearbeitungsdauer_geschätzt]]-1</f>
        <v>0</v>
      </c>
      <c r="H354" s="8" t="str" cm="1">
        <f t="array" ref="H354">_xlfn.IFS(Lektionen[[#This Row],[Bearbeitungsdauer_abgewichen]]&gt;0.6,"viel länger",Lektionen[[#This Row],[Bearbeitungsdauer_abgewichen]]&gt;0.3,"länger",Lektionen[[#This Row],[Bearbeitungsdauer_abgewichen]]&lt;-0.3,"kürzer",TRUE,"keine Abweichung")</f>
        <v>keine Abweichung</v>
      </c>
      <c r="I354">
        <v>1</v>
      </c>
    </row>
    <row r="355" spans="1:9" hidden="1" x14ac:dyDescent="0.3">
      <c r="A355" s="13">
        <v>52</v>
      </c>
      <c r="B355" s="4">
        <v>2</v>
      </c>
      <c r="C355" t="s">
        <v>528</v>
      </c>
      <c r="D355" t="s">
        <v>529</v>
      </c>
      <c r="E355">
        <v>15</v>
      </c>
      <c r="F355">
        <v>22</v>
      </c>
      <c r="G355" s="8">
        <f>Lektionen[[#This Row],[Bearbeitungsdauer_real]]/Lektionen[[#This Row],[Bearbeitungsdauer_geschätzt]]-1</f>
        <v>0.46666666666666656</v>
      </c>
      <c r="H355" s="8" t="str" cm="1">
        <f t="array" ref="H355">_xlfn.IFS(Lektionen[[#This Row],[Bearbeitungsdauer_abgewichen]]&gt;0.6,"viel länger",Lektionen[[#This Row],[Bearbeitungsdauer_abgewichen]]&gt;0.3,"länger",Lektionen[[#This Row],[Bearbeitungsdauer_abgewichen]]&lt;-0.3,"kürzer",TRUE,"keine Abweichung")</f>
        <v>länger</v>
      </c>
      <c r="I355">
        <v>3</v>
      </c>
    </row>
    <row r="356" spans="1:9" hidden="1" x14ac:dyDescent="0.3">
      <c r="A356" s="13">
        <v>52</v>
      </c>
      <c r="B356" s="4">
        <v>3</v>
      </c>
      <c r="C356" t="s">
        <v>552</v>
      </c>
      <c r="D356" t="s">
        <v>530</v>
      </c>
      <c r="E356">
        <v>30</v>
      </c>
      <c r="F356">
        <v>28</v>
      </c>
      <c r="G356" s="8">
        <f>Lektionen[[#This Row],[Bearbeitungsdauer_real]]/Lektionen[[#This Row],[Bearbeitungsdauer_geschätzt]]-1</f>
        <v>-6.6666666666666652E-2</v>
      </c>
      <c r="H356" s="8" t="str" cm="1">
        <f t="array" ref="H356">_xlfn.IFS(Lektionen[[#This Row],[Bearbeitungsdauer_abgewichen]]&gt;0.6,"viel länger",Lektionen[[#This Row],[Bearbeitungsdauer_abgewichen]]&gt;0.3,"länger",Lektionen[[#This Row],[Bearbeitungsdauer_abgewichen]]&lt;-0.3,"kürzer",TRUE,"keine Abweichung")</f>
        <v>keine Abweichung</v>
      </c>
      <c r="I356">
        <v>2</v>
      </c>
    </row>
    <row r="357" spans="1:9" hidden="1" x14ac:dyDescent="0.3">
      <c r="A357" s="13">
        <v>52</v>
      </c>
      <c r="B357" s="4">
        <v>4</v>
      </c>
      <c r="C357" t="s">
        <v>531</v>
      </c>
      <c r="D357" t="s">
        <v>530</v>
      </c>
      <c r="E357">
        <v>30</v>
      </c>
      <c r="F357">
        <v>36</v>
      </c>
      <c r="G357" s="8">
        <f>Lektionen[[#This Row],[Bearbeitungsdauer_real]]/Lektionen[[#This Row],[Bearbeitungsdauer_geschätzt]]-1</f>
        <v>0.19999999999999996</v>
      </c>
      <c r="H357" s="8" t="str" cm="1">
        <f t="array" ref="H357">_xlfn.IFS(Lektionen[[#This Row],[Bearbeitungsdauer_abgewichen]]&gt;0.6,"viel länger",Lektionen[[#This Row],[Bearbeitungsdauer_abgewichen]]&gt;0.3,"länger",Lektionen[[#This Row],[Bearbeitungsdauer_abgewichen]]&lt;-0.3,"kürzer",TRUE,"keine Abweichung")</f>
        <v>keine Abweichung</v>
      </c>
      <c r="I357">
        <v>4</v>
      </c>
    </row>
    <row r="358" spans="1:9" x14ac:dyDescent="0.3">
      <c r="A358" s="13">
        <v>52</v>
      </c>
      <c r="B358" s="4">
        <v>5</v>
      </c>
      <c r="C358" t="s">
        <v>532</v>
      </c>
      <c r="D358" t="s">
        <v>530</v>
      </c>
      <c r="E358">
        <v>30</v>
      </c>
      <c r="F358">
        <v>54</v>
      </c>
      <c r="G358" s="8">
        <f>Lektionen[[#This Row],[Bearbeitungsdauer_real]]/Lektionen[[#This Row],[Bearbeitungsdauer_geschätzt]]-1</f>
        <v>0.8</v>
      </c>
      <c r="H358" s="8" t="str" cm="1">
        <f t="array" ref="H358">_xlfn.IFS(Lektionen[[#This Row],[Bearbeitungsdauer_abgewichen]]&gt;0.6,"viel länger",Lektionen[[#This Row],[Bearbeitungsdauer_abgewichen]]&gt;0.3,"länger",Lektionen[[#This Row],[Bearbeitungsdauer_abgewichen]]&lt;-0.3,"kürzer",TRUE,"keine Abweichung")</f>
        <v>viel länger</v>
      </c>
      <c r="I358">
        <v>4</v>
      </c>
    </row>
    <row r="359" spans="1:9" hidden="1" x14ac:dyDescent="0.3">
      <c r="A359" s="13">
        <v>52</v>
      </c>
      <c r="B359" s="4">
        <v>6</v>
      </c>
      <c r="C359" t="s">
        <v>533</v>
      </c>
      <c r="D359" t="s">
        <v>534</v>
      </c>
      <c r="E359">
        <v>5</v>
      </c>
      <c r="F359">
        <v>2</v>
      </c>
      <c r="G359" s="8">
        <f>Lektionen[[#This Row],[Bearbeitungsdauer_real]]/Lektionen[[#This Row],[Bearbeitungsdauer_geschätzt]]-1</f>
        <v>-0.6</v>
      </c>
      <c r="H359" s="8" t="str" cm="1">
        <f t="array" ref="H359">_xlfn.IFS(Lektionen[[#This Row],[Bearbeitungsdauer_abgewichen]]&gt;0.6,"viel länger",Lektionen[[#This Row],[Bearbeitungsdauer_abgewichen]]&gt;0.3,"länger",Lektionen[[#This Row],[Bearbeitungsdauer_abgewichen]]&lt;-0.3,"kürzer",TRUE,"keine Abweichung")</f>
        <v>kürzer</v>
      </c>
      <c r="I359">
        <v>2</v>
      </c>
    </row>
    <row r="360" spans="1:9" hidden="1" x14ac:dyDescent="0.3">
      <c r="A360" s="13">
        <v>52</v>
      </c>
      <c r="B360" s="4">
        <v>7</v>
      </c>
      <c r="C360" t="s">
        <v>535</v>
      </c>
      <c r="D360" t="s">
        <v>536</v>
      </c>
      <c r="E360">
        <v>10</v>
      </c>
      <c r="F360">
        <v>10</v>
      </c>
      <c r="G360" s="8">
        <f>Lektionen[[#This Row],[Bearbeitungsdauer_real]]/Lektionen[[#This Row],[Bearbeitungsdauer_geschätzt]]-1</f>
        <v>0</v>
      </c>
      <c r="H360" s="8" t="str" cm="1">
        <f t="array" ref="H360">_xlfn.IFS(Lektionen[[#This Row],[Bearbeitungsdauer_abgewichen]]&gt;0.6,"viel länger",Lektionen[[#This Row],[Bearbeitungsdauer_abgewichen]]&gt;0.3,"länger",Lektionen[[#This Row],[Bearbeitungsdauer_abgewichen]]&lt;-0.3,"kürzer",TRUE,"keine Abweichung")</f>
        <v>keine Abweichung</v>
      </c>
      <c r="I360">
        <v>3</v>
      </c>
    </row>
    <row r="361" spans="1:9" hidden="1" x14ac:dyDescent="0.3">
      <c r="A361" s="13">
        <v>52</v>
      </c>
      <c r="B361" s="4">
        <v>8</v>
      </c>
      <c r="C361" t="s">
        <v>537</v>
      </c>
      <c r="D361" t="s">
        <v>527</v>
      </c>
      <c r="E361">
        <v>5</v>
      </c>
      <c r="F361">
        <v>5</v>
      </c>
      <c r="G361" s="8">
        <f>Lektionen[[#This Row],[Bearbeitungsdauer_real]]/Lektionen[[#This Row],[Bearbeitungsdauer_geschätzt]]-1</f>
        <v>0</v>
      </c>
      <c r="H361" s="8" t="str" cm="1">
        <f t="array" ref="H361">_xlfn.IFS(Lektionen[[#This Row],[Bearbeitungsdauer_abgewichen]]&gt;0.6,"viel länger",Lektionen[[#This Row],[Bearbeitungsdauer_abgewichen]]&gt;0.3,"länger",Lektionen[[#This Row],[Bearbeitungsdauer_abgewichen]]&lt;-0.3,"kürzer",TRUE,"keine Abweichung")</f>
        <v>keine Abweichung</v>
      </c>
      <c r="I361">
        <v>1</v>
      </c>
    </row>
    <row r="362" spans="1:9" hidden="1" x14ac:dyDescent="0.3">
      <c r="A362" s="13">
        <v>53</v>
      </c>
      <c r="B362" s="4">
        <v>1</v>
      </c>
      <c r="C362" t="s">
        <v>526</v>
      </c>
      <c r="D362" t="s">
        <v>527</v>
      </c>
      <c r="E362">
        <v>4</v>
      </c>
      <c r="F362">
        <v>4</v>
      </c>
      <c r="G362" s="8">
        <f>Lektionen[[#This Row],[Bearbeitungsdauer_real]]/Lektionen[[#This Row],[Bearbeitungsdauer_geschätzt]]-1</f>
        <v>0</v>
      </c>
      <c r="H362" s="8" t="str" cm="1">
        <f t="array" ref="H362">_xlfn.IFS(Lektionen[[#This Row],[Bearbeitungsdauer_abgewichen]]&gt;0.6,"viel länger",Lektionen[[#This Row],[Bearbeitungsdauer_abgewichen]]&gt;0.3,"länger",Lektionen[[#This Row],[Bearbeitungsdauer_abgewichen]]&lt;-0.3,"kürzer",TRUE,"keine Abweichung")</f>
        <v>keine Abweichung</v>
      </c>
      <c r="I362">
        <v>1</v>
      </c>
    </row>
    <row r="363" spans="1:9" hidden="1" x14ac:dyDescent="0.3">
      <c r="A363" s="13">
        <v>53</v>
      </c>
      <c r="B363" s="4">
        <v>2</v>
      </c>
      <c r="C363" t="s">
        <v>528</v>
      </c>
      <c r="D363" t="s">
        <v>529</v>
      </c>
      <c r="E363">
        <v>15</v>
      </c>
      <c r="F363">
        <v>17</v>
      </c>
      <c r="G363" s="8">
        <f>Lektionen[[#This Row],[Bearbeitungsdauer_real]]/Lektionen[[#This Row],[Bearbeitungsdauer_geschätzt]]-1</f>
        <v>0.1333333333333333</v>
      </c>
      <c r="H363" s="8" t="str" cm="1">
        <f t="array" ref="H363">_xlfn.IFS(Lektionen[[#This Row],[Bearbeitungsdauer_abgewichen]]&gt;0.6,"viel länger",Lektionen[[#This Row],[Bearbeitungsdauer_abgewichen]]&gt;0.3,"länger",Lektionen[[#This Row],[Bearbeitungsdauer_abgewichen]]&lt;-0.3,"kürzer",TRUE,"keine Abweichung")</f>
        <v>keine Abweichung</v>
      </c>
      <c r="I363">
        <v>1</v>
      </c>
    </row>
    <row r="364" spans="1:9" hidden="1" x14ac:dyDescent="0.3">
      <c r="A364" s="13">
        <v>53</v>
      </c>
      <c r="B364" s="4">
        <v>3</v>
      </c>
      <c r="C364" t="s">
        <v>552</v>
      </c>
      <c r="D364" t="s">
        <v>530</v>
      </c>
      <c r="E364">
        <v>30</v>
      </c>
      <c r="F364">
        <v>29</v>
      </c>
      <c r="G364" s="8">
        <f>Lektionen[[#This Row],[Bearbeitungsdauer_real]]/Lektionen[[#This Row],[Bearbeitungsdauer_geschätzt]]-1</f>
        <v>-3.3333333333333326E-2</v>
      </c>
      <c r="H364" s="8" t="str" cm="1">
        <f t="array" ref="H364">_xlfn.IFS(Lektionen[[#This Row],[Bearbeitungsdauer_abgewichen]]&gt;0.6,"viel länger",Lektionen[[#This Row],[Bearbeitungsdauer_abgewichen]]&gt;0.3,"länger",Lektionen[[#This Row],[Bearbeitungsdauer_abgewichen]]&lt;-0.3,"kürzer",TRUE,"keine Abweichung")</f>
        <v>keine Abweichung</v>
      </c>
      <c r="I364">
        <v>2</v>
      </c>
    </row>
    <row r="365" spans="1:9" hidden="1" x14ac:dyDescent="0.3">
      <c r="A365" s="13">
        <v>53</v>
      </c>
      <c r="B365" s="4">
        <v>4</v>
      </c>
      <c r="C365" t="s">
        <v>531</v>
      </c>
      <c r="D365" t="s">
        <v>530</v>
      </c>
      <c r="E365">
        <v>30</v>
      </c>
      <c r="F365">
        <v>30</v>
      </c>
      <c r="G365" s="8">
        <f>Lektionen[[#This Row],[Bearbeitungsdauer_real]]/Lektionen[[#This Row],[Bearbeitungsdauer_geschätzt]]-1</f>
        <v>0</v>
      </c>
      <c r="H365" s="8" t="str" cm="1">
        <f t="array" ref="H365">_xlfn.IFS(Lektionen[[#This Row],[Bearbeitungsdauer_abgewichen]]&gt;0.6,"viel länger",Lektionen[[#This Row],[Bearbeitungsdauer_abgewichen]]&gt;0.3,"länger",Lektionen[[#This Row],[Bearbeitungsdauer_abgewichen]]&lt;-0.3,"kürzer",TRUE,"keine Abweichung")</f>
        <v>keine Abweichung</v>
      </c>
      <c r="I365">
        <v>3</v>
      </c>
    </row>
    <row r="366" spans="1:9" x14ac:dyDescent="0.3">
      <c r="A366" s="13">
        <v>53</v>
      </c>
      <c r="B366" s="4">
        <v>5</v>
      </c>
      <c r="C366" t="s">
        <v>532</v>
      </c>
      <c r="D366" t="s">
        <v>530</v>
      </c>
      <c r="E366">
        <v>30</v>
      </c>
      <c r="F366">
        <v>44</v>
      </c>
      <c r="G366" s="8">
        <f>Lektionen[[#This Row],[Bearbeitungsdauer_real]]/Lektionen[[#This Row],[Bearbeitungsdauer_geschätzt]]-1</f>
        <v>0.46666666666666656</v>
      </c>
      <c r="H366" s="8" t="str" cm="1">
        <f t="array" ref="H366">_xlfn.IFS(Lektionen[[#This Row],[Bearbeitungsdauer_abgewichen]]&gt;0.6,"viel länger",Lektionen[[#This Row],[Bearbeitungsdauer_abgewichen]]&gt;0.3,"länger",Lektionen[[#This Row],[Bearbeitungsdauer_abgewichen]]&lt;-0.3,"kürzer",TRUE,"keine Abweichung")</f>
        <v>länger</v>
      </c>
      <c r="I366">
        <v>4</v>
      </c>
    </row>
    <row r="367" spans="1:9" hidden="1" x14ac:dyDescent="0.3">
      <c r="A367" s="13">
        <v>53</v>
      </c>
      <c r="B367" s="4">
        <v>6</v>
      </c>
      <c r="C367" t="s">
        <v>533</v>
      </c>
      <c r="D367" t="s">
        <v>534</v>
      </c>
      <c r="E367">
        <v>5</v>
      </c>
      <c r="F367">
        <v>2</v>
      </c>
      <c r="G367" s="8">
        <f>Lektionen[[#This Row],[Bearbeitungsdauer_real]]/Lektionen[[#This Row],[Bearbeitungsdauer_geschätzt]]-1</f>
        <v>-0.6</v>
      </c>
      <c r="H367" s="8" t="str" cm="1">
        <f t="array" ref="H367">_xlfn.IFS(Lektionen[[#This Row],[Bearbeitungsdauer_abgewichen]]&gt;0.6,"viel länger",Lektionen[[#This Row],[Bearbeitungsdauer_abgewichen]]&gt;0.3,"länger",Lektionen[[#This Row],[Bearbeitungsdauer_abgewichen]]&lt;-0.3,"kürzer",TRUE,"keine Abweichung")</f>
        <v>kürzer</v>
      </c>
      <c r="I367">
        <v>1</v>
      </c>
    </row>
    <row r="368" spans="1:9" hidden="1" x14ac:dyDescent="0.3">
      <c r="A368" s="13">
        <v>53</v>
      </c>
      <c r="B368" s="4">
        <v>7</v>
      </c>
      <c r="C368" t="s">
        <v>535</v>
      </c>
      <c r="D368" t="s">
        <v>536</v>
      </c>
      <c r="E368">
        <v>10</v>
      </c>
      <c r="F368">
        <v>10</v>
      </c>
      <c r="G368" s="8">
        <f>Lektionen[[#This Row],[Bearbeitungsdauer_real]]/Lektionen[[#This Row],[Bearbeitungsdauer_geschätzt]]-1</f>
        <v>0</v>
      </c>
      <c r="H368" s="8" t="str" cm="1">
        <f t="array" ref="H368">_xlfn.IFS(Lektionen[[#This Row],[Bearbeitungsdauer_abgewichen]]&gt;0.6,"viel länger",Lektionen[[#This Row],[Bearbeitungsdauer_abgewichen]]&gt;0.3,"länger",Lektionen[[#This Row],[Bearbeitungsdauer_abgewichen]]&lt;-0.3,"kürzer",TRUE,"keine Abweichung")</f>
        <v>keine Abweichung</v>
      </c>
      <c r="I368">
        <v>4</v>
      </c>
    </row>
    <row r="369" spans="1:9" hidden="1" x14ac:dyDescent="0.3">
      <c r="A369" s="13">
        <v>53</v>
      </c>
      <c r="B369" s="4">
        <v>8</v>
      </c>
      <c r="C369" t="s">
        <v>537</v>
      </c>
      <c r="D369" t="s">
        <v>527</v>
      </c>
      <c r="E369">
        <v>5</v>
      </c>
      <c r="F369">
        <v>5</v>
      </c>
      <c r="G369" s="8">
        <f>Lektionen[[#This Row],[Bearbeitungsdauer_real]]/Lektionen[[#This Row],[Bearbeitungsdauer_geschätzt]]-1</f>
        <v>0</v>
      </c>
      <c r="H369" s="8" t="str" cm="1">
        <f t="array" ref="H369">_xlfn.IFS(Lektionen[[#This Row],[Bearbeitungsdauer_abgewichen]]&gt;0.6,"viel länger",Lektionen[[#This Row],[Bearbeitungsdauer_abgewichen]]&gt;0.3,"länger",Lektionen[[#This Row],[Bearbeitungsdauer_abgewichen]]&lt;-0.3,"kürzer",TRUE,"keine Abweichung")</f>
        <v>keine Abweichung</v>
      </c>
      <c r="I369">
        <v>1</v>
      </c>
    </row>
    <row r="370" spans="1:9" hidden="1" x14ac:dyDescent="0.3">
      <c r="A370" s="13">
        <v>54</v>
      </c>
      <c r="B370" s="4">
        <v>1</v>
      </c>
      <c r="C370" t="s">
        <v>526</v>
      </c>
      <c r="D370" t="s">
        <v>527</v>
      </c>
      <c r="E370">
        <v>4</v>
      </c>
      <c r="F370">
        <v>4</v>
      </c>
      <c r="G370" s="8">
        <f>Lektionen[[#This Row],[Bearbeitungsdauer_real]]/Lektionen[[#This Row],[Bearbeitungsdauer_geschätzt]]-1</f>
        <v>0</v>
      </c>
      <c r="H370" s="8" t="str" cm="1">
        <f t="array" ref="H370">_xlfn.IFS(Lektionen[[#This Row],[Bearbeitungsdauer_abgewichen]]&gt;0.6,"viel länger",Lektionen[[#This Row],[Bearbeitungsdauer_abgewichen]]&gt;0.3,"länger",Lektionen[[#This Row],[Bearbeitungsdauer_abgewichen]]&lt;-0.3,"kürzer",TRUE,"keine Abweichung")</f>
        <v>keine Abweichung</v>
      </c>
      <c r="I370">
        <v>1</v>
      </c>
    </row>
    <row r="371" spans="1:9" hidden="1" x14ac:dyDescent="0.3">
      <c r="A371" s="13">
        <v>54</v>
      </c>
      <c r="B371" s="4">
        <v>2</v>
      </c>
      <c r="C371" t="s">
        <v>528</v>
      </c>
      <c r="D371" t="s">
        <v>529</v>
      </c>
      <c r="E371">
        <v>15</v>
      </c>
      <c r="F371">
        <v>19</v>
      </c>
      <c r="G371" s="8">
        <f>Lektionen[[#This Row],[Bearbeitungsdauer_real]]/Lektionen[[#This Row],[Bearbeitungsdauer_geschätzt]]-1</f>
        <v>0.26666666666666661</v>
      </c>
      <c r="H371" s="8" t="str" cm="1">
        <f t="array" ref="H371">_xlfn.IFS(Lektionen[[#This Row],[Bearbeitungsdauer_abgewichen]]&gt;0.6,"viel länger",Lektionen[[#This Row],[Bearbeitungsdauer_abgewichen]]&gt;0.3,"länger",Lektionen[[#This Row],[Bearbeitungsdauer_abgewichen]]&lt;-0.3,"kürzer",TRUE,"keine Abweichung")</f>
        <v>keine Abweichung</v>
      </c>
      <c r="I371">
        <v>2</v>
      </c>
    </row>
    <row r="372" spans="1:9" hidden="1" x14ac:dyDescent="0.3">
      <c r="A372" s="13">
        <v>54</v>
      </c>
      <c r="B372" s="4">
        <v>3</v>
      </c>
      <c r="C372" t="s">
        <v>552</v>
      </c>
      <c r="D372" t="s">
        <v>530</v>
      </c>
      <c r="E372">
        <v>30</v>
      </c>
      <c r="F372">
        <v>36</v>
      </c>
      <c r="G372" s="8">
        <f>Lektionen[[#This Row],[Bearbeitungsdauer_real]]/Lektionen[[#This Row],[Bearbeitungsdauer_geschätzt]]-1</f>
        <v>0.19999999999999996</v>
      </c>
      <c r="H372" s="8" t="str" cm="1">
        <f t="array" ref="H372">_xlfn.IFS(Lektionen[[#This Row],[Bearbeitungsdauer_abgewichen]]&gt;0.6,"viel länger",Lektionen[[#This Row],[Bearbeitungsdauer_abgewichen]]&gt;0.3,"länger",Lektionen[[#This Row],[Bearbeitungsdauer_abgewichen]]&lt;-0.3,"kürzer",TRUE,"keine Abweichung")</f>
        <v>keine Abweichung</v>
      </c>
      <c r="I372">
        <v>3</v>
      </c>
    </row>
    <row r="373" spans="1:9" hidden="1" x14ac:dyDescent="0.3">
      <c r="A373" s="13">
        <v>54</v>
      </c>
      <c r="B373" s="4">
        <v>4</v>
      </c>
      <c r="C373" t="s">
        <v>531</v>
      </c>
      <c r="D373" t="s">
        <v>530</v>
      </c>
      <c r="E373">
        <v>30</v>
      </c>
      <c r="F373">
        <v>25</v>
      </c>
      <c r="G373" s="8">
        <f>Lektionen[[#This Row],[Bearbeitungsdauer_real]]/Lektionen[[#This Row],[Bearbeitungsdauer_geschätzt]]-1</f>
        <v>-0.16666666666666663</v>
      </c>
      <c r="H373" s="8" t="str" cm="1">
        <f t="array" ref="H373">_xlfn.IFS(Lektionen[[#This Row],[Bearbeitungsdauer_abgewichen]]&gt;0.6,"viel länger",Lektionen[[#This Row],[Bearbeitungsdauer_abgewichen]]&gt;0.3,"länger",Lektionen[[#This Row],[Bearbeitungsdauer_abgewichen]]&lt;-0.3,"kürzer",TRUE,"keine Abweichung")</f>
        <v>keine Abweichung</v>
      </c>
      <c r="I373">
        <v>2</v>
      </c>
    </row>
    <row r="374" spans="1:9" x14ac:dyDescent="0.3">
      <c r="A374" s="13">
        <v>54</v>
      </c>
      <c r="B374" s="4">
        <v>5</v>
      </c>
      <c r="C374" t="s">
        <v>532</v>
      </c>
      <c r="D374" t="s">
        <v>530</v>
      </c>
      <c r="E374">
        <v>30</v>
      </c>
      <c r="F374">
        <v>48</v>
      </c>
      <c r="G374" s="8">
        <f>Lektionen[[#This Row],[Bearbeitungsdauer_real]]/Lektionen[[#This Row],[Bearbeitungsdauer_geschätzt]]-1</f>
        <v>0.60000000000000009</v>
      </c>
      <c r="H374" s="8" t="str" cm="1">
        <f t="array" ref="H374">_xlfn.IFS(Lektionen[[#This Row],[Bearbeitungsdauer_abgewichen]]&gt;0.6,"viel länger",Lektionen[[#This Row],[Bearbeitungsdauer_abgewichen]]&gt;0.3,"länger",Lektionen[[#This Row],[Bearbeitungsdauer_abgewichen]]&lt;-0.3,"kürzer",TRUE,"keine Abweichung")</f>
        <v>länger</v>
      </c>
      <c r="I374">
        <v>4</v>
      </c>
    </row>
    <row r="375" spans="1:9" hidden="1" x14ac:dyDescent="0.3">
      <c r="A375" s="13">
        <v>54</v>
      </c>
      <c r="B375" s="4">
        <v>6</v>
      </c>
      <c r="C375" t="s">
        <v>533</v>
      </c>
      <c r="D375" t="s">
        <v>534</v>
      </c>
      <c r="E375">
        <v>5</v>
      </c>
      <c r="F375">
        <v>2</v>
      </c>
      <c r="G375" s="8">
        <f>Lektionen[[#This Row],[Bearbeitungsdauer_real]]/Lektionen[[#This Row],[Bearbeitungsdauer_geschätzt]]-1</f>
        <v>-0.6</v>
      </c>
      <c r="H375" s="8" t="str" cm="1">
        <f t="array" ref="H375">_xlfn.IFS(Lektionen[[#This Row],[Bearbeitungsdauer_abgewichen]]&gt;0.6,"viel länger",Lektionen[[#This Row],[Bearbeitungsdauer_abgewichen]]&gt;0.3,"länger",Lektionen[[#This Row],[Bearbeitungsdauer_abgewichen]]&lt;-0.3,"kürzer",TRUE,"keine Abweichung")</f>
        <v>kürzer</v>
      </c>
      <c r="I375">
        <v>3</v>
      </c>
    </row>
    <row r="376" spans="1:9" hidden="1" x14ac:dyDescent="0.3">
      <c r="A376" s="13">
        <v>54</v>
      </c>
      <c r="B376" s="4">
        <v>7</v>
      </c>
      <c r="C376" t="s">
        <v>535</v>
      </c>
      <c r="D376" t="s">
        <v>536</v>
      </c>
      <c r="E376">
        <v>10</v>
      </c>
      <c r="F376">
        <v>10</v>
      </c>
      <c r="G376" s="8">
        <f>Lektionen[[#This Row],[Bearbeitungsdauer_real]]/Lektionen[[#This Row],[Bearbeitungsdauer_geschätzt]]-1</f>
        <v>0</v>
      </c>
      <c r="H376" s="8" t="str" cm="1">
        <f t="array" ref="H376">_xlfn.IFS(Lektionen[[#This Row],[Bearbeitungsdauer_abgewichen]]&gt;0.6,"viel länger",Lektionen[[#This Row],[Bearbeitungsdauer_abgewichen]]&gt;0.3,"länger",Lektionen[[#This Row],[Bearbeitungsdauer_abgewichen]]&lt;-0.3,"kürzer",TRUE,"keine Abweichung")</f>
        <v>keine Abweichung</v>
      </c>
      <c r="I376">
        <v>3</v>
      </c>
    </row>
    <row r="377" spans="1:9" hidden="1" x14ac:dyDescent="0.3">
      <c r="A377" s="13">
        <v>54</v>
      </c>
      <c r="B377" s="4">
        <v>8</v>
      </c>
      <c r="C377" t="s">
        <v>537</v>
      </c>
      <c r="D377" t="s">
        <v>527</v>
      </c>
      <c r="E377">
        <v>5</v>
      </c>
      <c r="F377">
        <v>5</v>
      </c>
      <c r="G377" s="8">
        <f>Lektionen[[#This Row],[Bearbeitungsdauer_real]]/Lektionen[[#This Row],[Bearbeitungsdauer_geschätzt]]-1</f>
        <v>0</v>
      </c>
      <c r="H377" s="8" t="str" cm="1">
        <f t="array" ref="H377">_xlfn.IFS(Lektionen[[#This Row],[Bearbeitungsdauer_abgewichen]]&gt;0.6,"viel länger",Lektionen[[#This Row],[Bearbeitungsdauer_abgewichen]]&gt;0.3,"länger",Lektionen[[#This Row],[Bearbeitungsdauer_abgewichen]]&lt;-0.3,"kürzer",TRUE,"keine Abweichung")</f>
        <v>keine Abweichung</v>
      </c>
      <c r="I377">
        <v>1</v>
      </c>
    </row>
    <row r="378" spans="1:9" hidden="1" x14ac:dyDescent="0.3">
      <c r="A378" s="13">
        <v>55</v>
      </c>
      <c r="B378" s="4">
        <v>1</v>
      </c>
      <c r="C378" t="s">
        <v>526</v>
      </c>
      <c r="D378" t="s">
        <v>527</v>
      </c>
      <c r="E378">
        <v>4</v>
      </c>
      <c r="F378">
        <v>4</v>
      </c>
      <c r="G378" s="8">
        <f>Lektionen[[#This Row],[Bearbeitungsdauer_real]]/Lektionen[[#This Row],[Bearbeitungsdauer_geschätzt]]-1</f>
        <v>0</v>
      </c>
      <c r="H378" s="8" t="str" cm="1">
        <f t="array" ref="H378">_xlfn.IFS(Lektionen[[#This Row],[Bearbeitungsdauer_abgewichen]]&gt;0.6,"viel länger",Lektionen[[#This Row],[Bearbeitungsdauer_abgewichen]]&gt;0.3,"länger",Lektionen[[#This Row],[Bearbeitungsdauer_abgewichen]]&lt;-0.3,"kürzer",TRUE,"keine Abweichung")</f>
        <v>keine Abweichung</v>
      </c>
      <c r="I378">
        <v>1</v>
      </c>
    </row>
    <row r="379" spans="1:9" hidden="1" x14ac:dyDescent="0.3">
      <c r="A379" s="13">
        <v>55</v>
      </c>
      <c r="B379" s="4">
        <v>2</v>
      </c>
      <c r="C379" t="s">
        <v>528</v>
      </c>
      <c r="D379" t="s">
        <v>529</v>
      </c>
      <c r="E379">
        <v>15</v>
      </c>
      <c r="F379">
        <v>20</v>
      </c>
      <c r="G379" s="8">
        <f>Lektionen[[#This Row],[Bearbeitungsdauer_real]]/Lektionen[[#This Row],[Bearbeitungsdauer_geschätzt]]-1</f>
        <v>0.33333333333333326</v>
      </c>
      <c r="H379" s="8" t="str" cm="1">
        <f t="array" ref="H379">_xlfn.IFS(Lektionen[[#This Row],[Bearbeitungsdauer_abgewichen]]&gt;0.6,"viel länger",Lektionen[[#This Row],[Bearbeitungsdauer_abgewichen]]&gt;0.3,"länger",Lektionen[[#This Row],[Bearbeitungsdauer_abgewichen]]&lt;-0.3,"kürzer",TRUE,"keine Abweichung")</f>
        <v>länger</v>
      </c>
      <c r="I379">
        <v>2</v>
      </c>
    </row>
    <row r="380" spans="1:9" hidden="1" x14ac:dyDescent="0.3">
      <c r="A380" s="13">
        <v>55</v>
      </c>
      <c r="B380" s="4">
        <v>3</v>
      </c>
      <c r="C380" t="s">
        <v>552</v>
      </c>
      <c r="D380" t="s">
        <v>530</v>
      </c>
      <c r="E380">
        <v>30</v>
      </c>
      <c r="F380">
        <v>29</v>
      </c>
      <c r="G380" s="8">
        <f>Lektionen[[#This Row],[Bearbeitungsdauer_real]]/Lektionen[[#This Row],[Bearbeitungsdauer_geschätzt]]-1</f>
        <v>-3.3333333333333326E-2</v>
      </c>
      <c r="H380" s="8" t="str" cm="1">
        <f t="array" ref="H380">_xlfn.IFS(Lektionen[[#This Row],[Bearbeitungsdauer_abgewichen]]&gt;0.6,"viel länger",Lektionen[[#This Row],[Bearbeitungsdauer_abgewichen]]&gt;0.3,"länger",Lektionen[[#This Row],[Bearbeitungsdauer_abgewichen]]&lt;-0.3,"kürzer",TRUE,"keine Abweichung")</f>
        <v>keine Abweichung</v>
      </c>
      <c r="I380">
        <v>3</v>
      </c>
    </row>
    <row r="381" spans="1:9" hidden="1" x14ac:dyDescent="0.3">
      <c r="A381" s="13">
        <v>55</v>
      </c>
      <c r="B381" s="4">
        <v>4</v>
      </c>
      <c r="C381" t="s">
        <v>531</v>
      </c>
      <c r="D381" t="s">
        <v>530</v>
      </c>
      <c r="E381">
        <v>30</v>
      </c>
      <c r="F381">
        <v>26</v>
      </c>
      <c r="G381" s="8">
        <f>Lektionen[[#This Row],[Bearbeitungsdauer_real]]/Lektionen[[#This Row],[Bearbeitungsdauer_geschätzt]]-1</f>
        <v>-0.1333333333333333</v>
      </c>
      <c r="H381" s="8" t="str" cm="1">
        <f t="array" ref="H381">_xlfn.IFS(Lektionen[[#This Row],[Bearbeitungsdauer_abgewichen]]&gt;0.6,"viel länger",Lektionen[[#This Row],[Bearbeitungsdauer_abgewichen]]&gt;0.3,"länger",Lektionen[[#This Row],[Bearbeitungsdauer_abgewichen]]&lt;-0.3,"kürzer",TRUE,"keine Abweichung")</f>
        <v>keine Abweichung</v>
      </c>
      <c r="I381">
        <v>2</v>
      </c>
    </row>
    <row r="382" spans="1:9" x14ac:dyDescent="0.3">
      <c r="A382" s="13">
        <v>55</v>
      </c>
      <c r="B382" s="4">
        <v>5</v>
      </c>
      <c r="C382" t="s">
        <v>532</v>
      </c>
      <c r="D382" t="s">
        <v>530</v>
      </c>
      <c r="E382">
        <v>30</v>
      </c>
      <c r="F382">
        <v>49</v>
      </c>
      <c r="G382" s="8">
        <f>Lektionen[[#This Row],[Bearbeitungsdauer_real]]/Lektionen[[#This Row],[Bearbeitungsdauer_geschätzt]]-1</f>
        <v>0.6333333333333333</v>
      </c>
      <c r="H382" s="8" t="str" cm="1">
        <f t="array" ref="H382">_xlfn.IFS(Lektionen[[#This Row],[Bearbeitungsdauer_abgewichen]]&gt;0.6,"viel länger",Lektionen[[#This Row],[Bearbeitungsdauer_abgewichen]]&gt;0.3,"länger",Lektionen[[#This Row],[Bearbeitungsdauer_abgewichen]]&lt;-0.3,"kürzer",TRUE,"keine Abweichung")</f>
        <v>viel länger</v>
      </c>
      <c r="I382">
        <v>4</v>
      </c>
    </row>
    <row r="383" spans="1:9" hidden="1" x14ac:dyDescent="0.3">
      <c r="A383" s="13">
        <v>55</v>
      </c>
      <c r="B383" s="4">
        <v>6</v>
      </c>
      <c r="C383" t="s">
        <v>533</v>
      </c>
      <c r="D383" t="s">
        <v>534</v>
      </c>
      <c r="E383">
        <v>5</v>
      </c>
      <c r="F383">
        <v>1</v>
      </c>
      <c r="G383" s="8">
        <f>Lektionen[[#This Row],[Bearbeitungsdauer_real]]/Lektionen[[#This Row],[Bearbeitungsdauer_geschätzt]]-1</f>
        <v>-0.8</v>
      </c>
      <c r="H383" s="8" t="str" cm="1">
        <f t="array" ref="H383">_xlfn.IFS(Lektionen[[#This Row],[Bearbeitungsdauer_abgewichen]]&gt;0.6,"viel länger",Lektionen[[#This Row],[Bearbeitungsdauer_abgewichen]]&gt;0.3,"länger",Lektionen[[#This Row],[Bearbeitungsdauer_abgewichen]]&lt;-0.3,"kürzer",TRUE,"keine Abweichung")</f>
        <v>kürzer</v>
      </c>
      <c r="I383">
        <v>1</v>
      </c>
    </row>
    <row r="384" spans="1:9" hidden="1" x14ac:dyDescent="0.3">
      <c r="A384" s="13">
        <v>55</v>
      </c>
      <c r="B384" s="4">
        <v>7</v>
      </c>
      <c r="C384" t="s">
        <v>535</v>
      </c>
      <c r="D384" t="s">
        <v>536</v>
      </c>
      <c r="E384">
        <v>10</v>
      </c>
      <c r="F384">
        <v>9</v>
      </c>
      <c r="G384" s="8">
        <f>Lektionen[[#This Row],[Bearbeitungsdauer_real]]/Lektionen[[#This Row],[Bearbeitungsdauer_geschätzt]]-1</f>
        <v>-9.9999999999999978E-2</v>
      </c>
      <c r="H384" s="8" t="str" cm="1">
        <f t="array" ref="H384">_xlfn.IFS(Lektionen[[#This Row],[Bearbeitungsdauer_abgewichen]]&gt;0.6,"viel länger",Lektionen[[#This Row],[Bearbeitungsdauer_abgewichen]]&gt;0.3,"länger",Lektionen[[#This Row],[Bearbeitungsdauer_abgewichen]]&lt;-0.3,"kürzer",TRUE,"keine Abweichung")</f>
        <v>keine Abweichung</v>
      </c>
      <c r="I384">
        <v>3</v>
      </c>
    </row>
    <row r="385" spans="1:9" hidden="1" x14ac:dyDescent="0.3">
      <c r="A385" s="13">
        <v>55</v>
      </c>
      <c r="B385" s="4">
        <v>8</v>
      </c>
      <c r="C385" t="s">
        <v>537</v>
      </c>
      <c r="D385" t="s">
        <v>527</v>
      </c>
      <c r="E385">
        <v>5</v>
      </c>
      <c r="F385">
        <v>7</v>
      </c>
      <c r="G385" s="8">
        <f>Lektionen[[#This Row],[Bearbeitungsdauer_real]]/Lektionen[[#This Row],[Bearbeitungsdauer_geschätzt]]-1</f>
        <v>0.39999999999999991</v>
      </c>
      <c r="H385" s="8" t="str" cm="1">
        <f t="array" ref="H385">_xlfn.IFS(Lektionen[[#This Row],[Bearbeitungsdauer_abgewichen]]&gt;0.6,"viel länger",Lektionen[[#This Row],[Bearbeitungsdauer_abgewichen]]&gt;0.3,"länger",Lektionen[[#This Row],[Bearbeitungsdauer_abgewichen]]&lt;-0.3,"kürzer",TRUE,"keine Abweichung")</f>
        <v>länger</v>
      </c>
      <c r="I385">
        <v>1</v>
      </c>
    </row>
    <row r="386" spans="1:9" hidden="1" x14ac:dyDescent="0.3">
      <c r="A386" s="13">
        <v>57</v>
      </c>
      <c r="B386" s="4">
        <v>1</v>
      </c>
      <c r="C386" t="s">
        <v>526</v>
      </c>
      <c r="D386" t="s">
        <v>527</v>
      </c>
      <c r="E386">
        <v>4</v>
      </c>
      <c r="F386">
        <v>4</v>
      </c>
      <c r="G386" s="8">
        <f>Lektionen[[#This Row],[Bearbeitungsdauer_real]]/Lektionen[[#This Row],[Bearbeitungsdauer_geschätzt]]-1</f>
        <v>0</v>
      </c>
      <c r="H386" s="8" t="str" cm="1">
        <f t="array" ref="H386">_xlfn.IFS(Lektionen[[#This Row],[Bearbeitungsdauer_abgewichen]]&gt;0.6,"viel länger",Lektionen[[#This Row],[Bearbeitungsdauer_abgewichen]]&gt;0.3,"länger",Lektionen[[#This Row],[Bearbeitungsdauer_abgewichen]]&lt;-0.3,"kürzer",TRUE,"keine Abweichung")</f>
        <v>keine Abweichung</v>
      </c>
      <c r="I386">
        <v>1</v>
      </c>
    </row>
    <row r="387" spans="1:9" hidden="1" x14ac:dyDescent="0.3">
      <c r="A387" s="13">
        <v>57</v>
      </c>
      <c r="B387" s="4">
        <v>2</v>
      </c>
      <c r="C387" t="s">
        <v>528</v>
      </c>
      <c r="D387" t="s">
        <v>529</v>
      </c>
      <c r="E387">
        <v>15</v>
      </c>
      <c r="F387">
        <v>16</v>
      </c>
      <c r="G387" s="8">
        <f>Lektionen[[#This Row],[Bearbeitungsdauer_real]]/Lektionen[[#This Row],[Bearbeitungsdauer_geschätzt]]-1</f>
        <v>6.6666666666666652E-2</v>
      </c>
      <c r="H387" s="8" t="str" cm="1">
        <f t="array" ref="H387">_xlfn.IFS(Lektionen[[#This Row],[Bearbeitungsdauer_abgewichen]]&gt;0.6,"viel länger",Lektionen[[#This Row],[Bearbeitungsdauer_abgewichen]]&gt;0.3,"länger",Lektionen[[#This Row],[Bearbeitungsdauer_abgewichen]]&lt;-0.3,"kürzer",TRUE,"keine Abweichung")</f>
        <v>keine Abweichung</v>
      </c>
      <c r="I387">
        <v>1</v>
      </c>
    </row>
    <row r="388" spans="1:9" hidden="1" x14ac:dyDescent="0.3">
      <c r="A388" s="13">
        <v>57</v>
      </c>
      <c r="B388" s="4">
        <v>3</v>
      </c>
      <c r="C388" t="s">
        <v>552</v>
      </c>
      <c r="D388" t="s">
        <v>530</v>
      </c>
      <c r="E388">
        <v>30</v>
      </c>
      <c r="F388">
        <v>29</v>
      </c>
      <c r="G388" s="8">
        <f>Lektionen[[#This Row],[Bearbeitungsdauer_real]]/Lektionen[[#This Row],[Bearbeitungsdauer_geschätzt]]-1</f>
        <v>-3.3333333333333326E-2</v>
      </c>
      <c r="H388" s="8" t="str" cm="1">
        <f t="array" ref="H388">_xlfn.IFS(Lektionen[[#This Row],[Bearbeitungsdauer_abgewichen]]&gt;0.6,"viel länger",Lektionen[[#This Row],[Bearbeitungsdauer_abgewichen]]&gt;0.3,"länger",Lektionen[[#This Row],[Bearbeitungsdauer_abgewichen]]&lt;-0.3,"kürzer",TRUE,"keine Abweichung")</f>
        <v>keine Abweichung</v>
      </c>
      <c r="I388">
        <v>2</v>
      </c>
    </row>
    <row r="389" spans="1:9" hidden="1" x14ac:dyDescent="0.3">
      <c r="A389" s="13">
        <v>57</v>
      </c>
      <c r="B389" s="4">
        <v>4</v>
      </c>
      <c r="C389" t="s">
        <v>531</v>
      </c>
      <c r="D389" t="s">
        <v>530</v>
      </c>
      <c r="E389">
        <v>30</v>
      </c>
      <c r="F389">
        <v>25</v>
      </c>
      <c r="G389" s="8">
        <f>Lektionen[[#This Row],[Bearbeitungsdauer_real]]/Lektionen[[#This Row],[Bearbeitungsdauer_geschätzt]]-1</f>
        <v>-0.16666666666666663</v>
      </c>
      <c r="H389" s="8" t="str" cm="1">
        <f t="array" ref="H389">_xlfn.IFS(Lektionen[[#This Row],[Bearbeitungsdauer_abgewichen]]&gt;0.6,"viel länger",Lektionen[[#This Row],[Bearbeitungsdauer_abgewichen]]&gt;0.3,"länger",Lektionen[[#This Row],[Bearbeitungsdauer_abgewichen]]&lt;-0.3,"kürzer",TRUE,"keine Abweichung")</f>
        <v>keine Abweichung</v>
      </c>
      <c r="I389">
        <v>2</v>
      </c>
    </row>
    <row r="390" spans="1:9" x14ac:dyDescent="0.3">
      <c r="A390" s="13">
        <v>57</v>
      </c>
      <c r="B390" s="4">
        <v>5</v>
      </c>
      <c r="C390" t="s">
        <v>532</v>
      </c>
      <c r="D390" t="s">
        <v>530</v>
      </c>
      <c r="E390">
        <v>30</v>
      </c>
      <c r="F390">
        <v>52</v>
      </c>
      <c r="G390" s="8">
        <f>Lektionen[[#This Row],[Bearbeitungsdauer_real]]/Lektionen[[#This Row],[Bearbeitungsdauer_geschätzt]]-1</f>
        <v>0.73333333333333339</v>
      </c>
      <c r="H390" s="8" t="str" cm="1">
        <f t="array" ref="H390">_xlfn.IFS(Lektionen[[#This Row],[Bearbeitungsdauer_abgewichen]]&gt;0.6,"viel länger",Lektionen[[#This Row],[Bearbeitungsdauer_abgewichen]]&gt;0.3,"länger",Lektionen[[#This Row],[Bearbeitungsdauer_abgewichen]]&lt;-0.3,"kürzer",TRUE,"keine Abweichung")</f>
        <v>viel länger</v>
      </c>
      <c r="I390">
        <v>4</v>
      </c>
    </row>
    <row r="391" spans="1:9" hidden="1" x14ac:dyDescent="0.3">
      <c r="A391" s="13">
        <v>57</v>
      </c>
      <c r="B391" s="4">
        <v>6</v>
      </c>
      <c r="C391" t="s">
        <v>533</v>
      </c>
      <c r="D391" t="s">
        <v>534</v>
      </c>
      <c r="E391">
        <v>5</v>
      </c>
      <c r="F391">
        <v>2</v>
      </c>
      <c r="G391" s="8">
        <f>Lektionen[[#This Row],[Bearbeitungsdauer_real]]/Lektionen[[#This Row],[Bearbeitungsdauer_geschätzt]]-1</f>
        <v>-0.6</v>
      </c>
      <c r="H391" s="8" t="str" cm="1">
        <f t="array" ref="H391">_xlfn.IFS(Lektionen[[#This Row],[Bearbeitungsdauer_abgewichen]]&gt;0.6,"viel länger",Lektionen[[#This Row],[Bearbeitungsdauer_abgewichen]]&gt;0.3,"länger",Lektionen[[#This Row],[Bearbeitungsdauer_abgewichen]]&lt;-0.3,"kürzer",TRUE,"keine Abweichung")</f>
        <v>kürzer</v>
      </c>
      <c r="I391">
        <v>2</v>
      </c>
    </row>
    <row r="392" spans="1:9" hidden="1" x14ac:dyDescent="0.3">
      <c r="A392" s="13">
        <v>57</v>
      </c>
      <c r="B392" s="4">
        <v>7</v>
      </c>
      <c r="C392" t="s">
        <v>535</v>
      </c>
      <c r="D392" t="s">
        <v>536</v>
      </c>
      <c r="E392">
        <v>10</v>
      </c>
      <c r="F392">
        <v>11</v>
      </c>
      <c r="G392" s="8">
        <f>Lektionen[[#This Row],[Bearbeitungsdauer_real]]/Lektionen[[#This Row],[Bearbeitungsdauer_geschätzt]]-1</f>
        <v>0.10000000000000009</v>
      </c>
      <c r="H392" s="8" t="str" cm="1">
        <f t="array" ref="H392">_xlfn.IFS(Lektionen[[#This Row],[Bearbeitungsdauer_abgewichen]]&gt;0.6,"viel länger",Lektionen[[#This Row],[Bearbeitungsdauer_abgewichen]]&gt;0.3,"länger",Lektionen[[#This Row],[Bearbeitungsdauer_abgewichen]]&lt;-0.3,"kürzer",TRUE,"keine Abweichung")</f>
        <v>keine Abweichung</v>
      </c>
      <c r="I392">
        <v>3</v>
      </c>
    </row>
    <row r="393" spans="1:9" hidden="1" x14ac:dyDescent="0.3">
      <c r="A393" s="13">
        <v>57</v>
      </c>
      <c r="B393" s="4">
        <v>8</v>
      </c>
      <c r="C393" t="s">
        <v>537</v>
      </c>
      <c r="D393" t="s">
        <v>527</v>
      </c>
      <c r="E393">
        <v>5</v>
      </c>
      <c r="F393">
        <v>5</v>
      </c>
      <c r="G393" s="8">
        <f>Lektionen[[#This Row],[Bearbeitungsdauer_real]]/Lektionen[[#This Row],[Bearbeitungsdauer_geschätzt]]-1</f>
        <v>0</v>
      </c>
      <c r="H393" s="8" t="str" cm="1">
        <f t="array" ref="H393">_xlfn.IFS(Lektionen[[#This Row],[Bearbeitungsdauer_abgewichen]]&gt;0.6,"viel länger",Lektionen[[#This Row],[Bearbeitungsdauer_abgewichen]]&gt;0.3,"länger",Lektionen[[#This Row],[Bearbeitungsdauer_abgewichen]]&lt;-0.3,"kürzer",TRUE,"keine Abweichung")</f>
        <v>keine Abweichung</v>
      </c>
      <c r="I393">
        <v>1</v>
      </c>
    </row>
    <row r="394" spans="1:9" hidden="1" x14ac:dyDescent="0.3">
      <c r="A394" s="13">
        <v>58</v>
      </c>
      <c r="B394" s="4">
        <v>1</v>
      </c>
      <c r="C394" t="s">
        <v>526</v>
      </c>
      <c r="D394" t="s">
        <v>527</v>
      </c>
      <c r="E394">
        <v>4</v>
      </c>
      <c r="F394">
        <v>4</v>
      </c>
      <c r="G394" s="8">
        <f>Lektionen[[#This Row],[Bearbeitungsdauer_real]]/Lektionen[[#This Row],[Bearbeitungsdauer_geschätzt]]-1</f>
        <v>0</v>
      </c>
      <c r="H394" s="8" t="str" cm="1">
        <f t="array" ref="H394">_xlfn.IFS(Lektionen[[#This Row],[Bearbeitungsdauer_abgewichen]]&gt;0.6,"viel länger",Lektionen[[#This Row],[Bearbeitungsdauer_abgewichen]]&gt;0.3,"länger",Lektionen[[#This Row],[Bearbeitungsdauer_abgewichen]]&lt;-0.3,"kürzer",TRUE,"keine Abweichung")</f>
        <v>keine Abweichung</v>
      </c>
      <c r="I394">
        <v>1</v>
      </c>
    </row>
    <row r="395" spans="1:9" hidden="1" x14ac:dyDescent="0.3">
      <c r="A395" s="13">
        <v>58</v>
      </c>
      <c r="B395" s="4">
        <v>2</v>
      </c>
      <c r="C395" t="s">
        <v>528</v>
      </c>
      <c r="D395" t="s">
        <v>529</v>
      </c>
      <c r="E395">
        <v>15</v>
      </c>
      <c r="F395">
        <v>18</v>
      </c>
      <c r="G395" s="8">
        <f>Lektionen[[#This Row],[Bearbeitungsdauer_real]]/Lektionen[[#This Row],[Bearbeitungsdauer_geschätzt]]-1</f>
        <v>0.19999999999999996</v>
      </c>
      <c r="H395" s="8" t="str" cm="1">
        <f t="array" ref="H395">_xlfn.IFS(Lektionen[[#This Row],[Bearbeitungsdauer_abgewichen]]&gt;0.6,"viel länger",Lektionen[[#This Row],[Bearbeitungsdauer_abgewichen]]&gt;0.3,"länger",Lektionen[[#This Row],[Bearbeitungsdauer_abgewichen]]&lt;-0.3,"kürzer",TRUE,"keine Abweichung")</f>
        <v>keine Abweichung</v>
      </c>
      <c r="I395">
        <v>1</v>
      </c>
    </row>
    <row r="396" spans="1:9" hidden="1" x14ac:dyDescent="0.3">
      <c r="A396" s="13">
        <v>58</v>
      </c>
      <c r="B396" s="4">
        <v>3</v>
      </c>
      <c r="C396" t="s">
        <v>552</v>
      </c>
      <c r="D396" t="s">
        <v>530</v>
      </c>
      <c r="E396">
        <v>30</v>
      </c>
      <c r="F396">
        <v>29</v>
      </c>
      <c r="G396" s="8">
        <f>Lektionen[[#This Row],[Bearbeitungsdauer_real]]/Lektionen[[#This Row],[Bearbeitungsdauer_geschätzt]]-1</f>
        <v>-3.3333333333333326E-2</v>
      </c>
      <c r="H396" s="8" t="str" cm="1">
        <f t="array" ref="H396">_xlfn.IFS(Lektionen[[#This Row],[Bearbeitungsdauer_abgewichen]]&gt;0.6,"viel länger",Lektionen[[#This Row],[Bearbeitungsdauer_abgewichen]]&gt;0.3,"länger",Lektionen[[#This Row],[Bearbeitungsdauer_abgewichen]]&lt;-0.3,"kürzer",TRUE,"keine Abweichung")</f>
        <v>keine Abweichung</v>
      </c>
      <c r="I396">
        <v>3</v>
      </c>
    </row>
    <row r="397" spans="1:9" hidden="1" x14ac:dyDescent="0.3">
      <c r="A397" s="13">
        <v>58</v>
      </c>
      <c r="B397" s="4">
        <v>4</v>
      </c>
      <c r="C397" t="s">
        <v>531</v>
      </c>
      <c r="D397" t="s">
        <v>530</v>
      </c>
      <c r="E397">
        <v>30</v>
      </c>
      <c r="F397">
        <v>25</v>
      </c>
      <c r="G397" s="8">
        <f>Lektionen[[#This Row],[Bearbeitungsdauer_real]]/Lektionen[[#This Row],[Bearbeitungsdauer_geschätzt]]-1</f>
        <v>-0.16666666666666663</v>
      </c>
      <c r="H397" s="8" t="str" cm="1">
        <f t="array" ref="H397">_xlfn.IFS(Lektionen[[#This Row],[Bearbeitungsdauer_abgewichen]]&gt;0.6,"viel länger",Lektionen[[#This Row],[Bearbeitungsdauer_abgewichen]]&gt;0.3,"länger",Lektionen[[#This Row],[Bearbeitungsdauer_abgewichen]]&lt;-0.3,"kürzer",TRUE,"keine Abweichung")</f>
        <v>keine Abweichung</v>
      </c>
      <c r="I397">
        <v>4</v>
      </c>
    </row>
    <row r="398" spans="1:9" x14ac:dyDescent="0.3">
      <c r="A398" s="13">
        <v>58</v>
      </c>
      <c r="B398" s="4">
        <v>5</v>
      </c>
      <c r="C398" t="s">
        <v>532</v>
      </c>
      <c r="D398" t="s">
        <v>530</v>
      </c>
      <c r="E398">
        <v>30</v>
      </c>
      <c r="F398">
        <v>51</v>
      </c>
      <c r="G398" s="8">
        <f>Lektionen[[#This Row],[Bearbeitungsdauer_real]]/Lektionen[[#This Row],[Bearbeitungsdauer_geschätzt]]-1</f>
        <v>0.7</v>
      </c>
      <c r="H398" s="8" t="str" cm="1">
        <f t="array" ref="H398">_xlfn.IFS(Lektionen[[#This Row],[Bearbeitungsdauer_abgewichen]]&gt;0.6,"viel länger",Lektionen[[#This Row],[Bearbeitungsdauer_abgewichen]]&gt;0.3,"länger",Lektionen[[#This Row],[Bearbeitungsdauer_abgewichen]]&lt;-0.3,"kürzer",TRUE,"keine Abweichung")</f>
        <v>viel länger</v>
      </c>
      <c r="I398">
        <v>3</v>
      </c>
    </row>
    <row r="399" spans="1:9" hidden="1" x14ac:dyDescent="0.3">
      <c r="A399" s="13">
        <v>58</v>
      </c>
      <c r="B399" s="4">
        <v>6</v>
      </c>
      <c r="C399" t="s">
        <v>533</v>
      </c>
      <c r="D399" t="s">
        <v>534</v>
      </c>
      <c r="E399">
        <v>5</v>
      </c>
      <c r="F399">
        <v>1</v>
      </c>
      <c r="G399" s="8">
        <f>Lektionen[[#This Row],[Bearbeitungsdauer_real]]/Lektionen[[#This Row],[Bearbeitungsdauer_geschätzt]]-1</f>
        <v>-0.8</v>
      </c>
      <c r="H399" s="8" t="str" cm="1">
        <f t="array" ref="H399">_xlfn.IFS(Lektionen[[#This Row],[Bearbeitungsdauer_abgewichen]]&gt;0.6,"viel länger",Lektionen[[#This Row],[Bearbeitungsdauer_abgewichen]]&gt;0.3,"länger",Lektionen[[#This Row],[Bearbeitungsdauer_abgewichen]]&lt;-0.3,"kürzer",TRUE,"keine Abweichung")</f>
        <v>kürzer</v>
      </c>
      <c r="I399">
        <v>3</v>
      </c>
    </row>
    <row r="400" spans="1:9" hidden="1" x14ac:dyDescent="0.3">
      <c r="A400" s="13">
        <v>58</v>
      </c>
      <c r="B400" s="4">
        <v>7</v>
      </c>
      <c r="C400" t="s">
        <v>535</v>
      </c>
      <c r="D400" t="s">
        <v>536</v>
      </c>
      <c r="E400">
        <v>10</v>
      </c>
      <c r="F400">
        <v>10</v>
      </c>
      <c r="G400" s="8">
        <f>Lektionen[[#This Row],[Bearbeitungsdauer_real]]/Lektionen[[#This Row],[Bearbeitungsdauer_geschätzt]]-1</f>
        <v>0</v>
      </c>
      <c r="H400" s="8" t="str" cm="1">
        <f t="array" ref="H400">_xlfn.IFS(Lektionen[[#This Row],[Bearbeitungsdauer_abgewichen]]&gt;0.6,"viel länger",Lektionen[[#This Row],[Bearbeitungsdauer_abgewichen]]&gt;0.3,"länger",Lektionen[[#This Row],[Bearbeitungsdauer_abgewichen]]&lt;-0.3,"kürzer",TRUE,"keine Abweichung")</f>
        <v>keine Abweichung</v>
      </c>
      <c r="I400">
        <v>3</v>
      </c>
    </row>
    <row r="401" spans="1:9" hidden="1" x14ac:dyDescent="0.3">
      <c r="A401" s="13">
        <v>58</v>
      </c>
      <c r="B401" s="4">
        <v>8</v>
      </c>
      <c r="C401" t="s">
        <v>537</v>
      </c>
      <c r="D401" t="s">
        <v>527</v>
      </c>
      <c r="E401">
        <v>5</v>
      </c>
      <c r="F401">
        <v>5</v>
      </c>
      <c r="G401" s="8">
        <f>Lektionen[[#This Row],[Bearbeitungsdauer_real]]/Lektionen[[#This Row],[Bearbeitungsdauer_geschätzt]]-1</f>
        <v>0</v>
      </c>
      <c r="H401" s="8" t="str" cm="1">
        <f t="array" ref="H401">_xlfn.IFS(Lektionen[[#This Row],[Bearbeitungsdauer_abgewichen]]&gt;0.6,"viel länger",Lektionen[[#This Row],[Bearbeitungsdauer_abgewichen]]&gt;0.3,"länger",Lektionen[[#This Row],[Bearbeitungsdauer_abgewichen]]&lt;-0.3,"kürzer",TRUE,"keine Abweichung")</f>
        <v>keine Abweichung</v>
      </c>
      <c r="I401">
        <v>1</v>
      </c>
    </row>
    <row r="402" spans="1:9" hidden="1" x14ac:dyDescent="0.3">
      <c r="A402" s="13">
        <v>59</v>
      </c>
      <c r="B402" s="4">
        <v>1</v>
      </c>
      <c r="C402" t="s">
        <v>526</v>
      </c>
      <c r="D402" t="s">
        <v>527</v>
      </c>
      <c r="E402">
        <v>4</v>
      </c>
      <c r="F402">
        <v>6</v>
      </c>
      <c r="G402" s="8">
        <f>Lektionen[[#This Row],[Bearbeitungsdauer_real]]/Lektionen[[#This Row],[Bearbeitungsdauer_geschätzt]]-1</f>
        <v>0.5</v>
      </c>
      <c r="H402" s="8" t="str" cm="1">
        <f t="array" ref="H402">_xlfn.IFS(Lektionen[[#This Row],[Bearbeitungsdauer_abgewichen]]&gt;0.6,"viel länger",Lektionen[[#This Row],[Bearbeitungsdauer_abgewichen]]&gt;0.3,"länger",Lektionen[[#This Row],[Bearbeitungsdauer_abgewichen]]&lt;-0.3,"kürzer",TRUE,"keine Abweichung")</f>
        <v>länger</v>
      </c>
      <c r="I402">
        <v>1</v>
      </c>
    </row>
    <row r="403" spans="1:9" hidden="1" x14ac:dyDescent="0.3">
      <c r="A403" s="13">
        <v>59</v>
      </c>
      <c r="B403" s="4">
        <v>2</v>
      </c>
      <c r="C403" t="s">
        <v>528</v>
      </c>
      <c r="D403" t="s">
        <v>529</v>
      </c>
      <c r="E403">
        <v>15</v>
      </c>
      <c r="F403">
        <v>19</v>
      </c>
      <c r="G403" s="8">
        <f>Lektionen[[#This Row],[Bearbeitungsdauer_real]]/Lektionen[[#This Row],[Bearbeitungsdauer_geschätzt]]-1</f>
        <v>0.26666666666666661</v>
      </c>
      <c r="H403" s="8" t="str" cm="1">
        <f t="array" ref="H403">_xlfn.IFS(Lektionen[[#This Row],[Bearbeitungsdauer_abgewichen]]&gt;0.6,"viel länger",Lektionen[[#This Row],[Bearbeitungsdauer_abgewichen]]&gt;0.3,"länger",Lektionen[[#This Row],[Bearbeitungsdauer_abgewichen]]&lt;-0.3,"kürzer",TRUE,"keine Abweichung")</f>
        <v>keine Abweichung</v>
      </c>
      <c r="I403">
        <v>2</v>
      </c>
    </row>
    <row r="404" spans="1:9" hidden="1" x14ac:dyDescent="0.3">
      <c r="A404" s="13">
        <v>59</v>
      </c>
      <c r="B404" s="4">
        <v>3</v>
      </c>
      <c r="C404" t="s">
        <v>552</v>
      </c>
      <c r="D404" t="s">
        <v>530</v>
      </c>
      <c r="E404">
        <v>30</v>
      </c>
      <c r="F404">
        <v>29</v>
      </c>
      <c r="G404" s="8">
        <f>Lektionen[[#This Row],[Bearbeitungsdauer_real]]/Lektionen[[#This Row],[Bearbeitungsdauer_geschätzt]]-1</f>
        <v>-3.3333333333333326E-2</v>
      </c>
      <c r="H404" s="8" t="str" cm="1">
        <f t="array" ref="H404">_xlfn.IFS(Lektionen[[#This Row],[Bearbeitungsdauer_abgewichen]]&gt;0.6,"viel länger",Lektionen[[#This Row],[Bearbeitungsdauer_abgewichen]]&gt;0.3,"länger",Lektionen[[#This Row],[Bearbeitungsdauer_abgewichen]]&lt;-0.3,"kürzer",TRUE,"keine Abweichung")</f>
        <v>keine Abweichung</v>
      </c>
      <c r="I404">
        <v>2</v>
      </c>
    </row>
    <row r="405" spans="1:9" hidden="1" x14ac:dyDescent="0.3">
      <c r="A405" s="13">
        <v>59</v>
      </c>
      <c r="B405" s="4">
        <v>4</v>
      </c>
      <c r="C405" t="s">
        <v>531</v>
      </c>
      <c r="D405" t="s">
        <v>530</v>
      </c>
      <c r="E405">
        <v>30</v>
      </c>
      <c r="F405">
        <v>25</v>
      </c>
      <c r="G405" s="8">
        <f>Lektionen[[#This Row],[Bearbeitungsdauer_real]]/Lektionen[[#This Row],[Bearbeitungsdauer_geschätzt]]-1</f>
        <v>-0.16666666666666663</v>
      </c>
      <c r="H405" s="8" t="str" cm="1">
        <f t="array" ref="H405">_xlfn.IFS(Lektionen[[#This Row],[Bearbeitungsdauer_abgewichen]]&gt;0.6,"viel länger",Lektionen[[#This Row],[Bearbeitungsdauer_abgewichen]]&gt;0.3,"länger",Lektionen[[#This Row],[Bearbeitungsdauer_abgewichen]]&lt;-0.3,"kürzer",TRUE,"keine Abweichung")</f>
        <v>keine Abweichung</v>
      </c>
      <c r="I405">
        <v>3</v>
      </c>
    </row>
    <row r="406" spans="1:9" x14ac:dyDescent="0.3">
      <c r="A406" s="13">
        <v>59</v>
      </c>
      <c r="B406" s="4">
        <v>5</v>
      </c>
      <c r="C406" t="s">
        <v>532</v>
      </c>
      <c r="D406" t="s">
        <v>530</v>
      </c>
      <c r="E406">
        <v>30</v>
      </c>
      <c r="F406">
        <v>32</v>
      </c>
      <c r="G406" s="8">
        <f>Lektionen[[#This Row],[Bearbeitungsdauer_real]]/Lektionen[[#This Row],[Bearbeitungsdauer_geschätzt]]-1</f>
        <v>6.6666666666666652E-2</v>
      </c>
      <c r="H406" s="8" t="str" cm="1">
        <f t="array" ref="H406">_xlfn.IFS(Lektionen[[#This Row],[Bearbeitungsdauer_abgewichen]]&gt;0.6,"viel länger",Lektionen[[#This Row],[Bearbeitungsdauer_abgewichen]]&gt;0.3,"länger",Lektionen[[#This Row],[Bearbeitungsdauer_abgewichen]]&lt;-0.3,"kürzer",TRUE,"keine Abweichung")</f>
        <v>keine Abweichung</v>
      </c>
      <c r="I406">
        <v>5</v>
      </c>
    </row>
    <row r="407" spans="1:9" hidden="1" x14ac:dyDescent="0.3">
      <c r="A407" s="13">
        <v>59</v>
      </c>
      <c r="B407" s="4">
        <v>6</v>
      </c>
      <c r="C407" t="s">
        <v>533</v>
      </c>
      <c r="D407" t="s">
        <v>534</v>
      </c>
      <c r="E407">
        <v>5</v>
      </c>
      <c r="F407">
        <v>1</v>
      </c>
      <c r="G407" s="8">
        <f>Lektionen[[#This Row],[Bearbeitungsdauer_real]]/Lektionen[[#This Row],[Bearbeitungsdauer_geschätzt]]-1</f>
        <v>-0.8</v>
      </c>
      <c r="H407" s="8" t="str" cm="1">
        <f t="array" ref="H407">_xlfn.IFS(Lektionen[[#This Row],[Bearbeitungsdauer_abgewichen]]&gt;0.6,"viel länger",Lektionen[[#This Row],[Bearbeitungsdauer_abgewichen]]&gt;0.3,"länger",Lektionen[[#This Row],[Bearbeitungsdauer_abgewichen]]&lt;-0.3,"kürzer",TRUE,"keine Abweichung")</f>
        <v>kürzer</v>
      </c>
      <c r="I407">
        <v>2</v>
      </c>
    </row>
    <row r="408" spans="1:9" hidden="1" x14ac:dyDescent="0.3">
      <c r="A408" s="13">
        <v>59</v>
      </c>
      <c r="B408" s="4">
        <v>7</v>
      </c>
      <c r="C408" t="s">
        <v>535</v>
      </c>
      <c r="D408" t="s">
        <v>536</v>
      </c>
      <c r="E408">
        <v>10</v>
      </c>
      <c r="F408">
        <v>8</v>
      </c>
      <c r="G408" s="8">
        <f>Lektionen[[#This Row],[Bearbeitungsdauer_real]]/Lektionen[[#This Row],[Bearbeitungsdauer_geschätzt]]-1</f>
        <v>-0.19999999999999996</v>
      </c>
      <c r="H408" s="8" t="str" cm="1">
        <f t="array" ref="H408">_xlfn.IFS(Lektionen[[#This Row],[Bearbeitungsdauer_abgewichen]]&gt;0.6,"viel länger",Lektionen[[#This Row],[Bearbeitungsdauer_abgewichen]]&gt;0.3,"länger",Lektionen[[#This Row],[Bearbeitungsdauer_abgewichen]]&lt;-0.3,"kürzer",TRUE,"keine Abweichung")</f>
        <v>keine Abweichung</v>
      </c>
      <c r="I408">
        <v>3</v>
      </c>
    </row>
    <row r="409" spans="1:9" hidden="1" x14ac:dyDescent="0.3">
      <c r="A409" s="13">
        <v>59</v>
      </c>
      <c r="B409" s="4">
        <v>8</v>
      </c>
      <c r="C409" t="s">
        <v>537</v>
      </c>
      <c r="D409" t="s">
        <v>527</v>
      </c>
      <c r="E409">
        <v>5</v>
      </c>
      <c r="F409">
        <v>5</v>
      </c>
      <c r="G409" s="8">
        <f>Lektionen[[#This Row],[Bearbeitungsdauer_real]]/Lektionen[[#This Row],[Bearbeitungsdauer_geschätzt]]-1</f>
        <v>0</v>
      </c>
      <c r="H409" s="8" t="str" cm="1">
        <f t="array" ref="H409">_xlfn.IFS(Lektionen[[#This Row],[Bearbeitungsdauer_abgewichen]]&gt;0.6,"viel länger",Lektionen[[#This Row],[Bearbeitungsdauer_abgewichen]]&gt;0.3,"länger",Lektionen[[#This Row],[Bearbeitungsdauer_abgewichen]]&lt;-0.3,"kürzer",TRUE,"keine Abweichung")</f>
        <v>keine Abweichung</v>
      </c>
      <c r="I409">
        <v>1</v>
      </c>
    </row>
    <row r="410" spans="1:9" hidden="1" x14ac:dyDescent="0.3">
      <c r="A410" s="13">
        <v>60</v>
      </c>
      <c r="B410" s="4">
        <v>1</v>
      </c>
      <c r="C410" t="s">
        <v>526</v>
      </c>
      <c r="D410" t="s">
        <v>527</v>
      </c>
      <c r="E410">
        <v>4</v>
      </c>
      <c r="F410">
        <v>7</v>
      </c>
      <c r="G410" s="8">
        <f>Lektionen[[#This Row],[Bearbeitungsdauer_real]]/Lektionen[[#This Row],[Bearbeitungsdauer_geschätzt]]-1</f>
        <v>0.75</v>
      </c>
      <c r="H410" s="8" t="str" cm="1">
        <f t="array" ref="H410">_xlfn.IFS(Lektionen[[#This Row],[Bearbeitungsdauer_abgewichen]]&gt;0.6,"viel länger",Lektionen[[#This Row],[Bearbeitungsdauer_abgewichen]]&gt;0.3,"länger",Lektionen[[#This Row],[Bearbeitungsdauer_abgewichen]]&lt;-0.3,"kürzer",TRUE,"keine Abweichung")</f>
        <v>viel länger</v>
      </c>
      <c r="I410">
        <v>1</v>
      </c>
    </row>
    <row r="411" spans="1:9" hidden="1" x14ac:dyDescent="0.3">
      <c r="A411" s="13">
        <v>60</v>
      </c>
      <c r="B411" s="4">
        <v>2</v>
      </c>
      <c r="C411" t="s">
        <v>528</v>
      </c>
      <c r="D411" t="s">
        <v>529</v>
      </c>
      <c r="E411">
        <v>15</v>
      </c>
      <c r="F411">
        <v>15</v>
      </c>
      <c r="G411" s="8">
        <f>Lektionen[[#This Row],[Bearbeitungsdauer_real]]/Lektionen[[#This Row],[Bearbeitungsdauer_geschätzt]]-1</f>
        <v>0</v>
      </c>
      <c r="H411" s="8" t="str" cm="1">
        <f t="array" ref="H411">_xlfn.IFS(Lektionen[[#This Row],[Bearbeitungsdauer_abgewichen]]&gt;0.6,"viel länger",Lektionen[[#This Row],[Bearbeitungsdauer_abgewichen]]&gt;0.3,"länger",Lektionen[[#This Row],[Bearbeitungsdauer_abgewichen]]&lt;-0.3,"kürzer",TRUE,"keine Abweichung")</f>
        <v>keine Abweichung</v>
      </c>
      <c r="I411">
        <v>2</v>
      </c>
    </row>
    <row r="412" spans="1:9" hidden="1" x14ac:dyDescent="0.3">
      <c r="A412" s="13">
        <v>60</v>
      </c>
      <c r="B412" s="4">
        <v>3</v>
      </c>
      <c r="C412" t="s">
        <v>552</v>
      </c>
      <c r="D412" t="s">
        <v>530</v>
      </c>
      <c r="E412">
        <v>30</v>
      </c>
      <c r="F412">
        <v>30</v>
      </c>
      <c r="G412" s="8">
        <f>Lektionen[[#This Row],[Bearbeitungsdauer_real]]/Lektionen[[#This Row],[Bearbeitungsdauer_geschätzt]]-1</f>
        <v>0</v>
      </c>
      <c r="H412" s="8" t="str" cm="1">
        <f t="array" ref="H412">_xlfn.IFS(Lektionen[[#This Row],[Bearbeitungsdauer_abgewichen]]&gt;0.6,"viel länger",Lektionen[[#This Row],[Bearbeitungsdauer_abgewichen]]&gt;0.3,"länger",Lektionen[[#This Row],[Bearbeitungsdauer_abgewichen]]&lt;-0.3,"kürzer",TRUE,"keine Abweichung")</f>
        <v>keine Abweichung</v>
      </c>
      <c r="I412">
        <v>2</v>
      </c>
    </row>
    <row r="413" spans="1:9" hidden="1" x14ac:dyDescent="0.3">
      <c r="A413" s="13">
        <v>60</v>
      </c>
      <c r="B413" s="4">
        <v>4</v>
      </c>
      <c r="C413" t="s">
        <v>531</v>
      </c>
      <c r="D413" t="s">
        <v>530</v>
      </c>
      <c r="E413">
        <v>30</v>
      </c>
      <c r="F413">
        <v>36</v>
      </c>
      <c r="G413" s="8">
        <f>Lektionen[[#This Row],[Bearbeitungsdauer_real]]/Lektionen[[#This Row],[Bearbeitungsdauer_geschätzt]]-1</f>
        <v>0.19999999999999996</v>
      </c>
      <c r="H413" s="8" t="str" cm="1">
        <f t="array" ref="H413">_xlfn.IFS(Lektionen[[#This Row],[Bearbeitungsdauer_abgewichen]]&gt;0.6,"viel länger",Lektionen[[#This Row],[Bearbeitungsdauer_abgewichen]]&gt;0.3,"länger",Lektionen[[#This Row],[Bearbeitungsdauer_abgewichen]]&lt;-0.3,"kürzer",TRUE,"keine Abweichung")</f>
        <v>keine Abweichung</v>
      </c>
      <c r="I413">
        <v>2</v>
      </c>
    </row>
    <row r="414" spans="1:9" x14ac:dyDescent="0.3">
      <c r="A414" s="13">
        <v>60</v>
      </c>
      <c r="B414" s="4">
        <v>5</v>
      </c>
      <c r="C414" t="s">
        <v>532</v>
      </c>
      <c r="D414" t="s">
        <v>530</v>
      </c>
      <c r="E414">
        <v>30</v>
      </c>
      <c r="F414">
        <v>48</v>
      </c>
      <c r="G414" s="8">
        <f>Lektionen[[#This Row],[Bearbeitungsdauer_real]]/Lektionen[[#This Row],[Bearbeitungsdauer_geschätzt]]-1</f>
        <v>0.60000000000000009</v>
      </c>
      <c r="H414" s="8" t="str" cm="1">
        <f t="array" ref="H414">_xlfn.IFS(Lektionen[[#This Row],[Bearbeitungsdauer_abgewichen]]&gt;0.6,"viel länger",Lektionen[[#This Row],[Bearbeitungsdauer_abgewichen]]&gt;0.3,"länger",Lektionen[[#This Row],[Bearbeitungsdauer_abgewichen]]&lt;-0.3,"kürzer",TRUE,"keine Abweichung")</f>
        <v>länger</v>
      </c>
      <c r="I414">
        <v>3</v>
      </c>
    </row>
    <row r="415" spans="1:9" hidden="1" x14ac:dyDescent="0.3">
      <c r="A415" s="13">
        <v>60</v>
      </c>
      <c r="B415" s="4">
        <v>6</v>
      </c>
      <c r="C415" t="s">
        <v>533</v>
      </c>
      <c r="D415" t="s">
        <v>534</v>
      </c>
      <c r="E415">
        <v>5</v>
      </c>
      <c r="F415">
        <v>3</v>
      </c>
      <c r="G415" s="8">
        <f>Lektionen[[#This Row],[Bearbeitungsdauer_real]]/Lektionen[[#This Row],[Bearbeitungsdauer_geschätzt]]-1</f>
        <v>-0.4</v>
      </c>
      <c r="H415" s="8" t="str" cm="1">
        <f t="array" ref="H415">_xlfn.IFS(Lektionen[[#This Row],[Bearbeitungsdauer_abgewichen]]&gt;0.6,"viel länger",Lektionen[[#This Row],[Bearbeitungsdauer_abgewichen]]&gt;0.3,"länger",Lektionen[[#This Row],[Bearbeitungsdauer_abgewichen]]&lt;-0.3,"kürzer",TRUE,"keine Abweichung")</f>
        <v>kürzer</v>
      </c>
      <c r="I415">
        <v>3</v>
      </c>
    </row>
    <row r="416" spans="1:9" hidden="1" x14ac:dyDescent="0.3">
      <c r="A416" s="13">
        <v>60</v>
      </c>
      <c r="B416" s="4">
        <v>7</v>
      </c>
      <c r="C416" t="s">
        <v>535</v>
      </c>
      <c r="D416" t="s">
        <v>536</v>
      </c>
      <c r="E416">
        <v>10</v>
      </c>
      <c r="F416">
        <v>8</v>
      </c>
      <c r="G416" s="8">
        <f>Lektionen[[#This Row],[Bearbeitungsdauer_real]]/Lektionen[[#This Row],[Bearbeitungsdauer_geschätzt]]-1</f>
        <v>-0.19999999999999996</v>
      </c>
      <c r="H416" s="8" t="str" cm="1">
        <f t="array" ref="H416">_xlfn.IFS(Lektionen[[#This Row],[Bearbeitungsdauer_abgewichen]]&gt;0.6,"viel länger",Lektionen[[#This Row],[Bearbeitungsdauer_abgewichen]]&gt;0.3,"länger",Lektionen[[#This Row],[Bearbeitungsdauer_abgewichen]]&lt;-0.3,"kürzer",TRUE,"keine Abweichung")</f>
        <v>keine Abweichung</v>
      </c>
      <c r="I416">
        <v>3</v>
      </c>
    </row>
    <row r="417" spans="1:9" hidden="1" x14ac:dyDescent="0.3">
      <c r="A417" s="13">
        <v>60</v>
      </c>
      <c r="B417" s="4">
        <v>8</v>
      </c>
      <c r="C417" t="s">
        <v>537</v>
      </c>
      <c r="D417" t="s">
        <v>527</v>
      </c>
      <c r="E417">
        <v>5</v>
      </c>
      <c r="F417">
        <v>5</v>
      </c>
      <c r="G417" s="8">
        <f>Lektionen[[#This Row],[Bearbeitungsdauer_real]]/Lektionen[[#This Row],[Bearbeitungsdauer_geschätzt]]-1</f>
        <v>0</v>
      </c>
      <c r="H417" s="8" t="str" cm="1">
        <f t="array" ref="H417">_xlfn.IFS(Lektionen[[#This Row],[Bearbeitungsdauer_abgewichen]]&gt;0.6,"viel länger",Lektionen[[#This Row],[Bearbeitungsdauer_abgewichen]]&gt;0.3,"länger",Lektionen[[#This Row],[Bearbeitungsdauer_abgewichen]]&lt;-0.3,"kürzer",TRUE,"keine Abweichung")</f>
        <v>keine Abweichung</v>
      </c>
      <c r="I417">
        <v>1</v>
      </c>
    </row>
    <row r="418" spans="1:9" hidden="1" x14ac:dyDescent="0.3">
      <c r="A418" s="13">
        <v>62</v>
      </c>
      <c r="B418" s="4">
        <v>1</v>
      </c>
      <c r="C418" t="s">
        <v>526</v>
      </c>
      <c r="D418" t="s">
        <v>527</v>
      </c>
      <c r="E418">
        <v>4</v>
      </c>
      <c r="F418">
        <v>4</v>
      </c>
      <c r="G418" s="8">
        <f>Lektionen[[#This Row],[Bearbeitungsdauer_real]]/Lektionen[[#This Row],[Bearbeitungsdauer_geschätzt]]-1</f>
        <v>0</v>
      </c>
      <c r="H418" s="8" t="str" cm="1">
        <f t="array" ref="H418">_xlfn.IFS(Lektionen[[#This Row],[Bearbeitungsdauer_abgewichen]]&gt;0.6,"viel länger",Lektionen[[#This Row],[Bearbeitungsdauer_abgewichen]]&gt;0.3,"länger",Lektionen[[#This Row],[Bearbeitungsdauer_abgewichen]]&lt;-0.3,"kürzer",TRUE,"keine Abweichung")</f>
        <v>keine Abweichung</v>
      </c>
      <c r="I418">
        <v>1</v>
      </c>
    </row>
    <row r="419" spans="1:9" hidden="1" x14ac:dyDescent="0.3">
      <c r="A419" s="13">
        <v>62</v>
      </c>
      <c r="B419" s="4">
        <v>2</v>
      </c>
      <c r="C419" t="s">
        <v>528</v>
      </c>
      <c r="D419" t="s">
        <v>529</v>
      </c>
      <c r="E419">
        <v>15</v>
      </c>
      <c r="F419">
        <v>20</v>
      </c>
      <c r="G419" s="8">
        <f>Lektionen[[#This Row],[Bearbeitungsdauer_real]]/Lektionen[[#This Row],[Bearbeitungsdauer_geschätzt]]-1</f>
        <v>0.33333333333333326</v>
      </c>
      <c r="H419" s="8" t="str" cm="1">
        <f t="array" ref="H419">_xlfn.IFS(Lektionen[[#This Row],[Bearbeitungsdauer_abgewichen]]&gt;0.6,"viel länger",Lektionen[[#This Row],[Bearbeitungsdauer_abgewichen]]&gt;0.3,"länger",Lektionen[[#This Row],[Bearbeitungsdauer_abgewichen]]&lt;-0.3,"kürzer",TRUE,"keine Abweichung")</f>
        <v>länger</v>
      </c>
      <c r="I419">
        <v>1</v>
      </c>
    </row>
    <row r="420" spans="1:9" hidden="1" x14ac:dyDescent="0.3">
      <c r="A420" s="13">
        <v>62</v>
      </c>
      <c r="B420" s="4">
        <v>3</v>
      </c>
      <c r="C420" t="s">
        <v>552</v>
      </c>
      <c r="D420" t="s">
        <v>530</v>
      </c>
      <c r="E420">
        <v>30</v>
      </c>
      <c r="F420">
        <v>29</v>
      </c>
      <c r="G420" s="8">
        <f>Lektionen[[#This Row],[Bearbeitungsdauer_real]]/Lektionen[[#This Row],[Bearbeitungsdauer_geschätzt]]-1</f>
        <v>-3.3333333333333326E-2</v>
      </c>
      <c r="H420" s="8" t="str" cm="1">
        <f t="array" ref="H420">_xlfn.IFS(Lektionen[[#This Row],[Bearbeitungsdauer_abgewichen]]&gt;0.6,"viel länger",Lektionen[[#This Row],[Bearbeitungsdauer_abgewichen]]&gt;0.3,"länger",Lektionen[[#This Row],[Bearbeitungsdauer_abgewichen]]&lt;-0.3,"kürzer",TRUE,"keine Abweichung")</f>
        <v>keine Abweichung</v>
      </c>
      <c r="I420">
        <v>2</v>
      </c>
    </row>
    <row r="421" spans="1:9" hidden="1" x14ac:dyDescent="0.3">
      <c r="A421" s="13">
        <v>62</v>
      </c>
      <c r="B421" s="4">
        <v>4</v>
      </c>
      <c r="C421" t="s">
        <v>531</v>
      </c>
      <c r="D421" t="s">
        <v>530</v>
      </c>
      <c r="E421">
        <v>30</v>
      </c>
      <c r="F421">
        <v>22</v>
      </c>
      <c r="G421" s="8">
        <f>Lektionen[[#This Row],[Bearbeitungsdauer_real]]/Lektionen[[#This Row],[Bearbeitungsdauer_geschätzt]]-1</f>
        <v>-0.26666666666666672</v>
      </c>
      <c r="H421" s="8" t="str" cm="1">
        <f t="array" ref="H421">_xlfn.IFS(Lektionen[[#This Row],[Bearbeitungsdauer_abgewichen]]&gt;0.6,"viel länger",Lektionen[[#This Row],[Bearbeitungsdauer_abgewichen]]&gt;0.3,"länger",Lektionen[[#This Row],[Bearbeitungsdauer_abgewichen]]&lt;-0.3,"kürzer",TRUE,"keine Abweichung")</f>
        <v>keine Abweichung</v>
      </c>
      <c r="I421">
        <v>4</v>
      </c>
    </row>
    <row r="422" spans="1:9" x14ac:dyDescent="0.3">
      <c r="A422" s="13">
        <v>62</v>
      </c>
      <c r="B422" s="4">
        <v>5</v>
      </c>
      <c r="C422" t="s">
        <v>532</v>
      </c>
      <c r="D422" t="s">
        <v>530</v>
      </c>
      <c r="E422">
        <v>30</v>
      </c>
      <c r="F422">
        <v>48</v>
      </c>
      <c r="G422" s="8">
        <f>Lektionen[[#This Row],[Bearbeitungsdauer_real]]/Lektionen[[#This Row],[Bearbeitungsdauer_geschätzt]]-1</f>
        <v>0.60000000000000009</v>
      </c>
      <c r="H422" s="8" t="str" cm="1">
        <f t="array" ref="H422">_xlfn.IFS(Lektionen[[#This Row],[Bearbeitungsdauer_abgewichen]]&gt;0.6,"viel länger",Lektionen[[#This Row],[Bearbeitungsdauer_abgewichen]]&gt;0.3,"länger",Lektionen[[#This Row],[Bearbeitungsdauer_abgewichen]]&lt;-0.3,"kürzer",TRUE,"keine Abweichung")</f>
        <v>länger</v>
      </c>
      <c r="I422">
        <v>4</v>
      </c>
    </row>
    <row r="423" spans="1:9" hidden="1" x14ac:dyDescent="0.3">
      <c r="A423" s="13">
        <v>62</v>
      </c>
      <c r="B423" s="4">
        <v>6</v>
      </c>
      <c r="C423" t="s">
        <v>533</v>
      </c>
      <c r="D423" t="s">
        <v>534</v>
      </c>
      <c r="E423">
        <v>5</v>
      </c>
      <c r="F423">
        <v>1</v>
      </c>
      <c r="G423" s="8">
        <f>Lektionen[[#This Row],[Bearbeitungsdauer_real]]/Lektionen[[#This Row],[Bearbeitungsdauer_geschätzt]]-1</f>
        <v>-0.8</v>
      </c>
      <c r="H423" s="8" t="str" cm="1">
        <f t="array" ref="H423">_xlfn.IFS(Lektionen[[#This Row],[Bearbeitungsdauer_abgewichen]]&gt;0.6,"viel länger",Lektionen[[#This Row],[Bearbeitungsdauer_abgewichen]]&gt;0.3,"länger",Lektionen[[#This Row],[Bearbeitungsdauer_abgewichen]]&lt;-0.3,"kürzer",TRUE,"keine Abweichung")</f>
        <v>kürzer</v>
      </c>
      <c r="I423">
        <v>3</v>
      </c>
    </row>
    <row r="424" spans="1:9" hidden="1" x14ac:dyDescent="0.3">
      <c r="A424" s="13">
        <v>62</v>
      </c>
      <c r="B424" s="4">
        <v>7</v>
      </c>
      <c r="C424" t="s">
        <v>535</v>
      </c>
      <c r="D424" t="s">
        <v>536</v>
      </c>
      <c r="E424">
        <v>10</v>
      </c>
      <c r="F424">
        <v>11</v>
      </c>
      <c r="G424" s="8">
        <f>Lektionen[[#This Row],[Bearbeitungsdauer_real]]/Lektionen[[#This Row],[Bearbeitungsdauer_geschätzt]]-1</f>
        <v>0.10000000000000009</v>
      </c>
      <c r="H424" s="8" t="str" cm="1">
        <f t="array" ref="H424">_xlfn.IFS(Lektionen[[#This Row],[Bearbeitungsdauer_abgewichen]]&gt;0.6,"viel länger",Lektionen[[#This Row],[Bearbeitungsdauer_abgewichen]]&gt;0.3,"länger",Lektionen[[#This Row],[Bearbeitungsdauer_abgewichen]]&lt;-0.3,"kürzer",TRUE,"keine Abweichung")</f>
        <v>keine Abweichung</v>
      </c>
      <c r="I424">
        <v>4</v>
      </c>
    </row>
    <row r="425" spans="1:9" hidden="1" x14ac:dyDescent="0.3">
      <c r="A425" s="13">
        <v>62</v>
      </c>
      <c r="B425" s="4">
        <v>8</v>
      </c>
      <c r="C425" t="s">
        <v>537</v>
      </c>
      <c r="D425" t="s">
        <v>527</v>
      </c>
      <c r="E425">
        <v>5</v>
      </c>
      <c r="F425">
        <v>5</v>
      </c>
      <c r="G425" s="8">
        <f>Lektionen[[#This Row],[Bearbeitungsdauer_real]]/Lektionen[[#This Row],[Bearbeitungsdauer_geschätzt]]-1</f>
        <v>0</v>
      </c>
      <c r="H425" s="8" t="str" cm="1">
        <f t="array" ref="H425">_xlfn.IFS(Lektionen[[#This Row],[Bearbeitungsdauer_abgewichen]]&gt;0.6,"viel länger",Lektionen[[#This Row],[Bearbeitungsdauer_abgewichen]]&gt;0.3,"länger",Lektionen[[#This Row],[Bearbeitungsdauer_abgewichen]]&lt;-0.3,"kürzer",TRUE,"keine Abweichung")</f>
        <v>keine Abweichung</v>
      </c>
      <c r="I425">
        <v>1</v>
      </c>
    </row>
    <row r="426" spans="1:9" hidden="1" x14ac:dyDescent="0.3">
      <c r="A426" s="13">
        <v>63</v>
      </c>
      <c r="B426" s="4">
        <v>1</v>
      </c>
      <c r="C426" t="s">
        <v>526</v>
      </c>
      <c r="D426" t="s">
        <v>527</v>
      </c>
      <c r="E426">
        <v>4</v>
      </c>
      <c r="F426">
        <v>7</v>
      </c>
      <c r="G426" s="8">
        <f>Lektionen[[#This Row],[Bearbeitungsdauer_real]]/Lektionen[[#This Row],[Bearbeitungsdauer_geschätzt]]-1</f>
        <v>0.75</v>
      </c>
      <c r="H426" s="8" t="str" cm="1">
        <f t="array" ref="H426">_xlfn.IFS(Lektionen[[#This Row],[Bearbeitungsdauer_abgewichen]]&gt;0.6,"viel länger",Lektionen[[#This Row],[Bearbeitungsdauer_abgewichen]]&gt;0.3,"länger",Lektionen[[#This Row],[Bearbeitungsdauer_abgewichen]]&lt;-0.3,"kürzer",TRUE,"keine Abweichung")</f>
        <v>viel länger</v>
      </c>
      <c r="I426">
        <v>1</v>
      </c>
    </row>
    <row r="427" spans="1:9" hidden="1" x14ac:dyDescent="0.3">
      <c r="A427" s="13">
        <v>63</v>
      </c>
      <c r="B427" s="4">
        <v>2</v>
      </c>
      <c r="C427" t="s">
        <v>528</v>
      </c>
      <c r="D427" t="s">
        <v>529</v>
      </c>
      <c r="E427">
        <v>15</v>
      </c>
      <c r="F427">
        <v>17</v>
      </c>
      <c r="G427" s="8">
        <f>Lektionen[[#This Row],[Bearbeitungsdauer_real]]/Lektionen[[#This Row],[Bearbeitungsdauer_geschätzt]]-1</f>
        <v>0.1333333333333333</v>
      </c>
      <c r="H427" s="8" t="str" cm="1">
        <f t="array" ref="H427">_xlfn.IFS(Lektionen[[#This Row],[Bearbeitungsdauer_abgewichen]]&gt;0.6,"viel länger",Lektionen[[#This Row],[Bearbeitungsdauer_abgewichen]]&gt;0.3,"länger",Lektionen[[#This Row],[Bearbeitungsdauer_abgewichen]]&lt;-0.3,"kürzer",TRUE,"keine Abweichung")</f>
        <v>keine Abweichung</v>
      </c>
      <c r="I427">
        <v>1</v>
      </c>
    </row>
    <row r="428" spans="1:9" hidden="1" x14ac:dyDescent="0.3">
      <c r="A428" s="13">
        <v>63</v>
      </c>
      <c r="B428" s="4">
        <v>3</v>
      </c>
      <c r="C428" t="s">
        <v>552</v>
      </c>
      <c r="D428" t="s">
        <v>530</v>
      </c>
      <c r="E428">
        <v>30</v>
      </c>
      <c r="F428">
        <v>29</v>
      </c>
      <c r="G428" s="8">
        <f>Lektionen[[#This Row],[Bearbeitungsdauer_real]]/Lektionen[[#This Row],[Bearbeitungsdauer_geschätzt]]-1</f>
        <v>-3.3333333333333326E-2</v>
      </c>
      <c r="H428" s="8" t="str" cm="1">
        <f t="array" ref="H428">_xlfn.IFS(Lektionen[[#This Row],[Bearbeitungsdauer_abgewichen]]&gt;0.6,"viel länger",Lektionen[[#This Row],[Bearbeitungsdauer_abgewichen]]&gt;0.3,"länger",Lektionen[[#This Row],[Bearbeitungsdauer_abgewichen]]&lt;-0.3,"kürzer",TRUE,"keine Abweichung")</f>
        <v>keine Abweichung</v>
      </c>
      <c r="I428">
        <v>2</v>
      </c>
    </row>
    <row r="429" spans="1:9" hidden="1" x14ac:dyDescent="0.3">
      <c r="A429" s="13">
        <v>63</v>
      </c>
      <c r="B429" s="4">
        <v>4</v>
      </c>
      <c r="C429" t="s">
        <v>531</v>
      </c>
      <c r="D429" t="s">
        <v>530</v>
      </c>
      <c r="E429">
        <v>30</v>
      </c>
      <c r="F429">
        <v>26</v>
      </c>
      <c r="G429" s="8">
        <f>Lektionen[[#This Row],[Bearbeitungsdauer_real]]/Lektionen[[#This Row],[Bearbeitungsdauer_geschätzt]]-1</f>
        <v>-0.1333333333333333</v>
      </c>
      <c r="H429" s="8" t="str" cm="1">
        <f t="array" ref="H429">_xlfn.IFS(Lektionen[[#This Row],[Bearbeitungsdauer_abgewichen]]&gt;0.6,"viel länger",Lektionen[[#This Row],[Bearbeitungsdauer_abgewichen]]&gt;0.3,"länger",Lektionen[[#This Row],[Bearbeitungsdauer_abgewichen]]&lt;-0.3,"kürzer",TRUE,"keine Abweichung")</f>
        <v>keine Abweichung</v>
      </c>
      <c r="I429">
        <v>2</v>
      </c>
    </row>
    <row r="430" spans="1:9" x14ac:dyDescent="0.3">
      <c r="A430" s="13">
        <v>63</v>
      </c>
      <c r="B430" s="4">
        <v>5</v>
      </c>
      <c r="C430" t="s">
        <v>532</v>
      </c>
      <c r="D430" t="s">
        <v>530</v>
      </c>
      <c r="E430">
        <v>30</v>
      </c>
      <c r="F430">
        <v>49</v>
      </c>
      <c r="G430" s="8">
        <f>Lektionen[[#This Row],[Bearbeitungsdauer_real]]/Lektionen[[#This Row],[Bearbeitungsdauer_geschätzt]]-1</f>
        <v>0.6333333333333333</v>
      </c>
      <c r="H430" s="8" t="str" cm="1">
        <f t="array" ref="H430">_xlfn.IFS(Lektionen[[#This Row],[Bearbeitungsdauer_abgewichen]]&gt;0.6,"viel länger",Lektionen[[#This Row],[Bearbeitungsdauer_abgewichen]]&gt;0.3,"länger",Lektionen[[#This Row],[Bearbeitungsdauer_abgewichen]]&lt;-0.3,"kürzer",TRUE,"keine Abweichung")</f>
        <v>viel länger</v>
      </c>
      <c r="I430">
        <v>4</v>
      </c>
    </row>
    <row r="431" spans="1:9" hidden="1" x14ac:dyDescent="0.3">
      <c r="A431" s="13">
        <v>63</v>
      </c>
      <c r="B431" s="4">
        <v>6</v>
      </c>
      <c r="C431" t="s">
        <v>533</v>
      </c>
      <c r="D431" t="s">
        <v>534</v>
      </c>
      <c r="E431">
        <v>5</v>
      </c>
      <c r="F431">
        <v>1</v>
      </c>
      <c r="G431" s="8">
        <f>Lektionen[[#This Row],[Bearbeitungsdauer_real]]/Lektionen[[#This Row],[Bearbeitungsdauer_geschätzt]]-1</f>
        <v>-0.8</v>
      </c>
      <c r="H431" s="8" t="str" cm="1">
        <f t="array" ref="H431">_xlfn.IFS(Lektionen[[#This Row],[Bearbeitungsdauer_abgewichen]]&gt;0.6,"viel länger",Lektionen[[#This Row],[Bearbeitungsdauer_abgewichen]]&gt;0.3,"länger",Lektionen[[#This Row],[Bearbeitungsdauer_abgewichen]]&lt;-0.3,"kürzer",TRUE,"keine Abweichung")</f>
        <v>kürzer</v>
      </c>
      <c r="I431">
        <v>2</v>
      </c>
    </row>
    <row r="432" spans="1:9" hidden="1" x14ac:dyDescent="0.3">
      <c r="A432" s="13">
        <v>63</v>
      </c>
      <c r="B432" s="4">
        <v>7</v>
      </c>
      <c r="C432" t="s">
        <v>535</v>
      </c>
      <c r="D432" t="s">
        <v>536</v>
      </c>
      <c r="E432">
        <v>10</v>
      </c>
      <c r="F432">
        <v>9</v>
      </c>
      <c r="G432" s="8">
        <f>Lektionen[[#This Row],[Bearbeitungsdauer_real]]/Lektionen[[#This Row],[Bearbeitungsdauer_geschätzt]]-1</f>
        <v>-9.9999999999999978E-2</v>
      </c>
      <c r="H432" s="8" t="str" cm="1">
        <f t="array" ref="H432">_xlfn.IFS(Lektionen[[#This Row],[Bearbeitungsdauer_abgewichen]]&gt;0.6,"viel länger",Lektionen[[#This Row],[Bearbeitungsdauer_abgewichen]]&gt;0.3,"länger",Lektionen[[#This Row],[Bearbeitungsdauer_abgewichen]]&lt;-0.3,"kürzer",TRUE,"keine Abweichung")</f>
        <v>keine Abweichung</v>
      </c>
      <c r="I432">
        <v>3</v>
      </c>
    </row>
    <row r="433" spans="1:9" hidden="1" x14ac:dyDescent="0.3">
      <c r="A433" s="13">
        <v>63</v>
      </c>
      <c r="B433" s="4">
        <v>8</v>
      </c>
      <c r="C433" t="s">
        <v>537</v>
      </c>
      <c r="D433" t="s">
        <v>527</v>
      </c>
      <c r="E433">
        <v>5</v>
      </c>
      <c r="F433">
        <v>5</v>
      </c>
      <c r="G433" s="8">
        <f>Lektionen[[#This Row],[Bearbeitungsdauer_real]]/Lektionen[[#This Row],[Bearbeitungsdauer_geschätzt]]-1</f>
        <v>0</v>
      </c>
      <c r="H433" s="8" t="str" cm="1">
        <f t="array" ref="H433">_xlfn.IFS(Lektionen[[#This Row],[Bearbeitungsdauer_abgewichen]]&gt;0.6,"viel länger",Lektionen[[#This Row],[Bearbeitungsdauer_abgewichen]]&gt;0.3,"länger",Lektionen[[#This Row],[Bearbeitungsdauer_abgewichen]]&lt;-0.3,"kürzer",TRUE,"keine Abweichung")</f>
        <v>keine Abweichung</v>
      </c>
      <c r="I433">
        <v>1</v>
      </c>
    </row>
    <row r="434" spans="1:9" hidden="1" x14ac:dyDescent="0.3">
      <c r="A434" s="13">
        <v>64</v>
      </c>
      <c r="B434" s="4">
        <v>1</v>
      </c>
      <c r="C434" t="s">
        <v>526</v>
      </c>
      <c r="D434" t="s">
        <v>527</v>
      </c>
      <c r="E434">
        <v>4</v>
      </c>
      <c r="F434">
        <v>4</v>
      </c>
      <c r="G434" s="8">
        <f>Lektionen[[#This Row],[Bearbeitungsdauer_real]]/Lektionen[[#This Row],[Bearbeitungsdauer_geschätzt]]-1</f>
        <v>0</v>
      </c>
      <c r="H434" s="8" t="str" cm="1">
        <f t="array" ref="H434">_xlfn.IFS(Lektionen[[#This Row],[Bearbeitungsdauer_abgewichen]]&gt;0.6,"viel länger",Lektionen[[#This Row],[Bearbeitungsdauer_abgewichen]]&gt;0.3,"länger",Lektionen[[#This Row],[Bearbeitungsdauer_abgewichen]]&lt;-0.3,"kürzer",TRUE,"keine Abweichung")</f>
        <v>keine Abweichung</v>
      </c>
      <c r="I434">
        <v>1</v>
      </c>
    </row>
    <row r="435" spans="1:9" hidden="1" x14ac:dyDescent="0.3">
      <c r="A435" s="13">
        <v>64</v>
      </c>
      <c r="B435" s="4">
        <v>2</v>
      </c>
      <c r="C435" t="s">
        <v>528</v>
      </c>
      <c r="D435" t="s">
        <v>529</v>
      </c>
      <c r="E435">
        <v>15</v>
      </c>
      <c r="F435">
        <v>17</v>
      </c>
      <c r="G435" s="8">
        <f>Lektionen[[#This Row],[Bearbeitungsdauer_real]]/Lektionen[[#This Row],[Bearbeitungsdauer_geschätzt]]-1</f>
        <v>0.1333333333333333</v>
      </c>
      <c r="H435" s="8" t="str" cm="1">
        <f t="array" ref="H435">_xlfn.IFS(Lektionen[[#This Row],[Bearbeitungsdauer_abgewichen]]&gt;0.6,"viel länger",Lektionen[[#This Row],[Bearbeitungsdauer_abgewichen]]&gt;0.3,"länger",Lektionen[[#This Row],[Bearbeitungsdauer_abgewichen]]&lt;-0.3,"kürzer",TRUE,"keine Abweichung")</f>
        <v>keine Abweichung</v>
      </c>
      <c r="I435">
        <v>1</v>
      </c>
    </row>
    <row r="436" spans="1:9" hidden="1" x14ac:dyDescent="0.3">
      <c r="A436" s="13">
        <v>64</v>
      </c>
      <c r="B436" s="4">
        <v>3</v>
      </c>
      <c r="C436" t="s">
        <v>552</v>
      </c>
      <c r="D436" t="s">
        <v>530</v>
      </c>
      <c r="E436">
        <v>30</v>
      </c>
      <c r="F436">
        <v>28</v>
      </c>
      <c r="G436" s="8">
        <f>Lektionen[[#This Row],[Bearbeitungsdauer_real]]/Lektionen[[#This Row],[Bearbeitungsdauer_geschätzt]]-1</f>
        <v>-6.6666666666666652E-2</v>
      </c>
      <c r="H436" s="8" t="str" cm="1">
        <f t="array" ref="H436">_xlfn.IFS(Lektionen[[#This Row],[Bearbeitungsdauer_abgewichen]]&gt;0.6,"viel länger",Lektionen[[#This Row],[Bearbeitungsdauer_abgewichen]]&gt;0.3,"länger",Lektionen[[#This Row],[Bearbeitungsdauer_abgewichen]]&lt;-0.3,"kürzer",TRUE,"keine Abweichung")</f>
        <v>keine Abweichung</v>
      </c>
      <c r="I436">
        <v>2</v>
      </c>
    </row>
    <row r="437" spans="1:9" hidden="1" x14ac:dyDescent="0.3">
      <c r="A437" s="13">
        <v>64</v>
      </c>
      <c r="B437" s="4">
        <v>4</v>
      </c>
      <c r="C437" t="s">
        <v>531</v>
      </c>
      <c r="D437" t="s">
        <v>530</v>
      </c>
      <c r="E437">
        <v>30</v>
      </c>
      <c r="F437">
        <v>22</v>
      </c>
      <c r="G437" s="8">
        <f>Lektionen[[#This Row],[Bearbeitungsdauer_real]]/Lektionen[[#This Row],[Bearbeitungsdauer_geschätzt]]-1</f>
        <v>-0.26666666666666672</v>
      </c>
      <c r="H437" s="8" t="str" cm="1">
        <f t="array" ref="H437">_xlfn.IFS(Lektionen[[#This Row],[Bearbeitungsdauer_abgewichen]]&gt;0.6,"viel länger",Lektionen[[#This Row],[Bearbeitungsdauer_abgewichen]]&gt;0.3,"länger",Lektionen[[#This Row],[Bearbeitungsdauer_abgewichen]]&lt;-0.3,"kürzer",TRUE,"keine Abweichung")</f>
        <v>keine Abweichung</v>
      </c>
      <c r="I437">
        <v>3</v>
      </c>
    </row>
    <row r="438" spans="1:9" x14ac:dyDescent="0.3">
      <c r="A438" s="13">
        <v>64</v>
      </c>
      <c r="B438" s="4">
        <v>5</v>
      </c>
      <c r="C438" t="s">
        <v>532</v>
      </c>
      <c r="D438" t="s">
        <v>530</v>
      </c>
      <c r="E438">
        <v>30</v>
      </c>
      <c r="F438">
        <v>42</v>
      </c>
      <c r="G438" s="8">
        <f>Lektionen[[#This Row],[Bearbeitungsdauer_real]]/Lektionen[[#This Row],[Bearbeitungsdauer_geschätzt]]-1</f>
        <v>0.39999999999999991</v>
      </c>
      <c r="H438" s="8" t="str" cm="1">
        <f t="array" ref="H438">_xlfn.IFS(Lektionen[[#This Row],[Bearbeitungsdauer_abgewichen]]&gt;0.6,"viel länger",Lektionen[[#This Row],[Bearbeitungsdauer_abgewichen]]&gt;0.3,"länger",Lektionen[[#This Row],[Bearbeitungsdauer_abgewichen]]&lt;-0.3,"kürzer",TRUE,"keine Abweichung")</f>
        <v>länger</v>
      </c>
      <c r="I438">
        <v>3</v>
      </c>
    </row>
    <row r="439" spans="1:9" hidden="1" x14ac:dyDescent="0.3">
      <c r="A439" s="13">
        <v>64</v>
      </c>
      <c r="B439" s="4">
        <v>6</v>
      </c>
      <c r="C439" t="s">
        <v>533</v>
      </c>
      <c r="D439" t="s">
        <v>534</v>
      </c>
      <c r="E439">
        <v>5</v>
      </c>
      <c r="F439">
        <v>2</v>
      </c>
      <c r="G439" s="8">
        <f>Lektionen[[#This Row],[Bearbeitungsdauer_real]]/Lektionen[[#This Row],[Bearbeitungsdauer_geschätzt]]-1</f>
        <v>-0.6</v>
      </c>
      <c r="H439" s="8" t="str" cm="1">
        <f t="array" ref="H439">_xlfn.IFS(Lektionen[[#This Row],[Bearbeitungsdauer_abgewichen]]&gt;0.6,"viel länger",Lektionen[[#This Row],[Bearbeitungsdauer_abgewichen]]&gt;0.3,"länger",Lektionen[[#This Row],[Bearbeitungsdauer_abgewichen]]&lt;-0.3,"kürzer",TRUE,"keine Abweichung")</f>
        <v>kürzer</v>
      </c>
      <c r="I439">
        <v>2</v>
      </c>
    </row>
    <row r="440" spans="1:9" hidden="1" x14ac:dyDescent="0.3">
      <c r="A440" s="13">
        <v>64</v>
      </c>
      <c r="B440" s="4">
        <v>7</v>
      </c>
      <c r="C440" t="s">
        <v>535</v>
      </c>
      <c r="D440" t="s">
        <v>536</v>
      </c>
      <c r="E440">
        <v>10</v>
      </c>
      <c r="F440">
        <v>10</v>
      </c>
      <c r="G440" s="8">
        <f>Lektionen[[#This Row],[Bearbeitungsdauer_real]]/Lektionen[[#This Row],[Bearbeitungsdauer_geschätzt]]-1</f>
        <v>0</v>
      </c>
      <c r="H440" s="8" t="str" cm="1">
        <f t="array" ref="H440">_xlfn.IFS(Lektionen[[#This Row],[Bearbeitungsdauer_abgewichen]]&gt;0.6,"viel länger",Lektionen[[#This Row],[Bearbeitungsdauer_abgewichen]]&gt;0.3,"länger",Lektionen[[#This Row],[Bearbeitungsdauer_abgewichen]]&lt;-0.3,"kürzer",TRUE,"keine Abweichung")</f>
        <v>keine Abweichung</v>
      </c>
      <c r="I440">
        <v>3</v>
      </c>
    </row>
    <row r="441" spans="1:9" hidden="1" x14ac:dyDescent="0.3">
      <c r="A441" s="13">
        <v>64</v>
      </c>
      <c r="B441" s="4">
        <v>8</v>
      </c>
      <c r="C441" t="s">
        <v>537</v>
      </c>
      <c r="D441" t="s">
        <v>527</v>
      </c>
      <c r="E441">
        <v>5</v>
      </c>
      <c r="F441">
        <v>5</v>
      </c>
      <c r="G441" s="8">
        <f>Lektionen[[#This Row],[Bearbeitungsdauer_real]]/Lektionen[[#This Row],[Bearbeitungsdauer_geschätzt]]-1</f>
        <v>0</v>
      </c>
      <c r="H441" s="8" t="str" cm="1">
        <f t="array" ref="H441">_xlfn.IFS(Lektionen[[#This Row],[Bearbeitungsdauer_abgewichen]]&gt;0.6,"viel länger",Lektionen[[#This Row],[Bearbeitungsdauer_abgewichen]]&gt;0.3,"länger",Lektionen[[#This Row],[Bearbeitungsdauer_abgewichen]]&lt;-0.3,"kürzer",TRUE,"keine Abweichung")</f>
        <v>keine Abweichung</v>
      </c>
      <c r="I441">
        <v>1</v>
      </c>
    </row>
    <row r="442" spans="1:9" hidden="1" x14ac:dyDescent="0.3">
      <c r="A442" s="13">
        <v>66</v>
      </c>
      <c r="B442" s="4">
        <v>1</v>
      </c>
      <c r="C442" t="s">
        <v>526</v>
      </c>
      <c r="D442" t="s">
        <v>527</v>
      </c>
      <c r="E442">
        <v>4</v>
      </c>
      <c r="F442">
        <v>6</v>
      </c>
      <c r="G442" s="8">
        <f>Lektionen[[#This Row],[Bearbeitungsdauer_real]]/Lektionen[[#This Row],[Bearbeitungsdauer_geschätzt]]-1</f>
        <v>0.5</v>
      </c>
      <c r="H442" s="8" t="str" cm="1">
        <f t="array" ref="H442">_xlfn.IFS(Lektionen[[#This Row],[Bearbeitungsdauer_abgewichen]]&gt;0.6,"viel länger",Lektionen[[#This Row],[Bearbeitungsdauer_abgewichen]]&gt;0.3,"länger",Lektionen[[#This Row],[Bearbeitungsdauer_abgewichen]]&lt;-0.3,"kürzer",TRUE,"keine Abweichung")</f>
        <v>länger</v>
      </c>
      <c r="I442">
        <v>1</v>
      </c>
    </row>
    <row r="443" spans="1:9" hidden="1" x14ac:dyDescent="0.3">
      <c r="A443" s="13">
        <v>66</v>
      </c>
      <c r="B443" s="4">
        <v>2</v>
      </c>
      <c r="C443" t="s">
        <v>528</v>
      </c>
      <c r="D443" t="s">
        <v>529</v>
      </c>
      <c r="E443">
        <v>15</v>
      </c>
      <c r="F443">
        <v>18</v>
      </c>
      <c r="G443" s="8">
        <f>Lektionen[[#This Row],[Bearbeitungsdauer_real]]/Lektionen[[#This Row],[Bearbeitungsdauer_geschätzt]]-1</f>
        <v>0.19999999999999996</v>
      </c>
      <c r="H443" s="8" t="str" cm="1">
        <f t="array" ref="H443">_xlfn.IFS(Lektionen[[#This Row],[Bearbeitungsdauer_abgewichen]]&gt;0.6,"viel länger",Lektionen[[#This Row],[Bearbeitungsdauer_abgewichen]]&gt;0.3,"länger",Lektionen[[#This Row],[Bearbeitungsdauer_abgewichen]]&lt;-0.3,"kürzer",TRUE,"keine Abweichung")</f>
        <v>keine Abweichung</v>
      </c>
      <c r="I443">
        <v>2</v>
      </c>
    </row>
    <row r="444" spans="1:9" hidden="1" x14ac:dyDescent="0.3">
      <c r="A444" s="13">
        <v>66</v>
      </c>
      <c r="B444" s="4">
        <v>3</v>
      </c>
      <c r="C444" t="s">
        <v>552</v>
      </c>
      <c r="D444" t="s">
        <v>530</v>
      </c>
      <c r="E444">
        <v>30</v>
      </c>
      <c r="F444">
        <v>28</v>
      </c>
      <c r="G444" s="8">
        <f>Lektionen[[#This Row],[Bearbeitungsdauer_real]]/Lektionen[[#This Row],[Bearbeitungsdauer_geschätzt]]-1</f>
        <v>-6.6666666666666652E-2</v>
      </c>
      <c r="H444" s="8" t="str" cm="1">
        <f t="array" ref="H444">_xlfn.IFS(Lektionen[[#This Row],[Bearbeitungsdauer_abgewichen]]&gt;0.6,"viel länger",Lektionen[[#This Row],[Bearbeitungsdauer_abgewichen]]&gt;0.3,"länger",Lektionen[[#This Row],[Bearbeitungsdauer_abgewichen]]&lt;-0.3,"kürzer",TRUE,"keine Abweichung")</f>
        <v>keine Abweichung</v>
      </c>
      <c r="I444">
        <v>2</v>
      </c>
    </row>
    <row r="445" spans="1:9" hidden="1" x14ac:dyDescent="0.3">
      <c r="A445" s="13">
        <v>66</v>
      </c>
      <c r="B445" s="4">
        <v>4</v>
      </c>
      <c r="C445" t="s">
        <v>531</v>
      </c>
      <c r="D445" t="s">
        <v>530</v>
      </c>
      <c r="E445">
        <v>30</v>
      </c>
      <c r="F445">
        <v>22</v>
      </c>
      <c r="G445" s="8">
        <f>Lektionen[[#This Row],[Bearbeitungsdauer_real]]/Lektionen[[#This Row],[Bearbeitungsdauer_geschätzt]]-1</f>
        <v>-0.26666666666666672</v>
      </c>
      <c r="H445" s="8" t="str" cm="1">
        <f t="array" ref="H445">_xlfn.IFS(Lektionen[[#This Row],[Bearbeitungsdauer_abgewichen]]&gt;0.6,"viel länger",Lektionen[[#This Row],[Bearbeitungsdauer_abgewichen]]&gt;0.3,"länger",Lektionen[[#This Row],[Bearbeitungsdauer_abgewichen]]&lt;-0.3,"kürzer",TRUE,"keine Abweichung")</f>
        <v>keine Abweichung</v>
      </c>
      <c r="I445">
        <v>3</v>
      </c>
    </row>
    <row r="446" spans="1:9" x14ac:dyDescent="0.3">
      <c r="A446" s="13">
        <v>66</v>
      </c>
      <c r="B446" s="4">
        <v>5</v>
      </c>
      <c r="C446" t="s">
        <v>532</v>
      </c>
      <c r="D446" t="s">
        <v>530</v>
      </c>
      <c r="E446">
        <v>30</v>
      </c>
      <c r="F446">
        <v>40</v>
      </c>
      <c r="G446" s="8">
        <f>Lektionen[[#This Row],[Bearbeitungsdauer_real]]/Lektionen[[#This Row],[Bearbeitungsdauer_geschätzt]]-1</f>
        <v>0.33333333333333326</v>
      </c>
      <c r="H446" s="8" t="str" cm="1">
        <f t="array" ref="H446">_xlfn.IFS(Lektionen[[#This Row],[Bearbeitungsdauer_abgewichen]]&gt;0.6,"viel länger",Lektionen[[#This Row],[Bearbeitungsdauer_abgewichen]]&gt;0.3,"länger",Lektionen[[#This Row],[Bearbeitungsdauer_abgewichen]]&lt;-0.3,"kürzer",TRUE,"keine Abweichung")</f>
        <v>länger</v>
      </c>
      <c r="I446">
        <v>4</v>
      </c>
    </row>
    <row r="447" spans="1:9" hidden="1" x14ac:dyDescent="0.3">
      <c r="A447" s="13">
        <v>66</v>
      </c>
      <c r="B447" s="4">
        <v>6</v>
      </c>
      <c r="C447" t="s">
        <v>533</v>
      </c>
      <c r="D447" t="s">
        <v>534</v>
      </c>
      <c r="E447">
        <v>5</v>
      </c>
      <c r="F447">
        <v>2</v>
      </c>
      <c r="G447" s="8">
        <f>Lektionen[[#This Row],[Bearbeitungsdauer_real]]/Lektionen[[#This Row],[Bearbeitungsdauer_geschätzt]]-1</f>
        <v>-0.6</v>
      </c>
      <c r="H447" s="8" t="str" cm="1">
        <f t="array" ref="H447">_xlfn.IFS(Lektionen[[#This Row],[Bearbeitungsdauer_abgewichen]]&gt;0.6,"viel länger",Lektionen[[#This Row],[Bearbeitungsdauer_abgewichen]]&gt;0.3,"länger",Lektionen[[#This Row],[Bearbeitungsdauer_abgewichen]]&lt;-0.3,"kürzer",TRUE,"keine Abweichung")</f>
        <v>kürzer</v>
      </c>
      <c r="I447">
        <v>2</v>
      </c>
    </row>
    <row r="448" spans="1:9" hidden="1" x14ac:dyDescent="0.3">
      <c r="A448" s="13">
        <v>66</v>
      </c>
      <c r="B448" s="4">
        <v>7</v>
      </c>
      <c r="C448" t="s">
        <v>535</v>
      </c>
      <c r="D448" t="s">
        <v>536</v>
      </c>
      <c r="E448">
        <v>10</v>
      </c>
      <c r="F448">
        <v>10</v>
      </c>
      <c r="G448" s="8">
        <f>Lektionen[[#This Row],[Bearbeitungsdauer_real]]/Lektionen[[#This Row],[Bearbeitungsdauer_geschätzt]]-1</f>
        <v>0</v>
      </c>
      <c r="H448" s="8" t="str" cm="1">
        <f t="array" ref="H448">_xlfn.IFS(Lektionen[[#This Row],[Bearbeitungsdauer_abgewichen]]&gt;0.6,"viel länger",Lektionen[[#This Row],[Bearbeitungsdauer_abgewichen]]&gt;0.3,"länger",Lektionen[[#This Row],[Bearbeitungsdauer_abgewichen]]&lt;-0.3,"kürzer",TRUE,"keine Abweichung")</f>
        <v>keine Abweichung</v>
      </c>
      <c r="I448">
        <v>3</v>
      </c>
    </row>
    <row r="449" spans="1:9" hidden="1" x14ac:dyDescent="0.3">
      <c r="A449" s="13">
        <v>66</v>
      </c>
      <c r="B449" s="4">
        <v>8</v>
      </c>
      <c r="C449" t="s">
        <v>537</v>
      </c>
      <c r="D449" t="s">
        <v>527</v>
      </c>
      <c r="E449">
        <v>5</v>
      </c>
      <c r="F449">
        <v>5</v>
      </c>
      <c r="G449" s="8">
        <f>Lektionen[[#This Row],[Bearbeitungsdauer_real]]/Lektionen[[#This Row],[Bearbeitungsdauer_geschätzt]]-1</f>
        <v>0</v>
      </c>
      <c r="H449" s="8" t="str" cm="1">
        <f t="array" ref="H449">_xlfn.IFS(Lektionen[[#This Row],[Bearbeitungsdauer_abgewichen]]&gt;0.6,"viel länger",Lektionen[[#This Row],[Bearbeitungsdauer_abgewichen]]&gt;0.3,"länger",Lektionen[[#This Row],[Bearbeitungsdauer_abgewichen]]&lt;-0.3,"kürzer",TRUE,"keine Abweichung")</f>
        <v>keine Abweichung</v>
      </c>
      <c r="I449">
        <v>1</v>
      </c>
    </row>
    <row r="450" spans="1:9" hidden="1" x14ac:dyDescent="0.3">
      <c r="A450" s="13">
        <v>68</v>
      </c>
      <c r="B450" s="4">
        <v>1</v>
      </c>
      <c r="C450" t="s">
        <v>526</v>
      </c>
      <c r="D450" t="s">
        <v>527</v>
      </c>
      <c r="E450">
        <v>4</v>
      </c>
      <c r="F450">
        <v>4</v>
      </c>
      <c r="G450" s="8">
        <f>Lektionen[[#This Row],[Bearbeitungsdauer_real]]/Lektionen[[#This Row],[Bearbeitungsdauer_geschätzt]]-1</f>
        <v>0</v>
      </c>
      <c r="H450" s="8" t="str" cm="1">
        <f t="array" ref="H450">_xlfn.IFS(Lektionen[[#This Row],[Bearbeitungsdauer_abgewichen]]&gt;0.6,"viel länger",Lektionen[[#This Row],[Bearbeitungsdauer_abgewichen]]&gt;0.3,"länger",Lektionen[[#This Row],[Bearbeitungsdauer_abgewichen]]&lt;-0.3,"kürzer",TRUE,"keine Abweichung")</f>
        <v>keine Abweichung</v>
      </c>
      <c r="I450">
        <v>1</v>
      </c>
    </row>
    <row r="451" spans="1:9" hidden="1" x14ac:dyDescent="0.3">
      <c r="A451" s="13">
        <v>68</v>
      </c>
      <c r="B451" s="4">
        <v>2</v>
      </c>
      <c r="C451" t="s">
        <v>528</v>
      </c>
      <c r="D451" t="s">
        <v>529</v>
      </c>
      <c r="E451">
        <v>15</v>
      </c>
      <c r="F451">
        <v>16</v>
      </c>
      <c r="G451" s="8">
        <f>Lektionen[[#This Row],[Bearbeitungsdauer_real]]/Lektionen[[#This Row],[Bearbeitungsdauer_geschätzt]]-1</f>
        <v>6.6666666666666652E-2</v>
      </c>
      <c r="H451" s="8" t="str" cm="1">
        <f t="array" ref="H451">_xlfn.IFS(Lektionen[[#This Row],[Bearbeitungsdauer_abgewichen]]&gt;0.6,"viel länger",Lektionen[[#This Row],[Bearbeitungsdauer_abgewichen]]&gt;0.3,"länger",Lektionen[[#This Row],[Bearbeitungsdauer_abgewichen]]&lt;-0.3,"kürzer",TRUE,"keine Abweichung")</f>
        <v>keine Abweichung</v>
      </c>
      <c r="I451">
        <v>1</v>
      </c>
    </row>
    <row r="452" spans="1:9" hidden="1" x14ac:dyDescent="0.3">
      <c r="A452" s="13">
        <v>68</v>
      </c>
      <c r="B452" s="4">
        <v>3</v>
      </c>
      <c r="C452" t="s">
        <v>552</v>
      </c>
      <c r="D452" t="s">
        <v>530</v>
      </c>
      <c r="E452">
        <v>30</v>
      </c>
      <c r="F452">
        <v>30</v>
      </c>
      <c r="G452" s="8">
        <f>Lektionen[[#This Row],[Bearbeitungsdauer_real]]/Lektionen[[#This Row],[Bearbeitungsdauer_geschätzt]]-1</f>
        <v>0</v>
      </c>
      <c r="H452" s="8" t="str" cm="1">
        <f t="array" ref="H452">_xlfn.IFS(Lektionen[[#This Row],[Bearbeitungsdauer_abgewichen]]&gt;0.6,"viel länger",Lektionen[[#This Row],[Bearbeitungsdauer_abgewichen]]&gt;0.3,"länger",Lektionen[[#This Row],[Bearbeitungsdauer_abgewichen]]&lt;-0.3,"kürzer",TRUE,"keine Abweichung")</f>
        <v>keine Abweichung</v>
      </c>
      <c r="I452">
        <v>2</v>
      </c>
    </row>
    <row r="453" spans="1:9" hidden="1" x14ac:dyDescent="0.3">
      <c r="A453" s="13">
        <v>68</v>
      </c>
      <c r="B453" s="4">
        <v>4</v>
      </c>
      <c r="C453" t="s">
        <v>531</v>
      </c>
      <c r="D453" t="s">
        <v>530</v>
      </c>
      <c r="E453">
        <v>30</v>
      </c>
      <c r="F453">
        <v>19</v>
      </c>
      <c r="G453" s="8">
        <f>Lektionen[[#This Row],[Bearbeitungsdauer_real]]/Lektionen[[#This Row],[Bearbeitungsdauer_geschätzt]]-1</f>
        <v>-0.3666666666666667</v>
      </c>
      <c r="H453" s="8" t="str" cm="1">
        <f t="array" ref="H453">_xlfn.IFS(Lektionen[[#This Row],[Bearbeitungsdauer_abgewichen]]&gt;0.6,"viel länger",Lektionen[[#This Row],[Bearbeitungsdauer_abgewichen]]&gt;0.3,"länger",Lektionen[[#This Row],[Bearbeitungsdauer_abgewichen]]&lt;-0.3,"kürzer",TRUE,"keine Abweichung")</f>
        <v>kürzer</v>
      </c>
      <c r="I453">
        <v>3</v>
      </c>
    </row>
    <row r="454" spans="1:9" x14ac:dyDescent="0.3">
      <c r="A454" s="13">
        <v>68</v>
      </c>
      <c r="B454" s="4">
        <v>5</v>
      </c>
      <c r="C454" t="s">
        <v>532</v>
      </c>
      <c r="D454" t="s">
        <v>530</v>
      </c>
      <c r="E454">
        <v>30</v>
      </c>
      <c r="F454">
        <v>47</v>
      </c>
      <c r="G454" s="8">
        <f>Lektionen[[#This Row],[Bearbeitungsdauer_real]]/Lektionen[[#This Row],[Bearbeitungsdauer_geschätzt]]-1</f>
        <v>0.56666666666666665</v>
      </c>
      <c r="H454" s="8" t="str" cm="1">
        <f t="array" ref="H454">_xlfn.IFS(Lektionen[[#This Row],[Bearbeitungsdauer_abgewichen]]&gt;0.6,"viel länger",Lektionen[[#This Row],[Bearbeitungsdauer_abgewichen]]&gt;0.3,"länger",Lektionen[[#This Row],[Bearbeitungsdauer_abgewichen]]&lt;-0.3,"kürzer",TRUE,"keine Abweichung")</f>
        <v>länger</v>
      </c>
      <c r="I454">
        <v>4</v>
      </c>
    </row>
    <row r="455" spans="1:9" hidden="1" x14ac:dyDescent="0.3">
      <c r="A455" s="13">
        <v>68</v>
      </c>
      <c r="B455" s="4">
        <v>6</v>
      </c>
      <c r="C455" t="s">
        <v>533</v>
      </c>
      <c r="D455" t="s">
        <v>534</v>
      </c>
      <c r="E455">
        <v>5</v>
      </c>
      <c r="F455">
        <v>1</v>
      </c>
      <c r="G455" s="8">
        <f>Lektionen[[#This Row],[Bearbeitungsdauer_real]]/Lektionen[[#This Row],[Bearbeitungsdauer_geschätzt]]-1</f>
        <v>-0.8</v>
      </c>
      <c r="H455" s="8" t="str" cm="1">
        <f t="array" ref="H455">_xlfn.IFS(Lektionen[[#This Row],[Bearbeitungsdauer_abgewichen]]&gt;0.6,"viel länger",Lektionen[[#This Row],[Bearbeitungsdauer_abgewichen]]&gt;0.3,"länger",Lektionen[[#This Row],[Bearbeitungsdauer_abgewichen]]&lt;-0.3,"kürzer",TRUE,"keine Abweichung")</f>
        <v>kürzer</v>
      </c>
      <c r="I455">
        <v>2</v>
      </c>
    </row>
    <row r="456" spans="1:9" hidden="1" x14ac:dyDescent="0.3">
      <c r="A456" s="13">
        <v>68</v>
      </c>
      <c r="B456" s="4">
        <v>7</v>
      </c>
      <c r="C456" t="s">
        <v>535</v>
      </c>
      <c r="D456" t="s">
        <v>536</v>
      </c>
      <c r="E456">
        <v>10</v>
      </c>
      <c r="F456">
        <v>8</v>
      </c>
      <c r="G456" s="8">
        <f>Lektionen[[#This Row],[Bearbeitungsdauer_real]]/Lektionen[[#This Row],[Bearbeitungsdauer_geschätzt]]-1</f>
        <v>-0.19999999999999996</v>
      </c>
      <c r="H456" s="8" t="str" cm="1">
        <f t="array" ref="H456">_xlfn.IFS(Lektionen[[#This Row],[Bearbeitungsdauer_abgewichen]]&gt;0.6,"viel länger",Lektionen[[#This Row],[Bearbeitungsdauer_abgewichen]]&gt;0.3,"länger",Lektionen[[#This Row],[Bearbeitungsdauer_abgewichen]]&lt;-0.3,"kürzer",TRUE,"keine Abweichung")</f>
        <v>keine Abweichung</v>
      </c>
      <c r="I456">
        <v>3</v>
      </c>
    </row>
    <row r="457" spans="1:9" hidden="1" x14ac:dyDescent="0.3">
      <c r="A457" s="13">
        <v>68</v>
      </c>
      <c r="B457" s="4">
        <v>8</v>
      </c>
      <c r="C457" t="s">
        <v>537</v>
      </c>
      <c r="D457" t="s">
        <v>527</v>
      </c>
      <c r="E457">
        <v>5</v>
      </c>
      <c r="F457">
        <v>5</v>
      </c>
      <c r="G457" s="8">
        <f>Lektionen[[#This Row],[Bearbeitungsdauer_real]]/Lektionen[[#This Row],[Bearbeitungsdauer_geschätzt]]-1</f>
        <v>0</v>
      </c>
      <c r="H457" s="8" t="str" cm="1">
        <f t="array" ref="H457">_xlfn.IFS(Lektionen[[#This Row],[Bearbeitungsdauer_abgewichen]]&gt;0.6,"viel länger",Lektionen[[#This Row],[Bearbeitungsdauer_abgewichen]]&gt;0.3,"länger",Lektionen[[#This Row],[Bearbeitungsdauer_abgewichen]]&lt;-0.3,"kürzer",TRUE,"keine Abweichung")</f>
        <v>keine Abweichung</v>
      </c>
      <c r="I457">
        <v>1</v>
      </c>
    </row>
    <row r="458" spans="1:9" hidden="1" x14ac:dyDescent="0.3">
      <c r="A458" s="13">
        <v>70</v>
      </c>
      <c r="B458" s="4">
        <v>1</v>
      </c>
      <c r="C458" t="s">
        <v>526</v>
      </c>
      <c r="D458" t="s">
        <v>527</v>
      </c>
      <c r="E458">
        <v>4</v>
      </c>
      <c r="F458">
        <v>4</v>
      </c>
      <c r="G458" s="8">
        <f>Lektionen[[#This Row],[Bearbeitungsdauer_real]]/Lektionen[[#This Row],[Bearbeitungsdauer_geschätzt]]-1</f>
        <v>0</v>
      </c>
      <c r="H458" s="8" t="str" cm="1">
        <f t="array" ref="H458">_xlfn.IFS(Lektionen[[#This Row],[Bearbeitungsdauer_abgewichen]]&gt;0.6,"viel länger",Lektionen[[#This Row],[Bearbeitungsdauer_abgewichen]]&gt;0.3,"länger",Lektionen[[#This Row],[Bearbeitungsdauer_abgewichen]]&lt;-0.3,"kürzer",TRUE,"keine Abweichung")</f>
        <v>keine Abweichung</v>
      </c>
      <c r="I458">
        <v>1</v>
      </c>
    </row>
    <row r="459" spans="1:9" hidden="1" x14ac:dyDescent="0.3">
      <c r="A459" s="13">
        <v>70</v>
      </c>
      <c r="B459" s="4">
        <v>2</v>
      </c>
      <c r="C459" t="s">
        <v>528</v>
      </c>
      <c r="D459" t="s">
        <v>529</v>
      </c>
      <c r="E459">
        <v>15</v>
      </c>
      <c r="F459">
        <v>17</v>
      </c>
      <c r="G459" s="8">
        <f>Lektionen[[#This Row],[Bearbeitungsdauer_real]]/Lektionen[[#This Row],[Bearbeitungsdauer_geschätzt]]-1</f>
        <v>0.1333333333333333</v>
      </c>
      <c r="H459" s="8" t="str" cm="1">
        <f t="array" ref="H459">_xlfn.IFS(Lektionen[[#This Row],[Bearbeitungsdauer_abgewichen]]&gt;0.6,"viel länger",Lektionen[[#This Row],[Bearbeitungsdauer_abgewichen]]&gt;0.3,"länger",Lektionen[[#This Row],[Bearbeitungsdauer_abgewichen]]&lt;-0.3,"kürzer",TRUE,"keine Abweichung")</f>
        <v>keine Abweichung</v>
      </c>
      <c r="I459">
        <v>1</v>
      </c>
    </row>
    <row r="460" spans="1:9" hidden="1" x14ac:dyDescent="0.3">
      <c r="A460" s="13">
        <v>70</v>
      </c>
      <c r="B460" s="4">
        <v>3</v>
      </c>
      <c r="C460" t="s">
        <v>552</v>
      </c>
      <c r="D460" t="s">
        <v>530</v>
      </c>
      <c r="E460">
        <v>30</v>
      </c>
      <c r="F460">
        <v>28</v>
      </c>
      <c r="G460" s="8">
        <f>Lektionen[[#This Row],[Bearbeitungsdauer_real]]/Lektionen[[#This Row],[Bearbeitungsdauer_geschätzt]]-1</f>
        <v>-6.6666666666666652E-2</v>
      </c>
      <c r="H460" s="8" t="str" cm="1">
        <f t="array" ref="H460">_xlfn.IFS(Lektionen[[#This Row],[Bearbeitungsdauer_abgewichen]]&gt;0.6,"viel länger",Lektionen[[#This Row],[Bearbeitungsdauer_abgewichen]]&gt;0.3,"länger",Lektionen[[#This Row],[Bearbeitungsdauer_abgewichen]]&lt;-0.3,"kürzer",TRUE,"keine Abweichung")</f>
        <v>keine Abweichung</v>
      </c>
      <c r="I460">
        <v>4</v>
      </c>
    </row>
    <row r="461" spans="1:9" hidden="1" x14ac:dyDescent="0.3">
      <c r="A461" s="13">
        <v>70</v>
      </c>
      <c r="B461" s="4">
        <v>4</v>
      </c>
      <c r="C461" t="s">
        <v>531</v>
      </c>
      <c r="D461" t="s">
        <v>530</v>
      </c>
      <c r="E461">
        <v>30</v>
      </c>
      <c r="F461">
        <v>25</v>
      </c>
      <c r="G461" s="8">
        <f>Lektionen[[#This Row],[Bearbeitungsdauer_real]]/Lektionen[[#This Row],[Bearbeitungsdauer_geschätzt]]-1</f>
        <v>-0.16666666666666663</v>
      </c>
      <c r="H461" s="8" t="str" cm="1">
        <f t="array" ref="H461">_xlfn.IFS(Lektionen[[#This Row],[Bearbeitungsdauer_abgewichen]]&gt;0.6,"viel länger",Lektionen[[#This Row],[Bearbeitungsdauer_abgewichen]]&gt;0.3,"länger",Lektionen[[#This Row],[Bearbeitungsdauer_abgewichen]]&lt;-0.3,"kürzer",TRUE,"keine Abweichung")</f>
        <v>keine Abweichung</v>
      </c>
      <c r="I461">
        <v>3</v>
      </c>
    </row>
    <row r="462" spans="1:9" x14ac:dyDescent="0.3">
      <c r="A462" s="13">
        <v>70</v>
      </c>
      <c r="B462" s="4">
        <v>5</v>
      </c>
      <c r="C462" t="s">
        <v>532</v>
      </c>
      <c r="D462" t="s">
        <v>530</v>
      </c>
      <c r="E462">
        <v>30</v>
      </c>
      <c r="F462">
        <v>55</v>
      </c>
      <c r="G462" s="8">
        <f>Lektionen[[#This Row],[Bearbeitungsdauer_real]]/Lektionen[[#This Row],[Bearbeitungsdauer_geschätzt]]-1</f>
        <v>0.83333333333333326</v>
      </c>
      <c r="H462" s="8" t="str" cm="1">
        <f t="array" ref="H462">_xlfn.IFS(Lektionen[[#This Row],[Bearbeitungsdauer_abgewichen]]&gt;0.6,"viel länger",Lektionen[[#This Row],[Bearbeitungsdauer_abgewichen]]&gt;0.3,"länger",Lektionen[[#This Row],[Bearbeitungsdauer_abgewichen]]&lt;-0.3,"kürzer",TRUE,"keine Abweichung")</f>
        <v>viel länger</v>
      </c>
      <c r="I462">
        <v>3</v>
      </c>
    </row>
    <row r="463" spans="1:9" hidden="1" x14ac:dyDescent="0.3">
      <c r="A463" s="13">
        <v>70</v>
      </c>
      <c r="B463" s="4">
        <v>6</v>
      </c>
      <c r="C463" t="s">
        <v>533</v>
      </c>
      <c r="D463" t="s">
        <v>534</v>
      </c>
      <c r="E463">
        <v>5</v>
      </c>
      <c r="F463">
        <v>3</v>
      </c>
      <c r="G463" s="8">
        <f>Lektionen[[#This Row],[Bearbeitungsdauer_real]]/Lektionen[[#This Row],[Bearbeitungsdauer_geschätzt]]-1</f>
        <v>-0.4</v>
      </c>
      <c r="H463" s="8" t="str" cm="1">
        <f t="array" ref="H463">_xlfn.IFS(Lektionen[[#This Row],[Bearbeitungsdauer_abgewichen]]&gt;0.6,"viel länger",Lektionen[[#This Row],[Bearbeitungsdauer_abgewichen]]&gt;0.3,"länger",Lektionen[[#This Row],[Bearbeitungsdauer_abgewichen]]&lt;-0.3,"kürzer",TRUE,"keine Abweichung")</f>
        <v>kürzer</v>
      </c>
      <c r="I463">
        <v>2</v>
      </c>
    </row>
    <row r="464" spans="1:9" hidden="1" x14ac:dyDescent="0.3">
      <c r="A464" s="13">
        <v>70</v>
      </c>
      <c r="B464" s="4">
        <v>7</v>
      </c>
      <c r="C464" t="s">
        <v>535</v>
      </c>
      <c r="D464" t="s">
        <v>536</v>
      </c>
      <c r="E464">
        <v>10</v>
      </c>
      <c r="F464">
        <v>10</v>
      </c>
      <c r="G464" s="8">
        <f>Lektionen[[#This Row],[Bearbeitungsdauer_real]]/Lektionen[[#This Row],[Bearbeitungsdauer_geschätzt]]-1</f>
        <v>0</v>
      </c>
      <c r="H464" s="8" t="str" cm="1">
        <f t="array" ref="H464">_xlfn.IFS(Lektionen[[#This Row],[Bearbeitungsdauer_abgewichen]]&gt;0.6,"viel länger",Lektionen[[#This Row],[Bearbeitungsdauer_abgewichen]]&gt;0.3,"länger",Lektionen[[#This Row],[Bearbeitungsdauer_abgewichen]]&lt;-0.3,"kürzer",TRUE,"keine Abweichung")</f>
        <v>keine Abweichung</v>
      </c>
      <c r="I464">
        <v>4</v>
      </c>
    </row>
    <row r="465" spans="1:9" hidden="1" x14ac:dyDescent="0.3">
      <c r="A465" s="13">
        <v>70</v>
      </c>
      <c r="B465" s="4">
        <v>8</v>
      </c>
      <c r="C465" t="s">
        <v>537</v>
      </c>
      <c r="D465" t="s">
        <v>527</v>
      </c>
      <c r="E465">
        <v>5</v>
      </c>
      <c r="F465">
        <v>9</v>
      </c>
      <c r="G465" s="8">
        <f>Lektionen[[#This Row],[Bearbeitungsdauer_real]]/Lektionen[[#This Row],[Bearbeitungsdauer_geschätzt]]-1</f>
        <v>0.8</v>
      </c>
      <c r="H465" s="8" t="str" cm="1">
        <f t="array" ref="H465">_xlfn.IFS(Lektionen[[#This Row],[Bearbeitungsdauer_abgewichen]]&gt;0.6,"viel länger",Lektionen[[#This Row],[Bearbeitungsdauer_abgewichen]]&gt;0.3,"länger",Lektionen[[#This Row],[Bearbeitungsdauer_abgewichen]]&lt;-0.3,"kürzer",TRUE,"keine Abweichung")</f>
        <v>viel länger</v>
      </c>
      <c r="I465">
        <v>1</v>
      </c>
    </row>
    <row r="466" spans="1:9" hidden="1" x14ac:dyDescent="0.3">
      <c r="A466" s="13">
        <v>72</v>
      </c>
      <c r="B466" s="4">
        <v>1</v>
      </c>
      <c r="C466" t="s">
        <v>526</v>
      </c>
      <c r="D466" t="s">
        <v>527</v>
      </c>
      <c r="E466">
        <v>4</v>
      </c>
      <c r="F466">
        <v>4</v>
      </c>
      <c r="G466" s="8">
        <f>Lektionen[[#This Row],[Bearbeitungsdauer_real]]/Lektionen[[#This Row],[Bearbeitungsdauer_geschätzt]]-1</f>
        <v>0</v>
      </c>
      <c r="H466" s="8" t="str" cm="1">
        <f t="array" ref="H466">_xlfn.IFS(Lektionen[[#This Row],[Bearbeitungsdauer_abgewichen]]&gt;0.6,"viel länger",Lektionen[[#This Row],[Bearbeitungsdauer_abgewichen]]&gt;0.3,"länger",Lektionen[[#This Row],[Bearbeitungsdauer_abgewichen]]&lt;-0.3,"kürzer",TRUE,"keine Abweichung")</f>
        <v>keine Abweichung</v>
      </c>
      <c r="I466">
        <v>1</v>
      </c>
    </row>
    <row r="467" spans="1:9" hidden="1" x14ac:dyDescent="0.3">
      <c r="A467" s="13">
        <v>72</v>
      </c>
      <c r="B467" s="4">
        <v>2</v>
      </c>
      <c r="C467" t="s">
        <v>528</v>
      </c>
      <c r="D467" t="s">
        <v>529</v>
      </c>
      <c r="E467">
        <v>15</v>
      </c>
      <c r="F467">
        <v>17</v>
      </c>
      <c r="G467" s="8">
        <f>Lektionen[[#This Row],[Bearbeitungsdauer_real]]/Lektionen[[#This Row],[Bearbeitungsdauer_geschätzt]]-1</f>
        <v>0.1333333333333333</v>
      </c>
      <c r="H467" s="8" t="str" cm="1">
        <f t="array" ref="H467">_xlfn.IFS(Lektionen[[#This Row],[Bearbeitungsdauer_abgewichen]]&gt;0.6,"viel länger",Lektionen[[#This Row],[Bearbeitungsdauer_abgewichen]]&gt;0.3,"länger",Lektionen[[#This Row],[Bearbeitungsdauer_abgewichen]]&lt;-0.3,"kürzer",TRUE,"keine Abweichung")</f>
        <v>keine Abweichung</v>
      </c>
      <c r="I467">
        <v>1</v>
      </c>
    </row>
    <row r="468" spans="1:9" hidden="1" x14ac:dyDescent="0.3">
      <c r="A468" s="13">
        <v>72</v>
      </c>
      <c r="B468" s="4">
        <v>3</v>
      </c>
      <c r="C468" t="s">
        <v>552</v>
      </c>
      <c r="D468" t="s">
        <v>530</v>
      </c>
      <c r="E468">
        <v>30</v>
      </c>
      <c r="F468">
        <v>27</v>
      </c>
      <c r="G468" s="8">
        <f>Lektionen[[#This Row],[Bearbeitungsdauer_real]]/Lektionen[[#This Row],[Bearbeitungsdauer_geschätzt]]-1</f>
        <v>-9.9999999999999978E-2</v>
      </c>
      <c r="H468" s="8" t="str" cm="1">
        <f t="array" ref="H468">_xlfn.IFS(Lektionen[[#This Row],[Bearbeitungsdauer_abgewichen]]&gt;0.6,"viel länger",Lektionen[[#This Row],[Bearbeitungsdauer_abgewichen]]&gt;0.3,"länger",Lektionen[[#This Row],[Bearbeitungsdauer_abgewichen]]&lt;-0.3,"kürzer",TRUE,"keine Abweichung")</f>
        <v>keine Abweichung</v>
      </c>
      <c r="I468">
        <v>2</v>
      </c>
    </row>
    <row r="469" spans="1:9" hidden="1" x14ac:dyDescent="0.3">
      <c r="A469" s="13">
        <v>72</v>
      </c>
      <c r="B469" s="4">
        <v>4</v>
      </c>
      <c r="C469" t="s">
        <v>531</v>
      </c>
      <c r="D469" t="s">
        <v>530</v>
      </c>
      <c r="E469">
        <v>30</v>
      </c>
      <c r="F469">
        <v>24</v>
      </c>
      <c r="G469" s="8">
        <f>Lektionen[[#This Row],[Bearbeitungsdauer_real]]/Lektionen[[#This Row],[Bearbeitungsdauer_geschätzt]]-1</f>
        <v>-0.19999999999999996</v>
      </c>
      <c r="H469" s="8" t="str" cm="1">
        <f t="array" ref="H469">_xlfn.IFS(Lektionen[[#This Row],[Bearbeitungsdauer_abgewichen]]&gt;0.6,"viel länger",Lektionen[[#This Row],[Bearbeitungsdauer_abgewichen]]&gt;0.3,"länger",Lektionen[[#This Row],[Bearbeitungsdauer_abgewichen]]&lt;-0.3,"kürzer",TRUE,"keine Abweichung")</f>
        <v>keine Abweichung</v>
      </c>
      <c r="I469">
        <v>4</v>
      </c>
    </row>
    <row r="470" spans="1:9" x14ac:dyDescent="0.3">
      <c r="A470" s="13">
        <v>72</v>
      </c>
      <c r="B470" s="4">
        <v>5</v>
      </c>
      <c r="C470" t="s">
        <v>532</v>
      </c>
      <c r="D470" t="s">
        <v>530</v>
      </c>
      <c r="E470">
        <v>30</v>
      </c>
      <c r="F470">
        <v>49</v>
      </c>
      <c r="G470" s="8">
        <f>Lektionen[[#This Row],[Bearbeitungsdauer_real]]/Lektionen[[#This Row],[Bearbeitungsdauer_geschätzt]]-1</f>
        <v>0.6333333333333333</v>
      </c>
      <c r="H470" s="8" t="str" cm="1">
        <f t="array" ref="H470">_xlfn.IFS(Lektionen[[#This Row],[Bearbeitungsdauer_abgewichen]]&gt;0.6,"viel länger",Lektionen[[#This Row],[Bearbeitungsdauer_abgewichen]]&gt;0.3,"länger",Lektionen[[#This Row],[Bearbeitungsdauer_abgewichen]]&lt;-0.3,"kürzer",TRUE,"keine Abweichung")</f>
        <v>viel länger</v>
      </c>
      <c r="I470">
        <v>3</v>
      </c>
    </row>
    <row r="471" spans="1:9" hidden="1" x14ac:dyDescent="0.3">
      <c r="A471" s="13">
        <v>72</v>
      </c>
      <c r="B471" s="4">
        <v>6</v>
      </c>
      <c r="C471" t="s">
        <v>533</v>
      </c>
      <c r="D471" t="s">
        <v>534</v>
      </c>
      <c r="E471">
        <v>5</v>
      </c>
      <c r="F471">
        <v>1</v>
      </c>
      <c r="G471" s="8">
        <f>Lektionen[[#This Row],[Bearbeitungsdauer_real]]/Lektionen[[#This Row],[Bearbeitungsdauer_geschätzt]]-1</f>
        <v>-0.8</v>
      </c>
      <c r="H471" s="8" t="str" cm="1">
        <f t="array" ref="H471">_xlfn.IFS(Lektionen[[#This Row],[Bearbeitungsdauer_abgewichen]]&gt;0.6,"viel länger",Lektionen[[#This Row],[Bearbeitungsdauer_abgewichen]]&gt;0.3,"länger",Lektionen[[#This Row],[Bearbeitungsdauer_abgewichen]]&lt;-0.3,"kürzer",TRUE,"keine Abweichung")</f>
        <v>kürzer</v>
      </c>
      <c r="I471">
        <v>2</v>
      </c>
    </row>
    <row r="472" spans="1:9" hidden="1" x14ac:dyDescent="0.3">
      <c r="A472" s="13">
        <v>72</v>
      </c>
      <c r="B472" s="4">
        <v>7</v>
      </c>
      <c r="C472" t="s">
        <v>535</v>
      </c>
      <c r="D472" t="s">
        <v>536</v>
      </c>
      <c r="E472">
        <v>10</v>
      </c>
      <c r="F472">
        <v>9</v>
      </c>
      <c r="G472" s="8">
        <f>Lektionen[[#This Row],[Bearbeitungsdauer_real]]/Lektionen[[#This Row],[Bearbeitungsdauer_geschätzt]]-1</f>
        <v>-9.9999999999999978E-2</v>
      </c>
      <c r="H472" s="8" t="str" cm="1">
        <f t="array" ref="H472">_xlfn.IFS(Lektionen[[#This Row],[Bearbeitungsdauer_abgewichen]]&gt;0.6,"viel länger",Lektionen[[#This Row],[Bearbeitungsdauer_abgewichen]]&gt;0.3,"länger",Lektionen[[#This Row],[Bearbeitungsdauer_abgewichen]]&lt;-0.3,"kürzer",TRUE,"keine Abweichung")</f>
        <v>keine Abweichung</v>
      </c>
      <c r="I472">
        <v>3</v>
      </c>
    </row>
    <row r="473" spans="1:9" hidden="1" x14ac:dyDescent="0.3">
      <c r="A473" s="13">
        <v>72</v>
      </c>
      <c r="B473" s="4">
        <v>8</v>
      </c>
      <c r="C473" t="s">
        <v>537</v>
      </c>
      <c r="D473" t="s">
        <v>527</v>
      </c>
      <c r="E473">
        <v>5</v>
      </c>
      <c r="F473">
        <v>7</v>
      </c>
      <c r="G473" s="8">
        <f>Lektionen[[#This Row],[Bearbeitungsdauer_real]]/Lektionen[[#This Row],[Bearbeitungsdauer_geschätzt]]-1</f>
        <v>0.39999999999999991</v>
      </c>
      <c r="H473" s="8" t="str" cm="1">
        <f t="array" ref="H473">_xlfn.IFS(Lektionen[[#This Row],[Bearbeitungsdauer_abgewichen]]&gt;0.6,"viel länger",Lektionen[[#This Row],[Bearbeitungsdauer_abgewichen]]&gt;0.3,"länger",Lektionen[[#This Row],[Bearbeitungsdauer_abgewichen]]&lt;-0.3,"kürzer",TRUE,"keine Abweichung")</f>
        <v>länger</v>
      </c>
      <c r="I473">
        <v>1</v>
      </c>
    </row>
    <row r="474" spans="1:9" hidden="1" x14ac:dyDescent="0.3">
      <c r="A474" s="13">
        <v>73</v>
      </c>
      <c r="B474" s="4">
        <v>1</v>
      </c>
      <c r="C474" t="s">
        <v>526</v>
      </c>
      <c r="D474" t="s">
        <v>527</v>
      </c>
      <c r="E474">
        <v>4</v>
      </c>
      <c r="F474">
        <v>4</v>
      </c>
      <c r="G474" s="8">
        <f>Lektionen[[#This Row],[Bearbeitungsdauer_real]]/Lektionen[[#This Row],[Bearbeitungsdauer_geschätzt]]-1</f>
        <v>0</v>
      </c>
      <c r="H474" s="8" t="str" cm="1">
        <f t="array" ref="H474">_xlfn.IFS(Lektionen[[#This Row],[Bearbeitungsdauer_abgewichen]]&gt;0.6,"viel länger",Lektionen[[#This Row],[Bearbeitungsdauer_abgewichen]]&gt;0.3,"länger",Lektionen[[#This Row],[Bearbeitungsdauer_abgewichen]]&lt;-0.3,"kürzer",TRUE,"keine Abweichung")</f>
        <v>keine Abweichung</v>
      </c>
      <c r="I474">
        <v>1</v>
      </c>
    </row>
    <row r="475" spans="1:9" hidden="1" x14ac:dyDescent="0.3">
      <c r="A475" s="13">
        <v>73</v>
      </c>
      <c r="B475" s="4">
        <v>2</v>
      </c>
      <c r="C475" t="s">
        <v>528</v>
      </c>
      <c r="D475" t="s">
        <v>529</v>
      </c>
      <c r="E475">
        <v>15</v>
      </c>
      <c r="F475">
        <v>17</v>
      </c>
      <c r="G475" s="8">
        <f>Lektionen[[#This Row],[Bearbeitungsdauer_real]]/Lektionen[[#This Row],[Bearbeitungsdauer_geschätzt]]-1</f>
        <v>0.1333333333333333</v>
      </c>
      <c r="H475" s="8" t="str" cm="1">
        <f t="array" ref="H475">_xlfn.IFS(Lektionen[[#This Row],[Bearbeitungsdauer_abgewichen]]&gt;0.6,"viel länger",Lektionen[[#This Row],[Bearbeitungsdauer_abgewichen]]&gt;0.3,"länger",Lektionen[[#This Row],[Bearbeitungsdauer_abgewichen]]&lt;-0.3,"kürzer",TRUE,"keine Abweichung")</f>
        <v>keine Abweichung</v>
      </c>
      <c r="I475">
        <v>2</v>
      </c>
    </row>
    <row r="476" spans="1:9" hidden="1" x14ac:dyDescent="0.3">
      <c r="A476" s="13">
        <v>73</v>
      </c>
      <c r="B476" s="4">
        <v>3</v>
      </c>
      <c r="C476" t="s">
        <v>552</v>
      </c>
      <c r="D476" t="s">
        <v>530</v>
      </c>
      <c r="E476">
        <v>30</v>
      </c>
      <c r="F476">
        <v>28</v>
      </c>
      <c r="G476" s="8">
        <f>Lektionen[[#This Row],[Bearbeitungsdauer_real]]/Lektionen[[#This Row],[Bearbeitungsdauer_geschätzt]]-1</f>
        <v>-6.6666666666666652E-2</v>
      </c>
      <c r="H476" s="8" t="str" cm="1">
        <f t="array" ref="H476">_xlfn.IFS(Lektionen[[#This Row],[Bearbeitungsdauer_abgewichen]]&gt;0.6,"viel länger",Lektionen[[#This Row],[Bearbeitungsdauer_abgewichen]]&gt;0.3,"länger",Lektionen[[#This Row],[Bearbeitungsdauer_abgewichen]]&lt;-0.3,"kürzer",TRUE,"keine Abweichung")</f>
        <v>keine Abweichung</v>
      </c>
      <c r="I476">
        <v>3</v>
      </c>
    </row>
    <row r="477" spans="1:9" hidden="1" x14ac:dyDescent="0.3">
      <c r="A477" s="13">
        <v>73</v>
      </c>
      <c r="B477" s="4">
        <v>4</v>
      </c>
      <c r="C477" t="s">
        <v>531</v>
      </c>
      <c r="D477" t="s">
        <v>530</v>
      </c>
      <c r="E477">
        <v>30</v>
      </c>
      <c r="F477">
        <v>27</v>
      </c>
      <c r="G477" s="8">
        <f>Lektionen[[#This Row],[Bearbeitungsdauer_real]]/Lektionen[[#This Row],[Bearbeitungsdauer_geschätzt]]-1</f>
        <v>-9.9999999999999978E-2</v>
      </c>
      <c r="H477" s="8" t="str" cm="1">
        <f t="array" ref="H477">_xlfn.IFS(Lektionen[[#This Row],[Bearbeitungsdauer_abgewichen]]&gt;0.6,"viel länger",Lektionen[[#This Row],[Bearbeitungsdauer_abgewichen]]&gt;0.3,"länger",Lektionen[[#This Row],[Bearbeitungsdauer_abgewichen]]&lt;-0.3,"kürzer",TRUE,"keine Abweichung")</f>
        <v>keine Abweichung</v>
      </c>
      <c r="I477">
        <v>3</v>
      </c>
    </row>
    <row r="478" spans="1:9" x14ac:dyDescent="0.3">
      <c r="A478" s="13">
        <v>73</v>
      </c>
      <c r="B478" s="4">
        <v>5</v>
      </c>
      <c r="C478" t="s">
        <v>532</v>
      </c>
      <c r="D478" t="s">
        <v>530</v>
      </c>
      <c r="E478">
        <v>30</v>
      </c>
      <c r="F478">
        <v>49</v>
      </c>
      <c r="G478" s="8">
        <f>Lektionen[[#This Row],[Bearbeitungsdauer_real]]/Lektionen[[#This Row],[Bearbeitungsdauer_geschätzt]]-1</f>
        <v>0.6333333333333333</v>
      </c>
      <c r="H478" s="8" t="str" cm="1">
        <f t="array" ref="H478">_xlfn.IFS(Lektionen[[#This Row],[Bearbeitungsdauer_abgewichen]]&gt;0.6,"viel länger",Lektionen[[#This Row],[Bearbeitungsdauer_abgewichen]]&gt;0.3,"länger",Lektionen[[#This Row],[Bearbeitungsdauer_abgewichen]]&lt;-0.3,"kürzer",TRUE,"keine Abweichung")</f>
        <v>viel länger</v>
      </c>
      <c r="I478">
        <v>3</v>
      </c>
    </row>
    <row r="479" spans="1:9" hidden="1" x14ac:dyDescent="0.3">
      <c r="A479" s="13">
        <v>73</v>
      </c>
      <c r="B479" s="4">
        <v>6</v>
      </c>
      <c r="C479" t="s">
        <v>533</v>
      </c>
      <c r="D479" t="s">
        <v>534</v>
      </c>
      <c r="E479">
        <v>5</v>
      </c>
      <c r="F479">
        <v>1</v>
      </c>
      <c r="G479" s="8">
        <f>Lektionen[[#This Row],[Bearbeitungsdauer_real]]/Lektionen[[#This Row],[Bearbeitungsdauer_geschätzt]]-1</f>
        <v>-0.8</v>
      </c>
      <c r="H479" s="8" t="str" cm="1">
        <f t="array" ref="H479">_xlfn.IFS(Lektionen[[#This Row],[Bearbeitungsdauer_abgewichen]]&gt;0.6,"viel länger",Lektionen[[#This Row],[Bearbeitungsdauer_abgewichen]]&gt;0.3,"länger",Lektionen[[#This Row],[Bearbeitungsdauer_abgewichen]]&lt;-0.3,"kürzer",TRUE,"keine Abweichung")</f>
        <v>kürzer</v>
      </c>
      <c r="I479">
        <v>2</v>
      </c>
    </row>
    <row r="480" spans="1:9" hidden="1" x14ac:dyDescent="0.3">
      <c r="A480" s="13">
        <v>73</v>
      </c>
      <c r="B480" s="4">
        <v>7</v>
      </c>
      <c r="C480" t="s">
        <v>535</v>
      </c>
      <c r="D480" t="s">
        <v>536</v>
      </c>
      <c r="E480">
        <v>10</v>
      </c>
      <c r="F480">
        <v>10</v>
      </c>
      <c r="G480" s="8">
        <f>Lektionen[[#This Row],[Bearbeitungsdauer_real]]/Lektionen[[#This Row],[Bearbeitungsdauer_geschätzt]]-1</f>
        <v>0</v>
      </c>
      <c r="H480" s="8" t="str" cm="1">
        <f t="array" ref="H480">_xlfn.IFS(Lektionen[[#This Row],[Bearbeitungsdauer_abgewichen]]&gt;0.6,"viel länger",Lektionen[[#This Row],[Bearbeitungsdauer_abgewichen]]&gt;0.3,"länger",Lektionen[[#This Row],[Bearbeitungsdauer_abgewichen]]&lt;-0.3,"kürzer",TRUE,"keine Abweichung")</f>
        <v>keine Abweichung</v>
      </c>
      <c r="I480">
        <v>4</v>
      </c>
    </row>
    <row r="481" spans="1:9" hidden="1" x14ac:dyDescent="0.3">
      <c r="A481" s="13">
        <v>73</v>
      </c>
      <c r="B481" s="4">
        <v>8</v>
      </c>
      <c r="C481" t="s">
        <v>537</v>
      </c>
      <c r="D481" t="s">
        <v>527</v>
      </c>
      <c r="E481">
        <v>5</v>
      </c>
      <c r="F481">
        <v>5</v>
      </c>
      <c r="G481" s="8">
        <f>Lektionen[[#This Row],[Bearbeitungsdauer_real]]/Lektionen[[#This Row],[Bearbeitungsdauer_geschätzt]]-1</f>
        <v>0</v>
      </c>
      <c r="H481" s="8" t="str" cm="1">
        <f t="array" ref="H481">_xlfn.IFS(Lektionen[[#This Row],[Bearbeitungsdauer_abgewichen]]&gt;0.6,"viel länger",Lektionen[[#This Row],[Bearbeitungsdauer_abgewichen]]&gt;0.3,"länger",Lektionen[[#This Row],[Bearbeitungsdauer_abgewichen]]&lt;-0.3,"kürzer",TRUE,"keine Abweichung")</f>
        <v>keine Abweichung</v>
      </c>
      <c r="I481">
        <v>1</v>
      </c>
    </row>
    <row r="482" spans="1:9" hidden="1" x14ac:dyDescent="0.3">
      <c r="A482" s="13">
        <v>74</v>
      </c>
      <c r="B482" s="4">
        <v>1</v>
      </c>
      <c r="C482" t="s">
        <v>526</v>
      </c>
      <c r="D482" t="s">
        <v>527</v>
      </c>
      <c r="E482">
        <v>4</v>
      </c>
      <c r="F482">
        <v>4</v>
      </c>
      <c r="G482" s="8">
        <f>Lektionen[[#This Row],[Bearbeitungsdauer_real]]/Lektionen[[#This Row],[Bearbeitungsdauer_geschätzt]]-1</f>
        <v>0</v>
      </c>
      <c r="H482" s="8" t="str" cm="1">
        <f t="array" ref="H482">_xlfn.IFS(Lektionen[[#This Row],[Bearbeitungsdauer_abgewichen]]&gt;0.6,"viel länger",Lektionen[[#This Row],[Bearbeitungsdauer_abgewichen]]&gt;0.3,"länger",Lektionen[[#This Row],[Bearbeitungsdauer_abgewichen]]&lt;-0.3,"kürzer",TRUE,"keine Abweichung")</f>
        <v>keine Abweichung</v>
      </c>
      <c r="I482">
        <v>1</v>
      </c>
    </row>
    <row r="483" spans="1:9" hidden="1" x14ac:dyDescent="0.3">
      <c r="A483" s="13">
        <v>74</v>
      </c>
      <c r="B483" s="4">
        <v>2</v>
      </c>
      <c r="C483" t="s">
        <v>528</v>
      </c>
      <c r="D483" t="s">
        <v>529</v>
      </c>
      <c r="E483">
        <v>15</v>
      </c>
      <c r="F483">
        <v>16</v>
      </c>
      <c r="G483" s="8">
        <f>Lektionen[[#This Row],[Bearbeitungsdauer_real]]/Lektionen[[#This Row],[Bearbeitungsdauer_geschätzt]]-1</f>
        <v>6.6666666666666652E-2</v>
      </c>
      <c r="H483" s="8" t="str" cm="1">
        <f t="array" ref="H483">_xlfn.IFS(Lektionen[[#This Row],[Bearbeitungsdauer_abgewichen]]&gt;0.6,"viel länger",Lektionen[[#This Row],[Bearbeitungsdauer_abgewichen]]&gt;0.3,"länger",Lektionen[[#This Row],[Bearbeitungsdauer_abgewichen]]&lt;-0.3,"kürzer",TRUE,"keine Abweichung")</f>
        <v>keine Abweichung</v>
      </c>
      <c r="I483">
        <v>2</v>
      </c>
    </row>
    <row r="484" spans="1:9" hidden="1" x14ac:dyDescent="0.3">
      <c r="A484" s="13">
        <v>74</v>
      </c>
      <c r="B484" s="4">
        <v>3</v>
      </c>
      <c r="C484" t="s">
        <v>552</v>
      </c>
      <c r="D484" t="s">
        <v>530</v>
      </c>
      <c r="E484">
        <v>30</v>
      </c>
      <c r="F484">
        <v>29</v>
      </c>
      <c r="G484" s="8">
        <f>Lektionen[[#This Row],[Bearbeitungsdauer_real]]/Lektionen[[#This Row],[Bearbeitungsdauer_geschätzt]]-1</f>
        <v>-3.3333333333333326E-2</v>
      </c>
      <c r="H484" s="8" t="str" cm="1">
        <f t="array" ref="H484">_xlfn.IFS(Lektionen[[#This Row],[Bearbeitungsdauer_abgewichen]]&gt;0.6,"viel länger",Lektionen[[#This Row],[Bearbeitungsdauer_abgewichen]]&gt;0.3,"länger",Lektionen[[#This Row],[Bearbeitungsdauer_abgewichen]]&lt;-0.3,"kürzer",TRUE,"keine Abweichung")</f>
        <v>keine Abweichung</v>
      </c>
      <c r="I484">
        <v>3</v>
      </c>
    </row>
    <row r="485" spans="1:9" hidden="1" x14ac:dyDescent="0.3">
      <c r="A485" s="13">
        <v>74</v>
      </c>
      <c r="B485" s="4">
        <v>4</v>
      </c>
      <c r="C485" t="s">
        <v>531</v>
      </c>
      <c r="D485" t="s">
        <v>530</v>
      </c>
      <c r="E485">
        <v>30</v>
      </c>
      <c r="F485">
        <v>21</v>
      </c>
      <c r="G485" s="8">
        <f>Lektionen[[#This Row],[Bearbeitungsdauer_real]]/Lektionen[[#This Row],[Bearbeitungsdauer_geschätzt]]-1</f>
        <v>-0.30000000000000004</v>
      </c>
      <c r="H485" s="8" t="str" cm="1">
        <f t="array" ref="H485">_xlfn.IFS(Lektionen[[#This Row],[Bearbeitungsdauer_abgewichen]]&gt;0.6,"viel länger",Lektionen[[#This Row],[Bearbeitungsdauer_abgewichen]]&gt;0.3,"länger",Lektionen[[#This Row],[Bearbeitungsdauer_abgewichen]]&lt;-0.3,"kürzer",TRUE,"keine Abweichung")</f>
        <v>keine Abweichung</v>
      </c>
      <c r="I485">
        <v>5</v>
      </c>
    </row>
    <row r="486" spans="1:9" x14ac:dyDescent="0.3">
      <c r="A486" s="13">
        <v>74</v>
      </c>
      <c r="B486" s="4">
        <v>5</v>
      </c>
      <c r="C486" t="s">
        <v>532</v>
      </c>
      <c r="D486" t="s">
        <v>530</v>
      </c>
      <c r="E486">
        <v>30</v>
      </c>
      <c r="F486">
        <v>47</v>
      </c>
      <c r="G486" s="8">
        <f>Lektionen[[#This Row],[Bearbeitungsdauer_real]]/Lektionen[[#This Row],[Bearbeitungsdauer_geschätzt]]-1</f>
        <v>0.56666666666666665</v>
      </c>
      <c r="H486" s="8" t="str" cm="1">
        <f t="array" ref="H486">_xlfn.IFS(Lektionen[[#This Row],[Bearbeitungsdauer_abgewichen]]&gt;0.6,"viel länger",Lektionen[[#This Row],[Bearbeitungsdauer_abgewichen]]&gt;0.3,"länger",Lektionen[[#This Row],[Bearbeitungsdauer_abgewichen]]&lt;-0.3,"kürzer",TRUE,"keine Abweichung")</f>
        <v>länger</v>
      </c>
      <c r="I486">
        <v>4</v>
      </c>
    </row>
    <row r="487" spans="1:9" hidden="1" x14ac:dyDescent="0.3">
      <c r="A487" s="13">
        <v>74</v>
      </c>
      <c r="B487" s="4">
        <v>6</v>
      </c>
      <c r="C487" t="s">
        <v>533</v>
      </c>
      <c r="D487" t="s">
        <v>534</v>
      </c>
      <c r="E487">
        <v>5</v>
      </c>
      <c r="F487">
        <v>1</v>
      </c>
      <c r="G487" s="8">
        <f>Lektionen[[#This Row],[Bearbeitungsdauer_real]]/Lektionen[[#This Row],[Bearbeitungsdauer_geschätzt]]-1</f>
        <v>-0.8</v>
      </c>
      <c r="H487" s="8" t="str" cm="1">
        <f t="array" ref="H487">_xlfn.IFS(Lektionen[[#This Row],[Bearbeitungsdauer_abgewichen]]&gt;0.6,"viel länger",Lektionen[[#This Row],[Bearbeitungsdauer_abgewichen]]&gt;0.3,"länger",Lektionen[[#This Row],[Bearbeitungsdauer_abgewichen]]&lt;-0.3,"kürzer",TRUE,"keine Abweichung")</f>
        <v>kürzer</v>
      </c>
      <c r="I487">
        <v>2</v>
      </c>
    </row>
    <row r="488" spans="1:9" hidden="1" x14ac:dyDescent="0.3">
      <c r="A488" s="13">
        <v>74</v>
      </c>
      <c r="B488" s="4">
        <v>7</v>
      </c>
      <c r="C488" t="s">
        <v>535</v>
      </c>
      <c r="D488" t="s">
        <v>536</v>
      </c>
      <c r="E488">
        <v>10</v>
      </c>
      <c r="F488">
        <v>10</v>
      </c>
      <c r="G488" s="8">
        <f>Lektionen[[#This Row],[Bearbeitungsdauer_real]]/Lektionen[[#This Row],[Bearbeitungsdauer_geschätzt]]-1</f>
        <v>0</v>
      </c>
      <c r="H488" s="8" t="str" cm="1">
        <f t="array" ref="H488">_xlfn.IFS(Lektionen[[#This Row],[Bearbeitungsdauer_abgewichen]]&gt;0.6,"viel länger",Lektionen[[#This Row],[Bearbeitungsdauer_abgewichen]]&gt;0.3,"länger",Lektionen[[#This Row],[Bearbeitungsdauer_abgewichen]]&lt;-0.3,"kürzer",TRUE,"keine Abweichung")</f>
        <v>keine Abweichung</v>
      </c>
      <c r="I488">
        <v>3</v>
      </c>
    </row>
    <row r="489" spans="1:9" hidden="1" x14ac:dyDescent="0.3">
      <c r="A489" s="13">
        <v>74</v>
      </c>
      <c r="B489" s="4">
        <v>8</v>
      </c>
      <c r="C489" t="s">
        <v>537</v>
      </c>
      <c r="D489" t="s">
        <v>527</v>
      </c>
      <c r="E489">
        <v>5</v>
      </c>
      <c r="F489">
        <v>5</v>
      </c>
      <c r="G489" s="8">
        <f>Lektionen[[#This Row],[Bearbeitungsdauer_real]]/Lektionen[[#This Row],[Bearbeitungsdauer_geschätzt]]-1</f>
        <v>0</v>
      </c>
      <c r="H489" s="8" t="str" cm="1">
        <f t="array" ref="H489">_xlfn.IFS(Lektionen[[#This Row],[Bearbeitungsdauer_abgewichen]]&gt;0.6,"viel länger",Lektionen[[#This Row],[Bearbeitungsdauer_abgewichen]]&gt;0.3,"länger",Lektionen[[#This Row],[Bearbeitungsdauer_abgewichen]]&lt;-0.3,"kürzer",TRUE,"keine Abweichung")</f>
        <v>keine Abweichung</v>
      </c>
      <c r="I489">
        <v>1</v>
      </c>
    </row>
    <row r="490" spans="1:9" hidden="1" x14ac:dyDescent="0.3">
      <c r="A490" s="13">
        <v>75</v>
      </c>
      <c r="B490" s="4">
        <v>1</v>
      </c>
      <c r="C490" t="s">
        <v>526</v>
      </c>
      <c r="D490" t="s">
        <v>527</v>
      </c>
      <c r="E490">
        <v>4</v>
      </c>
      <c r="F490">
        <v>4</v>
      </c>
      <c r="G490" s="8">
        <f>Lektionen[[#This Row],[Bearbeitungsdauer_real]]/Lektionen[[#This Row],[Bearbeitungsdauer_geschätzt]]-1</f>
        <v>0</v>
      </c>
      <c r="H490" s="8" t="str" cm="1">
        <f t="array" ref="H490">_xlfn.IFS(Lektionen[[#This Row],[Bearbeitungsdauer_abgewichen]]&gt;0.6,"viel länger",Lektionen[[#This Row],[Bearbeitungsdauer_abgewichen]]&gt;0.3,"länger",Lektionen[[#This Row],[Bearbeitungsdauer_abgewichen]]&lt;-0.3,"kürzer",TRUE,"keine Abweichung")</f>
        <v>keine Abweichung</v>
      </c>
      <c r="I490">
        <v>1</v>
      </c>
    </row>
    <row r="491" spans="1:9" hidden="1" x14ac:dyDescent="0.3">
      <c r="A491" s="13">
        <v>75</v>
      </c>
      <c r="B491" s="4">
        <v>2</v>
      </c>
      <c r="C491" t="s">
        <v>528</v>
      </c>
      <c r="D491" t="s">
        <v>529</v>
      </c>
      <c r="E491">
        <v>15</v>
      </c>
      <c r="F491">
        <v>18</v>
      </c>
      <c r="G491" s="8">
        <f>Lektionen[[#This Row],[Bearbeitungsdauer_real]]/Lektionen[[#This Row],[Bearbeitungsdauer_geschätzt]]-1</f>
        <v>0.19999999999999996</v>
      </c>
      <c r="H491" s="8" t="str" cm="1">
        <f t="array" ref="H491">_xlfn.IFS(Lektionen[[#This Row],[Bearbeitungsdauer_abgewichen]]&gt;0.6,"viel länger",Lektionen[[#This Row],[Bearbeitungsdauer_abgewichen]]&gt;0.3,"länger",Lektionen[[#This Row],[Bearbeitungsdauer_abgewichen]]&lt;-0.3,"kürzer",TRUE,"keine Abweichung")</f>
        <v>keine Abweichung</v>
      </c>
      <c r="I491">
        <v>3</v>
      </c>
    </row>
    <row r="492" spans="1:9" hidden="1" x14ac:dyDescent="0.3">
      <c r="A492" s="13">
        <v>75</v>
      </c>
      <c r="B492" s="4">
        <v>3</v>
      </c>
      <c r="C492" t="s">
        <v>552</v>
      </c>
      <c r="D492" t="s">
        <v>530</v>
      </c>
      <c r="E492">
        <v>30</v>
      </c>
      <c r="F492">
        <v>28</v>
      </c>
      <c r="G492" s="8">
        <f>Lektionen[[#This Row],[Bearbeitungsdauer_real]]/Lektionen[[#This Row],[Bearbeitungsdauer_geschätzt]]-1</f>
        <v>-6.6666666666666652E-2</v>
      </c>
      <c r="H492" s="8" t="str" cm="1">
        <f t="array" ref="H492">_xlfn.IFS(Lektionen[[#This Row],[Bearbeitungsdauer_abgewichen]]&gt;0.6,"viel länger",Lektionen[[#This Row],[Bearbeitungsdauer_abgewichen]]&gt;0.3,"länger",Lektionen[[#This Row],[Bearbeitungsdauer_abgewichen]]&lt;-0.3,"kürzer",TRUE,"keine Abweichung")</f>
        <v>keine Abweichung</v>
      </c>
      <c r="I492">
        <v>2</v>
      </c>
    </row>
    <row r="493" spans="1:9" hidden="1" x14ac:dyDescent="0.3">
      <c r="A493" s="13">
        <v>75</v>
      </c>
      <c r="B493" s="4">
        <v>4</v>
      </c>
      <c r="C493" t="s">
        <v>531</v>
      </c>
      <c r="D493" t="s">
        <v>530</v>
      </c>
      <c r="E493">
        <v>30</v>
      </c>
      <c r="F493">
        <v>23</v>
      </c>
      <c r="G493" s="8">
        <f>Lektionen[[#This Row],[Bearbeitungsdauer_real]]/Lektionen[[#This Row],[Bearbeitungsdauer_geschätzt]]-1</f>
        <v>-0.23333333333333328</v>
      </c>
      <c r="H493" s="8" t="str" cm="1">
        <f t="array" ref="H493">_xlfn.IFS(Lektionen[[#This Row],[Bearbeitungsdauer_abgewichen]]&gt;0.6,"viel länger",Lektionen[[#This Row],[Bearbeitungsdauer_abgewichen]]&gt;0.3,"länger",Lektionen[[#This Row],[Bearbeitungsdauer_abgewichen]]&lt;-0.3,"kürzer",TRUE,"keine Abweichung")</f>
        <v>keine Abweichung</v>
      </c>
      <c r="I493">
        <v>3</v>
      </c>
    </row>
    <row r="494" spans="1:9" x14ac:dyDescent="0.3">
      <c r="A494" s="13">
        <v>75</v>
      </c>
      <c r="B494" s="4">
        <v>5</v>
      </c>
      <c r="C494" t="s">
        <v>532</v>
      </c>
      <c r="D494" t="s">
        <v>530</v>
      </c>
      <c r="E494">
        <v>30</v>
      </c>
      <c r="F494">
        <v>45</v>
      </c>
      <c r="G494" s="8">
        <f>Lektionen[[#This Row],[Bearbeitungsdauer_real]]/Lektionen[[#This Row],[Bearbeitungsdauer_geschätzt]]-1</f>
        <v>0.5</v>
      </c>
      <c r="H494" s="8" t="str" cm="1">
        <f t="array" ref="H494">_xlfn.IFS(Lektionen[[#This Row],[Bearbeitungsdauer_abgewichen]]&gt;0.6,"viel länger",Lektionen[[#This Row],[Bearbeitungsdauer_abgewichen]]&gt;0.3,"länger",Lektionen[[#This Row],[Bearbeitungsdauer_abgewichen]]&lt;-0.3,"kürzer",TRUE,"keine Abweichung")</f>
        <v>länger</v>
      </c>
      <c r="I494">
        <v>4</v>
      </c>
    </row>
    <row r="495" spans="1:9" hidden="1" x14ac:dyDescent="0.3">
      <c r="A495" s="13">
        <v>75</v>
      </c>
      <c r="B495" s="4">
        <v>6</v>
      </c>
      <c r="C495" t="s">
        <v>533</v>
      </c>
      <c r="D495" t="s">
        <v>534</v>
      </c>
      <c r="E495">
        <v>5</v>
      </c>
      <c r="F495">
        <v>2</v>
      </c>
      <c r="G495" s="8">
        <f>Lektionen[[#This Row],[Bearbeitungsdauer_real]]/Lektionen[[#This Row],[Bearbeitungsdauer_geschätzt]]-1</f>
        <v>-0.6</v>
      </c>
      <c r="H495" s="8" t="str" cm="1">
        <f t="array" ref="H495">_xlfn.IFS(Lektionen[[#This Row],[Bearbeitungsdauer_abgewichen]]&gt;0.6,"viel länger",Lektionen[[#This Row],[Bearbeitungsdauer_abgewichen]]&gt;0.3,"länger",Lektionen[[#This Row],[Bearbeitungsdauer_abgewichen]]&lt;-0.3,"kürzer",TRUE,"keine Abweichung")</f>
        <v>kürzer</v>
      </c>
      <c r="I495">
        <v>2</v>
      </c>
    </row>
    <row r="496" spans="1:9" hidden="1" x14ac:dyDescent="0.3">
      <c r="A496" s="13">
        <v>75</v>
      </c>
      <c r="B496" s="4">
        <v>7</v>
      </c>
      <c r="C496" t="s">
        <v>535</v>
      </c>
      <c r="D496" t="s">
        <v>536</v>
      </c>
      <c r="E496">
        <v>10</v>
      </c>
      <c r="F496">
        <v>10</v>
      </c>
      <c r="G496" s="8">
        <f>Lektionen[[#This Row],[Bearbeitungsdauer_real]]/Lektionen[[#This Row],[Bearbeitungsdauer_geschätzt]]-1</f>
        <v>0</v>
      </c>
      <c r="H496" s="8" t="str" cm="1">
        <f t="array" ref="H496">_xlfn.IFS(Lektionen[[#This Row],[Bearbeitungsdauer_abgewichen]]&gt;0.6,"viel länger",Lektionen[[#This Row],[Bearbeitungsdauer_abgewichen]]&gt;0.3,"länger",Lektionen[[#This Row],[Bearbeitungsdauer_abgewichen]]&lt;-0.3,"kürzer",TRUE,"keine Abweichung")</f>
        <v>keine Abweichung</v>
      </c>
      <c r="I496">
        <v>4</v>
      </c>
    </row>
    <row r="497" spans="1:9" hidden="1" x14ac:dyDescent="0.3">
      <c r="A497" s="13">
        <v>75</v>
      </c>
      <c r="B497" s="4">
        <v>8</v>
      </c>
      <c r="C497" t="s">
        <v>537</v>
      </c>
      <c r="D497" t="s">
        <v>527</v>
      </c>
      <c r="E497">
        <v>5</v>
      </c>
      <c r="F497">
        <v>5</v>
      </c>
      <c r="G497" s="8">
        <f>Lektionen[[#This Row],[Bearbeitungsdauer_real]]/Lektionen[[#This Row],[Bearbeitungsdauer_geschätzt]]-1</f>
        <v>0</v>
      </c>
      <c r="H497" s="8" t="str" cm="1">
        <f t="array" ref="H497">_xlfn.IFS(Lektionen[[#This Row],[Bearbeitungsdauer_abgewichen]]&gt;0.6,"viel länger",Lektionen[[#This Row],[Bearbeitungsdauer_abgewichen]]&gt;0.3,"länger",Lektionen[[#This Row],[Bearbeitungsdauer_abgewichen]]&lt;-0.3,"kürzer",TRUE,"keine Abweichung")</f>
        <v>keine Abweichung</v>
      </c>
      <c r="I497">
        <v>1</v>
      </c>
    </row>
    <row r="498" spans="1:9" hidden="1" x14ac:dyDescent="0.3">
      <c r="A498" s="13">
        <v>76</v>
      </c>
      <c r="B498" s="4">
        <v>1</v>
      </c>
      <c r="C498" t="s">
        <v>526</v>
      </c>
      <c r="D498" t="s">
        <v>527</v>
      </c>
      <c r="E498">
        <v>4</v>
      </c>
      <c r="F498">
        <v>4</v>
      </c>
      <c r="G498" s="8">
        <f>Lektionen[[#This Row],[Bearbeitungsdauer_real]]/Lektionen[[#This Row],[Bearbeitungsdauer_geschätzt]]-1</f>
        <v>0</v>
      </c>
      <c r="H498" s="8" t="str" cm="1">
        <f t="array" ref="H498">_xlfn.IFS(Lektionen[[#This Row],[Bearbeitungsdauer_abgewichen]]&gt;0.6,"viel länger",Lektionen[[#This Row],[Bearbeitungsdauer_abgewichen]]&gt;0.3,"länger",Lektionen[[#This Row],[Bearbeitungsdauer_abgewichen]]&lt;-0.3,"kürzer",TRUE,"keine Abweichung")</f>
        <v>keine Abweichung</v>
      </c>
      <c r="I498">
        <v>1</v>
      </c>
    </row>
    <row r="499" spans="1:9" hidden="1" x14ac:dyDescent="0.3">
      <c r="A499" s="13">
        <v>76</v>
      </c>
      <c r="B499" s="4">
        <v>2</v>
      </c>
      <c r="C499" t="s">
        <v>528</v>
      </c>
      <c r="D499" t="s">
        <v>529</v>
      </c>
      <c r="E499">
        <v>15</v>
      </c>
      <c r="F499">
        <v>17</v>
      </c>
      <c r="G499" s="8">
        <f>Lektionen[[#This Row],[Bearbeitungsdauer_real]]/Lektionen[[#This Row],[Bearbeitungsdauer_geschätzt]]-1</f>
        <v>0.1333333333333333</v>
      </c>
      <c r="H499" s="8" t="str" cm="1">
        <f t="array" ref="H499">_xlfn.IFS(Lektionen[[#This Row],[Bearbeitungsdauer_abgewichen]]&gt;0.6,"viel länger",Lektionen[[#This Row],[Bearbeitungsdauer_abgewichen]]&gt;0.3,"länger",Lektionen[[#This Row],[Bearbeitungsdauer_abgewichen]]&lt;-0.3,"kürzer",TRUE,"keine Abweichung")</f>
        <v>keine Abweichung</v>
      </c>
      <c r="I499">
        <v>1</v>
      </c>
    </row>
    <row r="500" spans="1:9" hidden="1" x14ac:dyDescent="0.3">
      <c r="A500" s="13">
        <v>76</v>
      </c>
      <c r="B500" s="4">
        <v>3</v>
      </c>
      <c r="C500" t="s">
        <v>552</v>
      </c>
      <c r="D500" t="s">
        <v>530</v>
      </c>
      <c r="E500">
        <v>30</v>
      </c>
      <c r="F500">
        <v>28</v>
      </c>
      <c r="G500" s="8">
        <f>Lektionen[[#This Row],[Bearbeitungsdauer_real]]/Lektionen[[#This Row],[Bearbeitungsdauer_geschätzt]]-1</f>
        <v>-6.6666666666666652E-2</v>
      </c>
      <c r="H500" s="8" t="str" cm="1">
        <f t="array" ref="H500">_xlfn.IFS(Lektionen[[#This Row],[Bearbeitungsdauer_abgewichen]]&gt;0.6,"viel länger",Lektionen[[#This Row],[Bearbeitungsdauer_abgewichen]]&gt;0.3,"länger",Lektionen[[#This Row],[Bearbeitungsdauer_abgewichen]]&lt;-0.3,"kürzer",TRUE,"keine Abweichung")</f>
        <v>keine Abweichung</v>
      </c>
      <c r="I500">
        <v>3</v>
      </c>
    </row>
    <row r="501" spans="1:9" hidden="1" x14ac:dyDescent="0.3">
      <c r="A501" s="13">
        <v>76</v>
      </c>
      <c r="B501" s="4">
        <v>4</v>
      </c>
      <c r="C501" t="s">
        <v>531</v>
      </c>
      <c r="D501" t="s">
        <v>530</v>
      </c>
      <c r="E501">
        <v>30</v>
      </c>
      <c r="F501">
        <v>34</v>
      </c>
      <c r="G501" s="8">
        <f>Lektionen[[#This Row],[Bearbeitungsdauer_real]]/Lektionen[[#This Row],[Bearbeitungsdauer_geschätzt]]-1</f>
        <v>0.1333333333333333</v>
      </c>
      <c r="H501" s="8" t="str" cm="1">
        <f t="array" ref="H501">_xlfn.IFS(Lektionen[[#This Row],[Bearbeitungsdauer_abgewichen]]&gt;0.6,"viel länger",Lektionen[[#This Row],[Bearbeitungsdauer_abgewichen]]&gt;0.3,"länger",Lektionen[[#This Row],[Bearbeitungsdauer_abgewichen]]&lt;-0.3,"kürzer",TRUE,"keine Abweichung")</f>
        <v>keine Abweichung</v>
      </c>
      <c r="I501">
        <v>3</v>
      </c>
    </row>
    <row r="502" spans="1:9" x14ac:dyDescent="0.3">
      <c r="A502" s="13">
        <v>76</v>
      </c>
      <c r="B502" s="4">
        <v>5</v>
      </c>
      <c r="C502" t="s">
        <v>532</v>
      </c>
      <c r="D502" t="s">
        <v>530</v>
      </c>
      <c r="E502">
        <v>30</v>
      </c>
      <c r="F502">
        <v>43</v>
      </c>
      <c r="G502" s="8">
        <f>Lektionen[[#This Row],[Bearbeitungsdauer_real]]/Lektionen[[#This Row],[Bearbeitungsdauer_geschätzt]]-1</f>
        <v>0.43333333333333335</v>
      </c>
      <c r="H502" s="8" t="str" cm="1">
        <f t="array" ref="H502">_xlfn.IFS(Lektionen[[#This Row],[Bearbeitungsdauer_abgewichen]]&gt;0.6,"viel länger",Lektionen[[#This Row],[Bearbeitungsdauer_abgewichen]]&gt;0.3,"länger",Lektionen[[#This Row],[Bearbeitungsdauer_abgewichen]]&lt;-0.3,"kürzer",TRUE,"keine Abweichung")</f>
        <v>länger</v>
      </c>
      <c r="I502">
        <v>4</v>
      </c>
    </row>
    <row r="503" spans="1:9" hidden="1" x14ac:dyDescent="0.3">
      <c r="A503" s="13">
        <v>76</v>
      </c>
      <c r="B503" s="4">
        <v>6</v>
      </c>
      <c r="C503" t="s">
        <v>533</v>
      </c>
      <c r="D503" t="s">
        <v>534</v>
      </c>
      <c r="E503">
        <v>5</v>
      </c>
      <c r="F503">
        <v>2</v>
      </c>
      <c r="G503" s="8">
        <f>Lektionen[[#This Row],[Bearbeitungsdauer_real]]/Lektionen[[#This Row],[Bearbeitungsdauer_geschätzt]]-1</f>
        <v>-0.6</v>
      </c>
      <c r="H503" s="8" t="str" cm="1">
        <f t="array" ref="H503">_xlfn.IFS(Lektionen[[#This Row],[Bearbeitungsdauer_abgewichen]]&gt;0.6,"viel länger",Lektionen[[#This Row],[Bearbeitungsdauer_abgewichen]]&gt;0.3,"länger",Lektionen[[#This Row],[Bearbeitungsdauer_abgewichen]]&lt;-0.3,"kürzer",TRUE,"keine Abweichung")</f>
        <v>kürzer</v>
      </c>
      <c r="I503">
        <v>1</v>
      </c>
    </row>
    <row r="504" spans="1:9" hidden="1" x14ac:dyDescent="0.3">
      <c r="A504" s="13">
        <v>76</v>
      </c>
      <c r="B504" s="4">
        <v>7</v>
      </c>
      <c r="C504" t="s">
        <v>535</v>
      </c>
      <c r="D504" t="s">
        <v>536</v>
      </c>
      <c r="E504">
        <v>10</v>
      </c>
      <c r="F504">
        <v>10</v>
      </c>
      <c r="G504" s="8">
        <f>Lektionen[[#This Row],[Bearbeitungsdauer_real]]/Lektionen[[#This Row],[Bearbeitungsdauer_geschätzt]]-1</f>
        <v>0</v>
      </c>
      <c r="H504" s="8" t="str" cm="1">
        <f t="array" ref="H504">_xlfn.IFS(Lektionen[[#This Row],[Bearbeitungsdauer_abgewichen]]&gt;0.6,"viel länger",Lektionen[[#This Row],[Bearbeitungsdauer_abgewichen]]&gt;0.3,"länger",Lektionen[[#This Row],[Bearbeitungsdauer_abgewichen]]&lt;-0.3,"kürzer",TRUE,"keine Abweichung")</f>
        <v>keine Abweichung</v>
      </c>
      <c r="I504">
        <v>3</v>
      </c>
    </row>
    <row r="505" spans="1:9" hidden="1" x14ac:dyDescent="0.3">
      <c r="A505" s="13">
        <v>76</v>
      </c>
      <c r="B505" s="4">
        <v>8</v>
      </c>
      <c r="C505" t="s">
        <v>537</v>
      </c>
      <c r="D505" t="s">
        <v>527</v>
      </c>
      <c r="E505">
        <v>5</v>
      </c>
      <c r="F505">
        <v>5</v>
      </c>
      <c r="G505" s="8">
        <f>Lektionen[[#This Row],[Bearbeitungsdauer_real]]/Lektionen[[#This Row],[Bearbeitungsdauer_geschätzt]]-1</f>
        <v>0</v>
      </c>
      <c r="H505" s="8" t="str" cm="1">
        <f t="array" ref="H505">_xlfn.IFS(Lektionen[[#This Row],[Bearbeitungsdauer_abgewichen]]&gt;0.6,"viel länger",Lektionen[[#This Row],[Bearbeitungsdauer_abgewichen]]&gt;0.3,"länger",Lektionen[[#This Row],[Bearbeitungsdauer_abgewichen]]&lt;-0.3,"kürzer",TRUE,"keine Abweichung")</f>
        <v>keine Abweichung</v>
      </c>
      <c r="I505">
        <v>1</v>
      </c>
    </row>
    <row r="506" spans="1:9" hidden="1" x14ac:dyDescent="0.3">
      <c r="A506" s="13">
        <v>77</v>
      </c>
      <c r="B506" s="4">
        <v>1</v>
      </c>
      <c r="C506" t="s">
        <v>526</v>
      </c>
      <c r="D506" t="s">
        <v>527</v>
      </c>
      <c r="E506">
        <v>4</v>
      </c>
      <c r="F506">
        <v>4</v>
      </c>
      <c r="G506" s="8">
        <f>Lektionen[[#This Row],[Bearbeitungsdauer_real]]/Lektionen[[#This Row],[Bearbeitungsdauer_geschätzt]]-1</f>
        <v>0</v>
      </c>
      <c r="H506" s="8" t="str" cm="1">
        <f t="array" ref="H506">_xlfn.IFS(Lektionen[[#This Row],[Bearbeitungsdauer_abgewichen]]&gt;0.6,"viel länger",Lektionen[[#This Row],[Bearbeitungsdauer_abgewichen]]&gt;0.3,"länger",Lektionen[[#This Row],[Bearbeitungsdauer_abgewichen]]&lt;-0.3,"kürzer",TRUE,"keine Abweichung")</f>
        <v>keine Abweichung</v>
      </c>
      <c r="I506">
        <v>1</v>
      </c>
    </row>
    <row r="507" spans="1:9" hidden="1" x14ac:dyDescent="0.3">
      <c r="A507" s="13">
        <v>77</v>
      </c>
      <c r="B507" s="4">
        <v>2</v>
      </c>
      <c r="C507" t="s">
        <v>528</v>
      </c>
      <c r="D507" t="s">
        <v>529</v>
      </c>
      <c r="E507">
        <v>15</v>
      </c>
      <c r="F507">
        <v>18</v>
      </c>
      <c r="G507" s="8">
        <f>Lektionen[[#This Row],[Bearbeitungsdauer_real]]/Lektionen[[#This Row],[Bearbeitungsdauer_geschätzt]]-1</f>
        <v>0.19999999999999996</v>
      </c>
      <c r="H507" s="8" t="str" cm="1">
        <f t="array" ref="H507">_xlfn.IFS(Lektionen[[#This Row],[Bearbeitungsdauer_abgewichen]]&gt;0.6,"viel länger",Lektionen[[#This Row],[Bearbeitungsdauer_abgewichen]]&gt;0.3,"länger",Lektionen[[#This Row],[Bearbeitungsdauer_abgewichen]]&lt;-0.3,"kürzer",TRUE,"keine Abweichung")</f>
        <v>keine Abweichung</v>
      </c>
      <c r="I507">
        <v>1</v>
      </c>
    </row>
    <row r="508" spans="1:9" hidden="1" x14ac:dyDescent="0.3">
      <c r="A508" s="13">
        <v>77</v>
      </c>
      <c r="B508" s="4">
        <v>3</v>
      </c>
      <c r="C508" t="s">
        <v>552</v>
      </c>
      <c r="D508" t="s">
        <v>530</v>
      </c>
      <c r="E508">
        <v>30</v>
      </c>
      <c r="F508">
        <v>28</v>
      </c>
      <c r="G508" s="8">
        <f>Lektionen[[#This Row],[Bearbeitungsdauer_real]]/Lektionen[[#This Row],[Bearbeitungsdauer_geschätzt]]-1</f>
        <v>-6.6666666666666652E-2</v>
      </c>
      <c r="H508" s="8" t="str" cm="1">
        <f t="array" ref="H508">_xlfn.IFS(Lektionen[[#This Row],[Bearbeitungsdauer_abgewichen]]&gt;0.6,"viel länger",Lektionen[[#This Row],[Bearbeitungsdauer_abgewichen]]&gt;0.3,"länger",Lektionen[[#This Row],[Bearbeitungsdauer_abgewichen]]&lt;-0.3,"kürzer",TRUE,"keine Abweichung")</f>
        <v>keine Abweichung</v>
      </c>
      <c r="I508">
        <v>2</v>
      </c>
    </row>
    <row r="509" spans="1:9" hidden="1" x14ac:dyDescent="0.3">
      <c r="A509" s="13">
        <v>77</v>
      </c>
      <c r="B509" s="4">
        <v>4</v>
      </c>
      <c r="C509" t="s">
        <v>531</v>
      </c>
      <c r="D509" t="s">
        <v>530</v>
      </c>
      <c r="E509">
        <v>30</v>
      </c>
      <c r="F509">
        <v>33</v>
      </c>
      <c r="G509" s="8">
        <f>Lektionen[[#This Row],[Bearbeitungsdauer_real]]/Lektionen[[#This Row],[Bearbeitungsdauer_geschätzt]]-1</f>
        <v>0.10000000000000009</v>
      </c>
      <c r="H509" s="8" t="str" cm="1">
        <f t="array" ref="H509">_xlfn.IFS(Lektionen[[#This Row],[Bearbeitungsdauer_abgewichen]]&gt;0.6,"viel länger",Lektionen[[#This Row],[Bearbeitungsdauer_abgewichen]]&gt;0.3,"länger",Lektionen[[#This Row],[Bearbeitungsdauer_abgewichen]]&lt;-0.3,"kürzer",TRUE,"keine Abweichung")</f>
        <v>keine Abweichung</v>
      </c>
      <c r="I509">
        <v>3</v>
      </c>
    </row>
    <row r="510" spans="1:9" x14ac:dyDescent="0.3">
      <c r="A510" s="13">
        <v>77</v>
      </c>
      <c r="B510" s="4">
        <v>5</v>
      </c>
      <c r="C510" t="s">
        <v>532</v>
      </c>
      <c r="D510" t="s">
        <v>530</v>
      </c>
      <c r="E510">
        <v>30</v>
      </c>
      <c r="F510">
        <v>45</v>
      </c>
      <c r="G510" s="8">
        <f>Lektionen[[#This Row],[Bearbeitungsdauer_real]]/Lektionen[[#This Row],[Bearbeitungsdauer_geschätzt]]-1</f>
        <v>0.5</v>
      </c>
      <c r="H510" s="8" t="str" cm="1">
        <f t="array" ref="H510">_xlfn.IFS(Lektionen[[#This Row],[Bearbeitungsdauer_abgewichen]]&gt;0.6,"viel länger",Lektionen[[#This Row],[Bearbeitungsdauer_abgewichen]]&gt;0.3,"länger",Lektionen[[#This Row],[Bearbeitungsdauer_abgewichen]]&lt;-0.3,"kürzer",TRUE,"keine Abweichung")</f>
        <v>länger</v>
      </c>
      <c r="I510">
        <v>4</v>
      </c>
    </row>
    <row r="511" spans="1:9" hidden="1" x14ac:dyDescent="0.3">
      <c r="A511" s="13">
        <v>77</v>
      </c>
      <c r="B511" s="4">
        <v>6</v>
      </c>
      <c r="C511" t="s">
        <v>533</v>
      </c>
      <c r="D511" t="s">
        <v>534</v>
      </c>
      <c r="E511">
        <v>5</v>
      </c>
      <c r="F511">
        <v>1</v>
      </c>
      <c r="G511" s="8">
        <f>Lektionen[[#This Row],[Bearbeitungsdauer_real]]/Lektionen[[#This Row],[Bearbeitungsdauer_geschätzt]]-1</f>
        <v>-0.8</v>
      </c>
      <c r="H511" s="8" t="str" cm="1">
        <f t="array" ref="H511">_xlfn.IFS(Lektionen[[#This Row],[Bearbeitungsdauer_abgewichen]]&gt;0.6,"viel länger",Lektionen[[#This Row],[Bearbeitungsdauer_abgewichen]]&gt;0.3,"länger",Lektionen[[#This Row],[Bearbeitungsdauer_abgewichen]]&lt;-0.3,"kürzer",TRUE,"keine Abweichung")</f>
        <v>kürzer</v>
      </c>
      <c r="I511">
        <v>2</v>
      </c>
    </row>
    <row r="512" spans="1:9" hidden="1" x14ac:dyDescent="0.3">
      <c r="A512" s="13">
        <v>77</v>
      </c>
      <c r="B512" s="4">
        <v>7</v>
      </c>
      <c r="C512" t="s">
        <v>535</v>
      </c>
      <c r="D512" t="s">
        <v>536</v>
      </c>
      <c r="E512">
        <v>10</v>
      </c>
      <c r="F512">
        <v>10</v>
      </c>
      <c r="G512" s="8">
        <f>Lektionen[[#This Row],[Bearbeitungsdauer_real]]/Lektionen[[#This Row],[Bearbeitungsdauer_geschätzt]]-1</f>
        <v>0</v>
      </c>
      <c r="H512" s="8" t="str" cm="1">
        <f t="array" ref="H512">_xlfn.IFS(Lektionen[[#This Row],[Bearbeitungsdauer_abgewichen]]&gt;0.6,"viel länger",Lektionen[[#This Row],[Bearbeitungsdauer_abgewichen]]&gt;0.3,"länger",Lektionen[[#This Row],[Bearbeitungsdauer_abgewichen]]&lt;-0.3,"kürzer",TRUE,"keine Abweichung")</f>
        <v>keine Abweichung</v>
      </c>
      <c r="I512">
        <v>3</v>
      </c>
    </row>
    <row r="513" spans="1:9" hidden="1" x14ac:dyDescent="0.3">
      <c r="A513" s="13">
        <v>77</v>
      </c>
      <c r="B513" s="4">
        <v>8</v>
      </c>
      <c r="C513" t="s">
        <v>537</v>
      </c>
      <c r="D513" t="s">
        <v>527</v>
      </c>
      <c r="E513">
        <v>5</v>
      </c>
      <c r="F513">
        <v>5</v>
      </c>
      <c r="G513" s="8">
        <f>Lektionen[[#This Row],[Bearbeitungsdauer_real]]/Lektionen[[#This Row],[Bearbeitungsdauer_geschätzt]]-1</f>
        <v>0</v>
      </c>
      <c r="H513" s="8" t="str" cm="1">
        <f t="array" ref="H513">_xlfn.IFS(Lektionen[[#This Row],[Bearbeitungsdauer_abgewichen]]&gt;0.6,"viel länger",Lektionen[[#This Row],[Bearbeitungsdauer_abgewichen]]&gt;0.3,"länger",Lektionen[[#This Row],[Bearbeitungsdauer_abgewichen]]&lt;-0.3,"kürzer",TRUE,"keine Abweichung")</f>
        <v>keine Abweichung</v>
      </c>
      <c r="I513">
        <v>1</v>
      </c>
    </row>
    <row r="514" spans="1:9" hidden="1" x14ac:dyDescent="0.3">
      <c r="A514" s="13">
        <v>78</v>
      </c>
      <c r="B514" s="4">
        <v>1</v>
      </c>
      <c r="C514" t="s">
        <v>526</v>
      </c>
      <c r="D514" t="s">
        <v>527</v>
      </c>
      <c r="E514">
        <v>4</v>
      </c>
      <c r="F514">
        <v>4</v>
      </c>
      <c r="G514" s="8">
        <f>Lektionen[[#This Row],[Bearbeitungsdauer_real]]/Lektionen[[#This Row],[Bearbeitungsdauer_geschätzt]]-1</f>
        <v>0</v>
      </c>
      <c r="H514" s="8" t="str" cm="1">
        <f t="array" ref="H514">_xlfn.IFS(Lektionen[[#This Row],[Bearbeitungsdauer_abgewichen]]&gt;0.6,"viel länger",Lektionen[[#This Row],[Bearbeitungsdauer_abgewichen]]&gt;0.3,"länger",Lektionen[[#This Row],[Bearbeitungsdauer_abgewichen]]&lt;-0.3,"kürzer",TRUE,"keine Abweichung")</f>
        <v>keine Abweichung</v>
      </c>
      <c r="I514">
        <v>1</v>
      </c>
    </row>
    <row r="515" spans="1:9" hidden="1" x14ac:dyDescent="0.3">
      <c r="A515" s="13">
        <v>78</v>
      </c>
      <c r="B515" s="4">
        <v>2</v>
      </c>
      <c r="C515" t="s">
        <v>528</v>
      </c>
      <c r="D515" t="s">
        <v>529</v>
      </c>
      <c r="E515">
        <v>15</v>
      </c>
      <c r="F515">
        <v>20</v>
      </c>
      <c r="G515" s="8">
        <f>Lektionen[[#This Row],[Bearbeitungsdauer_real]]/Lektionen[[#This Row],[Bearbeitungsdauer_geschätzt]]-1</f>
        <v>0.33333333333333326</v>
      </c>
      <c r="H515" s="8" t="str" cm="1">
        <f t="array" ref="H515">_xlfn.IFS(Lektionen[[#This Row],[Bearbeitungsdauer_abgewichen]]&gt;0.6,"viel länger",Lektionen[[#This Row],[Bearbeitungsdauer_abgewichen]]&gt;0.3,"länger",Lektionen[[#This Row],[Bearbeitungsdauer_abgewichen]]&lt;-0.3,"kürzer",TRUE,"keine Abweichung")</f>
        <v>länger</v>
      </c>
      <c r="I515">
        <v>2</v>
      </c>
    </row>
    <row r="516" spans="1:9" hidden="1" x14ac:dyDescent="0.3">
      <c r="A516" s="13">
        <v>78</v>
      </c>
      <c r="B516" s="4">
        <v>3</v>
      </c>
      <c r="C516" t="s">
        <v>552</v>
      </c>
      <c r="D516" t="s">
        <v>530</v>
      </c>
      <c r="E516">
        <v>30</v>
      </c>
      <c r="F516">
        <v>23</v>
      </c>
      <c r="G516" s="8">
        <f>Lektionen[[#This Row],[Bearbeitungsdauer_real]]/Lektionen[[#This Row],[Bearbeitungsdauer_geschätzt]]-1</f>
        <v>-0.23333333333333328</v>
      </c>
      <c r="H516" s="8" t="str" cm="1">
        <f t="array" ref="H516">_xlfn.IFS(Lektionen[[#This Row],[Bearbeitungsdauer_abgewichen]]&gt;0.6,"viel länger",Lektionen[[#This Row],[Bearbeitungsdauer_abgewichen]]&gt;0.3,"länger",Lektionen[[#This Row],[Bearbeitungsdauer_abgewichen]]&lt;-0.3,"kürzer",TRUE,"keine Abweichung")</f>
        <v>keine Abweichung</v>
      </c>
      <c r="I516">
        <v>2</v>
      </c>
    </row>
    <row r="517" spans="1:9" hidden="1" x14ac:dyDescent="0.3">
      <c r="A517" s="13">
        <v>78</v>
      </c>
      <c r="B517" s="4">
        <v>4</v>
      </c>
      <c r="C517" t="s">
        <v>531</v>
      </c>
      <c r="D517" t="s">
        <v>530</v>
      </c>
      <c r="E517">
        <v>30</v>
      </c>
      <c r="F517">
        <v>29</v>
      </c>
      <c r="G517" s="8">
        <f>Lektionen[[#This Row],[Bearbeitungsdauer_real]]/Lektionen[[#This Row],[Bearbeitungsdauer_geschätzt]]-1</f>
        <v>-3.3333333333333326E-2</v>
      </c>
      <c r="H517" s="8" t="str" cm="1">
        <f t="array" ref="H517">_xlfn.IFS(Lektionen[[#This Row],[Bearbeitungsdauer_abgewichen]]&gt;0.6,"viel länger",Lektionen[[#This Row],[Bearbeitungsdauer_abgewichen]]&gt;0.3,"länger",Lektionen[[#This Row],[Bearbeitungsdauer_abgewichen]]&lt;-0.3,"kürzer",TRUE,"keine Abweichung")</f>
        <v>keine Abweichung</v>
      </c>
      <c r="I517">
        <v>3</v>
      </c>
    </row>
    <row r="518" spans="1:9" x14ac:dyDescent="0.3">
      <c r="A518" s="13">
        <v>78</v>
      </c>
      <c r="B518" s="4">
        <v>5</v>
      </c>
      <c r="C518" t="s">
        <v>532</v>
      </c>
      <c r="D518" t="s">
        <v>530</v>
      </c>
      <c r="E518">
        <v>30</v>
      </c>
      <c r="F518">
        <v>47</v>
      </c>
      <c r="G518" s="8">
        <f>Lektionen[[#This Row],[Bearbeitungsdauer_real]]/Lektionen[[#This Row],[Bearbeitungsdauer_geschätzt]]-1</f>
        <v>0.56666666666666665</v>
      </c>
      <c r="H518" s="8" t="str" cm="1">
        <f t="array" ref="H518">_xlfn.IFS(Lektionen[[#This Row],[Bearbeitungsdauer_abgewichen]]&gt;0.6,"viel länger",Lektionen[[#This Row],[Bearbeitungsdauer_abgewichen]]&gt;0.3,"länger",Lektionen[[#This Row],[Bearbeitungsdauer_abgewichen]]&lt;-0.3,"kürzer",TRUE,"keine Abweichung")</f>
        <v>länger</v>
      </c>
      <c r="I518">
        <v>4</v>
      </c>
    </row>
    <row r="519" spans="1:9" hidden="1" x14ac:dyDescent="0.3">
      <c r="A519" s="13">
        <v>78</v>
      </c>
      <c r="B519" s="4">
        <v>6</v>
      </c>
      <c r="C519" t="s">
        <v>533</v>
      </c>
      <c r="D519" t="s">
        <v>534</v>
      </c>
      <c r="E519">
        <v>5</v>
      </c>
      <c r="F519">
        <v>1</v>
      </c>
      <c r="G519" s="8">
        <f>Lektionen[[#This Row],[Bearbeitungsdauer_real]]/Lektionen[[#This Row],[Bearbeitungsdauer_geschätzt]]-1</f>
        <v>-0.8</v>
      </c>
      <c r="H519" s="8" t="str" cm="1">
        <f t="array" ref="H519">_xlfn.IFS(Lektionen[[#This Row],[Bearbeitungsdauer_abgewichen]]&gt;0.6,"viel länger",Lektionen[[#This Row],[Bearbeitungsdauer_abgewichen]]&gt;0.3,"länger",Lektionen[[#This Row],[Bearbeitungsdauer_abgewichen]]&lt;-0.3,"kürzer",TRUE,"keine Abweichung")</f>
        <v>kürzer</v>
      </c>
      <c r="I519">
        <v>2</v>
      </c>
    </row>
    <row r="520" spans="1:9" hidden="1" x14ac:dyDescent="0.3">
      <c r="A520" s="13">
        <v>78</v>
      </c>
      <c r="B520" s="4">
        <v>7</v>
      </c>
      <c r="C520" t="s">
        <v>535</v>
      </c>
      <c r="D520" t="s">
        <v>536</v>
      </c>
      <c r="E520">
        <v>10</v>
      </c>
      <c r="F520">
        <v>8</v>
      </c>
      <c r="G520" s="8">
        <f>Lektionen[[#This Row],[Bearbeitungsdauer_real]]/Lektionen[[#This Row],[Bearbeitungsdauer_geschätzt]]-1</f>
        <v>-0.19999999999999996</v>
      </c>
      <c r="H520" s="8" t="str" cm="1">
        <f t="array" ref="H520">_xlfn.IFS(Lektionen[[#This Row],[Bearbeitungsdauer_abgewichen]]&gt;0.6,"viel länger",Lektionen[[#This Row],[Bearbeitungsdauer_abgewichen]]&gt;0.3,"länger",Lektionen[[#This Row],[Bearbeitungsdauer_abgewichen]]&lt;-0.3,"kürzer",TRUE,"keine Abweichung")</f>
        <v>keine Abweichung</v>
      </c>
      <c r="I520">
        <v>3</v>
      </c>
    </row>
    <row r="521" spans="1:9" hidden="1" x14ac:dyDescent="0.3">
      <c r="A521" s="13">
        <v>78</v>
      </c>
      <c r="B521" s="4">
        <v>8</v>
      </c>
      <c r="C521" t="s">
        <v>537</v>
      </c>
      <c r="D521" t="s">
        <v>527</v>
      </c>
      <c r="E521">
        <v>5</v>
      </c>
      <c r="F521">
        <v>8</v>
      </c>
      <c r="G521" s="8">
        <f>Lektionen[[#This Row],[Bearbeitungsdauer_real]]/Lektionen[[#This Row],[Bearbeitungsdauer_geschätzt]]-1</f>
        <v>0.60000000000000009</v>
      </c>
      <c r="H521" s="8" t="str" cm="1">
        <f t="array" ref="H521">_xlfn.IFS(Lektionen[[#This Row],[Bearbeitungsdauer_abgewichen]]&gt;0.6,"viel länger",Lektionen[[#This Row],[Bearbeitungsdauer_abgewichen]]&gt;0.3,"länger",Lektionen[[#This Row],[Bearbeitungsdauer_abgewichen]]&lt;-0.3,"kürzer",TRUE,"keine Abweichung")</f>
        <v>länger</v>
      </c>
      <c r="I521">
        <v>1</v>
      </c>
    </row>
    <row r="522" spans="1:9" hidden="1" x14ac:dyDescent="0.3">
      <c r="A522" s="13">
        <v>79</v>
      </c>
      <c r="B522" s="4">
        <v>1</v>
      </c>
      <c r="C522" t="s">
        <v>526</v>
      </c>
      <c r="D522" t="s">
        <v>527</v>
      </c>
      <c r="E522">
        <v>4</v>
      </c>
      <c r="F522">
        <v>4</v>
      </c>
      <c r="G522" s="8">
        <f>Lektionen[[#This Row],[Bearbeitungsdauer_real]]/Lektionen[[#This Row],[Bearbeitungsdauer_geschätzt]]-1</f>
        <v>0</v>
      </c>
      <c r="H522" s="8" t="str" cm="1">
        <f t="array" ref="H522">_xlfn.IFS(Lektionen[[#This Row],[Bearbeitungsdauer_abgewichen]]&gt;0.6,"viel länger",Lektionen[[#This Row],[Bearbeitungsdauer_abgewichen]]&gt;0.3,"länger",Lektionen[[#This Row],[Bearbeitungsdauer_abgewichen]]&lt;-0.3,"kürzer",TRUE,"keine Abweichung")</f>
        <v>keine Abweichung</v>
      </c>
      <c r="I522">
        <v>1</v>
      </c>
    </row>
    <row r="523" spans="1:9" hidden="1" x14ac:dyDescent="0.3">
      <c r="A523" s="13">
        <v>79</v>
      </c>
      <c r="B523" s="4">
        <v>2</v>
      </c>
      <c r="C523" t="s">
        <v>528</v>
      </c>
      <c r="D523" t="s">
        <v>529</v>
      </c>
      <c r="E523">
        <v>15</v>
      </c>
      <c r="F523">
        <v>15</v>
      </c>
      <c r="G523" s="8">
        <f>Lektionen[[#This Row],[Bearbeitungsdauer_real]]/Lektionen[[#This Row],[Bearbeitungsdauer_geschätzt]]-1</f>
        <v>0</v>
      </c>
      <c r="H523" s="8" t="str" cm="1">
        <f t="array" ref="H523">_xlfn.IFS(Lektionen[[#This Row],[Bearbeitungsdauer_abgewichen]]&gt;0.6,"viel länger",Lektionen[[#This Row],[Bearbeitungsdauer_abgewichen]]&gt;0.3,"länger",Lektionen[[#This Row],[Bearbeitungsdauer_abgewichen]]&lt;-0.3,"kürzer",TRUE,"keine Abweichung")</f>
        <v>keine Abweichung</v>
      </c>
      <c r="I523">
        <v>2</v>
      </c>
    </row>
    <row r="524" spans="1:9" hidden="1" x14ac:dyDescent="0.3">
      <c r="A524" s="13">
        <v>79</v>
      </c>
      <c r="B524" s="4">
        <v>3</v>
      </c>
      <c r="C524" t="s">
        <v>552</v>
      </c>
      <c r="D524" t="s">
        <v>530</v>
      </c>
      <c r="E524">
        <v>30</v>
      </c>
      <c r="F524">
        <v>29</v>
      </c>
      <c r="G524" s="8">
        <f>Lektionen[[#This Row],[Bearbeitungsdauer_real]]/Lektionen[[#This Row],[Bearbeitungsdauer_geschätzt]]-1</f>
        <v>-3.3333333333333326E-2</v>
      </c>
      <c r="H524" s="8" t="str" cm="1">
        <f t="array" ref="H524">_xlfn.IFS(Lektionen[[#This Row],[Bearbeitungsdauer_abgewichen]]&gt;0.6,"viel länger",Lektionen[[#This Row],[Bearbeitungsdauer_abgewichen]]&gt;0.3,"länger",Lektionen[[#This Row],[Bearbeitungsdauer_abgewichen]]&lt;-0.3,"kürzer",TRUE,"keine Abweichung")</f>
        <v>keine Abweichung</v>
      </c>
      <c r="I524">
        <v>3</v>
      </c>
    </row>
    <row r="525" spans="1:9" hidden="1" x14ac:dyDescent="0.3">
      <c r="A525" s="13">
        <v>79</v>
      </c>
      <c r="B525" s="4">
        <v>4</v>
      </c>
      <c r="C525" t="s">
        <v>531</v>
      </c>
      <c r="D525" t="s">
        <v>530</v>
      </c>
      <c r="E525">
        <v>30</v>
      </c>
      <c r="F525">
        <v>25</v>
      </c>
      <c r="G525" s="8">
        <f>Lektionen[[#This Row],[Bearbeitungsdauer_real]]/Lektionen[[#This Row],[Bearbeitungsdauer_geschätzt]]-1</f>
        <v>-0.16666666666666663</v>
      </c>
      <c r="H525" s="8" t="str" cm="1">
        <f t="array" ref="H525">_xlfn.IFS(Lektionen[[#This Row],[Bearbeitungsdauer_abgewichen]]&gt;0.6,"viel länger",Lektionen[[#This Row],[Bearbeitungsdauer_abgewichen]]&gt;0.3,"länger",Lektionen[[#This Row],[Bearbeitungsdauer_abgewichen]]&lt;-0.3,"kürzer",TRUE,"keine Abweichung")</f>
        <v>keine Abweichung</v>
      </c>
      <c r="I525">
        <v>2</v>
      </c>
    </row>
    <row r="526" spans="1:9" x14ac:dyDescent="0.3">
      <c r="A526" s="13">
        <v>79</v>
      </c>
      <c r="B526" s="4">
        <v>5</v>
      </c>
      <c r="C526" t="s">
        <v>532</v>
      </c>
      <c r="D526" t="s">
        <v>530</v>
      </c>
      <c r="E526">
        <v>30</v>
      </c>
      <c r="F526">
        <v>55</v>
      </c>
      <c r="G526" s="8">
        <f>Lektionen[[#This Row],[Bearbeitungsdauer_real]]/Lektionen[[#This Row],[Bearbeitungsdauer_geschätzt]]-1</f>
        <v>0.83333333333333326</v>
      </c>
      <c r="H526" s="8" t="str" cm="1">
        <f t="array" ref="H526">_xlfn.IFS(Lektionen[[#This Row],[Bearbeitungsdauer_abgewichen]]&gt;0.6,"viel länger",Lektionen[[#This Row],[Bearbeitungsdauer_abgewichen]]&gt;0.3,"länger",Lektionen[[#This Row],[Bearbeitungsdauer_abgewichen]]&lt;-0.3,"kürzer",TRUE,"keine Abweichung")</f>
        <v>viel länger</v>
      </c>
      <c r="I526">
        <v>4</v>
      </c>
    </row>
    <row r="527" spans="1:9" hidden="1" x14ac:dyDescent="0.3">
      <c r="A527" s="13">
        <v>79</v>
      </c>
      <c r="B527" s="4">
        <v>6</v>
      </c>
      <c r="C527" t="s">
        <v>533</v>
      </c>
      <c r="D527" t="s">
        <v>534</v>
      </c>
      <c r="E527">
        <v>5</v>
      </c>
      <c r="F527">
        <v>2</v>
      </c>
      <c r="G527" s="8">
        <f>Lektionen[[#This Row],[Bearbeitungsdauer_real]]/Lektionen[[#This Row],[Bearbeitungsdauer_geschätzt]]-1</f>
        <v>-0.6</v>
      </c>
      <c r="H527" s="8" t="str" cm="1">
        <f t="array" ref="H527">_xlfn.IFS(Lektionen[[#This Row],[Bearbeitungsdauer_abgewichen]]&gt;0.6,"viel länger",Lektionen[[#This Row],[Bearbeitungsdauer_abgewichen]]&gt;0.3,"länger",Lektionen[[#This Row],[Bearbeitungsdauer_abgewichen]]&lt;-0.3,"kürzer",TRUE,"keine Abweichung")</f>
        <v>kürzer</v>
      </c>
      <c r="I527">
        <v>2</v>
      </c>
    </row>
    <row r="528" spans="1:9" hidden="1" x14ac:dyDescent="0.3">
      <c r="A528" s="13">
        <v>79</v>
      </c>
      <c r="B528" s="4">
        <v>7</v>
      </c>
      <c r="C528" t="s">
        <v>535</v>
      </c>
      <c r="D528" t="s">
        <v>536</v>
      </c>
      <c r="E528">
        <v>10</v>
      </c>
      <c r="F528">
        <v>9</v>
      </c>
      <c r="G528" s="8">
        <f>Lektionen[[#This Row],[Bearbeitungsdauer_real]]/Lektionen[[#This Row],[Bearbeitungsdauer_geschätzt]]-1</f>
        <v>-9.9999999999999978E-2</v>
      </c>
      <c r="H528" s="8" t="str" cm="1">
        <f t="array" ref="H528">_xlfn.IFS(Lektionen[[#This Row],[Bearbeitungsdauer_abgewichen]]&gt;0.6,"viel länger",Lektionen[[#This Row],[Bearbeitungsdauer_abgewichen]]&gt;0.3,"länger",Lektionen[[#This Row],[Bearbeitungsdauer_abgewichen]]&lt;-0.3,"kürzer",TRUE,"keine Abweichung")</f>
        <v>keine Abweichung</v>
      </c>
      <c r="I528">
        <v>4</v>
      </c>
    </row>
    <row r="529" spans="1:9" hidden="1" x14ac:dyDescent="0.3">
      <c r="A529" s="13">
        <v>79</v>
      </c>
      <c r="B529" s="4">
        <v>8</v>
      </c>
      <c r="C529" t="s">
        <v>537</v>
      </c>
      <c r="D529" t="s">
        <v>527</v>
      </c>
      <c r="E529">
        <v>5</v>
      </c>
      <c r="F529">
        <v>9</v>
      </c>
      <c r="G529" s="8">
        <f>Lektionen[[#This Row],[Bearbeitungsdauer_real]]/Lektionen[[#This Row],[Bearbeitungsdauer_geschätzt]]-1</f>
        <v>0.8</v>
      </c>
      <c r="H529" s="8" t="str" cm="1">
        <f t="array" ref="H529">_xlfn.IFS(Lektionen[[#This Row],[Bearbeitungsdauer_abgewichen]]&gt;0.6,"viel länger",Lektionen[[#This Row],[Bearbeitungsdauer_abgewichen]]&gt;0.3,"länger",Lektionen[[#This Row],[Bearbeitungsdauer_abgewichen]]&lt;-0.3,"kürzer",TRUE,"keine Abweichung")</f>
        <v>viel länger</v>
      </c>
      <c r="I529">
        <v>1</v>
      </c>
    </row>
    <row r="530" spans="1:9" hidden="1" x14ac:dyDescent="0.3">
      <c r="A530" s="13">
        <v>80</v>
      </c>
      <c r="B530" s="4">
        <v>1</v>
      </c>
      <c r="C530" t="s">
        <v>526</v>
      </c>
      <c r="D530" t="s">
        <v>527</v>
      </c>
      <c r="E530">
        <v>4</v>
      </c>
      <c r="F530">
        <v>4</v>
      </c>
      <c r="G530" s="8">
        <f>Lektionen[[#This Row],[Bearbeitungsdauer_real]]/Lektionen[[#This Row],[Bearbeitungsdauer_geschätzt]]-1</f>
        <v>0</v>
      </c>
      <c r="H530" s="8" t="str" cm="1">
        <f t="array" ref="H530">_xlfn.IFS(Lektionen[[#This Row],[Bearbeitungsdauer_abgewichen]]&gt;0.6,"viel länger",Lektionen[[#This Row],[Bearbeitungsdauer_abgewichen]]&gt;0.3,"länger",Lektionen[[#This Row],[Bearbeitungsdauer_abgewichen]]&lt;-0.3,"kürzer",TRUE,"keine Abweichung")</f>
        <v>keine Abweichung</v>
      </c>
      <c r="I530">
        <v>1</v>
      </c>
    </row>
    <row r="531" spans="1:9" hidden="1" x14ac:dyDescent="0.3">
      <c r="A531" s="13">
        <v>80</v>
      </c>
      <c r="B531" s="4">
        <v>2</v>
      </c>
      <c r="C531" t="s">
        <v>528</v>
      </c>
      <c r="D531" t="s">
        <v>529</v>
      </c>
      <c r="E531">
        <v>15</v>
      </c>
      <c r="F531">
        <v>15</v>
      </c>
      <c r="G531" s="8">
        <f>Lektionen[[#This Row],[Bearbeitungsdauer_real]]/Lektionen[[#This Row],[Bearbeitungsdauer_geschätzt]]-1</f>
        <v>0</v>
      </c>
      <c r="H531" s="8" t="str" cm="1">
        <f t="array" ref="H531">_xlfn.IFS(Lektionen[[#This Row],[Bearbeitungsdauer_abgewichen]]&gt;0.6,"viel länger",Lektionen[[#This Row],[Bearbeitungsdauer_abgewichen]]&gt;0.3,"länger",Lektionen[[#This Row],[Bearbeitungsdauer_abgewichen]]&lt;-0.3,"kürzer",TRUE,"keine Abweichung")</f>
        <v>keine Abweichung</v>
      </c>
      <c r="I531">
        <v>1</v>
      </c>
    </row>
    <row r="532" spans="1:9" hidden="1" x14ac:dyDescent="0.3">
      <c r="A532" s="13">
        <v>80</v>
      </c>
      <c r="B532" s="4">
        <v>3</v>
      </c>
      <c r="C532" t="s">
        <v>552</v>
      </c>
      <c r="D532" t="s">
        <v>530</v>
      </c>
      <c r="E532">
        <v>30</v>
      </c>
      <c r="F532">
        <v>27</v>
      </c>
      <c r="G532" s="8">
        <f>Lektionen[[#This Row],[Bearbeitungsdauer_real]]/Lektionen[[#This Row],[Bearbeitungsdauer_geschätzt]]-1</f>
        <v>-9.9999999999999978E-2</v>
      </c>
      <c r="H532" s="8" t="str" cm="1">
        <f t="array" ref="H532">_xlfn.IFS(Lektionen[[#This Row],[Bearbeitungsdauer_abgewichen]]&gt;0.6,"viel länger",Lektionen[[#This Row],[Bearbeitungsdauer_abgewichen]]&gt;0.3,"länger",Lektionen[[#This Row],[Bearbeitungsdauer_abgewichen]]&lt;-0.3,"kürzer",TRUE,"keine Abweichung")</f>
        <v>keine Abweichung</v>
      </c>
      <c r="I532">
        <v>2</v>
      </c>
    </row>
    <row r="533" spans="1:9" hidden="1" x14ac:dyDescent="0.3">
      <c r="A533" s="13">
        <v>80</v>
      </c>
      <c r="B533" s="4">
        <v>4</v>
      </c>
      <c r="C533" t="s">
        <v>531</v>
      </c>
      <c r="D533" t="s">
        <v>530</v>
      </c>
      <c r="E533">
        <v>30</v>
      </c>
      <c r="F533">
        <v>27</v>
      </c>
      <c r="G533" s="8">
        <f>Lektionen[[#This Row],[Bearbeitungsdauer_real]]/Lektionen[[#This Row],[Bearbeitungsdauer_geschätzt]]-1</f>
        <v>-9.9999999999999978E-2</v>
      </c>
      <c r="H533" s="8" t="str" cm="1">
        <f t="array" ref="H533">_xlfn.IFS(Lektionen[[#This Row],[Bearbeitungsdauer_abgewichen]]&gt;0.6,"viel länger",Lektionen[[#This Row],[Bearbeitungsdauer_abgewichen]]&gt;0.3,"länger",Lektionen[[#This Row],[Bearbeitungsdauer_abgewichen]]&lt;-0.3,"kürzer",TRUE,"keine Abweichung")</f>
        <v>keine Abweichung</v>
      </c>
      <c r="I533">
        <v>3</v>
      </c>
    </row>
    <row r="534" spans="1:9" x14ac:dyDescent="0.3">
      <c r="A534" s="13">
        <v>80</v>
      </c>
      <c r="B534" s="4">
        <v>5</v>
      </c>
      <c r="C534" t="s">
        <v>532</v>
      </c>
      <c r="D534" t="s">
        <v>530</v>
      </c>
      <c r="E534">
        <v>30</v>
      </c>
      <c r="F534">
        <v>43</v>
      </c>
      <c r="G534" s="8">
        <f>Lektionen[[#This Row],[Bearbeitungsdauer_real]]/Lektionen[[#This Row],[Bearbeitungsdauer_geschätzt]]-1</f>
        <v>0.43333333333333335</v>
      </c>
      <c r="H534" s="8" t="str" cm="1">
        <f t="array" ref="H534">_xlfn.IFS(Lektionen[[#This Row],[Bearbeitungsdauer_abgewichen]]&gt;0.6,"viel länger",Lektionen[[#This Row],[Bearbeitungsdauer_abgewichen]]&gt;0.3,"länger",Lektionen[[#This Row],[Bearbeitungsdauer_abgewichen]]&lt;-0.3,"kürzer",TRUE,"keine Abweichung")</f>
        <v>länger</v>
      </c>
      <c r="I534">
        <v>4</v>
      </c>
    </row>
    <row r="535" spans="1:9" hidden="1" x14ac:dyDescent="0.3">
      <c r="A535" s="13">
        <v>80</v>
      </c>
      <c r="B535" s="4">
        <v>6</v>
      </c>
      <c r="C535" t="s">
        <v>533</v>
      </c>
      <c r="D535" t="s">
        <v>534</v>
      </c>
      <c r="E535">
        <v>5</v>
      </c>
      <c r="F535">
        <v>2</v>
      </c>
      <c r="G535" s="8">
        <f>Lektionen[[#This Row],[Bearbeitungsdauer_real]]/Lektionen[[#This Row],[Bearbeitungsdauer_geschätzt]]-1</f>
        <v>-0.6</v>
      </c>
      <c r="H535" s="8" t="str" cm="1">
        <f t="array" ref="H535">_xlfn.IFS(Lektionen[[#This Row],[Bearbeitungsdauer_abgewichen]]&gt;0.6,"viel länger",Lektionen[[#This Row],[Bearbeitungsdauer_abgewichen]]&gt;0.3,"länger",Lektionen[[#This Row],[Bearbeitungsdauer_abgewichen]]&lt;-0.3,"kürzer",TRUE,"keine Abweichung")</f>
        <v>kürzer</v>
      </c>
      <c r="I535">
        <v>3</v>
      </c>
    </row>
    <row r="536" spans="1:9" hidden="1" x14ac:dyDescent="0.3">
      <c r="A536" s="13">
        <v>80</v>
      </c>
      <c r="B536" s="4">
        <v>7</v>
      </c>
      <c r="C536" t="s">
        <v>535</v>
      </c>
      <c r="D536" t="s">
        <v>536</v>
      </c>
      <c r="E536">
        <v>10</v>
      </c>
      <c r="F536">
        <v>8</v>
      </c>
      <c r="G536" s="8">
        <f>Lektionen[[#This Row],[Bearbeitungsdauer_real]]/Lektionen[[#This Row],[Bearbeitungsdauer_geschätzt]]-1</f>
        <v>-0.19999999999999996</v>
      </c>
      <c r="H536" s="8" t="str" cm="1">
        <f t="array" ref="H536">_xlfn.IFS(Lektionen[[#This Row],[Bearbeitungsdauer_abgewichen]]&gt;0.6,"viel länger",Lektionen[[#This Row],[Bearbeitungsdauer_abgewichen]]&gt;0.3,"länger",Lektionen[[#This Row],[Bearbeitungsdauer_abgewichen]]&lt;-0.3,"kürzer",TRUE,"keine Abweichung")</f>
        <v>keine Abweichung</v>
      </c>
      <c r="I536">
        <v>3</v>
      </c>
    </row>
    <row r="537" spans="1:9" hidden="1" x14ac:dyDescent="0.3">
      <c r="A537" s="13">
        <v>80</v>
      </c>
      <c r="B537" s="4">
        <v>8</v>
      </c>
      <c r="C537" t="s">
        <v>537</v>
      </c>
      <c r="D537" t="s">
        <v>527</v>
      </c>
      <c r="E537">
        <v>5</v>
      </c>
      <c r="F537">
        <v>8</v>
      </c>
      <c r="G537" s="8">
        <f>Lektionen[[#This Row],[Bearbeitungsdauer_real]]/Lektionen[[#This Row],[Bearbeitungsdauer_geschätzt]]-1</f>
        <v>0.60000000000000009</v>
      </c>
      <c r="H537" s="8" t="str" cm="1">
        <f t="array" ref="H537">_xlfn.IFS(Lektionen[[#This Row],[Bearbeitungsdauer_abgewichen]]&gt;0.6,"viel länger",Lektionen[[#This Row],[Bearbeitungsdauer_abgewichen]]&gt;0.3,"länger",Lektionen[[#This Row],[Bearbeitungsdauer_abgewichen]]&lt;-0.3,"kürzer",TRUE,"keine Abweichung")</f>
        <v>länger</v>
      </c>
      <c r="I537">
        <v>1</v>
      </c>
    </row>
    <row r="538" spans="1:9" hidden="1" x14ac:dyDescent="0.3">
      <c r="A538" s="13">
        <v>83</v>
      </c>
      <c r="B538" s="4">
        <v>1</v>
      </c>
      <c r="C538" t="s">
        <v>526</v>
      </c>
      <c r="D538" t="s">
        <v>527</v>
      </c>
      <c r="E538">
        <v>4</v>
      </c>
      <c r="F538">
        <v>4</v>
      </c>
      <c r="G538" s="8">
        <f>Lektionen[[#This Row],[Bearbeitungsdauer_real]]/Lektionen[[#This Row],[Bearbeitungsdauer_geschätzt]]-1</f>
        <v>0</v>
      </c>
      <c r="H538" s="8" t="str" cm="1">
        <f t="array" ref="H538">_xlfn.IFS(Lektionen[[#This Row],[Bearbeitungsdauer_abgewichen]]&gt;0.6,"viel länger",Lektionen[[#This Row],[Bearbeitungsdauer_abgewichen]]&gt;0.3,"länger",Lektionen[[#This Row],[Bearbeitungsdauer_abgewichen]]&lt;-0.3,"kürzer",TRUE,"keine Abweichung")</f>
        <v>keine Abweichung</v>
      </c>
      <c r="I538">
        <v>1</v>
      </c>
    </row>
    <row r="539" spans="1:9" hidden="1" x14ac:dyDescent="0.3">
      <c r="A539" s="13">
        <v>83</v>
      </c>
      <c r="B539" s="4">
        <v>2</v>
      </c>
      <c r="C539" t="s">
        <v>528</v>
      </c>
      <c r="D539" t="s">
        <v>529</v>
      </c>
      <c r="E539">
        <v>15</v>
      </c>
      <c r="F539">
        <v>19</v>
      </c>
      <c r="G539" s="8">
        <f>Lektionen[[#This Row],[Bearbeitungsdauer_real]]/Lektionen[[#This Row],[Bearbeitungsdauer_geschätzt]]-1</f>
        <v>0.26666666666666661</v>
      </c>
      <c r="H539" s="8" t="str" cm="1">
        <f t="array" ref="H539">_xlfn.IFS(Lektionen[[#This Row],[Bearbeitungsdauer_abgewichen]]&gt;0.6,"viel länger",Lektionen[[#This Row],[Bearbeitungsdauer_abgewichen]]&gt;0.3,"länger",Lektionen[[#This Row],[Bearbeitungsdauer_abgewichen]]&lt;-0.3,"kürzer",TRUE,"keine Abweichung")</f>
        <v>keine Abweichung</v>
      </c>
      <c r="I539">
        <v>3</v>
      </c>
    </row>
    <row r="540" spans="1:9" hidden="1" x14ac:dyDescent="0.3">
      <c r="A540" s="13">
        <v>83</v>
      </c>
      <c r="B540" s="4">
        <v>3</v>
      </c>
      <c r="C540" t="s">
        <v>552</v>
      </c>
      <c r="D540" t="s">
        <v>530</v>
      </c>
      <c r="E540">
        <v>30</v>
      </c>
      <c r="F540">
        <v>28</v>
      </c>
      <c r="G540" s="8">
        <f>Lektionen[[#This Row],[Bearbeitungsdauer_real]]/Lektionen[[#This Row],[Bearbeitungsdauer_geschätzt]]-1</f>
        <v>-6.6666666666666652E-2</v>
      </c>
      <c r="H540" s="8" t="str" cm="1">
        <f t="array" ref="H540">_xlfn.IFS(Lektionen[[#This Row],[Bearbeitungsdauer_abgewichen]]&gt;0.6,"viel länger",Lektionen[[#This Row],[Bearbeitungsdauer_abgewichen]]&gt;0.3,"länger",Lektionen[[#This Row],[Bearbeitungsdauer_abgewichen]]&lt;-0.3,"kürzer",TRUE,"keine Abweichung")</f>
        <v>keine Abweichung</v>
      </c>
      <c r="I540">
        <v>3</v>
      </c>
    </row>
    <row r="541" spans="1:9" hidden="1" x14ac:dyDescent="0.3">
      <c r="A541" s="13">
        <v>83</v>
      </c>
      <c r="B541" s="4">
        <v>4</v>
      </c>
      <c r="C541" t="s">
        <v>531</v>
      </c>
      <c r="D541" t="s">
        <v>530</v>
      </c>
      <c r="E541">
        <v>30</v>
      </c>
      <c r="F541">
        <v>27</v>
      </c>
      <c r="G541" s="8">
        <f>Lektionen[[#This Row],[Bearbeitungsdauer_real]]/Lektionen[[#This Row],[Bearbeitungsdauer_geschätzt]]-1</f>
        <v>-9.9999999999999978E-2</v>
      </c>
      <c r="H541" s="8" t="str" cm="1">
        <f t="array" ref="H541">_xlfn.IFS(Lektionen[[#This Row],[Bearbeitungsdauer_abgewichen]]&gt;0.6,"viel länger",Lektionen[[#This Row],[Bearbeitungsdauer_abgewichen]]&gt;0.3,"länger",Lektionen[[#This Row],[Bearbeitungsdauer_abgewichen]]&lt;-0.3,"kürzer",TRUE,"keine Abweichung")</f>
        <v>keine Abweichung</v>
      </c>
      <c r="I541">
        <v>3</v>
      </c>
    </row>
    <row r="542" spans="1:9" x14ac:dyDescent="0.3">
      <c r="A542" s="13">
        <v>83</v>
      </c>
      <c r="B542" s="4">
        <v>5</v>
      </c>
      <c r="C542" t="s">
        <v>532</v>
      </c>
      <c r="D542" t="s">
        <v>530</v>
      </c>
      <c r="E542">
        <v>30</v>
      </c>
      <c r="F542">
        <v>49</v>
      </c>
      <c r="G542" s="8">
        <f>Lektionen[[#This Row],[Bearbeitungsdauer_real]]/Lektionen[[#This Row],[Bearbeitungsdauer_geschätzt]]-1</f>
        <v>0.6333333333333333</v>
      </c>
      <c r="H542" s="8" t="str" cm="1">
        <f t="array" ref="H542">_xlfn.IFS(Lektionen[[#This Row],[Bearbeitungsdauer_abgewichen]]&gt;0.6,"viel länger",Lektionen[[#This Row],[Bearbeitungsdauer_abgewichen]]&gt;0.3,"länger",Lektionen[[#This Row],[Bearbeitungsdauer_abgewichen]]&lt;-0.3,"kürzer",TRUE,"keine Abweichung")</f>
        <v>viel länger</v>
      </c>
      <c r="I542">
        <v>3</v>
      </c>
    </row>
    <row r="543" spans="1:9" hidden="1" x14ac:dyDescent="0.3">
      <c r="A543" s="13">
        <v>83</v>
      </c>
      <c r="B543" s="4">
        <v>6</v>
      </c>
      <c r="C543" t="s">
        <v>533</v>
      </c>
      <c r="D543" t="s">
        <v>534</v>
      </c>
      <c r="E543">
        <v>5</v>
      </c>
      <c r="F543">
        <v>1</v>
      </c>
      <c r="G543" s="8">
        <f>Lektionen[[#This Row],[Bearbeitungsdauer_real]]/Lektionen[[#This Row],[Bearbeitungsdauer_geschätzt]]-1</f>
        <v>-0.8</v>
      </c>
      <c r="H543" s="8" t="str" cm="1">
        <f t="array" ref="H543">_xlfn.IFS(Lektionen[[#This Row],[Bearbeitungsdauer_abgewichen]]&gt;0.6,"viel länger",Lektionen[[#This Row],[Bearbeitungsdauer_abgewichen]]&gt;0.3,"länger",Lektionen[[#This Row],[Bearbeitungsdauer_abgewichen]]&lt;-0.3,"kürzer",TRUE,"keine Abweichung")</f>
        <v>kürzer</v>
      </c>
      <c r="I543">
        <v>2</v>
      </c>
    </row>
    <row r="544" spans="1:9" hidden="1" x14ac:dyDescent="0.3">
      <c r="A544" s="13">
        <v>83</v>
      </c>
      <c r="B544" s="4">
        <v>7</v>
      </c>
      <c r="C544" t="s">
        <v>535</v>
      </c>
      <c r="D544" t="s">
        <v>536</v>
      </c>
      <c r="E544">
        <v>10</v>
      </c>
      <c r="F544">
        <v>9</v>
      </c>
      <c r="G544" s="8">
        <f>Lektionen[[#This Row],[Bearbeitungsdauer_real]]/Lektionen[[#This Row],[Bearbeitungsdauer_geschätzt]]-1</f>
        <v>-9.9999999999999978E-2</v>
      </c>
      <c r="H544" s="8" t="str" cm="1">
        <f t="array" ref="H544">_xlfn.IFS(Lektionen[[#This Row],[Bearbeitungsdauer_abgewichen]]&gt;0.6,"viel länger",Lektionen[[#This Row],[Bearbeitungsdauer_abgewichen]]&gt;0.3,"länger",Lektionen[[#This Row],[Bearbeitungsdauer_abgewichen]]&lt;-0.3,"kürzer",TRUE,"keine Abweichung")</f>
        <v>keine Abweichung</v>
      </c>
      <c r="I544">
        <v>4</v>
      </c>
    </row>
    <row r="545" spans="1:9" hidden="1" x14ac:dyDescent="0.3">
      <c r="A545" s="13">
        <v>83</v>
      </c>
      <c r="B545" s="4">
        <v>8</v>
      </c>
      <c r="C545" t="s">
        <v>537</v>
      </c>
      <c r="D545" t="s">
        <v>527</v>
      </c>
      <c r="E545">
        <v>5</v>
      </c>
      <c r="F545">
        <v>7</v>
      </c>
      <c r="G545" s="8">
        <f>Lektionen[[#This Row],[Bearbeitungsdauer_real]]/Lektionen[[#This Row],[Bearbeitungsdauer_geschätzt]]-1</f>
        <v>0.39999999999999991</v>
      </c>
      <c r="H545" s="8" t="str" cm="1">
        <f t="array" ref="H545">_xlfn.IFS(Lektionen[[#This Row],[Bearbeitungsdauer_abgewichen]]&gt;0.6,"viel länger",Lektionen[[#This Row],[Bearbeitungsdauer_abgewichen]]&gt;0.3,"länger",Lektionen[[#This Row],[Bearbeitungsdauer_abgewichen]]&lt;-0.3,"kürzer",TRUE,"keine Abweichung")</f>
        <v>länger</v>
      </c>
      <c r="I545">
        <v>1</v>
      </c>
    </row>
    <row r="546" spans="1:9" hidden="1" x14ac:dyDescent="0.3">
      <c r="A546" s="13">
        <v>84</v>
      </c>
      <c r="B546" s="4">
        <v>1</v>
      </c>
      <c r="C546" t="s">
        <v>526</v>
      </c>
      <c r="D546" t="s">
        <v>527</v>
      </c>
      <c r="E546">
        <v>4</v>
      </c>
      <c r="F546">
        <v>4</v>
      </c>
      <c r="G546" s="8">
        <f>Lektionen[[#This Row],[Bearbeitungsdauer_real]]/Lektionen[[#This Row],[Bearbeitungsdauer_geschätzt]]-1</f>
        <v>0</v>
      </c>
      <c r="H546" s="8" t="str" cm="1">
        <f t="array" ref="H546">_xlfn.IFS(Lektionen[[#This Row],[Bearbeitungsdauer_abgewichen]]&gt;0.6,"viel länger",Lektionen[[#This Row],[Bearbeitungsdauer_abgewichen]]&gt;0.3,"länger",Lektionen[[#This Row],[Bearbeitungsdauer_abgewichen]]&lt;-0.3,"kürzer",TRUE,"keine Abweichung")</f>
        <v>keine Abweichung</v>
      </c>
      <c r="I546">
        <v>1</v>
      </c>
    </row>
    <row r="547" spans="1:9" hidden="1" x14ac:dyDescent="0.3">
      <c r="A547" s="13">
        <v>84</v>
      </c>
      <c r="B547" s="4">
        <v>2</v>
      </c>
      <c r="C547" t="s">
        <v>528</v>
      </c>
      <c r="D547" t="s">
        <v>529</v>
      </c>
      <c r="E547">
        <v>15</v>
      </c>
      <c r="F547">
        <v>18</v>
      </c>
      <c r="G547" s="8">
        <f>Lektionen[[#This Row],[Bearbeitungsdauer_real]]/Lektionen[[#This Row],[Bearbeitungsdauer_geschätzt]]-1</f>
        <v>0.19999999999999996</v>
      </c>
      <c r="H547" s="8" t="str" cm="1">
        <f t="array" ref="H547">_xlfn.IFS(Lektionen[[#This Row],[Bearbeitungsdauer_abgewichen]]&gt;0.6,"viel länger",Lektionen[[#This Row],[Bearbeitungsdauer_abgewichen]]&gt;0.3,"länger",Lektionen[[#This Row],[Bearbeitungsdauer_abgewichen]]&lt;-0.3,"kürzer",TRUE,"keine Abweichung")</f>
        <v>keine Abweichung</v>
      </c>
      <c r="I547">
        <v>1</v>
      </c>
    </row>
    <row r="548" spans="1:9" hidden="1" x14ac:dyDescent="0.3">
      <c r="A548" s="13">
        <v>84</v>
      </c>
      <c r="B548" s="4">
        <v>3</v>
      </c>
      <c r="C548" t="s">
        <v>552</v>
      </c>
      <c r="D548" t="s">
        <v>530</v>
      </c>
      <c r="E548">
        <v>30</v>
      </c>
      <c r="F548">
        <v>28</v>
      </c>
      <c r="G548" s="8">
        <f>Lektionen[[#This Row],[Bearbeitungsdauer_real]]/Lektionen[[#This Row],[Bearbeitungsdauer_geschätzt]]-1</f>
        <v>-6.6666666666666652E-2</v>
      </c>
      <c r="H548" s="8" t="str" cm="1">
        <f t="array" ref="H548">_xlfn.IFS(Lektionen[[#This Row],[Bearbeitungsdauer_abgewichen]]&gt;0.6,"viel länger",Lektionen[[#This Row],[Bearbeitungsdauer_abgewichen]]&gt;0.3,"länger",Lektionen[[#This Row],[Bearbeitungsdauer_abgewichen]]&lt;-0.3,"kürzer",TRUE,"keine Abweichung")</f>
        <v>keine Abweichung</v>
      </c>
      <c r="I548">
        <v>3</v>
      </c>
    </row>
    <row r="549" spans="1:9" hidden="1" x14ac:dyDescent="0.3">
      <c r="A549" s="13">
        <v>84</v>
      </c>
      <c r="B549" s="4">
        <v>4</v>
      </c>
      <c r="C549" t="s">
        <v>531</v>
      </c>
      <c r="D549" t="s">
        <v>530</v>
      </c>
      <c r="E549">
        <v>30</v>
      </c>
      <c r="F549">
        <v>30</v>
      </c>
      <c r="G549" s="8">
        <f>Lektionen[[#This Row],[Bearbeitungsdauer_real]]/Lektionen[[#This Row],[Bearbeitungsdauer_geschätzt]]-1</f>
        <v>0</v>
      </c>
      <c r="H549" s="8" t="str" cm="1">
        <f t="array" ref="H549">_xlfn.IFS(Lektionen[[#This Row],[Bearbeitungsdauer_abgewichen]]&gt;0.6,"viel länger",Lektionen[[#This Row],[Bearbeitungsdauer_abgewichen]]&gt;0.3,"länger",Lektionen[[#This Row],[Bearbeitungsdauer_abgewichen]]&lt;-0.3,"kürzer",TRUE,"keine Abweichung")</f>
        <v>keine Abweichung</v>
      </c>
      <c r="I549">
        <v>3</v>
      </c>
    </row>
    <row r="550" spans="1:9" x14ac:dyDescent="0.3">
      <c r="A550" s="13">
        <v>84</v>
      </c>
      <c r="B550" s="4">
        <v>5</v>
      </c>
      <c r="C550" t="s">
        <v>532</v>
      </c>
      <c r="D550" t="s">
        <v>530</v>
      </c>
      <c r="E550">
        <v>30</v>
      </c>
      <c r="F550">
        <v>42</v>
      </c>
      <c r="G550" s="8">
        <f>Lektionen[[#This Row],[Bearbeitungsdauer_real]]/Lektionen[[#This Row],[Bearbeitungsdauer_geschätzt]]-1</f>
        <v>0.39999999999999991</v>
      </c>
      <c r="H550" s="8" t="str" cm="1">
        <f t="array" ref="H550">_xlfn.IFS(Lektionen[[#This Row],[Bearbeitungsdauer_abgewichen]]&gt;0.6,"viel länger",Lektionen[[#This Row],[Bearbeitungsdauer_abgewichen]]&gt;0.3,"länger",Lektionen[[#This Row],[Bearbeitungsdauer_abgewichen]]&lt;-0.3,"kürzer",TRUE,"keine Abweichung")</f>
        <v>länger</v>
      </c>
      <c r="I550">
        <v>4</v>
      </c>
    </row>
    <row r="551" spans="1:9" hidden="1" x14ac:dyDescent="0.3">
      <c r="A551" s="13">
        <v>84</v>
      </c>
      <c r="B551" s="4">
        <v>6</v>
      </c>
      <c r="C551" t="s">
        <v>533</v>
      </c>
      <c r="D551" t="s">
        <v>534</v>
      </c>
      <c r="E551">
        <v>5</v>
      </c>
      <c r="F551">
        <v>1</v>
      </c>
      <c r="G551" s="8">
        <f>Lektionen[[#This Row],[Bearbeitungsdauer_real]]/Lektionen[[#This Row],[Bearbeitungsdauer_geschätzt]]-1</f>
        <v>-0.8</v>
      </c>
      <c r="H551" s="8" t="str" cm="1">
        <f t="array" ref="H551">_xlfn.IFS(Lektionen[[#This Row],[Bearbeitungsdauer_abgewichen]]&gt;0.6,"viel länger",Lektionen[[#This Row],[Bearbeitungsdauer_abgewichen]]&gt;0.3,"länger",Lektionen[[#This Row],[Bearbeitungsdauer_abgewichen]]&lt;-0.3,"kürzer",TRUE,"keine Abweichung")</f>
        <v>kürzer</v>
      </c>
      <c r="I551">
        <v>2</v>
      </c>
    </row>
    <row r="552" spans="1:9" hidden="1" x14ac:dyDescent="0.3">
      <c r="A552" s="13">
        <v>84</v>
      </c>
      <c r="B552" s="4">
        <v>7</v>
      </c>
      <c r="C552" t="s">
        <v>535</v>
      </c>
      <c r="D552" t="s">
        <v>536</v>
      </c>
      <c r="E552">
        <v>10</v>
      </c>
      <c r="F552">
        <v>9</v>
      </c>
      <c r="G552" s="8">
        <f>Lektionen[[#This Row],[Bearbeitungsdauer_real]]/Lektionen[[#This Row],[Bearbeitungsdauer_geschätzt]]-1</f>
        <v>-9.9999999999999978E-2</v>
      </c>
      <c r="H552" s="8" t="str" cm="1">
        <f t="array" ref="H552">_xlfn.IFS(Lektionen[[#This Row],[Bearbeitungsdauer_abgewichen]]&gt;0.6,"viel länger",Lektionen[[#This Row],[Bearbeitungsdauer_abgewichen]]&gt;0.3,"länger",Lektionen[[#This Row],[Bearbeitungsdauer_abgewichen]]&lt;-0.3,"kürzer",TRUE,"keine Abweichung")</f>
        <v>keine Abweichung</v>
      </c>
      <c r="I552">
        <v>3</v>
      </c>
    </row>
    <row r="553" spans="1:9" hidden="1" x14ac:dyDescent="0.3">
      <c r="A553" s="13">
        <v>84</v>
      </c>
      <c r="B553" s="4">
        <v>8</v>
      </c>
      <c r="C553" t="s">
        <v>537</v>
      </c>
      <c r="D553" t="s">
        <v>527</v>
      </c>
      <c r="E553">
        <v>5</v>
      </c>
      <c r="F553">
        <v>5</v>
      </c>
      <c r="G553" s="8">
        <f>Lektionen[[#This Row],[Bearbeitungsdauer_real]]/Lektionen[[#This Row],[Bearbeitungsdauer_geschätzt]]-1</f>
        <v>0</v>
      </c>
      <c r="H553" s="8" t="str" cm="1">
        <f t="array" ref="H553">_xlfn.IFS(Lektionen[[#This Row],[Bearbeitungsdauer_abgewichen]]&gt;0.6,"viel länger",Lektionen[[#This Row],[Bearbeitungsdauer_abgewichen]]&gt;0.3,"länger",Lektionen[[#This Row],[Bearbeitungsdauer_abgewichen]]&lt;-0.3,"kürzer",TRUE,"keine Abweichung")</f>
        <v>keine Abweichung</v>
      </c>
      <c r="I553">
        <v>1</v>
      </c>
    </row>
    <row r="554" spans="1:9" hidden="1" x14ac:dyDescent="0.3">
      <c r="A554" s="13">
        <v>85</v>
      </c>
      <c r="B554" s="4">
        <v>1</v>
      </c>
      <c r="C554" t="s">
        <v>526</v>
      </c>
      <c r="D554" t="s">
        <v>527</v>
      </c>
      <c r="E554">
        <v>4</v>
      </c>
      <c r="F554">
        <v>4</v>
      </c>
      <c r="G554" s="8">
        <f>Lektionen[[#This Row],[Bearbeitungsdauer_real]]/Lektionen[[#This Row],[Bearbeitungsdauer_geschätzt]]-1</f>
        <v>0</v>
      </c>
      <c r="H554" s="8" t="str" cm="1">
        <f t="array" ref="H554">_xlfn.IFS(Lektionen[[#This Row],[Bearbeitungsdauer_abgewichen]]&gt;0.6,"viel länger",Lektionen[[#This Row],[Bearbeitungsdauer_abgewichen]]&gt;0.3,"länger",Lektionen[[#This Row],[Bearbeitungsdauer_abgewichen]]&lt;-0.3,"kürzer",TRUE,"keine Abweichung")</f>
        <v>keine Abweichung</v>
      </c>
      <c r="I554">
        <v>1</v>
      </c>
    </row>
    <row r="555" spans="1:9" hidden="1" x14ac:dyDescent="0.3">
      <c r="A555" s="13">
        <v>85</v>
      </c>
      <c r="B555" s="4">
        <v>2</v>
      </c>
      <c r="C555" t="s">
        <v>528</v>
      </c>
      <c r="D555" t="s">
        <v>529</v>
      </c>
      <c r="E555">
        <v>15</v>
      </c>
      <c r="F555">
        <v>19</v>
      </c>
      <c r="G555" s="8">
        <f>Lektionen[[#This Row],[Bearbeitungsdauer_real]]/Lektionen[[#This Row],[Bearbeitungsdauer_geschätzt]]-1</f>
        <v>0.26666666666666661</v>
      </c>
      <c r="H555" s="8" t="str" cm="1">
        <f t="array" ref="H555">_xlfn.IFS(Lektionen[[#This Row],[Bearbeitungsdauer_abgewichen]]&gt;0.6,"viel länger",Lektionen[[#This Row],[Bearbeitungsdauer_abgewichen]]&gt;0.3,"länger",Lektionen[[#This Row],[Bearbeitungsdauer_abgewichen]]&lt;-0.3,"kürzer",TRUE,"keine Abweichung")</f>
        <v>keine Abweichung</v>
      </c>
      <c r="I555">
        <v>1</v>
      </c>
    </row>
    <row r="556" spans="1:9" hidden="1" x14ac:dyDescent="0.3">
      <c r="A556" s="13">
        <v>85</v>
      </c>
      <c r="B556" s="4">
        <v>3</v>
      </c>
      <c r="C556" t="s">
        <v>552</v>
      </c>
      <c r="D556" t="s">
        <v>530</v>
      </c>
      <c r="E556">
        <v>30</v>
      </c>
      <c r="F556">
        <v>27</v>
      </c>
      <c r="G556" s="8">
        <f>Lektionen[[#This Row],[Bearbeitungsdauer_real]]/Lektionen[[#This Row],[Bearbeitungsdauer_geschätzt]]-1</f>
        <v>-9.9999999999999978E-2</v>
      </c>
      <c r="H556" s="8" t="str" cm="1">
        <f t="array" ref="H556">_xlfn.IFS(Lektionen[[#This Row],[Bearbeitungsdauer_abgewichen]]&gt;0.6,"viel länger",Lektionen[[#This Row],[Bearbeitungsdauer_abgewichen]]&gt;0.3,"länger",Lektionen[[#This Row],[Bearbeitungsdauer_abgewichen]]&lt;-0.3,"kürzer",TRUE,"keine Abweichung")</f>
        <v>keine Abweichung</v>
      </c>
      <c r="I556">
        <v>3</v>
      </c>
    </row>
    <row r="557" spans="1:9" hidden="1" x14ac:dyDescent="0.3">
      <c r="A557" s="13">
        <v>85</v>
      </c>
      <c r="B557" s="4">
        <v>4</v>
      </c>
      <c r="C557" t="s">
        <v>531</v>
      </c>
      <c r="D557" t="s">
        <v>530</v>
      </c>
      <c r="E557">
        <v>30</v>
      </c>
      <c r="F557">
        <v>29</v>
      </c>
      <c r="G557" s="8">
        <f>Lektionen[[#This Row],[Bearbeitungsdauer_real]]/Lektionen[[#This Row],[Bearbeitungsdauer_geschätzt]]-1</f>
        <v>-3.3333333333333326E-2</v>
      </c>
      <c r="H557" s="8" t="str" cm="1">
        <f t="array" ref="H557">_xlfn.IFS(Lektionen[[#This Row],[Bearbeitungsdauer_abgewichen]]&gt;0.6,"viel länger",Lektionen[[#This Row],[Bearbeitungsdauer_abgewichen]]&gt;0.3,"länger",Lektionen[[#This Row],[Bearbeitungsdauer_abgewichen]]&lt;-0.3,"kürzer",TRUE,"keine Abweichung")</f>
        <v>keine Abweichung</v>
      </c>
      <c r="I557">
        <v>3</v>
      </c>
    </row>
    <row r="558" spans="1:9" x14ac:dyDescent="0.3">
      <c r="A558" s="13">
        <v>85</v>
      </c>
      <c r="B558" s="4">
        <v>5</v>
      </c>
      <c r="C558" t="s">
        <v>532</v>
      </c>
      <c r="D558" t="s">
        <v>530</v>
      </c>
      <c r="E558">
        <v>30</v>
      </c>
      <c r="F558">
        <v>40</v>
      </c>
      <c r="G558" s="8">
        <f>Lektionen[[#This Row],[Bearbeitungsdauer_real]]/Lektionen[[#This Row],[Bearbeitungsdauer_geschätzt]]-1</f>
        <v>0.33333333333333326</v>
      </c>
      <c r="H558" s="8" t="str" cm="1">
        <f t="array" ref="H558">_xlfn.IFS(Lektionen[[#This Row],[Bearbeitungsdauer_abgewichen]]&gt;0.6,"viel länger",Lektionen[[#This Row],[Bearbeitungsdauer_abgewichen]]&gt;0.3,"länger",Lektionen[[#This Row],[Bearbeitungsdauer_abgewichen]]&lt;-0.3,"kürzer",TRUE,"keine Abweichung")</f>
        <v>länger</v>
      </c>
      <c r="I558">
        <v>4</v>
      </c>
    </row>
    <row r="559" spans="1:9" hidden="1" x14ac:dyDescent="0.3">
      <c r="A559" s="13">
        <v>85</v>
      </c>
      <c r="B559" s="4">
        <v>6</v>
      </c>
      <c r="C559" t="s">
        <v>533</v>
      </c>
      <c r="D559" t="s">
        <v>534</v>
      </c>
      <c r="E559">
        <v>5</v>
      </c>
      <c r="F559">
        <v>1</v>
      </c>
      <c r="G559" s="8">
        <f>Lektionen[[#This Row],[Bearbeitungsdauer_real]]/Lektionen[[#This Row],[Bearbeitungsdauer_geschätzt]]-1</f>
        <v>-0.8</v>
      </c>
      <c r="H559" s="8" t="str" cm="1">
        <f t="array" ref="H559">_xlfn.IFS(Lektionen[[#This Row],[Bearbeitungsdauer_abgewichen]]&gt;0.6,"viel länger",Lektionen[[#This Row],[Bearbeitungsdauer_abgewichen]]&gt;0.3,"länger",Lektionen[[#This Row],[Bearbeitungsdauer_abgewichen]]&lt;-0.3,"kürzer",TRUE,"keine Abweichung")</f>
        <v>kürzer</v>
      </c>
      <c r="I559">
        <v>2</v>
      </c>
    </row>
    <row r="560" spans="1:9" hidden="1" x14ac:dyDescent="0.3">
      <c r="A560" s="13">
        <v>85</v>
      </c>
      <c r="B560" s="4">
        <v>7</v>
      </c>
      <c r="C560" t="s">
        <v>535</v>
      </c>
      <c r="D560" t="s">
        <v>536</v>
      </c>
      <c r="E560">
        <v>10</v>
      </c>
      <c r="F560">
        <v>12</v>
      </c>
      <c r="G560" s="8">
        <f>Lektionen[[#This Row],[Bearbeitungsdauer_real]]/Lektionen[[#This Row],[Bearbeitungsdauer_geschätzt]]-1</f>
        <v>0.19999999999999996</v>
      </c>
      <c r="H560" s="8" t="str" cm="1">
        <f t="array" ref="H560">_xlfn.IFS(Lektionen[[#This Row],[Bearbeitungsdauer_abgewichen]]&gt;0.6,"viel länger",Lektionen[[#This Row],[Bearbeitungsdauer_abgewichen]]&gt;0.3,"länger",Lektionen[[#This Row],[Bearbeitungsdauer_abgewichen]]&lt;-0.3,"kürzer",TRUE,"keine Abweichung")</f>
        <v>keine Abweichung</v>
      </c>
      <c r="I560">
        <v>3</v>
      </c>
    </row>
    <row r="561" spans="1:9" hidden="1" x14ac:dyDescent="0.3">
      <c r="A561" s="13">
        <v>85</v>
      </c>
      <c r="B561" s="4">
        <v>8</v>
      </c>
      <c r="C561" t="s">
        <v>537</v>
      </c>
      <c r="D561" t="s">
        <v>527</v>
      </c>
      <c r="E561">
        <v>5</v>
      </c>
      <c r="F561">
        <v>5</v>
      </c>
      <c r="G561" s="8">
        <f>Lektionen[[#This Row],[Bearbeitungsdauer_real]]/Lektionen[[#This Row],[Bearbeitungsdauer_geschätzt]]-1</f>
        <v>0</v>
      </c>
      <c r="H561" s="8" t="str" cm="1">
        <f t="array" ref="H561">_xlfn.IFS(Lektionen[[#This Row],[Bearbeitungsdauer_abgewichen]]&gt;0.6,"viel länger",Lektionen[[#This Row],[Bearbeitungsdauer_abgewichen]]&gt;0.3,"länger",Lektionen[[#This Row],[Bearbeitungsdauer_abgewichen]]&lt;-0.3,"kürzer",TRUE,"keine Abweichung")</f>
        <v>keine Abweichung</v>
      </c>
      <c r="I561">
        <v>1</v>
      </c>
    </row>
    <row r="562" spans="1:9" hidden="1" x14ac:dyDescent="0.3">
      <c r="A562" s="13">
        <v>87</v>
      </c>
      <c r="B562" s="4">
        <v>1</v>
      </c>
      <c r="C562" t="s">
        <v>526</v>
      </c>
      <c r="D562" t="s">
        <v>527</v>
      </c>
      <c r="E562">
        <v>4</v>
      </c>
      <c r="F562">
        <v>4</v>
      </c>
      <c r="G562" s="8">
        <f>Lektionen[[#This Row],[Bearbeitungsdauer_real]]/Lektionen[[#This Row],[Bearbeitungsdauer_geschätzt]]-1</f>
        <v>0</v>
      </c>
      <c r="H562" s="8" t="str" cm="1">
        <f t="array" ref="H562">_xlfn.IFS(Lektionen[[#This Row],[Bearbeitungsdauer_abgewichen]]&gt;0.6,"viel länger",Lektionen[[#This Row],[Bearbeitungsdauer_abgewichen]]&gt;0.3,"länger",Lektionen[[#This Row],[Bearbeitungsdauer_abgewichen]]&lt;-0.3,"kürzer",TRUE,"keine Abweichung")</f>
        <v>keine Abweichung</v>
      </c>
      <c r="I562">
        <v>1</v>
      </c>
    </row>
    <row r="563" spans="1:9" hidden="1" x14ac:dyDescent="0.3">
      <c r="A563" s="13">
        <v>87</v>
      </c>
      <c r="B563" s="4">
        <v>2</v>
      </c>
      <c r="C563" t="s">
        <v>528</v>
      </c>
      <c r="D563" t="s">
        <v>529</v>
      </c>
      <c r="E563">
        <v>15</v>
      </c>
      <c r="F563">
        <v>20</v>
      </c>
      <c r="G563" s="8">
        <f>Lektionen[[#This Row],[Bearbeitungsdauer_real]]/Lektionen[[#This Row],[Bearbeitungsdauer_geschätzt]]-1</f>
        <v>0.33333333333333326</v>
      </c>
      <c r="H563" s="8" t="str" cm="1">
        <f t="array" ref="H563">_xlfn.IFS(Lektionen[[#This Row],[Bearbeitungsdauer_abgewichen]]&gt;0.6,"viel länger",Lektionen[[#This Row],[Bearbeitungsdauer_abgewichen]]&gt;0.3,"länger",Lektionen[[#This Row],[Bearbeitungsdauer_abgewichen]]&lt;-0.3,"kürzer",TRUE,"keine Abweichung")</f>
        <v>länger</v>
      </c>
      <c r="I563">
        <v>1</v>
      </c>
    </row>
    <row r="564" spans="1:9" hidden="1" x14ac:dyDescent="0.3">
      <c r="A564" s="13">
        <v>87</v>
      </c>
      <c r="B564" s="4">
        <v>3</v>
      </c>
      <c r="C564" t="s">
        <v>552</v>
      </c>
      <c r="D564" t="s">
        <v>530</v>
      </c>
      <c r="E564">
        <v>30</v>
      </c>
      <c r="F564">
        <v>28</v>
      </c>
      <c r="G564" s="8">
        <f>Lektionen[[#This Row],[Bearbeitungsdauer_real]]/Lektionen[[#This Row],[Bearbeitungsdauer_geschätzt]]-1</f>
        <v>-6.6666666666666652E-2</v>
      </c>
      <c r="H564" s="8" t="str" cm="1">
        <f t="array" ref="H564">_xlfn.IFS(Lektionen[[#This Row],[Bearbeitungsdauer_abgewichen]]&gt;0.6,"viel länger",Lektionen[[#This Row],[Bearbeitungsdauer_abgewichen]]&gt;0.3,"länger",Lektionen[[#This Row],[Bearbeitungsdauer_abgewichen]]&lt;-0.3,"kürzer",TRUE,"keine Abweichung")</f>
        <v>keine Abweichung</v>
      </c>
      <c r="I564">
        <v>3</v>
      </c>
    </row>
    <row r="565" spans="1:9" hidden="1" x14ac:dyDescent="0.3">
      <c r="A565" s="13">
        <v>87</v>
      </c>
      <c r="B565" s="4">
        <v>4</v>
      </c>
      <c r="C565" t="s">
        <v>531</v>
      </c>
      <c r="D565" t="s">
        <v>530</v>
      </c>
      <c r="E565">
        <v>30</v>
      </c>
      <c r="F565">
        <v>29</v>
      </c>
      <c r="G565" s="8">
        <f>Lektionen[[#This Row],[Bearbeitungsdauer_real]]/Lektionen[[#This Row],[Bearbeitungsdauer_geschätzt]]-1</f>
        <v>-3.3333333333333326E-2</v>
      </c>
      <c r="H565" s="8" t="str" cm="1">
        <f t="array" ref="H565">_xlfn.IFS(Lektionen[[#This Row],[Bearbeitungsdauer_abgewichen]]&gt;0.6,"viel länger",Lektionen[[#This Row],[Bearbeitungsdauer_abgewichen]]&gt;0.3,"länger",Lektionen[[#This Row],[Bearbeitungsdauer_abgewichen]]&lt;-0.3,"kürzer",TRUE,"keine Abweichung")</f>
        <v>keine Abweichung</v>
      </c>
      <c r="I565">
        <v>2</v>
      </c>
    </row>
    <row r="566" spans="1:9" x14ac:dyDescent="0.3">
      <c r="A566" s="13">
        <v>87</v>
      </c>
      <c r="B566" s="4">
        <v>5</v>
      </c>
      <c r="C566" t="s">
        <v>532</v>
      </c>
      <c r="D566" t="s">
        <v>530</v>
      </c>
      <c r="E566">
        <v>30</v>
      </c>
      <c r="F566">
        <v>54</v>
      </c>
      <c r="G566" s="8">
        <f>Lektionen[[#This Row],[Bearbeitungsdauer_real]]/Lektionen[[#This Row],[Bearbeitungsdauer_geschätzt]]-1</f>
        <v>0.8</v>
      </c>
      <c r="H566" s="8" t="str" cm="1">
        <f t="array" ref="H566">_xlfn.IFS(Lektionen[[#This Row],[Bearbeitungsdauer_abgewichen]]&gt;0.6,"viel länger",Lektionen[[#This Row],[Bearbeitungsdauer_abgewichen]]&gt;0.3,"länger",Lektionen[[#This Row],[Bearbeitungsdauer_abgewichen]]&lt;-0.3,"kürzer",TRUE,"keine Abweichung")</f>
        <v>viel länger</v>
      </c>
      <c r="I566">
        <v>4</v>
      </c>
    </row>
    <row r="567" spans="1:9" hidden="1" x14ac:dyDescent="0.3">
      <c r="A567" s="13">
        <v>87</v>
      </c>
      <c r="B567" s="4">
        <v>6</v>
      </c>
      <c r="C567" t="s">
        <v>533</v>
      </c>
      <c r="D567" t="s">
        <v>534</v>
      </c>
      <c r="E567">
        <v>5</v>
      </c>
      <c r="F567">
        <v>3</v>
      </c>
      <c r="G567" s="8">
        <f>Lektionen[[#This Row],[Bearbeitungsdauer_real]]/Lektionen[[#This Row],[Bearbeitungsdauer_geschätzt]]-1</f>
        <v>-0.4</v>
      </c>
      <c r="H567" s="8" t="str" cm="1">
        <f t="array" ref="H567">_xlfn.IFS(Lektionen[[#This Row],[Bearbeitungsdauer_abgewichen]]&gt;0.6,"viel länger",Lektionen[[#This Row],[Bearbeitungsdauer_abgewichen]]&gt;0.3,"länger",Lektionen[[#This Row],[Bearbeitungsdauer_abgewichen]]&lt;-0.3,"kürzer",TRUE,"keine Abweichung")</f>
        <v>kürzer</v>
      </c>
      <c r="I567">
        <v>1</v>
      </c>
    </row>
    <row r="568" spans="1:9" hidden="1" x14ac:dyDescent="0.3">
      <c r="A568" s="13">
        <v>87</v>
      </c>
      <c r="B568" s="4">
        <v>7</v>
      </c>
      <c r="C568" t="s">
        <v>535</v>
      </c>
      <c r="D568" t="s">
        <v>536</v>
      </c>
      <c r="E568">
        <v>10</v>
      </c>
      <c r="F568">
        <v>9</v>
      </c>
      <c r="G568" s="8">
        <f>Lektionen[[#This Row],[Bearbeitungsdauer_real]]/Lektionen[[#This Row],[Bearbeitungsdauer_geschätzt]]-1</f>
        <v>-9.9999999999999978E-2</v>
      </c>
      <c r="H568" s="8" t="str" cm="1">
        <f t="array" ref="H568">_xlfn.IFS(Lektionen[[#This Row],[Bearbeitungsdauer_abgewichen]]&gt;0.6,"viel länger",Lektionen[[#This Row],[Bearbeitungsdauer_abgewichen]]&gt;0.3,"länger",Lektionen[[#This Row],[Bearbeitungsdauer_abgewichen]]&lt;-0.3,"kürzer",TRUE,"keine Abweichung")</f>
        <v>keine Abweichung</v>
      </c>
      <c r="I568">
        <v>3</v>
      </c>
    </row>
    <row r="569" spans="1:9" hidden="1" x14ac:dyDescent="0.3">
      <c r="A569" s="13">
        <v>87</v>
      </c>
      <c r="B569" s="4">
        <v>8</v>
      </c>
      <c r="C569" t="s">
        <v>537</v>
      </c>
      <c r="D569" t="s">
        <v>527</v>
      </c>
      <c r="E569">
        <v>5</v>
      </c>
      <c r="F569">
        <v>6</v>
      </c>
      <c r="G569" s="8">
        <f>Lektionen[[#This Row],[Bearbeitungsdauer_real]]/Lektionen[[#This Row],[Bearbeitungsdauer_geschätzt]]-1</f>
        <v>0.19999999999999996</v>
      </c>
      <c r="H569" s="8" t="str" cm="1">
        <f t="array" ref="H569">_xlfn.IFS(Lektionen[[#This Row],[Bearbeitungsdauer_abgewichen]]&gt;0.6,"viel länger",Lektionen[[#This Row],[Bearbeitungsdauer_abgewichen]]&gt;0.3,"länger",Lektionen[[#This Row],[Bearbeitungsdauer_abgewichen]]&lt;-0.3,"kürzer",TRUE,"keine Abweichung")</f>
        <v>keine Abweichung</v>
      </c>
      <c r="I569">
        <v>1</v>
      </c>
    </row>
    <row r="570" spans="1:9" hidden="1" x14ac:dyDescent="0.3">
      <c r="A570" s="13">
        <v>88</v>
      </c>
      <c r="B570" s="4">
        <v>1</v>
      </c>
      <c r="C570" t="s">
        <v>526</v>
      </c>
      <c r="D570" t="s">
        <v>527</v>
      </c>
      <c r="E570">
        <v>4</v>
      </c>
      <c r="F570">
        <v>4</v>
      </c>
      <c r="G570" s="8">
        <f>Lektionen[[#This Row],[Bearbeitungsdauer_real]]/Lektionen[[#This Row],[Bearbeitungsdauer_geschätzt]]-1</f>
        <v>0</v>
      </c>
      <c r="H570" s="8" t="str" cm="1">
        <f t="array" ref="H570">_xlfn.IFS(Lektionen[[#This Row],[Bearbeitungsdauer_abgewichen]]&gt;0.6,"viel länger",Lektionen[[#This Row],[Bearbeitungsdauer_abgewichen]]&gt;0.3,"länger",Lektionen[[#This Row],[Bearbeitungsdauer_abgewichen]]&lt;-0.3,"kürzer",TRUE,"keine Abweichung")</f>
        <v>keine Abweichung</v>
      </c>
      <c r="I570">
        <v>2</v>
      </c>
    </row>
    <row r="571" spans="1:9" hidden="1" x14ac:dyDescent="0.3">
      <c r="A571" s="13">
        <v>88</v>
      </c>
      <c r="B571" s="4">
        <v>2</v>
      </c>
      <c r="C571" t="s">
        <v>528</v>
      </c>
      <c r="D571" t="s">
        <v>529</v>
      </c>
      <c r="E571">
        <v>15</v>
      </c>
      <c r="F571">
        <v>20</v>
      </c>
      <c r="G571" s="8">
        <f>Lektionen[[#This Row],[Bearbeitungsdauer_real]]/Lektionen[[#This Row],[Bearbeitungsdauer_geschätzt]]-1</f>
        <v>0.33333333333333326</v>
      </c>
      <c r="H571" s="8" t="str" cm="1">
        <f t="array" ref="H571">_xlfn.IFS(Lektionen[[#This Row],[Bearbeitungsdauer_abgewichen]]&gt;0.6,"viel länger",Lektionen[[#This Row],[Bearbeitungsdauer_abgewichen]]&gt;0.3,"länger",Lektionen[[#This Row],[Bearbeitungsdauer_abgewichen]]&lt;-0.3,"kürzer",TRUE,"keine Abweichung")</f>
        <v>länger</v>
      </c>
      <c r="I571">
        <v>2</v>
      </c>
    </row>
    <row r="572" spans="1:9" hidden="1" x14ac:dyDescent="0.3">
      <c r="A572" s="13">
        <v>88</v>
      </c>
      <c r="B572" s="4">
        <v>3</v>
      </c>
      <c r="C572" t="s">
        <v>552</v>
      </c>
      <c r="D572" t="s">
        <v>530</v>
      </c>
      <c r="E572">
        <v>30</v>
      </c>
      <c r="F572">
        <v>30</v>
      </c>
      <c r="G572" s="8">
        <f>Lektionen[[#This Row],[Bearbeitungsdauer_real]]/Lektionen[[#This Row],[Bearbeitungsdauer_geschätzt]]-1</f>
        <v>0</v>
      </c>
      <c r="H572" s="8" t="str" cm="1">
        <f t="array" ref="H572">_xlfn.IFS(Lektionen[[#This Row],[Bearbeitungsdauer_abgewichen]]&gt;0.6,"viel länger",Lektionen[[#This Row],[Bearbeitungsdauer_abgewichen]]&gt;0.3,"länger",Lektionen[[#This Row],[Bearbeitungsdauer_abgewichen]]&lt;-0.3,"kürzer",TRUE,"keine Abweichung")</f>
        <v>keine Abweichung</v>
      </c>
      <c r="I572">
        <v>3</v>
      </c>
    </row>
    <row r="573" spans="1:9" hidden="1" x14ac:dyDescent="0.3">
      <c r="A573" s="13">
        <v>88</v>
      </c>
      <c r="B573" s="4">
        <v>4</v>
      </c>
      <c r="C573" t="s">
        <v>531</v>
      </c>
      <c r="D573" t="s">
        <v>530</v>
      </c>
      <c r="E573">
        <v>30</v>
      </c>
      <c r="F573">
        <v>27</v>
      </c>
      <c r="G573" s="8">
        <f>Lektionen[[#This Row],[Bearbeitungsdauer_real]]/Lektionen[[#This Row],[Bearbeitungsdauer_geschätzt]]-1</f>
        <v>-9.9999999999999978E-2</v>
      </c>
      <c r="H573" s="8" t="str" cm="1">
        <f t="array" ref="H573">_xlfn.IFS(Lektionen[[#This Row],[Bearbeitungsdauer_abgewichen]]&gt;0.6,"viel länger",Lektionen[[#This Row],[Bearbeitungsdauer_abgewichen]]&gt;0.3,"länger",Lektionen[[#This Row],[Bearbeitungsdauer_abgewichen]]&lt;-0.3,"kürzer",TRUE,"keine Abweichung")</f>
        <v>keine Abweichung</v>
      </c>
      <c r="I573">
        <v>3</v>
      </c>
    </row>
    <row r="574" spans="1:9" x14ac:dyDescent="0.3">
      <c r="A574" s="13">
        <v>88</v>
      </c>
      <c r="B574" s="4">
        <v>5</v>
      </c>
      <c r="C574" t="s">
        <v>532</v>
      </c>
      <c r="D574" t="s">
        <v>530</v>
      </c>
      <c r="E574">
        <v>30</v>
      </c>
      <c r="F574">
        <v>45</v>
      </c>
      <c r="G574" s="8">
        <f>Lektionen[[#This Row],[Bearbeitungsdauer_real]]/Lektionen[[#This Row],[Bearbeitungsdauer_geschätzt]]-1</f>
        <v>0.5</v>
      </c>
      <c r="H574" s="8" t="str" cm="1">
        <f t="array" ref="H574">_xlfn.IFS(Lektionen[[#This Row],[Bearbeitungsdauer_abgewichen]]&gt;0.6,"viel länger",Lektionen[[#This Row],[Bearbeitungsdauer_abgewichen]]&gt;0.3,"länger",Lektionen[[#This Row],[Bearbeitungsdauer_abgewichen]]&lt;-0.3,"kürzer",TRUE,"keine Abweichung")</f>
        <v>länger</v>
      </c>
      <c r="I574">
        <v>4</v>
      </c>
    </row>
    <row r="575" spans="1:9" hidden="1" x14ac:dyDescent="0.3">
      <c r="A575" s="13">
        <v>88</v>
      </c>
      <c r="B575" s="4">
        <v>6</v>
      </c>
      <c r="C575" t="s">
        <v>533</v>
      </c>
      <c r="D575" t="s">
        <v>534</v>
      </c>
      <c r="E575">
        <v>5</v>
      </c>
      <c r="F575">
        <v>3</v>
      </c>
      <c r="G575" s="8">
        <f>Lektionen[[#This Row],[Bearbeitungsdauer_real]]/Lektionen[[#This Row],[Bearbeitungsdauer_geschätzt]]-1</f>
        <v>-0.4</v>
      </c>
      <c r="H575" s="8" t="str" cm="1">
        <f t="array" ref="H575">_xlfn.IFS(Lektionen[[#This Row],[Bearbeitungsdauer_abgewichen]]&gt;0.6,"viel länger",Lektionen[[#This Row],[Bearbeitungsdauer_abgewichen]]&gt;0.3,"länger",Lektionen[[#This Row],[Bearbeitungsdauer_abgewichen]]&lt;-0.3,"kürzer",TRUE,"keine Abweichung")</f>
        <v>kürzer</v>
      </c>
      <c r="I575">
        <v>1</v>
      </c>
    </row>
    <row r="576" spans="1:9" hidden="1" x14ac:dyDescent="0.3">
      <c r="A576" s="13">
        <v>88</v>
      </c>
      <c r="B576" s="4">
        <v>7</v>
      </c>
      <c r="C576" t="s">
        <v>535</v>
      </c>
      <c r="D576" t="s">
        <v>536</v>
      </c>
      <c r="E576">
        <v>10</v>
      </c>
      <c r="F576">
        <v>8</v>
      </c>
      <c r="G576" s="8">
        <f>Lektionen[[#This Row],[Bearbeitungsdauer_real]]/Lektionen[[#This Row],[Bearbeitungsdauer_geschätzt]]-1</f>
        <v>-0.19999999999999996</v>
      </c>
      <c r="H576" s="8" t="str" cm="1">
        <f t="array" ref="H576">_xlfn.IFS(Lektionen[[#This Row],[Bearbeitungsdauer_abgewichen]]&gt;0.6,"viel länger",Lektionen[[#This Row],[Bearbeitungsdauer_abgewichen]]&gt;0.3,"länger",Lektionen[[#This Row],[Bearbeitungsdauer_abgewichen]]&lt;-0.3,"kürzer",TRUE,"keine Abweichung")</f>
        <v>keine Abweichung</v>
      </c>
      <c r="I576">
        <v>3</v>
      </c>
    </row>
    <row r="577" spans="1:9" hidden="1" x14ac:dyDescent="0.3">
      <c r="A577" s="13">
        <v>88</v>
      </c>
      <c r="B577" s="4">
        <v>8</v>
      </c>
      <c r="C577" t="s">
        <v>537</v>
      </c>
      <c r="D577" t="s">
        <v>527</v>
      </c>
      <c r="E577">
        <v>5</v>
      </c>
      <c r="F577">
        <v>6</v>
      </c>
      <c r="G577" s="8">
        <f>Lektionen[[#This Row],[Bearbeitungsdauer_real]]/Lektionen[[#This Row],[Bearbeitungsdauer_geschätzt]]-1</f>
        <v>0.19999999999999996</v>
      </c>
      <c r="H577" s="8" t="str" cm="1">
        <f t="array" ref="H577">_xlfn.IFS(Lektionen[[#This Row],[Bearbeitungsdauer_abgewichen]]&gt;0.6,"viel länger",Lektionen[[#This Row],[Bearbeitungsdauer_abgewichen]]&gt;0.3,"länger",Lektionen[[#This Row],[Bearbeitungsdauer_abgewichen]]&lt;-0.3,"kürzer",TRUE,"keine Abweichung")</f>
        <v>keine Abweichung</v>
      </c>
      <c r="I577">
        <v>1</v>
      </c>
    </row>
    <row r="578" spans="1:9" hidden="1" x14ac:dyDescent="0.3">
      <c r="A578" s="13">
        <v>89</v>
      </c>
      <c r="B578" s="4">
        <v>1</v>
      </c>
      <c r="C578" t="s">
        <v>526</v>
      </c>
      <c r="D578" t="s">
        <v>527</v>
      </c>
      <c r="E578">
        <v>4</v>
      </c>
      <c r="F578">
        <v>4</v>
      </c>
      <c r="G578" s="8">
        <f>Lektionen[[#This Row],[Bearbeitungsdauer_real]]/Lektionen[[#This Row],[Bearbeitungsdauer_geschätzt]]-1</f>
        <v>0</v>
      </c>
      <c r="H578" s="8" t="str" cm="1">
        <f t="array" ref="H578">_xlfn.IFS(Lektionen[[#This Row],[Bearbeitungsdauer_abgewichen]]&gt;0.6,"viel länger",Lektionen[[#This Row],[Bearbeitungsdauer_abgewichen]]&gt;0.3,"länger",Lektionen[[#This Row],[Bearbeitungsdauer_abgewichen]]&lt;-0.3,"kürzer",TRUE,"keine Abweichung")</f>
        <v>keine Abweichung</v>
      </c>
      <c r="I578">
        <v>1</v>
      </c>
    </row>
    <row r="579" spans="1:9" hidden="1" x14ac:dyDescent="0.3">
      <c r="A579" s="13">
        <v>89</v>
      </c>
      <c r="B579" s="4">
        <v>2</v>
      </c>
      <c r="C579" t="s">
        <v>528</v>
      </c>
      <c r="D579" t="s">
        <v>529</v>
      </c>
      <c r="E579">
        <v>15</v>
      </c>
      <c r="F579">
        <v>16</v>
      </c>
      <c r="G579" s="8">
        <f>Lektionen[[#This Row],[Bearbeitungsdauer_real]]/Lektionen[[#This Row],[Bearbeitungsdauer_geschätzt]]-1</f>
        <v>6.6666666666666652E-2</v>
      </c>
      <c r="H579" s="8" t="str" cm="1">
        <f t="array" ref="H579">_xlfn.IFS(Lektionen[[#This Row],[Bearbeitungsdauer_abgewichen]]&gt;0.6,"viel länger",Lektionen[[#This Row],[Bearbeitungsdauer_abgewichen]]&gt;0.3,"länger",Lektionen[[#This Row],[Bearbeitungsdauer_abgewichen]]&lt;-0.3,"kürzer",TRUE,"keine Abweichung")</f>
        <v>keine Abweichung</v>
      </c>
      <c r="I579">
        <v>2</v>
      </c>
    </row>
    <row r="580" spans="1:9" hidden="1" x14ac:dyDescent="0.3">
      <c r="A580" s="13">
        <v>89</v>
      </c>
      <c r="B580" s="4">
        <v>3</v>
      </c>
      <c r="C580" t="s">
        <v>552</v>
      </c>
      <c r="D580" t="s">
        <v>530</v>
      </c>
      <c r="E580">
        <v>30</v>
      </c>
      <c r="F580">
        <v>28</v>
      </c>
      <c r="G580" s="8">
        <f>Lektionen[[#This Row],[Bearbeitungsdauer_real]]/Lektionen[[#This Row],[Bearbeitungsdauer_geschätzt]]-1</f>
        <v>-6.6666666666666652E-2</v>
      </c>
      <c r="H580" s="8" t="str" cm="1">
        <f t="array" ref="H580">_xlfn.IFS(Lektionen[[#This Row],[Bearbeitungsdauer_abgewichen]]&gt;0.6,"viel länger",Lektionen[[#This Row],[Bearbeitungsdauer_abgewichen]]&gt;0.3,"länger",Lektionen[[#This Row],[Bearbeitungsdauer_abgewichen]]&lt;-0.3,"kürzer",TRUE,"keine Abweichung")</f>
        <v>keine Abweichung</v>
      </c>
      <c r="I580">
        <v>3</v>
      </c>
    </row>
    <row r="581" spans="1:9" hidden="1" x14ac:dyDescent="0.3">
      <c r="A581" s="13">
        <v>89</v>
      </c>
      <c r="B581" s="4">
        <v>4</v>
      </c>
      <c r="C581" t="s">
        <v>531</v>
      </c>
      <c r="D581" t="s">
        <v>530</v>
      </c>
      <c r="E581">
        <v>30</v>
      </c>
      <c r="F581">
        <v>27</v>
      </c>
      <c r="G581" s="8">
        <f>Lektionen[[#This Row],[Bearbeitungsdauer_real]]/Lektionen[[#This Row],[Bearbeitungsdauer_geschätzt]]-1</f>
        <v>-9.9999999999999978E-2</v>
      </c>
      <c r="H581" s="8" t="str" cm="1">
        <f t="array" ref="H581">_xlfn.IFS(Lektionen[[#This Row],[Bearbeitungsdauer_abgewichen]]&gt;0.6,"viel länger",Lektionen[[#This Row],[Bearbeitungsdauer_abgewichen]]&gt;0.3,"länger",Lektionen[[#This Row],[Bearbeitungsdauer_abgewichen]]&lt;-0.3,"kürzer",TRUE,"keine Abweichung")</f>
        <v>keine Abweichung</v>
      </c>
      <c r="I581">
        <v>3</v>
      </c>
    </row>
    <row r="582" spans="1:9" x14ac:dyDescent="0.3">
      <c r="A582" s="13">
        <v>89</v>
      </c>
      <c r="B582" s="4">
        <v>5</v>
      </c>
      <c r="C582" t="s">
        <v>532</v>
      </c>
      <c r="D582" t="s">
        <v>530</v>
      </c>
      <c r="E582">
        <v>30</v>
      </c>
      <c r="F582">
        <v>37</v>
      </c>
      <c r="G582" s="8">
        <f>Lektionen[[#This Row],[Bearbeitungsdauer_real]]/Lektionen[[#This Row],[Bearbeitungsdauer_geschätzt]]-1</f>
        <v>0.23333333333333339</v>
      </c>
      <c r="H582" s="8" t="str" cm="1">
        <f t="array" ref="H582">_xlfn.IFS(Lektionen[[#This Row],[Bearbeitungsdauer_abgewichen]]&gt;0.6,"viel länger",Lektionen[[#This Row],[Bearbeitungsdauer_abgewichen]]&gt;0.3,"länger",Lektionen[[#This Row],[Bearbeitungsdauer_abgewichen]]&lt;-0.3,"kürzer",TRUE,"keine Abweichung")</f>
        <v>keine Abweichung</v>
      </c>
      <c r="I582">
        <v>4</v>
      </c>
    </row>
    <row r="583" spans="1:9" hidden="1" x14ac:dyDescent="0.3">
      <c r="A583" s="13">
        <v>89</v>
      </c>
      <c r="B583" s="4">
        <v>6</v>
      </c>
      <c r="C583" t="s">
        <v>533</v>
      </c>
      <c r="D583" t="s">
        <v>534</v>
      </c>
      <c r="E583">
        <v>5</v>
      </c>
      <c r="F583">
        <v>3</v>
      </c>
      <c r="G583" s="8">
        <f>Lektionen[[#This Row],[Bearbeitungsdauer_real]]/Lektionen[[#This Row],[Bearbeitungsdauer_geschätzt]]-1</f>
        <v>-0.4</v>
      </c>
      <c r="H583" s="8" t="str" cm="1">
        <f t="array" ref="H583">_xlfn.IFS(Lektionen[[#This Row],[Bearbeitungsdauer_abgewichen]]&gt;0.6,"viel länger",Lektionen[[#This Row],[Bearbeitungsdauer_abgewichen]]&gt;0.3,"länger",Lektionen[[#This Row],[Bearbeitungsdauer_abgewichen]]&lt;-0.3,"kürzer",TRUE,"keine Abweichung")</f>
        <v>kürzer</v>
      </c>
      <c r="I583">
        <v>2</v>
      </c>
    </row>
    <row r="584" spans="1:9" hidden="1" x14ac:dyDescent="0.3">
      <c r="A584" s="13">
        <v>89</v>
      </c>
      <c r="B584" s="4">
        <v>7</v>
      </c>
      <c r="C584" t="s">
        <v>535</v>
      </c>
      <c r="D584" t="s">
        <v>536</v>
      </c>
      <c r="E584">
        <v>10</v>
      </c>
      <c r="F584">
        <v>8</v>
      </c>
      <c r="G584" s="8">
        <f>Lektionen[[#This Row],[Bearbeitungsdauer_real]]/Lektionen[[#This Row],[Bearbeitungsdauer_geschätzt]]-1</f>
        <v>-0.19999999999999996</v>
      </c>
      <c r="H584" s="8" t="str" cm="1">
        <f t="array" ref="H584">_xlfn.IFS(Lektionen[[#This Row],[Bearbeitungsdauer_abgewichen]]&gt;0.6,"viel länger",Lektionen[[#This Row],[Bearbeitungsdauer_abgewichen]]&gt;0.3,"länger",Lektionen[[#This Row],[Bearbeitungsdauer_abgewichen]]&lt;-0.3,"kürzer",TRUE,"keine Abweichung")</f>
        <v>keine Abweichung</v>
      </c>
      <c r="I584">
        <v>3</v>
      </c>
    </row>
    <row r="585" spans="1:9" hidden="1" x14ac:dyDescent="0.3">
      <c r="A585" s="13">
        <v>89</v>
      </c>
      <c r="B585" s="4">
        <v>8</v>
      </c>
      <c r="C585" t="s">
        <v>537</v>
      </c>
      <c r="D585" t="s">
        <v>527</v>
      </c>
      <c r="E585">
        <v>5</v>
      </c>
      <c r="F585">
        <v>9</v>
      </c>
      <c r="G585" s="8">
        <f>Lektionen[[#This Row],[Bearbeitungsdauer_real]]/Lektionen[[#This Row],[Bearbeitungsdauer_geschätzt]]-1</f>
        <v>0.8</v>
      </c>
      <c r="H585" s="8" t="str" cm="1">
        <f t="array" ref="H585">_xlfn.IFS(Lektionen[[#This Row],[Bearbeitungsdauer_abgewichen]]&gt;0.6,"viel länger",Lektionen[[#This Row],[Bearbeitungsdauer_abgewichen]]&gt;0.3,"länger",Lektionen[[#This Row],[Bearbeitungsdauer_abgewichen]]&lt;-0.3,"kürzer",TRUE,"keine Abweichung")</f>
        <v>viel länger</v>
      </c>
      <c r="I585">
        <v>1</v>
      </c>
    </row>
    <row r="586" spans="1:9" hidden="1" x14ac:dyDescent="0.3">
      <c r="A586" s="13">
        <v>90</v>
      </c>
      <c r="B586" s="4">
        <v>1</v>
      </c>
      <c r="C586" t="s">
        <v>526</v>
      </c>
      <c r="D586" t="s">
        <v>527</v>
      </c>
      <c r="E586">
        <v>4</v>
      </c>
      <c r="F586">
        <v>4</v>
      </c>
      <c r="G586" s="8">
        <f>Lektionen[[#This Row],[Bearbeitungsdauer_real]]/Lektionen[[#This Row],[Bearbeitungsdauer_geschätzt]]-1</f>
        <v>0</v>
      </c>
      <c r="H586" s="8" t="str" cm="1">
        <f t="array" ref="H586">_xlfn.IFS(Lektionen[[#This Row],[Bearbeitungsdauer_abgewichen]]&gt;0.6,"viel länger",Lektionen[[#This Row],[Bearbeitungsdauer_abgewichen]]&gt;0.3,"länger",Lektionen[[#This Row],[Bearbeitungsdauer_abgewichen]]&lt;-0.3,"kürzer",TRUE,"keine Abweichung")</f>
        <v>keine Abweichung</v>
      </c>
      <c r="I586">
        <v>1</v>
      </c>
    </row>
    <row r="587" spans="1:9" hidden="1" x14ac:dyDescent="0.3">
      <c r="A587" s="13">
        <v>90</v>
      </c>
      <c r="B587" s="4">
        <v>2</v>
      </c>
      <c r="C587" t="s">
        <v>528</v>
      </c>
      <c r="D587" t="s">
        <v>529</v>
      </c>
      <c r="E587">
        <v>15</v>
      </c>
      <c r="F587">
        <v>21</v>
      </c>
      <c r="G587" s="8">
        <f>Lektionen[[#This Row],[Bearbeitungsdauer_real]]/Lektionen[[#This Row],[Bearbeitungsdauer_geschätzt]]-1</f>
        <v>0.39999999999999991</v>
      </c>
      <c r="H587" s="8" t="str" cm="1">
        <f t="array" ref="H587">_xlfn.IFS(Lektionen[[#This Row],[Bearbeitungsdauer_abgewichen]]&gt;0.6,"viel länger",Lektionen[[#This Row],[Bearbeitungsdauer_abgewichen]]&gt;0.3,"länger",Lektionen[[#This Row],[Bearbeitungsdauer_abgewichen]]&lt;-0.3,"kürzer",TRUE,"keine Abweichung")</f>
        <v>länger</v>
      </c>
      <c r="I587">
        <v>2</v>
      </c>
    </row>
    <row r="588" spans="1:9" hidden="1" x14ac:dyDescent="0.3">
      <c r="A588" s="13">
        <v>90</v>
      </c>
      <c r="B588" s="4">
        <v>3</v>
      </c>
      <c r="C588" t="s">
        <v>552</v>
      </c>
      <c r="D588" t="s">
        <v>530</v>
      </c>
      <c r="E588">
        <v>30</v>
      </c>
      <c r="F588">
        <v>29</v>
      </c>
      <c r="G588" s="8">
        <f>Lektionen[[#This Row],[Bearbeitungsdauer_real]]/Lektionen[[#This Row],[Bearbeitungsdauer_geschätzt]]-1</f>
        <v>-3.3333333333333326E-2</v>
      </c>
      <c r="H588" s="8" t="str" cm="1">
        <f t="array" ref="H588">_xlfn.IFS(Lektionen[[#This Row],[Bearbeitungsdauer_abgewichen]]&gt;0.6,"viel länger",Lektionen[[#This Row],[Bearbeitungsdauer_abgewichen]]&gt;0.3,"länger",Lektionen[[#This Row],[Bearbeitungsdauer_abgewichen]]&lt;-0.3,"kürzer",TRUE,"keine Abweichung")</f>
        <v>keine Abweichung</v>
      </c>
      <c r="I588">
        <v>3</v>
      </c>
    </row>
    <row r="589" spans="1:9" hidden="1" x14ac:dyDescent="0.3">
      <c r="A589" s="13">
        <v>90</v>
      </c>
      <c r="B589" s="4">
        <v>4</v>
      </c>
      <c r="C589" t="s">
        <v>531</v>
      </c>
      <c r="D589" t="s">
        <v>530</v>
      </c>
      <c r="E589">
        <v>30</v>
      </c>
      <c r="F589">
        <v>27</v>
      </c>
      <c r="G589" s="8">
        <f>Lektionen[[#This Row],[Bearbeitungsdauer_real]]/Lektionen[[#This Row],[Bearbeitungsdauer_geschätzt]]-1</f>
        <v>-9.9999999999999978E-2</v>
      </c>
      <c r="H589" s="8" t="str" cm="1">
        <f t="array" ref="H589">_xlfn.IFS(Lektionen[[#This Row],[Bearbeitungsdauer_abgewichen]]&gt;0.6,"viel länger",Lektionen[[#This Row],[Bearbeitungsdauer_abgewichen]]&gt;0.3,"länger",Lektionen[[#This Row],[Bearbeitungsdauer_abgewichen]]&lt;-0.3,"kürzer",TRUE,"keine Abweichung")</f>
        <v>keine Abweichung</v>
      </c>
      <c r="I589">
        <v>3</v>
      </c>
    </row>
    <row r="590" spans="1:9" x14ac:dyDescent="0.3">
      <c r="A590" s="13">
        <v>90</v>
      </c>
      <c r="B590" s="4">
        <v>5</v>
      </c>
      <c r="C590" t="s">
        <v>532</v>
      </c>
      <c r="D590" t="s">
        <v>530</v>
      </c>
      <c r="E590">
        <v>30</v>
      </c>
      <c r="F590">
        <v>52</v>
      </c>
      <c r="G590" s="8">
        <f>Lektionen[[#This Row],[Bearbeitungsdauer_real]]/Lektionen[[#This Row],[Bearbeitungsdauer_geschätzt]]-1</f>
        <v>0.73333333333333339</v>
      </c>
      <c r="H590" s="8" t="str" cm="1">
        <f t="array" ref="H590">_xlfn.IFS(Lektionen[[#This Row],[Bearbeitungsdauer_abgewichen]]&gt;0.6,"viel länger",Lektionen[[#This Row],[Bearbeitungsdauer_abgewichen]]&gt;0.3,"länger",Lektionen[[#This Row],[Bearbeitungsdauer_abgewichen]]&lt;-0.3,"kürzer",TRUE,"keine Abweichung")</f>
        <v>viel länger</v>
      </c>
      <c r="I590">
        <v>3</v>
      </c>
    </row>
    <row r="591" spans="1:9" hidden="1" x14ac:dyDescent="0.3">
      <c r="A591" s="13">
        <v>90</v>
      </c>
      <c r="B591" s="4">
        <v>6</v>
      </c>
      <c r="C591" t="s">
        <v>533</v>
      </c>
      <c r="D591" t="s">
        <v>534</v>
      </c>
      <c r="E591">
        <v>5</v>
      </c>
      <c r="F591">
        <v>2</v>
      </c>
      <c r="G591" s="8">
        <f>Lektionen[[#This Row],[Bearbeitungsdauer_real]]/Lektionen[[#This Row],[Bearbeitungsdauer_geschätzt]]-1</f>
        <v>-0.6</v>
      </c>
      <c r="H591" s="8" t="str" cm="1">
        <f t="array" ref="H591">_xlfn.IFS(Lektionen[[#This Row],[Bearbeitungsdauer_abgewichen]]&gt;0.6,"viel länger",Lektionen[[#This Row],[Bearbeitungsdauer_abgewichen]]&gt;0.3,"länger",Lektionen[[#This Row],[Bearbeitungsdauer_abgewichen]]&lt;-0.3,"kürzer",TRUE,"keine Abweichung")</f>
        <v>kürzer</v>
      </c>
      <c r="I591">
        <v>1</v>
      </c>
    </row>
    <row r="592" spans="1:9" hidden="1" x14ac:dyDescent="0.3">
      <c r="A592" s="13">
        <v>90</v>
      </c>
      <c r="B592" s="4">
        <v>7</v>
      </c>
      <c r="C592" t="s">
        <v>535</v>
      </c>
      <c r="D592" t="s">
        <v>536</v>
      </c>
      <c r="E592">
        <v>10</v>
      </c>
      <c r="F592">
        <v>8</v>
      </c>
      <c r="G592" s="8">
        <f>Lektionen[[#This Row],[Bearbeitungsdauer_real]]/Lektionen[[#This Row],[Bearbeitungsdauer_geschätzt]]-1</f>
        <v>-0.19999999999999996</v>
      </c>
      <c r="H592" s="8" t="str" cm="1">
        <f t="array" ref="H592">_xlfn.IFS(Lektionen[[#This Row],[Bearbeitungsdauer_abgewichen]]&gt;0.6,"viel länger",Lektionen[[#This Row],[Bearbeitungsdauer_abgewichen]]&gt;0.3,"länger",Lektionen[[#This Row],[Bearbeitungsdauer_abgewichen]]&lt;-0.3,"kürzer",TRUE,"keine Abweichung")</f>
        <v>keine Abweichung</v>
      </c>
      <c r="I592">
        <v>3</v>
      </c>
    </row>
    <row r="593" spans="1:9" hidden="1" x14ac:dyDescent="0.3">
      <c r="A593" s="13">
        <v>90</v>
      </c>
      <c r="B593" s="4">
        <v>8</v>
      </c>
      <c r="C593" t="s">
        <v>537</v>
      </c>
      <c r="D593" t="s">
        <v>527</v>
      </c>
      <c r="E593">
        <v>5</v>
      </c>
      <c r="F593">
        <v>5</v>
      </c>
      <c r="G593" s="8">
        <f>Lektionen[[#This Row],[Bearbeitungsdauer_real]]/Lektionen[[#This Row],[Bearbeitungsdauer_geschätzt]]-1</f>
        <v>0</v>
      </c>
      <c r="H593" s="8" t="str" cm="1">
        <f t="array" ref="H593">_xlfn.IFS(Lektionen[[#This Row],[Bearbeitungsdauer_abgewichen]]&gt;0.6,"viel länger",Lektionen[[#This Row],[Bearbeitungsdauer_abgewichen]]&gt;0.3,"länger",Lektionen[[#This Row],[Bearbeitungsdauer_abgewichen]]&lt;-0.3,"kürzer",TRUE,"keine Abweichung")</f>
        <v>keine Abweichung</v>
      </c>
      <c r="I593">
        <v>1</v>
      </c>
    </row>
    <row r="594" spans="1:9" hidden="1" x14ac:dyDescent="0.3">
      <c r="A594" s="13">
        <v>91</v>
      </c>
      <c r="B594" s="4">
        <v>1</v>
      </c>
      <c r="C594" t="s">
        <v>526</v>
      </c>
      <c r="D594" t="s">
        <v>527</v>
      </c>
      <c r="E594">
        <v>4</v>
      </c>
      <c r="F594">
        <v>4</v>
      </c>
      <c r="G594" s="8">
        <f>Lektionen[[#This Row],[Bearbeitungsdauer_real]]/Lektionen[[#This Row],[Bearbeitungsdauer_geschätzt]]-1</f>
        <v>0</v>
      </c>
      <c r="H594" s="8" t="str" cm="1">
        <f t="array" ref="H594">_xlfn.IFS(Lektionen[[#This Row],[Bearbeitungsdauer_abgewichen]]&gt;0.6,"viel länger",Lektionen[[#This Row],[Bearbeitungsdauer_abgewichen]]&gt;0.3,"länger",Lektionen[[#This Row],[Bearbeitungsdauer_abgewichen]]&lt;-0.3,"kürzer",TRUE,"keine Abweichung")</f>
        <v>keine Abweichung</v>
      </c>
      <c r="I594">
        <v>1</v>
      </c>
    </row>
    <row r="595" spans="1:9" hidden="1" x14ac:dyDescent="0.3">
      <c r="A595" s="13">
        <v>91</v>
      </c>
      <c r="B595" s="4">
        <v>2</v>
      </c>
      <c r="C595" t="s">
        <v>528</v>
      </c>
      <c r="D595" t="s">
        <v>529</v>
      </c>
      <c r="E595">
        <v>15</v>
      </c>
      <c r="F595">
        <v>18</v>
      </c>
      <c r="G595" s="8">
        <f>Lektionen[[#This Row],[Bearbeitungsdauer_real]]/Lektionen[[#This Row],[Bearbeitungsdauer_geschätzt]]-1</f>
        <v>0.19999999999999996</v>
      </c>
      <c r="H595" s="8" t="str" cm="1">
        <f t="array" ref="H595">_xlfn.IFS(Lektionen[[#This Row],[Bearbeitungsdauer_abgewichen]]&gt;0.6,"viel länger",Lektionen[[#This Row],[Bearbeitungsdauer_abgewichen]]&gt;0.3,"länger",Lektionen[[#This Row],[Bearbeitungsdauer_abgewichen]]&lt;-0.3,"kürzer",TRUE,"keine Abweichung")</f>
        <v>keine Abweichung</v>
      </c>
      <c r="I595">
        <v>1</v>
      </c>
    </row>
    <row r="596" spans="1:9" hidden="1" x14ac:dyDescent="0.3">
      <c r="A596" s="13">
        <v>91</v>
      </c>
      <c r="B596" s="4">
        <v>3</v>
      </c>
      <c r="C596" t="s">
        <v>552</v>
      </c>
      <c r="D596" t="s">
        <v>530</v>
      </c>
      <c r="E596">
        <v>30</v>
      </c>
      <c r="F596">
        <v>30</v>
      </c>
      <c r="G596" s="8">
        <f>Lektionen[[#This Row],[Bearbeitungsdauer_real]]/Lektionen[[#This Row],[Bearbeitungsdauer_geschätzt]]-1</f>
        <v>0</v>
      </c>
      <c r="H596" s="8" t="str" cm="1">
        <f t="array" ref="H596">_xlfn.IFS(Lektionen[[#This Row],[Bearbeitungsdauer_abgewichen]]&gt;0.6,"viel länger",Lektionen[[#This Row],[Bearbeitungsdauer_abgewichen]]&gt;0.3,"länger",Lektionen[[#This Row],[Bearbeitungsdauer_abgewichen]]&lt;-0.3,"kürzer",TRUE,"keine Abweichung")</f>
        <v>keine Abweichung</v>
      </c>
      <c r="I596">
        <v>2</v>
      </c>
    </row>
    <row r="597" spans="1:9" hidden="1" x14ac:dyDescent="0.3">
      <c r="A597" s="13">
        <v>91</v>
      </c>
      <c r="B597" s="4">
        <v>4</v>
      </c>
      <c r="C597" t="s">
        <v>531</v>
      </c>
      <c r="D597" t="s">
        <v>530</v>
      </c>
      <c r="E597">
        <v>30</v>
      </c>
      <c r="F597">
        <v>30</v>
      </c>
      <c r="G597" s="8">
        <f>Lektionen[[#This Row],[Bearbeitungsdauer_real]]/Lektionen[[#This Row],[Bearbeitungsdauer_geschätzt]]-1</f>
        <v>0</v>
      </c>
      <c r="H597" s="8" t="str" cm="1">
        <f t="array" ref="H597">_xlfn.IFS(Lektionen[[#This Row],[Bearbeitungsdauer_abgewichen]]&gt;0.6,"viel länger",Lektionen[[#This Row],[Bearbeitungsdauer_abgewichen]]&gt;0.3,"länger",Lektionen[[#This Row],[Bearbeitungsdauer_abgewichen]]&lt;-0.3,"kürzer",TRUE,"keine Abweichung")</f>
        <v>keine Abweichung</v>
      </c>
      <c r="I597">
        <v>3</v>
      </c>
    </row>
    <row r="598" spans="1:9" x14ac:dyDescent="0.3">
      <c r="A598" s="13">
        <v>91</v>
      </c>
      <c r="B598" s="4">
        <v>5</v>
      </c>
      <c r="C598" t="s">
        <v>532</v>
      </c>
      <c r="D598" t="s">
        <v>530</v>
      </c>
      <c r="E598">
        <v>30</v>
      </c>
      <c r="F598">
        <v>40</v>
      </c>
      <c r="G598" s="8">
        <f>Lektionen[[#This Row],[Bearbeitungsdauer_real]]/Lektionen[[#This Row],[Bearbeitungsdauer_geschätzt]]-1</f>
        <v>0.33333333333333326</v>
      </c>
      <c r="H598" s="8" t="str" cm="1">
        <f t="array" ref="H598">_xlfn.IFS(Lektionen[[#This Row],[Bearbeitungsdauer_abgewichen]]&gt;0.6,"viel länger",Lektionen[[#This Row],[Bearbeitungsdauer_abgewichen]]&gt;0.3,"länger",Lektionen[[#This Row],[Bearbeitungsdauer_abgewichen]]&lt;-0.3,"kürzer",TRUE,"keine Abweichung")</f>
        <v>länger</v>
      </c>
      <c r="I598">
        <v>4</v>
      </c>
    </row>
    <row r="599" spans="1:9" hidden="1" x14ac:dyDescent="0.3">
      <c r="A599" s="13">
        <v>91</v>
      </c>
      <c r="B599" s="4">
        <v>6</v>
      </c>
      <c r="C599" t="s">
        <v>533</v>
      </c>
      <c r="D599" t="s">
        <v>534</v>
      </c>
      <c r="E599">
        <v>5</v>
      </c>
      <c r="F599">
        <v>1</v>
      </c>
      <c r="G599" s="8">
        <f>Lektionen[[#This Row],[Bearbeitungsdauer_real]]/Lektionen[[#This Row],[Bearbeitungsdauer_geschätzt]]-1</f>
        <v>-0.8</v>
      </c>
      <c r="H599" s="8" t="str" cm="1">
        <f t="array" ref="H599">_xlfn.IFS(Lektionen[[#This Row],[Bearbeitungsdauer_abgewichen]]&gt;0.6,"viel länger",Lektionen[[#This Row],[Bearbeitungsdauer_abgewichen]]&gt;0.3,"länger",Lektionen[[#This Row],[Bearbeitungsdauer_abgewichen]]&lt;-0.3,"kürzer",TRUE,"keine Abweichung")</f>
        <v>kürzer</v>
      </c>
      <c r="I599">
        <v>2</v>
      </c>
    </row>
    <row r="600" spans="1:9" hidden="1" x14ac:dyDescent="0.3">
      <c r="A600" s="13">
        <v>91</v>
      </c>
      <c r="B600" s="4">
        <v>7</v>
      </c>
      <c r="C600" t="s">
        <v>535</v>
      </c>
      <c r="D600" t="s">
        <v>536</v>
      </c>
      <c r="E600">
        <v>10</v>
      </c>
      <c r="F600">
        <v>11</v>
      </c>
      <c r="G600" s="8">
        <f>Lektionen[[#This Row],[Bearbeitungsdauer_real]]/Lektionen[[#This Row],[Bearbeitungsdauer_geschätzt]]-1</f>
        <v>0.10000000000000009</v>
      </c>
      <c r="H600" s="8" t="str" cm="1">
        <f t="array" ref="H600">_xlfn.IFS(Lektionen[[#This Row],[Bearbeitungsdauer_abgewichen]]&gt;0.6,"viel länger",Lektionen[[#This Row],[Bearbeitungsdauer_abgewichen]]&gt;0.3,"länger",Lektionen[[#This Row],[Bearbeitungsdauer_abgewichen]]&lt;-0.3,"kürzer",TRUE,"keine Abweichung")</f>
        <v>keine Abweichung</v>
      </c>
      <c r="I600">
        <v>3</v>
      </c>
    </row>
    <row r="601" spans="1:9" hidden="1" x14ac:dyDescent="0.3">
      <c r="A601" s="13">
        <v>91</v>
      </c>
      <c r="B601" s="4">
        <v>8</v>
      </c>
      <c r="C601" t="s">
        <v>537</v>
      </c>
      <c r="D601" t="s">
        <v>527</v>
      </c>
      <c r="E601">
        <v>5</v>
      </c>
      <c r="F601">
        <v>5</v>
      </c>
      <c r="G601" s="8">
        <f>Lektionen[[#This Row],[Bearbeitungsdauer_real]]/Lektionen[[#This Row],[Bearbeitungsdauer_geschätzt]]-1</f>
        <v>0</v>
      </c>
      <c r="H601" s="8" t="str" cm="1">
        <f t="array" ref="H601">_xlfn.IFS(Lektionen[[#This Row],[Bearbeitungsdauer_abgewichen]]&gt;0.6,"viel länger",Lektionen[[#This Row],[Bearbeitungsdauer_abgewichen]]&gt;0.3,"länger",Lektionen[[#This Row],[Bearbeitungsdauer_abgewichen]]&lt;-0.3,"kürzer",TRUE,"keine Abweichung")</f>
        <v>keine Abweichung</v>
      </c>
      <c r="I601">
        <v>1</v>
      </c>
    </row>
    <row r="602" spans="1:9" hidden="1" x14ac:dyDescent="0.3">
      <c r="A602" s="13">
        <v>92</v>
      </c>
      <c r="B602" s="4">
        <v>1</v>
      </c>
      <c r="C602" t="s">
        <v>526</v>
      </c>
      <c r="D602" t="s">
        <v>527</v>
      </c>
      <c r="E602">
        <v>4</v>
      </c>
      <c r="F602">
        <v>4</v>
      </c>
      <c r="G602" s="8">
        <f>Lektionen[[#This Row],[Bearbeitungsdauer_real]]/Lektionen[[#This Row],[Bearbeitungsdauer_geschätzt]]-1</f>
        <v>0</v>
      </c>
      <c r="H602" s="8" t="str" cm="1">
        <f t="array" ref="H602">_xlfn.IFS(Lektionen[[#This Row],[Bearbeitungsdauer_abgewichen]]&gt;0.6,"viel länger",Lektionen[[#This Row],[Bearbeitungsdauer_abgewichen]]&gt;0.3,"länger",Lektionen[[#This Row],[Bearbeitungsdauer_abgewichen]]&lt;-0.3,"kürzer",TRUE,"keine Abweichung")</f>
        <v>keine Abweichung</v>
      </c>
      <c r="I602">
        <v>1</v>
      </c>
    </row>
    <row r="603" spans="1:9" hidden="1" x14ac:dyDescent="0.3">
      <c r="A603" s="13">
        <v>92</v>
      </c>
      <c r="B603" s="4">
        <v>2</v>
      </c>
      <c r="C603" t="s">
        <v>528</v>
      </c>
      <c r="D603" t="s">
        <v>529</v>
      </c>
      <c r="E603">
        <v>15</v>
      </c>
      <c r="F603">
        <v>17</v>
      </c>
      <c r="G603" s="8">
        <f>Lektionen[[#This Row],[Bearbeitungsdauer_real]]/Lektionen[[#This Row],[Bearbeitungsdauer_geschätzt]]-1</f>
        <v>0.1333333333333333</v>
      </c>
      <c r="H603" s="8" t="str" cm="1">
        <f t="array" ref="H603">_xlfn.IFS(Lektionen[[#This Row],[Bearbeitungsdauer_abgewichen]]&gt;0.6,"viel länger",Lektionen[[#This Row],[Bearbeitungsdauer_abgewichen]]&gt;0.3,"länger",Lektionen[[#This Row],[Bearbeitungsdauer_abgewichen]]&lt;-0.3,"kürzer",TRUE,"keine Abweichung")</f>
        <v>keine Abweichung</v>
      </c>
      <c r="I603">
        <v>1</v>
      </c>
    </row>
    <row r="604" spans="1:9" hidden="1" x14ac:dyDescent="0.3">
      <c r="A604" s="13">
        <v>92</v>
      </c>
      <c r="B604" s="4">
        <v>3</v>
      </c>
      <c r="C604" t="s">
        <v>552</v>
      </c>
      <c r="D604" t="s">
        <v>530</v>
      </c>
      <c r="E604">
        <v>30</v>
      </c>
      <c r="F604">
        <v>30</v>
      </c>
      <c r="G604" s="8">
        <f>Lektionen[[#This Row],[Bearbeitungsdauer_real]]/Lektionen[[#This Row],[Bearbeitungsdauer_geschätzt]]-1</f>
        <v>0</v>
      </c>
      <c r="H604" s="8" t="str" cm="1">
        <f t="array" ref="H604">_xlfn.IFS(Lektionen[[#This Row],[Bearbeitungsdauer_abgewichen]]&gt;0.6,"viel länger",Lektionen[[#This Row],[Bearbeitungsdauer_abgewichen]]&gt;0.3,"länger",Lektionen[[#This Row],[Bearbeitungsdauer_abgewichen]]&lt;-0.3,"kürzer",TRUE,"keine Abweichung")</f>
        <v>keine Abweichung</v>
      </c>
      <c r="I604">
        <v>2</v>
      </c>
    </row>
    <row r="605" spans="1:9" hidden="1" x14ac:dyDescent="0.3">
      <c r="A605" s="13">
        <v>92</v>
      </c>
      <c r="B605" s="4">
        <v>4</v>
      </c>
      <c r="C605" t="s">
        <v>531</v>
      </c>
      <c r="D605" t="s">
        <v>530</v>
      </c>
      <c r="E605">
        <v>30</v>
      </c>
      <c r="F605">
        <v>31</v>
      </c>
      <c r="G605" s="8">
        <f>Lektionen[[#This Row],[Bearbeitungsdauer_real]]/Lektionen[[#This Row],[Bearbeitungsdauer_geschätzt]]-1</f>
        <v>3.3333333333333437E-2</v>
      </c>
      <c r="H605" s="8" t="str" cm="1">
        <f t="array" ref="H605">_xlfn.IFS(Lektionen[[#This Row],[Bearbeitungsdauer_abgewichen]]&gt;0.6,"viel länger",Lektionen[[#This Row],[Bearbeitungsdauer_abgewichen]]&gt;0.3,"länger",Lektionen[[#This Row],[Bearbeitungsdauer_abgewichen]]&lt;-0.3,"kürzer",TRUE,"keine Abweichung")</f>
        <v>keine Abweichung</v>
      </c>
      <c r="I605">
        <v>3</v>
      </c>
    </row>
    <row r="606" spans="1:9" x14ac:dyDescent="0.3">
      <c r="A606" s="13">
        <v>92</v>
      </c>
      <c r="B606" s="4">
        <v>5</v>
      </c>
      <c r="C606" t="s">
        <v>532</v>
      </c>
      <c r="D606" t="s">
        <v>530</v>
      </c>
      <c r="E606">
        <v>30</v>
      </c>
      <c r="F606">
        <v>41</v>
      </c>
      <c r="G606" s="8">
        <f>Lektionen[[#This Row],[Bearbeitungsdauer_real]]/Lektionen[[#This Row],[Bearbeitungsdauer_geschätzt]]-1</f>
        <v>0.3666666666666667</v>
      </c>
      <c r="H606" s="8" t="str" cm="1">
        <f t="array" ref="H606">_xlfn.IFS(Lektionen[[#This Row],[Bearbeitungsdauer_abgewichen]]&gt;0.6,"viel länger",Lektionen[[#This Row],[Bearbeitungsdauer_abgewichen]]&gt;0.3,"länger",Lektionen[[#This Row],[Bearbeitungsdauer_abgewichen]]&lt;-0.3,"kürzer",TRUE,"keine Abweichung")</f>
        <v>länger</v>
      </c>
      <c r="I606">
        <v>4</v>
      </c>
    </row>
    <row r="607" spans="1:9" hidden="1" x14ac:dyDescent="0.3">
      <c r="A607" s="13">
        <v>92</v>
      </c>
      <c r="B607" s="4">
        <v>6</v>
      </c>
      <c r="C607" t="s">
        <v>533</v>
      </c>
      <c r="D607" t="s">
        <v>534</v>
      </c>
      <c r="E607">
        <v>5</v>
      </c>
      <c r="F607">
        <v>1</v>
      </c>
      <c r="G607" s="8">
        <f>Lektionen[[#This Row],[Bearbeitungsdauer_real]]/Lektionen[[#This Row],[Bearbeitungsdauer_geschätzt]]-1</f>
        <v>-0.8</v>
      </c>
      <c r="H607" s="8" t="str" cm="1">
        <f t="array" ref="H607">_xlfn.IFS(Lektionen[[#This Row],[Bearbeitungsdauer_abgewichen]]&gt;0.6,"viel länger",Lektionen[[#This Row],[Bearbeitungsdauer_abgewichen]]&gt;0.3,"länger",Lektionen[[#This Row],[Bearbeitungsdauer_abgewichen]]&lt;-0.3,"kürzer",TRUE,"keine Abweichung")</f>
        <v>kürzer</v>
      </c>
      <c r="I607">
        <v>2</v>
      </c>
    </row>
    <row r="608" spans="1:9" hidden="1" x14ac:dyDescent="0.3">
      <c r="A608" s="13">
        <v>92</v>
      </c>
      <c r="B608" s="4">
        <v>7</v>
      </c>
      <c r="C608" t="s">
        <v>535</v>
      </c>
      <c r="D608" t="s">
        <v>536</v>
      </c>
      <c r="E608">
        <v>10</v>
      </c>
      <c r="F608">
        <v>10</v>
      </c>
      <c r="G608" s="8">
        <f>Lektionen[[#This Row],[Bearbeitungsdauer_real]]/Lektionen[[#This Row],[Bearbeitungsdauer_geschätzt]]-1</f>
        <v>0</v>
      </c>
      <c r="H608" s="8" t="str" cm="1">
        <f t="array" ref="H608">_xlfn.IFS(Lektionen[[#This Row],[Bearbeitungsdauer_abgewichen]]&gt;0.6,"viel länger",Lektionen[[#This Row],[Bearbeitungsdauer_abgewichen]]&gt;0.3,"länger",Lektionen[[#This Row],[Bearbeitungsdauer_abgewichen]]&lt;-0.3,"kürzer",TRUE,"keine Abweichung")</f>
        <v>keine Abweichung</v>
      </c>
      <c r="I608">
        <v>4</v>
      </c>
    </row>
    <row r="609" spans="1:9" hidden="1" x14ac:dyDescent="0.3">
      <c r="A609" s="13">
        <v>92</v>
      </c>
      <c r="B609" s="4">
        <v>8</v>
      </c>
      <c r="C609" t="s">
        <v>537</v>
      </c>
      <c r="D609" t="s">
        <v>527</v>
      </c>
      <c r="E609">
        <v>5</v>
      </c>
      <c r="F609">
        <v>5</v>
      </c>
      <c r="G609" s="8">
        <f>Lektionen[[#This Row],[Bearbeitungsdauer_real]]/Lektionen[[#This Row],[Bearbeitungsdauer_geschätzt]]-1</f>
        <v>0</v>
      </c>
      <c r="H609" s="8" t="str" cm="1">
        <f t="array" ref="H609">_xlfn.IFS(Lektionen[[#This Row],[Bearbeitungsdauer_abgewichen]]&gt;0.6,"viel länger",Lektionen[[#This Row],[Bearbeitungsdauer_abgewichen]]&gt;0.3,"länger",Lektionen[[#This Row],[Bearbeitungsdauer_abgewichen]]&lt;-0.3,"kürzer",TRUE,"keine Abweichung")</f>
        <v>keine Abweichung</v>
      </c>
      <c r="I609">
        <v>1</v>
      </c>
    </row>
    <row r="610" spans="1:9" hidden="1" x14ac:dyDescent="0.3">
      <c r="A610" s="13">
        <v>93</v>
      </c>
      <c r="B610" s="4">
        <v>1</v>
      </c>
      <c r="C610" t="s">
        <v>526</v>
      </c>
      <c r="D610" t="s">
        <v>527</v>
      </c>
      <c r="E610">
        <v>4</v>
      </c>
      <c r="F610">
        <v>4</v>
      </c>
      <c r="G610" s="8">
        <f>Lektionen[[#This Row],[Bearbeitungsdauer_real]]/Lektionen[[#This Row],[Bearbeitungsdauer_geschätzt]]-1</f>
        <v>0</v>
      </c>
      <c r="H610" s="8" t="str" cm="1">
        <f t="array" ref="H610">_xlfn.IFS(Lektionen[[#This Row],[Bearbeitungsdauer_abgewichen]]&gt;0.6,"viel länger",Lektionen[[#This Row],[Bearbeitungsdauer_abgewichen]]&gt;0.3,"länger",Lektionen[[#This Row],[Bearbeitungsdauer_abgewichen]]&lt;-0.3,"kürzer",TRUE,"keine Abweichung")</f>
        <v>keine Abweichung</v>
      </c>
      <c r="I610">
        <v>2</v>
      </c>
    </row>
    <row r="611" spans="1:9" hidden="1" x14ac:dyDescent="0.3">
      <c r="A611" s="13">
        <v>93</v>
      </c>
      <c r="B611" s="4">
        <v>2</v>
      </c>
      <c r="C611" t="s">
        <v>528</v>
      </c>
      <c r="D611" t="s">
        <v>529</v>
      </c>
      <c r="E611">
        <v>15</v>
      </c>
      <c r="F611">
        <v>18</v>
      </c>
      <c r="G611" s="8">
        <f>Lektionen[[#This Row],[Bearbeitungsdauer_real]]/Lektionen[[#This Row],[Bearbeitungsdauer_geschätzt]]-1</f>
        <v>0.19999999999999996</v>
      </c>
      <c r="H611" s="8" t="str" cm="1">
        <f t="array" ref="H611">_xlfn.IFS(Lektionen[[#This Row],[Bearbeitungsdauer_abgewichen]]&gt;0.6,"viel länger",Lektionen[[#This Row],[Bearbeitungsdauer_abgewichen]]&gt;0.3,"länger",Lektionen[[#This Row],[Bearbeitungsdauer_abgewichen]]&lt;-0.3,"kürzer",TRUE,"keine Abweichung")</f>
        <v>keine Abweichung</v>
      </c>
      <c r="I611">
        <v>1</v>
      </c>
    </row>
    <row r="612" spans="1:9" hidden="1" x14ac:dyDescent="0.3">
      <c r="A612" s="13">
        <v>93</v>
      </c>
      <c r="B612" s="4">
        <v>3</v>
      </c>
      <c r="C612" t="s">
        <v>552</v>
      </c>
      <c r="D612" t="s">
        <v>530</v>
      </c>
      <c r="E612">
        <v>30</v>
      </c>
      <c r="F612">
        <v>28</v>
      </c>
      <c r="G612" s="8">
        <f>Lektionen[[#This Row],[Bearbeitungsdauer_real]]/Lektionen[[#This Row],[Bearbeitungsdauer_geschätzt]]-1</f>
        <v>-6.6666666666666652E-2</v>
      </c>
      <c r="H612" s="8" t="str" cm="1">
        <f t="array" ref="H612">_xlfn.IFS(Lektionen[[#This Row],[Bearbeitungsdauer_abgewichen]]&gt;0.6,"viel länger",Lektionen[[#This Row],[Bearbeitungsdauer_abgewichen]]&gt;0.3,"länger",Lektionen[[#This Row],[Bearbeitungsdauer_abgewichen]]&lt;-0.3,"kürzer",TRUE,"keine Abweichung")</f>
        <v>keine Abweichung</v>
      </c>
      <c r="I612">
        <v>3</v>
      </c>
    </row>
    <row r="613" spans="1:9" hidden="1" x14ac:dyDescent="0.3">
      <c r="A613" s="13">
        <v>93</v>
      </c>
      <c r="B613" s="4">
        <v>4</v>
      </c>
      <c r="C613" t="s">
        <v>531</v>
      </c>
      <c r="D613" t="s">
        <v>530</v>
      </c>
      <c r="E613">
        <v>30</v>
      </c>
      <c r="F613">
        <v>21</v>
      </c>
      <c r="G613" s="8">
        <f>Lektionen[[#This Row],[Bearbeitungsdauer_real]]/Lektionen[[#This Row],[Bearbeitungsdauer_geschätzt]]-1</f>
        <v>-0.30000000000000004</v>
      </c>
      <c r="H613" s="8" t="str" cm="1">
        <f t="array" ref="H613">_xlfn.IFS(Lektionen[[#This Row],[Bearbeitungsdauer_abgewichen]]&gt;0.6,"viel länger",Lektionen[[#This Row],[Bearbeitungsdauer_abgewichen]]&gt;0.3,"länger",Lektionen[[#This Row],[Bearbeitungsdauer_abgewichen]]&lt;-0.3,"kürzer",TRUE,"keine Abweichung")</f>
        <v>keine Abweichung</v>
      </c>
      <c r="I613">
        <v>3</v>
      </c>
    </row>
    <row r="614" spans="1:9" x14ac:dyDescent="0.3">
      <c r="A614" s="13">
        <v>93</v>
      </c>
      <c r="B614" s="4">
        <v>5</v>
      </c>
      <c r="C614" t="s">
        <v>532</v>
      </c>
      <c r="D614" t="s">
        <v>530</v>
      </c>
      <c r="E614">
        <v>30</v>
      </c>
      <c r="F614">
        <v>51</v>
      </c>
      <c r="G614" s="8">
        <f>Lektionen[[#This Row],[Bearbeitungsdauer_real]]/Lektionen[[#This Row],[Bearbeitungsdauer_geschätzt]]-1</f>
        <v>0.7</v>
      </c>
      <c r="H614" s="8" t="str" cm="1">
        <f t="array" ref="H614">_xlfn.IFS(Lektionen[[#This Row],[Bearbeitungsdauer_abgewichen]]&gt;0.6,"viel länger",Lektionen[[#This Row],[Bearbeitungsdauer_abgewichen]]&gt;0.3,"länger",Lektionen[[#This Row],[Bearbeitungsdauer_abgewichen]]&lt;-0.3,"kürzer",TRUE,"keine Abweichung")</f>
        <v>viel länger</v>
      </c>
      <c r="I614">
        <v>4</v>
      </c>
    </row>
    <row r="615" spans="1:9" hidden="1" x14ac:dyDescent="0.3">
      <c r="A615" s="13">
        <v>93</v>
      </c>
      <c r="B615" s="4">
        <v>6</v>
      </c>
      <c r="C615" t="s">
        <v>533</v>
      </c>
      <c r="D615" t="s">
        <v>534</v>
      </c>
      <c r="E615">
        <v>5</v>
      </c>
      <c r="F615">
        <v>3</v>
      </c>
      <c r="G615" s="8">
        <f>Lektionen[[#This Row],[Bearbeitungsdauer_real]]/Lektionen[[#This Row],[Bearbeitungsdauer_geschätzt]]-1</f>
        <v>-0.4</v>
      </c>
      <c r="H615" s="8" t="str" cm="1">
        <f t="array" ref="H615">_xlfn.IFS(Lektionen[[#This Row],[Bearbeitungsdauer_abgewichen]]&gt;0.6,"viel länger",Lektionen[[#This Row],[Bearbeitungsdauer_abgewichen]]&gt;0.3,"länger",Lektionen[[#This Row],[Bearbeitungsdauer_abgewichen]]&lt;-0.3,"kürzer",TRUE,"keine Abweichung")</f>
        <v>kürzer</v>
      </c>
      <c r="I615">
        <v>2</v>
      </c>
    </row>
    <row r="616" spans="1:9" hidden="1" x14ac:dyDescent="0.3">
      <c r="A616" s="13">
        <v>93</v>
      </c>
      <c r="B616" s="4">
        <v>7</v>
      </c>
      <c r="C616" t="s">
        <v>535</v>
      </c>
      <c r="D616" t="s">
        <v>536</v>
      </c>
      <c r="E616">
        <v>10</v>
      </c>
      <c r="F616">
        <v>10</v>
      </c>
      <c r="G616" s="8">
        <f>Lektionen[[#This Row],[Bearbeitungsdauer_real]]/Lektionen[[#This Row],[Bearbeitungsdauer_geschätzt]]-1</f>
        <v>0</v>
      </c>
      <c r="H616" s="8" t="str" cm="1">
        <f t="array" ref="H616">_xlfn.IFS(Lektionen[[#This Row],[Bearbeitungsdauer_abgewichen]]&gt;0.6,"viel länger",Lektionen[[#This Row],[Bearbeitungsdauer_abgewichen]]&gt;0.3,"länger",Lektionen[[#This Row],[Bearbeitungsdauer_abgewichen]]&lt;-0.3,"kürzer",TRUE,"keine Abweichung")</f>
        <v>keine Abweichung</v>
      </c>
      <c r="I616">
        <v>4</v>
      </c>
    </row>
    <row r="617" spans="1:9" hidden="1" x14ac:dyDescent="0.3">
      <c r="A617" s="13">
        <v>93</v>
      </c>
      <c r="B617" s="4">
        <v>8</v>
      </c>
      <c r="C617" t="s">
        <v>537</v>
      </c>
      <c r="D617" t="s">
        <v>527</v>
      </c>
      <c r="E617">
        <v>5</v>
      </c>
      <c r="F617">
        <v>5</v>
      </c>
      <c r="G617" s="8">
        <f>Lektionen[[#This Row],[Bearbeitungsdauer_real]]/Lektionen[[#This Row],[Bearbeitungsdauer_geschätzt]]-1</f>
        <v>0</v>
      </c>
      <c r="H617" s="8" t="str" cm="1">
        <f t="array" ref="H617">_xlfn.IFS(Lektionen[[#This Row],[Bearbeitungsdauer_abgewichen]]&gt;0.6,"viel länger",Lektionen[[#This Row],[Bearbeitungsdauer_abgewichen]]&gt;0.3,"länger",Lektionen[[#This Row],[Bearbeitungsdauer_abgewichen]]&lt;-0.3,"kürzer",TRUE,"keine Abweichung")</f>
        <v>keine Abweichung</v>
      </c>
      <c r="I617">
        <v>2</v>
      </c>
    </row>
    <row r="618" spans="1:9" hidden="1" x14ac:dyDescent="0.3">
      <c r="A618" s="13">
        <v>94</v>
      </c>
      <c r="B618" s="4">
        <v>1</v>
      </c>
      <c r="C618" t="s">
        <v>526</v>
      </c>
      <c r="D618" t="s">
        <v>527</v>
      </c>
      <c r="E618">
        <v>4</v>
      </c>
      <c r="F618">
        <v>4</v>
      </c>
      <c r="G618" s="8">
        <f>Lektionen[[#This Row],[Bearbeitungsdauer_real]]/Lektionen[[#This Row],[Bearbeitungsdauer_geschätzt]]-1</f>
        <v>0</v>
      </c>
      <c r="H618" s="8" t="str" cm="1">
        <f t="array" ref="H618">_xlfn.IFS(Lektionen[[#This Row],[Bearbeitungsdauer_abgewichen]]&gt;0.6,"viel länger",Lektionen[[#This Row],[Bearbeitungsdauer_abgewichen]]&gt;0.3,"länger",Lektionen[[#This Row],[Bearbeitungsdauer_abgewichen]]&lt;-0.3,"kürzer",TRUE,"keine Abweichung")</f>
        <v>keine Abweichung</v>
      </c>
      <c r="I618">
        <v>1</v>
      </c>
    </row>
    <row r="619" spans="1:9" hidden="1" x14ac:dyDescent="0.3">
      <c r="A619" s="13">
        <v>94</v>
      </c>
      <c r="B619" s="4">
        <v>2</v>
      </c>
      <c r="C619" t="s">
        <v>528</v>
      </c>
      <c r="D619" t="s">
        <v>529</v>
      </c>
      <c r="E619">
        <v>15</v>
      </c>
      <c r="F619">
        <v>17</v>
      </c>
      <c r="G619" s="8">
        <f>Lektionen[[#This Row],[Bearbeitungsdauer_real]]/Lektionen[[#This Row],[Bearbeitungsdauer_geschätzt]]-1</f>
        <v>0.1333333333333333</v>
      </c>
      <c r="H619" s="8" t="str" cm="1">
        <f t="array" ref="H619">_xlfn.IFS(Lektionen[[#This Row],[Bearbeitungsdauer_abgewichen]]&gt;0.6,"viel länger",Lektionen[[#This Row],[Bearbeitungsdauer_abgewichen]]&gt;0.3,"länger",Lektionen[[#This Row],[Bearbeitungsdauer_abgewichen]]&lt;-0.3,"kürzer",TRUE,"keine Abweichung")</f>
        <v>keine Abweichung</v>
      </c>
      <c r="I619">
        <v>1</v>
      </c>
    </row>
    <row r="620" spans="1:9" hidden="1" x14ac:dyDescent="0.3">
      <c r="A620" s="13">
        <v>94</v>
      </c>
      <c r="B620" s="4">
        <v>3</v>
      </c>
      <c r="C620" t="s">
        <v>552</v>
      </c>
      <c r="D620" t="s">
        <v>530</v>
      </c>
      <c r="E620">
        <v>30</v>
      </c>
      <c r="F620">
        <v>29</v>
      </c>
      <c r="G620" s="8">
        <f>Lektionen[[#This Row],[Bearbeitungsdauer_real]]/Lektionen[[#This Row],[Bearbeitungsdauer_geschätzt]]-1</f>
        <v>-3.3333333333333326E-2</v>
      </c>
      <c r="H620" s="8" t="str" cm="1">
        <f t="array" ref="H620">_xlfn.IFS(Lektionen[[#This Row],[Bearbeitungsdauer_abgewichen]]&gt;0.6,"viel länger",Lektionen[[#This Row],[Bearbeitungsdauer_abgewichen]]&gt;0.3,"länger",Lektionen[[#This Row],[Bearbeitungsdauer_abgewichen]]&lt;-0.3,"kürzer",TRUE,"keine Abweichung")</f>
        <v>keine Abweichung</v>
      </c>
      <c r="I620">
        <v>2</v>
      </c>
    </row>
    <row r="621" spans="1:9" hidden="1" x14ac:dyDescent="0.3">
      <c r="A621" s="13">
        <v>94</v>
      </c>
      <c r="B621" s="4">
        <v>4</v>
      </c>
      <c r="C621" t="s">
        <v>531</v>
      </c>
      <c r="D621" t="s">
        <v>530</v>
      </c>
      <c r="E621">
        <v>30</v>
      </c>
      <c r="F621">
        <v>38</v>
      </c>
      <c r="G621" s="8">
        <f>Lektionen[[#This Row],[Bearbeitungsdauer_real]]/Lektionen[[#This Row],[Bearbeitungsdauer_geschätzt]]-1</f>
        <v>0.26666666666666661</v>
      </c>
      <c r="H621" s="8" t="str" cm="1">
        <f t="array" ref="H621">_xlfn.IFS(Lektionen[[#This Row],[Bearbeitungsdauer_abgewichen]]&gt;0.6,"viel länger",Lektionen[[#This Row],[Bearbeitungsdauer_abgewichen]]&gt;0.3,"länger",Lektionen[[#This Row],[Bearbeitungsdauer_abgewichen]]&lt;-0.3,"kürzer",TRUE,"keine Abweichung")</f>
        <v>keine Abweichung</v>
      </c>
      <c r="I621">
        <v>2</v>
      </c>
    </row>
    <row r="622" spans="1:9" x14ac:dyDescent="0.3">
      <c r="A622" s="13">
        <v>94</v>
      </c>
      <c r="B622" s="4">
        <v>5</v>
      </c>
      <c r="C622" t="s">
        <v>532</v>
      </c>
      <c r="D622" t="s">
        <v>530</v>
      </c>
      <c r="E622">
        <v>30</v>
      </c>
      <c r="F622">
        <v>46</v>
      </c>
      <c r="G622" s="8">
        <f>Lektionen[[#This Row],[Bearbeitungsdauer_real]]/Lektionen[[#This Row],[Bearbeitungsdauer_geschätzt]]-1</f>
        <v>0.53333333333333344</v>
      </c>
      <c r="H622" s="8" t="str" cm="1">
        <f t="array" ref="H622">_xlfn.IFS(Lektionen[[#This Row],[Bearbeitungsdauer_abgewichen]]&gt;0.6,"viel länger",Lektionen[[#This Row],[Bearbeitungsdauer_abgewichen]]&gt;0.3,"länger",Lektionen[[#This Row],[Bearbeitungsdauer_abgewichen]]&lt;-0.3,"kürzer",TRUE,"keine Abweichung")</f>
        <v>länger</v>
      </c>
      <c r="I622">
        <v>4</v>
      </c>
    </row>
    <row r="623" spans="1:9" hidden="1" x14ac:dyDescent="0.3">
      <c r="A623" s="13">
        <v>94</v>
      </c>
      <c r="B623" s="4">
        <v>6</v>
      </c>
      <c r="C623" t="s">
        <v>533</v>
      </c>
      <c r="D623" t="s">
        <v>534</v>
      </c>
      <c r="E623">
        <v>5</v>
      </c>
      <c r="F623">
        <v>1</v>
      </c>
      <c r="G623" s="8">
        <f>Lektionen[[#This Row],[Bearbeitungsdauer_real]]/Lektionen[[#This Row],[Bearbeitungsdauer_geschätzt]]-1</f>
        <v>-0.8</v>
      </c>
      <c r="H623" s="8" t="str" cm="1">
        <f t="array" ref="H623">_xlfn.IFS(Lektionen[[#This Row],[Bearbeitungsdauer_abgewichen]]&gt;0.6,"viel länger",Lektionen[[#This Row],[Bearbeitungsdauer_abgewichen]]&gt;0.3,"länger",Lektionen[[#This Row],[Bearbeitungsdauer_abgewichen]]&lt;-0.3,"kürzer",TRUE,"keine Abweichung")</f>
        <v>kürzer</v>
      </c>
      <c r="I623">
        <v>3</v>
      </c>
    </row>
    <row r="624" spans="1:9" hidden="1" x14ac:dyDescent="0.3">
      <c r="A624" s="13">
        <v>94</v>
      </c>
      <c r="B624" s="4">
        <v>7</v>
      </c>
      <c r="C624" t="s">
        <v>535</v>
      </c>
      <c r="D624" t="s">
        <v>536</v>
      </c>
      <c r="E624">
        <v>10</v>
      </c>
      <c r="F624">
        <v>10</v>
      </c>
      <c r="G624" s="8">
        <f>Lektionen[[#This Row],[Bearbeitungsdauer_real]]/Lektionen[[#This Row],[Bearbeitungsdauer_geschätzt]]-1</f>
        <v>0</v>
      </c>
      <c r="H624" s="8" t="str" cm="1">
        <f t="array" ref="H624">_xlfn.IFS(Lektionen[[#This Row],[Bearbeitungsdauer_abgewichen]]&gt;0.6,"viel länger",Lektionen[[#This Row],[Bearbeitungsdauer_abgewichen]]&gt;0.3,"länger",Lektionen[[#This Row],[Bearbeitungsdauer_abgewichen]]&lt;-0.3,"kürzer",TRUE,"keine Abweichung")</f>
        <v>keine Abweichung</v>
      </c>
      <c r="I624">
        <v>3</v>
      </c>
    </row>
    <row r="625" spans="1:9" hidden="1" x14ac:dyDescent="0.3">
      <c r="A625" s="13">
        <v>94</v>
      </c>
      <c r="B625" s="4">
        <v>8</v>
      </c>
      <c r="C625" t="s">
        <v>537</v>
      </c>
      <c r="D625" t="s">
        <v>527</v>
      </c>
      <c r="E625">
        <v>5</v>
      </c>
      <c r="F625">
        <v>9</v>
      </c>
      <c r="G625" s="8">
        <f>Lektionen[[#This Row],[Bearbeitungsdauer_real]]/Lektionen[[#This Row],[Bearbeitungsdauer_geschätzt]]-1</f>
        <v>0.8</v>
      </c>
      <c r="H625" s="8" t="str" cm="1">
        <f t="array" ref="H625">_xlfn.IFS(Lektionen[[#This Row],[Bearbeitungsdauer_abgewichen]]&gt;0.6,"viel länger",Lektionen[[#This Row],[Bearbeitungsdauer_abgewichen]]&gt;0.3,"länger",Lektionen[[#This Row],[Bearbeitungsdauer_abgewichen]]&lt;-0.3,"kürzer",TRUE,"keine Abweichung")</f>
        <v>viel länger</v>
      </c>
      <c r="I625">
        <v>1</v>
      </c>
    </row>
    <row r="626" spans="1:9" hidden="1" x14ac:dyDescent="0.3">
      <c r="A626" s="13">
        <v>95</v>
      </c>
      <c r="B626" s="4">
        <v>1</v>
      </c>
      <c r="C626" t="s">
        <v>526</v>
      </c>
      <c r="D626" t="s">
        <v>527</v>
      </c>
      <c r="E626">
        <v>4</v>
      </c>
      <c r="F626">
        <v>4</v>
      </c>
      <c r="G626" s="8">
        <f>Lektionen[[#This Row],[Bearbeitungsdauer_real]]/Lektionen[[#This Row],[Bearbeitungsdauer_geschätzt]]-1</f>
        <v>0</v>
      </c>
      <c r="H626" s="8" t="str" cm="1">
        <f t="array" ref="H626">_xlfn.IFS(Lektionen[[#This Row],[Bearbeitungsdauer_abgewichen]]&gt;0.6,"viel länger",Lektionen[[#This Row],[Bearbeitungsdauer_abgewichen]]&gt;0.3,"länger",Lektionen[[#This Row],[Bearbeitungsdauer_abgewichen]]&lt;-0.3,"kürzer",TRUE,"keine Abweichung")</f>
        <v>keine Abweichung</v>
      </c>
      <c r="I626">
        <v>2</v>
      </c>
    </row>
    <row r="627" spans="1:9" hidden="1" x14ac:dyDescent="0.3">
      <c r="A627" s="13">
        <v>95</v>
      </c>
      <c r="B627" s="4">
        <v>2</v>
      </c>
      <c r="C627" t="s">
        <v>528</v>
      </c>
      <c r="D627" t="s">
        <v>529</v>
      </c>
      <c r="E627">
        <v>15</v>
      </c>
      <c r="F627">
        <v>18</v>
      </c>
      <c r="G627" s="8">
        <f>Lektionen[[#This Row],[Bearbeitungsdauer_real]]/Lektionen[[#This Row],[Bearbeitungsdauer_geschätzt]]-1</f>
        <v>0.19999999999999996</v>
      </c>
      <c r="H627" s="8" t="str" cm="1">
        <f t="array" ref="H627">_xlfn.IFS(Lektionen[[#This Row],[Bearbeitungsdauer_abgewichen]]&gt;0.6,"viel länger",Lektionen[[#This Row],[Bearbeitungsdauer_abgewichen]]&gt;0.3,"länger",Lektionen[[#This Row],[Bearbeitungsdauer_abgewichen]]&lt;-0.3,"kürzer",TRUE,"keine Abweichung")</f>
        <v>keine Abweichung</v>
      </c>
      <c r="I627">
        <v>1</v>
      </c>
    </row>
    <row r="628" spans="1:9" hidden="1" x14ac:dyDescent="0.3">
      <c r="A628" s="13">
        <v>95</v>
      </c>
      <c r="B628" s="4">
        <v>3</v>
      </c>
      <c r="C628" t="s">
        <v>552</v>
      </c>
      <c r="D628" t="s">
        <v>530</v>
      </c>
      <c r="E628">
        <v>30</v>
      </c>
      <c r="F628">
        <v>29</v>
      </c>
      <c r="G628" s="8">
        <f>Lektionen[[#This Row],[Bearbeitungsdauer_real]]/Lektionen[[#This Row],[Bearbeitungsdauer_geschätzt]]-1</f>
        <v>-3.3333333333333326E-2</v>
      </c>
      <c r="H628" s="8" t="str" cm="1">
        <f t="array" ref="H628">_xlfn.IFS(Lektionen[[#This Row],[Bearbeitungsdauer_abgewichen]]&gt;0.6,"viel länger",Lektionen[[#This Row],[Bearbeitungsdauer_abgewichen]]&gt;0.3,"länger",Lektionen[[#This Row],[Bearbeitungsdauer_abgewichen]]&lt;-0.3,"kürzer",TRUE,"keine Abweichung")</f>
        <v>keine Abweichung</v>
      </c>
      <c r="I628">
        <v>2</v>
      </c>
    </row>
    <row r="629" spans="1:9" hidden="1" x14ac:dyDescent="0.3">
      <c r="A629" s="13">
        <v>95</v>
      </c>
      <c r="B629" s="4">
        <v>4</v>
      </c>
      <c r="C629" t="s">
        <v>531</v>
      </c>
      <c r="D629" t="s">
        <v>530</v>
      </c>
      <c r="E629">
        <v>30</v>
      </c>
      <c r="F629">
        <v>26</v>
      </c>
      <c r="G629" s="8">
        <f>Lektionen[[#This Row],[Bearbeitungsdauer_real]]/Lektionen[[#This Row],[Bearbeitungsdauer_geschätzt]]-1</f>
        <v>-0.1333333333333333</v>
      </c>
      <c r="H629" s="8" t="str" cm="1">
        <f t="array" ref="H629">_xlfn.IFS(Lektionen[[#This Row],[Bearbeitungsdauer_abgewichen]]&gt;0.6,"viel länger",Lektionen[[#This Row],[Bearbeitungsdauer_abgewichen]]&gt;0.3,"länger",Lektionen[[#This Row],[Bearbeitungsdauer_abgewichen]]&lt;-0.3,"kürzer",TRUE,"keine Abweichung")</f>
        <v>keine Abweichung</v>
      </c>
      <c r="I629">
        <v>3</v>
      </c>
    </row>
    <row r="630" spans="1:9" x14ac:dyDescent="0.3">
      <c r="A630" s="13">
        <v>95</v>
      </c>
      <c r="B630" s="4">
        <v>5</v>
      </c>
      <c r="C630" t="s">
        <v>532</v>
      </c>
      <c r="D630" t="s">
        <v>530</v>
      </c>
      <c r="E630">
        <v>30</v>
      </c>
      <c r="F630">
        <v>24</v>
      </c>
      <c r="G630" s="8">
        <f>Lektionen[[#This Row],[Bearbeitungsdauer_real]]/Lektionen[[#This Row],[Bearbeitungsdauer_geschätzt]]-1</f>
        <v>-0.19999999999999996</v>
      </c>
      <c r="H630" s="8" t="str" cm="1">
        <f t="array" ref="H630">_xlfn.IFS(Lektionen[[#This Row],[Bearbeitungsdauer_abgewichen]]&gt;0.6,"viel länger",Lektionen[[#This Row],[Bearbeitungsdauer_abgewichen]]&gt;0.3,"länger",Lektionen[[#This Row],[Bearbeitungsdauer_abgewichen]]&lt;-0.3,"kürzer",TRUE,"keine Abweichung")</f>
        <v>keine Abweichung</v>
      </c>
      <c r="I630">
        <v>5</v>
      </c>
    </row>
    <row r="631" spans="1:9" hidden="1" x14ac:dyDescent="0.3">
      <c r="A631" s="13">
        <v>95</v>
      </c>
      <c r="B631" s="4">
        <v>6</v>
      </c>
      <c r="C631" t="s">
        <v>533</v>
      </c>
      <c r="D631" t="s">
        <v>534</v>
      </c>
      <c r="E631">
        <v>5</v>
      </c>
      <c r="F631">
        <v>1</v>
      </c>
      <c r="G631" s="8">
        <f>Lektionen[[#This Row],[Bearbeitungsdauer_real]]/Lektionen[[#This Row],[Bearbeitungsdauer_geschätzt]]-1</f>
        <v>-0.8</v>
      </c>
      <c r="H631" s="8" t="str" cm="1">
        <f t="array" ref="H631">_xlfn.IFS(Lektionen[[#This Row],[Bearbeitungsdauer_abgewichen]]&gt;0.6,"viel länger",Lektionen[[#This Row],[Bearbeitungsdauer_abgewichen]]&gt;0.3,"länger",Lektionen[[#This Row],[Bearbeitungsdauer_abgewichen]]&lt;-0.3,"kürzer",TRUE,"keine Abweichung")</f>
        <v>kürzer</v>
      </c>
      <c r="I631">
        <v>2</v>
      </c>
    </row>
    <row r="632" spans="1:9" hidden="1" x14ac:dyDescent="0.3">
      <c r="A632" s="13">
        <v>95</v>
      </c>
      <c r="B632" s="4">
        <v>7</v>
      </c>
      <c r="C632" t="s">
        <v>535</v>
      </c>
      <c r="D632" t="s">
        <v>536</v>
      </c>
      <c r="E632">
        <v>10</v>
      </c>
      <c r="F632">
        <v>11</v>
      </c>
      <c r="G632" s="8">
        <f>Lektionen[[#This Row],[Bearbeitungsdauer_real]]/Lektionen[[#This Row],[Bearbeitungsdauer_geschätzt]]-1</f>
        <v>0.10000000000000009</v>
      </c>
      <c r="H632" s="8" t="str" cm="1">
        <f t="array" ref="H632">_xlfn.IFS(Lektionen[[#This Row],[Bearbeitungsdauer_abgewichen]]&gt;0.6,"viel länger",Lektionen[[#This Row],[Bearbeitungsdauer_abgewichen]]&gt;0.3,"länger",Lektionen[[#This Row],[Bearbeitungsdauer_abgewichen]]&lt;-0.3,"kürzer",TRUE,"keine Abweichung")</f>
        <v>keine Abweichung</v>
      </c>
      <c r="I632">
        <v>4</v>
      </c>
    </row>
    <row r="633" spans="1:9" hidden="1" x14ac:dyDescent="0.3">
      <c r="A633" s="13">
        <v>95</v>
      </c>
      <c r="B633" s="4">
        <v>8</v>
      </c>
      <c r="C633" t="s">
        <v>537</v>
      </c>
      <c r="D633" t="s">
        <v>527</v>
      </c>
      <c r="E633">
        <v>5</v>
      </c>
      <c r="F633">
        <v>8</v>
      </c>
      <c r="G633" s="8">
        <f>Lektionen[[#This Row],[Bearbeitungsdauer_real]]/Lektionen[[#This Row],[Bearbeitungsdauer_geschätzt]]-1</f>
        <v>0.60000000000000009</v>
      </c>
      <c r="H633" s="8" t="str" cm="1">
        <f t="array" ref="H633">_xlfn.IFS(Lektionen[[#This Row],[Bearbeitungsdauer_abgewichen]]&gt;0.6,"viel länger",Lektionen[[#This Row],[Bearbeitungsdauer_abgewichen]]&gt;0.3,"länger",Lektionen[[#This Row],[Bearbeitungsdauer_abgewichen]]&lt;-0.3,"kürzer",TRUE,"keine Abweichung")</f>
        <v>länger</v>
      </c>
      <c r="I633">
        <v>1</v>
      </c>
    </row>
    <row r="634" spans="1:9" hidden="1" x14ac:dyDescent="0.3">
      <c r="A634" s="13">
        <v>96</v>
      </c>
      <c r="B634" s="4">
        <v>1</v>
      </c>
      <c r="C634" t="s">
        <v>526</v>
      </c>
      <c r="D634" t="s">
        <v>527</v>
      </c>
      <c r="E634">
        <v>4</v>
      </c>
      <c r="F634">
        <v>6</v>
      </c>
      <c r="G634" s="8">
        <f>Lektionen[[#This Row],[Bearbeitungsdauer_real]]/Lektionen[[#This Row],[Bearbeitungsdauer_geschätzt]]-1</f>
        <v>0.5</v>
      </c>
      <c r="H634" s="8" t="str" cm="1">
        <f t="array" ref="H634">_xlfn.IFS(Lektionen[[#This Row],[Bearbeitungsdauer_abgewichen]]&gt;0.6,"viel länger",Lektionen[[#This Row],[Bearbeitungsdauer_abgewichen]]&gt;0.3,"länger",Lektionen[[#This Row],[Bearbeitungsdauer_abgewichen]]&lt;-0.3,"kürzer",TRUE,"keine Abweichung")</f>
        <v>länger</v>
      </c>
      <c r="I634">
        <v>1</v>
      </c>
    </row>
    <row r="635" spans="1:9" hidden="1" x14ac:dyDescent="0.3">
      <c r="A635" s="13">
        <v>96</v>
      </c>
      <c r="B635" s="4">
        <v>2</v>
      </c>
      <c r="C635" t="s">
        <v>528</v>
      </c>
      <c r="D635" t="s">
        <v>529</v>
      </c>
      <c r="E635">
        <v>15</v>
      </c>
      <c r="F635">
        <v>18</v>
      </c>
      <c r="G635" s="8">
        <f>Lektionen[[#This Row],[Bearbeitungsdauer_real]]/Lektionen[[#This Row],[Bearbeitungsdauer_geschätzt]]-1</f>
        <v>0.19999999999999996</v>
      </c>
      <c r="H635" s="8" t="str" cm="1">
        <f t="array" ref="H635">_xlfn.IFS(Lektionen[[#This Row],[Bearbeitungsdauer_abgewichen]]&gt;0.6,"viel länger",Lektionen[[#This Row],[Bearbeitungsdauer_abgewichen]]&gt;0.3,"länger",Lektionen[[#This Row],[Bearbeitungsdauer_abgewichen]]&lt;-0.3,"kürzer",TRUE,"keine Abweichung")</f>
        <v>keine Abweichung</v>
      </c>
      <c r="I635">
        <v>1</v>
      </c>
    </row>
    <row r="636" spans="1:9" hidden="1" x14ac:dyDescent="0.3">
      <c r="A636" s="13">
        <v>96</v>
      </c>
      <c r="B636" s="4">
        <v>3</v>
      </c>
      <c r="C636" t="s">
        <v>552</v>
      </c>
      <c r="D636" t="s">
        <v>530</v>
      </c>
      <c r="E636">
        <v>30</v>
      </c>
      <c r="F636">
        <v>29</v>
      </c>
      <c r="G636" s="8">
        <f>Lektionen[[#This Row],[Bearbeitungsdauer_real]]/Lektionen[[#This Row],[Bearbeitungsdauer_geschätzt]]-1</f>
        <v>-3.3333333333333326E-2</v>
      </c>
      <c r="H636" s="8" t="str" cm="1">
        <f t="array" ref="H636">_xlfn.IFS(Lektionen[[#This Row],[Bearbeitungsdauer_abgewichen]]&gt;0.6,"viel länger",Lektionen[[#This Row],[Bearbeitungsdauer_abgewichen]]&gt;0.3,"länger",Lektionen[[#This Row],[Bearbeitungsdauer_abgewichen]]&lt;-0.3,"kürzer",TRUE,"keine Abweichung")</f>
        <v>keine Abweichung</v>
      </c>
      <c r="I636">
        <v>3</v>
      </c>
    </row>
    <row r="637" spans="1:9" hidden="1" x14ac:dyDescent="0.3">
      <c r="A637" s="13">
        <v>96</v>
      </c>
      <c r="B637" s="4">
        <v>4</v>
      </c>
      <c r="C637" t="s">
        <v>531</v>
      </c>
      <c r="D637" t="s">
        <v>530</v>
      </c>
      <c r="E637">
        <v>30</v>
      </c>
      <c r="F637">
        <v>31</v>
      </c>
      <c r="G637" s="8">
        <f>Lektionen[[#This Row],[Bearbeitungsdauer_real]]/Lektionen[[#This Row],[Bearbeitungsdauer_geschätzt]]-1</f>
        <v>3.3333333333333437E-2</v>
      </c>
      <c r="H637" s="8" t="str" cm="1">
        <f t="array" ref="H637">_xlfn.IFS(Lektionen[[#This Row],[Bearbeitungsdauer_abgewichen]]&gt;0.6,"viel länger",Lektionen[[#This Row],[Bearbeitungsdauer_abgewichen]]&gt;0.3,"länger",Lektionen[[#This Row],[Bearbeitungsdauer_abgewichen]]&lt;-0.3,"kürzer",TRUE,"keine Abweichung")</f>
        <v>keine Abweichung</v>
      </c>
      <c r="I637">
        <v>3</v>
      </c>
    </row>
    <row r="638" spans="1:9" x14ac:dyDescent="0.3">
      <c r="A638" s="13">
        <v>96</v>
      </c>
      <c r="B638" s="4">
        <v>5</v>
      </c>
      <c r="C638" t="s">
        <v>532</v>
      </c>
      <c r="D638" t="s">
        <v>530</v>
      </c>
      <c r="E638">
        <v>30</v>
      </c>
      <c r="F638">
        <v>44</v>
      </c>
      <c r="G638" s="8">
        <f>Lektionen[[#This Row],[Bearbeitungsdauer_real]]/Lektionen[[#This Row],[Bearbeitungsdauer_geschätzt]]-1</f>
        <v>0.46666666666666656</v>
      </c>
      <c r="H638" s="8" t="str" cm="1">
        <f t="array" ref="H638">_xlfn.IFS(Lektionen[[#This Row],[Bearbeitungsdauer_abgewichen]]&gt;0.6,"viel länger",Lektionen[[#This Row],[Bearbeitungsdauer_abgewichen]]&gt;0.3,"länger",Lektionen[[#This Row],[Bearbeitungsdauer_abgewichen]]&lt;-0.3,"kürzer",TRUE,"keine Abweichung")</f>
        <v>länger</v>
      </c>
      <c r="I638">
        <v>5</v>
      </c>
    </row>
    <row r="639" spans="1:9" hidden="1" x14ac:dyDescent="0.3">
      <c r="A639" s="13">
        <v>96</v>
      </c>
      <c r="B639" s="4">
        <v>6</v>
      </c>
      <c r="C639" t="s">
        <v>533</v>
      </c>
      <c r="D639" t="s">
        <v>534</v>
      </c>
      <c r="E639">
        <v>5</v>
      </c>
      <c r="F639">
        <v>2</v>
      </c>
      <c r="G639" s="8">
        <f>Lektionen[[#This Row],[Bearbeitungsdauer_real]]/Lektionen[[#This Row],[Bearbeitungsdauer_geschätzt]]-1</f>
        <v>-0.6</v>
      </c>
      <c r="H639" s="8" t="str" cm="1">
        <f t="array" ref="H639">_xlfn.IFS(Lektionen[[#This Row],[Bearbeitungsdauer_abgewichen]]&gt;0.6,"viel länger",Lektionen[[#This Row],[Bearbeitungsdauer_abgewichen]]&gt;0.3,"länger",Lektionen[[#This Row],[Bearbeitungsdauer_abgewichen]]&lt;-0.3,"kürzer",TRUE,"keine Abweichung")</f>
        <v>kürzer</v>
      </c>
      <c r="I639">
        <v>2</v>
      </c>
    </row>
    <row r="640" spans="1:9" hidden="1" x14ac:dyDescent="0.3">
      <c r="A640" s="13">
        <v>96</v>
      </c>
      <c r="B640" s="4">
        <v>7</v>
      </c>
      <c r="C640" t="s">
        <v>535</v>
      </c>
      <c r="D640" t="s">
        <v>536</v>
      </c>
      <c r="E640">
        <v>10</v>
      </c>
      <c r="F640">
        <v>10</v>
      </c>
      <c r="G640" s="8">
        <f>Lektionen[[#This Row],[Bearbeitungsdauer_real]]/Lektionen[[#This Row],[Bearbeitungsdauer_geschätzt]]-1</f>
        <v>0</v>
      </c>
      <c r="H640" s="8" t="str" cm="1">
        <f t="array" ref="H640">_xlfn.IFS(Lektionen[[#This Row],[Bearbeitungsdauer_abgewichen]]&gt;0.6,"viel länger",Lektionen[[#This Row],[Bearbeitungsdauer_abgewichen]]&gt;0.3,"länger",Lektionen[[#This Row],[Bearbeitungsdauer_abgewichen]]&lt;-0.3,"kürzer",TRUE,"keine Abweichung")</f>
        <v>keine Abweichung</v>
      </c>
      <c r="I640">
        <v>3</v>
      </c>
    </row>
    <row r="641" spans="1:9" hidden="1" x14ac:dyDescent="0.3">
      <c r="A641" s="13">
        <v>96</v>
      </c>
      <c r="B641" s="4">
        <v>8</v>
      </c>
      <c r="C641" t="s">
        <v>537</v>
      </c>
      <c r="D641" t="s">
        <v>527</v>
      </c>
      <c r="E641">
        <v>5</v>
      </c>
      <c r="F641">
        <v>7</v>
      </c>
      <c r="G641" s="8">
        <f>Lektionen[[#This Row],[Bearbeitungsdauer_real]]/Lektionen[[#This Row],[Bearbeitungsdauer_geschätzt]]-1</f>
        <v>0.39999999999999991</v>
      </c>
      <c r="H641" s="8" t="str" cm="1">
        <f t="array" ref="H641">_xlfn.IFS(Lektionen[[#This Row],[Bearbeitungsdauer_abgewichen]]&gt;0.6,"viel länger",Lektionen[[#This Row],[Bearbeitungsdauer_abgewichen]]&gt;0.3,"länger",Lektionen[[#This Row],[Bearbeitungsdauer_abgewichen]]&lt;-0.3,"kürzer",TRUE,"keine Abweichung")</f>
        <v>länger</v>
      </c>
      <c r="I641">
        <v>1</v>
      </c>
    </row>
    <row r="642" spans="1:9" hidden="1" x14ac:dyDescent="0.3">
      <c r="A642" s="13">
        <v>97</v>
      </c>
      <c r="B642" s="4">
        <v>1</v>
      </c>
      <c r="C642" t="s">
        <v>526</v>
      </c>
      <c r="D642" t="s">
        <v>527</v>
      </c>
      <c r="E642">
        <v>4</v>
      </c>
      <c r="F642">
        <v>5</v>
      </c>
      <c r="G642" s="8">
        <f>Lektionen[[#This Row],[Bearbeitungsdauer_real]]/Lektionen[[#This Row],[Bearbeitungsdauer_geschätzt]]-1</f>
        <v>0.25</v>
      </c>
      <c r="H642" s="8" t="str" cm="1">
        <f t="array" ref="H642">_xlfn.IFS(Lektionen[[#This Row],[Bearbeitungsdauer_abgewichen]]&gt;0.6,"viel länger",Lektionen[[#This Row],[Bearbeitungsdauer_abgewichen]]&gt;0.3,"länger",Lektionen[[#This Row],[Bearbeitungsdauer_abgewichen]]&lt;-0.3,"kürzer",TRUE,"keine Abweichung")</f>
        <v>keine Abweichung</v>
      </c>
      <c r="I642">
        <v>1</v>
      </c>
    </row>
    <row r="643" spans="1:9" hidden="1" x14ac:dyDescent="0.3">
      <c r="A643" s="13">
        <v>97</v>
      </c>
      <c r="B643" s="4">
        <v>2</v>
      </c>
      <c r="C643" t="s">
        <v>528</v>
      </c>
      <c r="D643" t="s">
        <v>529</v>
      </c>
      <c r="E643">
        <v>15</v>
      </c>
      <c r="F643">
        <v>19</v>
      </c>
      <c r="G643" s="8">
        <f>Lektionen[[#This Row],[Bearbeitungsdauer_real]]/Lektionen[[#This Row],[Bearbeitungsdauer_geschätzt]]-1</f>
        <v>0.26666666666666661</v>
      </c>
      <c r="H643" s="8" t="str" cm="1">
        <f t="array" ref="H643">_xlfn.IFS(Lektionen[[#This Row],[Bearbeitungsdauer_abgewichen]]&gt;0.6,"viel länger",Lektionen[[#This Row],[Bearbeitungsdauer_abgewichen]]&gt;0.3,"länger",Lektionen[[#This Row],[Bearbeitungsdauer_abgewichen]]&lt;-0.3,"kürzer",TRUE,"keine Abweichung")</f>
        <v>keine Abweichung</v>
      </c>
      <c r="I643">
        <v>2</v>
      </c>
    </row>
    <row r="644" spans="1:9" hidden="1" x14ac:dyDescent="0.3">
      <c r="A644" s="13">
        <v>97</v>
      </c>
      <c r="B644" s="4">
        <v>3</v>
      </c>
      <c r="C644" t="s">
        <v>552</v>
      </c>
      <c r="D644" t="s">
        <v>530</v>
      </c>
      <c r="E644">
        <v>30</v>
      </c>
      <c r="F644">
        <v>28</v>
      </c>
      <c r="G644" s="8">
        <f>Lektionen[[#This Row],[Bearbeitungsdauer_real]]/Lektionen[[#This Row],[Bearbeitungsdauer_geschätzt]]-1</f>
        <v>-6.6666666666666652E-2</v>
      </c>
      <c r="H644" s="8" t="str" cm="1">
        <f t="array" ref="H644">_xlfn.IFS(Lektionen[[#This Row],[Bearbeitungsdauer_abgewichen]]&gt;0.6,"viel länger",Lektionen[[#This Row],[Bearbeitungsdauer_abgewichen]]&gt;0.3,"länger",Lektionen[[#This Row],[Bearbeitungsdauer_abgewichen]]&lt;-0.3,"kürzer",TRUE,"keine Abweichung")</f>
        <v>keine Abweichung</v>
      </c>
      <c r="I644">
        <v>2</v>
      </c>
    </row>
    <row r="645" spans="1:9" hidden="1" x14ac:dyDescent="0.3">
      <c r="A645" s="13">
        <v>97</v>
      </c>
      <c r="B645" s="4">
        <v>4</v>
      </c>
      <c r="C645" t="s">
        <v>531</v>
      </c>
      <c r="D645" t="s">
        <v>530</v>
      </c>
      <c r="E645">
        <v>30</v>
      </c>
      <c r="F645">
        <v>24</v>
      </c>
      <c r="G645" s="8">
        <f>Lektionen[[#This Row],[Bearbeitungsdauer_real]]/Lektionen[[#This Row],[Bearbeitungsdauer_geschätzt]]-1</f>
        <v>-0.19999999999999996</v>
      </c>
      <c r="H645" s="8" t="str" cm="1">
        <f t="array" ref="H645">_xlfn.IFS(Lektionen[[#This Row],[Bearbeitungsdauer_abgewichen]]&gt;0.6,"viel länger",Lektionen[[#This Row],[Bearbeitungsdauer_abgewichen]]&gt;0.3,"länger",Lektionen[[#This Row],[Bearbeitungsdauer_abgewichen]]&lt;-0.3,"kürzer",TRUE,"keine Abweichung")</f>
        <v>keine Abweichung</v>
      </c>
      <c r="I645">
        <v>3</v>
      </c>
    </row>
    <row r="646" spans="1:9" x14ac:dyDescent="0.3">
      <c r="A646" s="13">
        <v>97</v>
      </c>
      <c r="B646" s="4">
        <v>5</v>
      </c>
      <c r="C646" t="s">
        <v>532</v>
      </c>
      <c r="D646" t="s">
        <v>530</v>
      </c>
      <c r="E646">
        <v>30</v>
      </c>
      <c r="F646">
        <v>43</v>
      </c>
      <c r="G646" s="8">
        <f>Lektionen[[#This Row],[Bearbeitungsdauer_real]]/Lektionen[[#This Row],[Bearbeitungsdauer_geschätzt]]-1</f>
        <v>0.43333333333333335</v>
      </c>
      <c r="H646" s="8" t="str" cm="1">
        <f t="array" ref="H646">_xlfn.IFS(Lektionen[[#This Row],[Bearbeitungsdauer_abgewichen]]&gt;0.6,"viel länger",Lektionen[[#This Row],[Bearbeitungsdauer_abgewichen]]&gt;0.3,"länger",Lektionen[[#This Row],[Bearbeitungsdauer_abgewichen]]&lt;-0.3,"kürzer",TRUE,"keine Abweichung")</f>
        <v>länger</v>
      </c>
      <c r="I646">
        <v>4</v>
      </c>
    </row>
    <row r="647" spans="1:9" hidden="1" x14ac:dyDescent="0.3">
      <c r="A647" s="13">
        <v>97</v>
      </c>
      <c r="B647" s="4">
        <v>6</v>
      </c>
      <c r="C647" t="s">
        <v>533</v>
      </c>
      <c r="D647" t="s">
        <v>534</v>
      </c>
      <c r="E647">
        <v>5</v>
      </c>
      <c r="F647">
        <v>2</v>
      </c>
      <c r="G647" s="8">
        <f>Lektionen[[#This Row],[Bearbeitungsdauer_real]]/Lektionen[[#This Row],[Bearbeitungsdauer_geschätzt]]-1</f>
        <v>-0.6</v>
      </c>
      <c r="H647" s="8" t="str" cm="1">
        <f t="array" ref="H647">_xlfn.IFS(Lektionen[[#This Row],[Bearbeitungsdauer_abgewichen]]&gt;0.6,"viel länger",Lektionen[[#This Row],[Bearbeitungsdauer_abgewichen]]&gt;0.3,"länger",Lektionen[[#This Row],[Bearbeitungsdauer_abgewichen]]&lt;-0.3,"kürzer",TRUE,"keine Abweichung")</f>
        <v>kürzer</v>
      </c>
      <c r="I647">
        <v>2</v>
      </c>
    </row>
    <row r="648" spans="1:9" hidden="1" x14ac:dyDescent="0.3">
      <c r="A648" s="13">
        <v>97</v>
      </c>
      <c r="B648" s="4">
        <v>7</v>
      </c>
      <c r="C648" t="s">
        <v>535</v>
      </c>
      <c r="D648" t="s">
        <v>536</v>
      </c>
      <c r="E648">
        <v>10</v>
      </c>
      <c r="F648">
        <v>10</v>
      </c>
      <c r="G648" s="8">
        <f>Lektionen[[#This Row],[Bearbeitungsdauer_real]]/Lektionen[[#This Row],[Bearbeitungsdauer_geschätzt]]-1</f>
        <v>0</v>
      </c>
      <c r="H648" s="8" t="str" cm="1">
        <f t="array" ref="H648">_xlfn.IFS(Lektionen[[#This Row],[Bearbeitungsdauer_abgewichen]]&gt;0.6,"viel länger",Lektionen[[#This Row],[Bearbeitungsdauer_abgewichen]]&gt;0.3,"länger",Lektionen[[#This Row],[Bearbeitungsdauer_abgewichen]]&lt;-0.3,"kürzer",TRUE,"keine Abweichung")</f>
        <v>keine Abweichung</v>
      </c>
      <c r="I648">
        <v>4</v>
      </c>
    </row>
    <row r="649" spans="1:9" hidden="1" x14ac:dyDescent="0.3">
      <c r="A649" s="13">
        <v>97</v>
      </c>
      <c r="B649" s="4">
        <v>8</v>
      </c>
      <c r="C649" t="s">
        <v>537</v>
      </c>
      <c r="D649" t="s">
        <v>527</v>
      </c>
      <c r="E649">
        <v>5</v>
      </c>
      <c r="F649">
        <v>5</v>
      </c>
      <c r="G649" s="8">
        <f>Lektionen[[#This Row],[Bearbeitungsdauer_real]]/Lektionen[[#This Row],[Bearbeitungsdauer_geschätzt]]-1</f>
        <v>0</v>
      </c>
      <c r="H649" s="8" t="str" cm="1">
        <f t="array" ref="H649">_xlfn.IFS(Lektionen[[#This Row],[Bearbeitungsdauer_abgewichen]]&gt;0.6,"viel länger",Lektionen[[#This Row],[Bearbeitungsdauer_abgewichen]]&gt;0.3,"länger",Lektionen[[#This Row],[Bearbeitungsdauer_abgewichen]]&lt;-0.3,"kürzer",TRUE,"keine Abweichung")</f>
        <v>keine Abweichung</v>
      </c>
      <c r="I649">
        <v>1</v>
      </c>
    </row>
    <row r="650" spans="1:9" hidden="1" x14ac:dyDescent="0.3">
      <c r="A650" s="13">
        <v>98</v>
      </c>
      <c r="B650" s="4">
        <v>1</v>
      </c>
      <c r="C650" t="s">
        <v>526</v>
      </c>
      <c r="D650" t="s">
        <v>527</v>
      </c>
      <c r="E650">
        <v>4</v>
      </c>
      <c r="F650">
        <v>4</v>
      </c>
      <c r="G650" s="8">
        <f>Lektionen[[#This Row],[Bearbeitungsdauer_real]]/Lektionen[[#This Row],[Bearbeitungsdauer_geschätzt]]-1</f>
        <v>0</v>
      </c>
      <c r="H650" s="8" t="str" cm="1">
        <f t="array" ref="H650">_xlfn.IFS(Lektionen[[#This Row],[Bearbeitungsdauer_abgewichen]]&gt;0.6,"viel länger",Lektionen[[#This Row],[Bearbeitungsdauer_abgewichen]]&gt;0.3,"länger",Lektionen[[#This Row],[Bearbeitungsdauer_abgewichen]]&lt;-0.3,"kürzer",TRUE,"keine Abweichung")</f>
        <v>keine Abweichung</v>
      </c>
      <c r="I650">
        <v>2</v>
      </c>
    </row>
    <row r="651" spans="1:9" hidden="1" x14ac:dyDescent="0.3">
      <c r="A651" s="13">
        <v>98</v>
      </c>
      <c r="B651" s="4">
        <v>2</v>
      </c>
      <c r="C651" t="s">
        <v>528</v>
      </c>
      <c r="D651" t="s">
        <v>529</v>
      </c>
      <c r="E651">
        <v>15</v>
      </c>
      <c r="F651">
        <v>18</v>
      </c>
      <c r="G651" s="8">
        <f>Lektionen[[#This Row],[Bearbeitungsdauer_real]]/Lektionen[[#This Row],[Bearbeitungsdauer_geschätzt]]-1</f>
        <v>0.19999999999999996</v>
      </c>
      <c r="H651" s="8" t="str" cm="1">
        <f t="array" ref="H651">_xlfn.IFS(Lektionen[[#This Row],[Bearbeitungsdauer_abgewichen]]&gt;0.6,"viel länger",Lektionen[[#This Row],[Bearbeitungsdauer_abgewichen]]&gt;0.3,"länger",Lektionen[[#This Row],[Bearbeitungsdauer_abgewichen]]&lt;-0.3,"kürzer",TRUE,"keine Abweichung")</f>
        <v>keine Abweichung</v>
      </c>
      <c r="I651">
        <v>2</v>
      </c>
    </row>
    <row r="652" spans="1:9" hidden="1" x14ac:dyDescent="0.3">
      <c r="A652" s="13">
        <v>98</v>
      </c>
      <c r="B652" s="4">
        <v>3</v>
      </c>
      <c r="C652" t="s">
        <v>552</v>
      </c>
      <c r="D652" t="s">
        <v>530</v>
      </c>
      <c r="E652">
        <v>30</v>
      </c>
      <c r="F652">
        <v>28</v>
      </c>
      <c r="G652" s="8">
        <f>Lektionen[[#This Row],[Bearbeitungsdauer_real]]/Lektionen[[#This Row],[Bearbeitungsdauer_geschätzt]]-1</f>
        <v>-6.6666666666666652E-2</v>
      </c>
      <c r="H652" s="8" t="str" cm="1">
        <f t="array" ref="H652">_xlfn.IFS(Lektionen[[#This Row],[Bearbeitungsdauer_abgewichen]]&gt;0.6,"viel länger",Lektionen[[#This Row],[Bearbeitungsdauer_abgewichen]]&gt;0.3,"länger",Lektionen[[#This Row],[Bearbeitungsdauer_abgewichen]]&lt;-0.3,"kürzer",TRUE,"keine Abweichung")</f>
        <v>keine Abweichung</v>
      </c>
      <c r="I652">
        <v>3</v>
      </c>
    </row>
    <row r="653" spans="1:9" hidden="1" x14ac:dyDescent="0.3">
      <c r="A653" s="13">
        <v>98</v>
      </c>
      <c r="B653" s="4">
        <v>4</v>
      </c>
      <c r="C653" t="s">
        <v>531</v>
      </c>
      <c r="D653" t="s">
        <v>530</v>
      </c>
      <c r="E653">
        <v>30</v>
      </c>
      <c r="F653">
        <v>25</v>
      </c>
      <c r="G653" s="8">
        <f>Lektionen[[#This Row],[Bearbeitungsdauer_real]]/Lektionen[[#This Row],[Bearbeitungsdauer_geschätzt]]-1</f>
        <v>-0.16666666666666663</v>
      </c>
      <c r="H653" s="8" t="str" cm="1">
        <f t="array" ref="H653">_xlfn.IFS(Lektionen[[#This Row],[Bearbeitungsdauer_abgewichen]]&gt;0.6,"viel länger",Lektionen[[#This Row],[Bearbeitungsdauer_abgewichen]]&gt;0.3,"länger",Lektionen[[#This Row],[Bearbeitungsdauer_abgewichen]]&lt;-0.3,"kürzer",TRUE,"keine Abweichung")</f>
        <v>keine Abweichung</v>
      </c>
      <c r="I653">
        <v>3</v>
      </c>
    </row>
    <row r="654" spans="1:9" x14ac:dyDescent="0.3">
      <c r="A654" s="13">
        <v>98</v>
      </c>
      <c r="B654" s="4">
        <v>5</v>
      </c>
      <c r="C654" t="s">
        <v>532</v>
      </c>
      <c r="D654" t="s">
        <v>530</v>
      </c>
      <c r="E654">
        <v>30</v>
      </c>
      <c r="F654">
        <v>50</v>
      </c>
      <c r="G654" s="8">
        <f>Lektionen[[#This Row],[Bearbeitungsdauer_real]]/Lektionen[[#This Row],[Bearbeitungsdauer_geschätzt]]-1</f>
        <v>0.66666666666666674</v>
      </c>
      <c r="H654" s="8" t="str" cm="1">
        <f t="array" ref="H654">_xlfn.IFS(Lektionen[[#This Row],[Bearbeitungsdauer_abgewichen]]&gt;0.6,"viel länger",Lektionen[[#This Row],[Bearbeitungsdauer_abgewichen]]&gt;0.3,"länger",Lektionen[[#This Row],[Bearbeitungsdauer_abgewichen]]&lt;-0.3,"kürzer",TRUE,"keine Abweichung")</f>
        <v>viel länger</v>
      </c>
      <c r="I654">
        <v>4</v>
      </c>
    </row>
    <row r="655" spans="1:9" hidden="1" x14ac:dyDescent="0.3">
      <c r="A655" s="13">
        <v>98</v>
      </c>
      <c r="B655" s="4">
        <v>6</v>
      </c>
      <c r="C655" t="s">
        <v>533</v>
      </c>
      <c r="D655" t="s">
        <v>534</v>
      </c>
      <c r="E655">
        <v>5</v>
      </c>
      <c r="F655">
        <v>1</v>
      </c>
      <c r="G655" s="8">
        <f>Lektionen[[#This Row],[Bearbeitungsdauer_real]]/Lektionen[[#This Row],[Bearbeitungsdauer_geschätzt]]-1</f>
        <v>-0.8</v>
      </c>
      <c r="H655" s="8" t="str" cm="1">
        <f t="array" ref="H655">_xlfn.IFS(Lektionen[[#This Row],[Bearbeitungsdauer_abgewichen]]&gt;0.6,"viel länger",Lektionen[[#This Row],[Bearbeitungsdauer_abgewichen]]&gt;0.3,"länger",Lektionen[[#This Row],[Bearbeitungsdauer_abgewichen]]&lt;-0.3,"kürzer",TRUE,"keine Abweichung")</f>
        <v>kürzer</v>
      </c>
      <c r="I655">
        <v>3</v>
      </c>
    </row>
    <row r="656" spans="1:9" hidden="1" x14ac:dyDescent="0.3">
      <c r="A656" s="13">
        <v>98</v>
      </c>
      <c r="B656" s="4">
        <v>7</v>
      </c>
      <c r="C656" t="s">
        <v>535</v>
      </c>
      <c r="D656" t="s">
        <v>536</v>
      </c>
      <c r="E656">
        <v>10</v>
      </c>
      <c r="F656">
        <v>9</v>
      </c>
      <c r="G656" s="8">
        <f>Lektionen[[#This Row],[Bearbeitungsdauer_real]]/Lektionen[[#This Row],[Bearbeitungsdauer_geschätzt]]-1</f>
        <v>-9.9999999999999978E-2</v>
      </c>
      <c r="H656" s="8" t="str" cm="1">
        <f t="array" ref="H656">_xlfn.IFS(Lektionen[[#This Row],[Bearbeitungsdauer_abgewichen]]&gt;0.6,"viel länger",Lektionen[[#This Row],[Bearbeitungsdauer_abgewichen]]&gt;0.3,"länger",Lektionen[[#This Row],[Bearbeitungsdauer_abgewichen]]&lt;-0.3,"kürzer",TRUE,"keine Abweichung")</f>
        <v>keine Abweichung</v>
      </c>
      <c r="I656">
        <v>4</v>
      </c>
    </row>
    <row r="657" spans="1:9" hidden="1" x14ac:dyDescent="0.3">
      <c r="A657" s="13">
        <v>98</v>
      </c>
      <c r="B657" s="4">
        <v>8</v>
      </c>
      <c r="C657" t="s">
        <v>537</v>
      </c>
      <c r="D657" t="s">
        <v>527</v>
      </c>
      <c r="E657">
        <v>5</v>
      </c>
      <c r="F657">
        <v>6</v>
      </c>
      <c r="G657" s="8">
        <f>Lektionen[[#This Row],[Bearbeitungsdauer_real]]/Lektionen[[#This Row],[Bearbeitungsdauer_geschätzt]]-1</f>
        <v>0.19999999999999996</v>
      </c>
      <c r="H657" s="8" t="str" cm="1">
        <f t="array" ref="H657">_xlfn.IFS(Lektionen[[#This Row],[Bearbeitungsdauer_abgewichen]]&gt;0.6,"viel länger",Lektionen[[#This Row],[Bearbeitungsdauer_abgewichen]]&gt;0.3,"länger",Lektionen[[#This Row],[Bearbeitungsdauer_abgewichen]]&lt;-0.3,"kürzer",TRUE,"keine Abweichung")</f>
        <v>keine Abweichung</v>
      </c>
      <c r="I657">
        <v>1</v>
      </c>
    </row>
    <row r="658" spans="1:9" hidden="1" x14ac:dyDescent="0.3">
      <c r="A658" s="13">
        <v>99</v>
      </c>
      <c r="B658" s="4">
        <v>1</v>
      </c>
      <c r="C658" t="s">
        <v>526</v>
      </c>
      <c r="D658" t="s">
        <v>527</v>
      </c>
      <c r="E658">
        <v>4</v>
      </c>
      <c r="F658">
        <v>4</v>
      </c>
      <c r="G658" s="8">
        <f>Lektionen[[#This Row],[Bearbeitungsdauer_real]]/Lektionen[[#This Row],[Bearbeitungsdauer_geschätzt]]-1</f>
        <v>0</v>
      </c>
      <c r="H658" s="8" t="str" cm="1">
        <f t="array" ref="H658">_xlfn.IFS(Lektionen[[#This Row],[Bearbeitungsdauer_abgewichen]]&gt;0.6,"viel länger",Lektionen[[#This Row],[Bearbeitungsdauer_abgewichen]]&gt;0.3,"länger",Lektionen[[#This Row],[Bearbeitungsdauer_abgewichen]]&lt;-0.3,"kürzer",TRUE,"keine Abweichung")</f>
        <v>keine Abweichung</v>
      </c>
      <c r="I658">
        <v>1</v>
      </c>
    </row>
    <row r="659" spans="1:9" hidden="1" x14ac:dyDescent="0.3">
      <c r="A659" s="13">
        <v>99</v>
      </c>
      <c r="B659" s="4">
        <v>2</v>
      </c>
      <c r="C659" t="s">
        <v>528</v>
      </c>
      <c r="D659" t="s">
        <v>529</v>
      </c>
      <c r="E659">
        <v>15</v>
      </c>
      <c r="F659">
        <v>19</v>
      </c>
      <c r="G659" s="8">
        <f>Lektionen[[#This Row],[Bearbeitungsdauer_real]]/Lektionen[[#This Row],[Bearbeitungsdauer_geschätzt]]-1</f>
        <v>0.26666666666666661</v>
      </c>
      <c r="H659" s="8" t="str" cm="1">
        <f t="array" ref="H659">_xlfn.IFS(Lektionen[[#This Row],[Bearbeitungsdauer_abgewichen]]&gt;0.6,"viel länger",Lektionen[[#This Row],[Bearbeitungsdauer_abgewichen]]&gt;0.3,"länger",Lektionen[[#This Row],[Bearbeitungsdauer_abgewichen]]&lt;-0.3,"kürzer",TRUE,"keine Abweichung")</f>
        <v>keine Abweichung</v>
      </c>
      <c r="I659">
        <v>1</v>
      </c>
    </row>
    <row r="660" spans="1:9" hidden="1" x14ac:dyDescent="0.3">
      <c r="A660" s="13">
        <v>99</v>
      </c>
      <c r="B660" s="4">
        <v>3</v>
      </c>
      <c r="C660" t="s">
        <v>552</v>
      </c>
      <c r="D660" t="s">
        <v>530</v>
      </c>
      <c r="E660">
        <v>30</v>
      </c>
      <c r="F660">
        <v>28</v>
      </c>
      <c r="G660" s="8">
        <f>Lektionen[[#This Row],[Bearbeitungsdauer_real]]/Lektionen[[#This Row],[Bearbeitungsdauer_geschätzt]]-1</f>
        <v>-6.6666666666666652E-2</v>
      </c>
      <c r="H660" s="8" t="str" cm="1">
        <f t="array" ref="H660">_xlfn.IFS(Lektionen[[#This Row],[Bearbeitungsdauer_abgewichen]]&gt;0.6,"viel länger",Lektionen[[#This Row],[Bearbeitungsdauer_abgewichen]]&gt;0.3,"länger",Lektionen[[#This Row],[Bearbeitungsdauer_abgewichen]]&lt;-0.3,"kürzer",TRUE,"keine Abweichung")</f>
        <v>keine Abweichung</v>
      </c>
      <c r="I660">
        <v>2</v>
      </c>
    </row>
    <row r="661" spans="1:9" hidden="1" x14ac:dyDescent="0.3">
      <c r="A661" s="13">
        <v>99</v>
      </c>
      <c r="B661" s="4">
        <v>4</v>
      </c>
      <c r="C661" t="s">
        <v>531</v>
      </c>
      <c r="D661" t="s">
        <v>530</v>
      </c>
      <c r="E661">
        <v>30</v>
      </c>
      <c r="F661">
        <v>30</v>
      </c>
      <c r="G661" s="8">
        <f>Lektionen[[#This Row],[Bearbeitungsdauer_real]]/Lektionen[[#This Row],[Bearbeitungsdauer_geschätzt]]-1</f>
        <v>0</v>
      </c>
      <c r="H661" s="8" t="str" cm="1">
        <f t="array" ref="H661">_xlfn.IFS(Lektionen[[#This Row],[Bearbeitungsdauer_abgewichen]]&gt;0.6,"viel länger",Lektionen[[#This Row],[Bearbeitungsdauer_abgewichen]]&gt;0.3,"länger",Lektionen[[#This Row],[Bearbeitungsdauer_abgewichen]]&lt;-0.3,"kürzer",TRUE,"keine Abweichung")</f>
        <v>keine Abweichung</v>
      </c>
      <c r="I661">
        <v>3</v>
      </c>
    </row>
    <row r="662" spans="1:9" x14ac:dyDescent="0.3">
      <c r="A662" s="13">
        <v>99</v>
      </c>
      <c r="B662" s="4">
        <v>5</v>
      </c>
      <c r="C662" t="s">
        <v>532</v>
      </c>
      <c r="D662" t="s">
        <v>530</v>
      </c>
      <c r="E662">
        <v>30</v>
      </c>
      <c r="F662">
        <v>39</v>
      </c>
      <c r="G662" s="8">
        <f>Lektionen[[#This Row],[Bearbeitungsdauer_real]]/Lektionen[[#This Row],[Bearbeitungsdauer_geschätzt]]-1</f>
        <v>0.30000000000000004</v>
      </c>
      <c r="H662" s="8" t="str" cm="1">
        <f t="array" ref="H662">_xlfn.IFS(Lektionen[[#This Row],[Bearbeitungsdauer_abgewichen]]&gt;0.6,"viel länger",Lektionen[[#This Row],[Bearbeitungsdauer_abgewichen]]&gt;0.3,"länger",Lektionen[[#This Row],[Bearbeitungsdauer_abgewichen]]&lt;-0.3,"kürzer",TRUE,"keine Abweichung")</f>
        <v>keine Abweichung</v>
      </c>
      <c r="I662">
        <v>5</v>
      </c>
    </row>
    <row r="663" spans="1:9" hidden="1" x14ac:dyDescent="0.3">
      <c r="A663" s="13">
        <v>99</v>
      </c>
      <c r="B663" s="4">
        <v>6</v>
      </c>
      <c r="C663" t="s">
        <v>533</v>
      </c>
      <c r="D663" t="s">
        <v>534</v>
      </c>
      <c r="E663">
        <v>5</v>
      </c>
      <c r="F663">
        <v>1</v>
      </c>
      <c r="G663" s="8">
        <f>Lektionen[[#This Row],[Bearbeitungsdauer_real]]/Lektionen[[#This Row],[Bearbeitungsdauer_geschätzt]]-1</f>
        <v>-0.8</v>
      </c>
      <c r="H663" s="8" t="str" cm="1">
        <f t="array" ref="H663">_xlfn.IFS(Lektionen[[#This Row],[Bearbeitungsdauer_abgewichen]]&gt;0.6,"viel länger",Lektionen[[#This Row],[Bearbeitungsdauer_abgewichen]]&gt;0.3,"länger",Lektionen[[#This Row],[Bearbeitungsdauer_abgewichen]]&lt;-0.3,"kürzer",TRUE,"keine Abweichung")</f>
        <v>kürzer</v>
      </c>
      <c r="I663">
        <v>2</v>
      </c>
    </row>
    <row r="664" spans="1:9" hidden="1" x14ac:dyDescent="0.3">
      <c r="A664" s="13">
        <v>99</v>
      </c>
      <c r="B664" s="4">
        <v>7</v>
      </c>
      <c r="C664" t="s">
        <v>535</v>
      </c>
      <c r="D664" t="s">
        <v>536</v>
      </c>
      <c r="E664">
        <v>10</v>
      </c>
      <c r="F664">
        <v>8</v>
      </c>
      <c r="G664" s="8">
        <f>Lektionen[[#This Row],[Bearbeitungsdauer_real]]/Lektionen[[#This Row],[Bearbeitungsdauer_geschätzt]]-1</f>
        <v>-0.19999999999999996</v>
      </c>
      <c r="H664" s="8" t="str" cm="1">
        <f t="array" ref="H664">_xlfn.IFS(Lektionen[[#This Row],[Bearbeitungsdauer_abgewichen]]&gt;0.6,"viel länger",Lektionen[[#This Row],[Bearbeitungsdauer_abgewichen]]&gt;0.3,"länger",Lektionen[[#This Row],[Bearbeitungsdauer_abgewichen]]&lt;-0.3,"kürzer",TRUE,"keine Abweichung")</f>
        <v>keine Abweichung</v>
      </c>
      <c r="I664">
        <v>4</v>
      </c>
    </row>
    <row r="665" spans="1:9" hidden="1" x14ac:dyDescent="0.3">
      <c r="A665" s="13">
        <v>99</v>
      </c>
      <c r="B665" s="4">
        <v>8</v>
      </c>
      <c r="C665" t="s">
        <v>537</v>
      </c>
      <c r="D665" t="s">
        <v>527</v>
      </c>
      <c r="E665">
        <v>5</v>
      </c>
      <c r="F665">
        <v>5</v>
      </c>
      <c r="G665" s="8">
        <f>Lektionen[[#This Row],[Bearbeitungsdauer_real]]/Lektionen[[#This Row],[Bearbeitungsdauer_geschätzt]]-1</f>
        <v>0</v>
      </c>
      <c r="H665" s="8" t="str" cm="1">
        <f t="array" ref="H665">_xlfn.IFS(Lektionen[[#This Row],[Bearbeitungsdauer_abgewichen]]&gt;0.6,"viel länger",Lektionen[[#This Row],[Bearbeitungsdauer_abgewichen]]&gt;0.3,"länger",Lektionen[[#This Row],[Bearbeitungsdauer_abgewichen]]&lt;-0.3,"kürzer",TRUE,"keine Abweichung")</f>
        <v>keine Abweichung</v>
      </c>
      <c r="I665">
        <v>1</v>
      </c>
    </row>
    <row r="666" spans="1:9" hidden="1" x14ac:dyDescent="0.3">
      <c r="A666" s="13">
        <v>100</v>
      </c>
      <c r="B666" s="4">
        <v>1</v>
      </c>
      <c r="C666" t="s">
        <v>526</v>
      </c>
      <c r="D666" t="s">
        <v>527</v>
      </c>
      <c r="E666">
        <v>4</v>
      </c>
      <c r="F666">
        <v>4</v>
      </c>
      <c r="G666" s="8">
        <f>Lektionen[[#This Row],[Bearbeitungsdauer_real]]/Lektionen[[#This Row],[Bearbeitungsdauer_geschätzt]]-1</f>
        <v>0</v>
      </c>
      <c r="H666" s="8" t="str" cm="1">
        <f t="array" ref="H666">_xlfn.IFS(Lektionen[[#This Row],[Bearbeitungsdauer_abgewichen]]&gt;0.6,"viel länger",Lektionen[[#This Row],[Bearbeitungsdauer_abgewichen]]&gt;0.3,"länger",Lektionen[[#This Row],[Bearbeitungsdauer_abgewichen]]&lt;-0.3,"kürzer",TRUE,"keine Abweichung")</f>
        <v>keine Abweichung</v>
      </c>
      <c r="I666">
        <v>1</v>
      </c>
    </row>
    <row r="667" spans="1:9" hidden="1" x14ac:dyDescent="0.3">
      <c r="A667" s="13">
        <v>100</v>
      </c>
      <c r="B667" s="4">
        <v>2</v>
      </c>
      <c r="C667" t="s">
        <v>528</v>
      </c>
      <c r="D667" t="s">
        <v>529</v>
      </c>
      <c r="E667">
        <v>15</v>
      </c>
      <c r="F667">
        <v>16</v>
      </c>
      <c r="G667" s="8">
        <f>Lektionen[[#This Row],[Bearbeitungsdauer_real]]/Lektionen[[#This Row],[Bearbeitungsdauer_geschätzt]]-1</f>
        <v>6.6666666666666652E-2</v>
      </c>
      <c r="H667" s="8" t="str" cm="1">
        <f t="array" ref="H667">_xlfn.IFS(Lektionen[[#This Row],[Bearbeitungsdauer_abgewichen]]&gt;0.6,"viel länger",Lektionen[[#This Row],[Bearbeitungsdauer_abgewichen]]&gt;0.3,"länger",Lektionen[[#This Row],[Bearbeitungsdauer_abgewichen]]&lt;-0.3,"kürzer",TRUE,"keine Abweichung")</f>
        <v>keine Abweichung</v>
      </c>
      <c r="I667">
        <v>2</v>
      </c>
    </row>
    <row r="668" spans="1:9" hidden="1" x14ac:dyDescent="0.3">
      <c r="A668" s="13">
        <v>100</v>
      </c>
      <c r="B668" s="4">
        <v>3</v>
      </c>
      <c r="C668" t="s">
        <v>552</v>
      </c>
      <c r="D668" t="s">
        <v>530</v>
      </c>
      <c r="E668">
        <v>30</v>
      </c>
      <c r="F668">
        <v>29</v>
      </c>
      <c r="G668" s="8">
        <f>Lektionen[[#This Row],[Bearbeitungsdauer_real]]/Lektionen[[#This Row],[Bearbeitungsdauer_geschätzt]]-1</f>
        <v>-3.3333333333333326E-2</v>
      </c>
      <c r="H668" s="8" t="str" cm="1">
        <f t="array" ref="H668">_xlfn.IFS(Lektionen[[#This Row],[Bearbeitungsdauer_abgewichen]]&gt;0.6,"viel länger",Lektionen[[#This Row],[Bearbeitungsdauer_abgewichen]]&gt;0.3,"länger",Lektionen[[#This Row],[Bearbeitungsdauer_abgewichen]]&lt;-0.3,"kürzer",TRUE,"keine Abweichung")</f>
        <v>keine Abweichung</v>
      </c>
      <c r="I668">
        <v>3</v>
      </c>
    </row>
    <row r="669" spans="1:9" hidden="1" x14ac:dyDescent="0.3">
      <c r="A669" s="13">
        <v>100</v>
      </c>
      <c r="B669" s="4">
        <v>4</v>
      </c>
      <c r="C669" t="s">
        <v>531</v>
      </c>
      <c r="D669" t="s">
        <v>530</v>
      </c>
      <c r="E669">
        <v>30</v>
      </c>
      <c r="F669">
        <v>18</v>
      </c>
      <c r="G669" s="8">
        <f>Lektionen[[#This Row],[Bearbeitungsdauer_real]]/Lektionen[[#This Row],[Bearbeitungsdauer_geschätzt]]-1</f>
        <v>-0.4</v>
      </c>
      <c r="H669" s="8" t="str" cm="1">
        <f t="array" ref="H669">_xlfn.IFS(Lektionen[[#This Row],[Bearbeitungsdauer_abgewichen]]&gt;0.6,"viel länger",Lektionen[[#This Row],[Bearbeitungsdauer_abgewichen]]&gt;0.3,"länger",Lektionen[[#This Row],[Bearbeitungsdauer_abgewichen]]&lt;-0.3,"kürzer",TRUE,"keine Abweichung")</f>
        <v>kürzer</v>
      </c>
      <c r="I669">
        <v>3</v>
      </c>
    </row>
    <row r="670" spans="1:9" x14ac:dyDescent="0.3">
      <c r="A670" s="13">
        <v>100</v>
      </c>
      <c r="B670" s="4">
        <v>5</v>
      </c>
      <c r="C670" t="s">
        <v>532</v>
      </c>
      <c r="D670" t="s">
        <v>530</v>
      </c>
      <c r="E670">
        <v>30</v>
      </c>
      <c r="F670">
        <v>49</v>
      </c>
      <c r="G670" s="8">
        <f>Lektionen[[#This Row],[Bearbeitungsdauer_real]]/Lektionen[[#This Row],[Bearbeitungsdauer_geschätzt]]-1</f>
        <v>0.6333333333333333</v>
      </c>
      <c r="H670" s="8" t="str" cm="1">
        <f t="array" ref="H670">_xlfn.IFS(Lektionen[[#This Row],[Bearbeitungsdauer_abgewichen]]&gt;0.6,"viel länger",Lektionen[[#This Row],[Bearbeitungsdauer_abgewichen]]&gt;0.3,"länger",Lektionen[[#This Row],[Bearbeitungsdauer_abgewichen]]&lt;-0.3,"kürzer",TRUE,"keine Abweichung")</f>
        <v>viel länger</v>
      </c>
      <c r="I670">
        <v>4</v>
      </c>
    </row>
    <row r="671" spans="1:9" hidden="1" x14ac:dyDescent="0.3">
      <c r="A671" s="13">
        <v>100</v>
      </c>
      <c r="B671" s="4">
        <v>6</v>
      </c>
      <c r="C671" t="s">
        <v>533</v>
      </c>
      <c r="D671" t="s">
        <v>534</v>
      </c>
      <c r="E671">
        <v>5</v>
      </c>
      <c r="F671">
        <v>2</v>
      </c>
      <c r="G671" s="8">
        <f>Lektionen[[#This Row],[Bearbeitungsdauer_real]]/Lektionen[[#This Row],[Bearbeitungsdauer_geschätzt]]-1</f>
        <v>-0.6</v>
      </c>
      <c r="H671" s="8" t="str" cm="1">
        <f t="array" ref="H671">_xlfn.IFS(Lektionen[[#This Row],[Bearbeitungsdauer_abgewichen]]&gt;0.6,"viel länger",Lektionen[[#This Row],[Bearbeitungsdauer_abgewichen]]&gt;0.3,"länger",Lektionen[[#This Row],[Bearbeitungsdauer_abgewichen]]&lt;-0.3,"kürzer",TRUE,"keine Abweichung")</f>
        <v>kürzer</v>
      </c>
      <c r="I671">
        <v>2</v>
      </c>
    </row>
    <row r="672" spans="1:9" hidden="1" x14ac:dyDescent="0.3">
      <c r="A672" s="13">
        <v>100</v>
      </c>
      <c r="B672" s="4">
        <v>7</v>
      </c>
      <c r="C672" t="s">
        <v>535</v>
      </c>
      <c r="D672" t="s">
        <v>536</v>
      </c>
      <c r="E672">
        <v>10</v>
      </c>
      <c r="F672">
        <v>11</v>
      </c>
      <c r="G672" s="8">
        <f>Lektionen[[#This Row],[Bearbeitungsdauer_real]]/Lektionen[[#This Row],[Bearbeitungsdauer_geschätzt]]-1</f>
        <v>0.10000000000000009</v>
      </c>
      <c r="H672" s="8" t="str" cm="1">
        <f t="array" ref="H672">_xlfn.IFS(Lektionen[[#This Row],[Bearbeitungsdauer_abgewichen]]&gt;0.6,"viel länger",Lektionen[[#This Row],[Bearbeitungsdauer_abgewichen]]&gt;0.3,"länger",Lektionen[[#This Row],[Bearbeitungsdauer_abgewichen]]&lt;-0.3,"kürzer",TRUE,"keine Abweichung")</f>
        <v>keine Abweichung</v>
      </c>
      <c r="I672">
        <v>3</v>
      </c>
    </row>
    <row r="673" spans="1:9" hidden="1" x14ac:dyDescent="0.3">
      <c r="A673" s="13">
        <v>100</v>
      </c>
      <c r="B673" s="4">
        <v>8</v>
      </c>
      <c r="C673" t="s">
        <v>537</v>
      </c>
      <c r="D673" t="s">
        <v>527</v>
      </c>
      <c r="E673">
        <v>5</v>
      </c>
      <c r="F673">
        <v>5</v>
      </c>
      <c r="G673" s="8">
        <f>Lektionen[[#This Row],[Bearbeitungsdauer_real]]/Lektionen[[#This Row],[Bearbeitungsdauer_geschätzt]]-1</f>
        <v>0</v>
      </c>
      <c r="H673" s="8" t="str" cm="1">
        <f t="array" ref="H673">_xlfn.IFS(Lektionen[[#This Row],[Bearbeitungsdauer_abgewichen]]&gt;0.6,"viel länger",Lektionen[[#This Row],[Bearbeitungsdauer_abgewichen]]&gt;0.3,"länger",Lektionen[[#This Row],[Bearbeitungsdauer_abgewichen]]&lt;-0.3,"kürzer",TRUE,"keine Abweichung")</f>
        <v>keine Abweichung</v>
      </c>
      <c r="I673">
        <v>1</v>
      </c>
    </row>
    <row r="674" spans="1:9" hidden="1" x14ac:dyDescent="0.3">
      <c r="A674" s="13">
        <v>101</v>
      </c>
      <c r="B674" s="4">
        <v>1</v>
      </c>
      <c r="C674" t="s">
        <v>526</v>
      </c>
      <c r="D674" t="s">
        <v>527</v>
      </c>
      <c r="E674">
        <v>4</v>
      </c>
      <c r="F674">
        <v>6</v>
      </c>
      <c r="G674" s="8">
        <f>Lektionen[[#This Row],[Bearbeitungsdauer_real]]/Lektionen[[#This Row],[Bearbeitungsdauer_geschätzt]]-1</f>
        <v>0.5</v>
      </c>
      <c r="H674" s="8" t="str" cm="1">
        <f t="array" ref="H674">_xlfn.IFS(Lektionen[[#This Row],[Bearbeitungsdauer_abgewichen]]&gt;0.6,"viel länger",Lektionen[[#This Row],[Bearbeitungsdauer_abgewichen]]&gt;0.3,"länger",Lektionen[[#This Row],[Bearbeitungsdauer_abgewichen]]&lt;-0.3,"kürzer",TRUE,"keine Abweichung")</f>
        <v>länger</v>
      </c>
      <c r="I674">
        <v>1</v>
      </c>
    </row>
    <row r="675" spans="1:9" hidden="1" x14ac:dyDescent="0.3">
      <c r="A675" s="13">
        <v>101</v>
      </c>
      <c r="B675" s="4">
        <v>2</v>
      </c>
      <c r="C675" t="s">
        <v>528</v>
      </c>
      <c r="D675" t="s">
        <v>529</v>
      </c>
      <c r="E675">
        <v>15</v>
      </c>
      <c r="F675">
        <v>17</v>
      </c>
      <c r="G675" s="8">
        <f>Lektionen[[#This Row],[Bearbeitungsdauer_real]]/Lektionen[[#This Row],[Bearbeitungsdauer_geschätzt]]-1</f>
        <v>0.1333333333333333</v>
      </c>
      <c r="H675" s="8" t="str" cm="1">
        <f t="array" ref="H675">_xlfn.IFS(Lektionen[[#This Row],[Bearbeitungsdauer_abgewichen]]&gt;0.6,"viel länger",Lektionen[[#This Row],[Bearbeitungsdauer_abgewichen]]&gt;0.3,"länger",Lektionen[[#This Row],[Bearbeitungsdauer_abgewichen]]&lt;-0.3,"kürzer",TRUE,"keine Abweichung")</f>
        <v>keine Abweichung</v>
      </c>
      <c r="I675">
        <v>1</v>
      </c>
    </row>
    <row r="676" spans="1:9" hidden="1" x14ac:dyDescent="0.3">
      <c r="A676" s="13">
        <v>101</v>
      </c>
      <c r="B676" s="4">
        <v>3</v>
      </c>
      <c r="C676" t="s">
        <v>552</v>
      </c>
      <c r="D676" t="s">
        <v>530</v>
      </c>
      <c r="E676">
        <v>30</v>
      </c>
      <c r="F676">
        <v>28</v>
      </c>
      <c r="G676" s="8">
        <f>Lektionen[[#This Row],[Bearbeitungsdauer_real]]/Lektionen[[#This Row],[Bearbeitungsdauer_geschätzt]]-1</f>
        <v>-6.6666666666666652E-2</v>
      </c>
      <c r="H676" s="8" t="str" cm="1">
        <f t="array" ref="H676">_xlfn.IFS(Lektionen[[#This Row],[Bearbeitungsdauer_abgewichen]]&gt;0.6,"viel länger",Lektionen[[#This Row],[Bearbeitungsdauer_abgewichen]]&gt;0.3,"länger",Lektionen[[#This Row],[Bearbeitungsdauer_abgewichen]]&lt;-0.3,"kürzer",TRUE,"keine Abweichung")</f>
        <v>keine Abweichung</v>
      </c>
      <c r="I676">
        <v>2</v>
      </c>
    </row>
    <row r="677" spans="1:9" hidden="1" x14ac:dyDescent="0.3">
      <c r="A677" s="13">
        <v>101</v>
      </c>
      <c r="B677" s="4">
        <v>4</v>
      </c>
      <c r="C677" t="s">
        <v>531</v>
      </c>
      <c r="D677" t="s">
        <v>530</v>
      </c>
      <c r="E677">
        <v>30</v>
      </c>
      <c r="F677">
        <v>25</v>
      </c>
      <c r="G677" s="8">
        <f>Lektionen[[#This Row],[Bearbeitungsdauer_real]]/Lektionen[[#This Row],[Bearbeitungsdauer_geschätzt]]-1</f>
        <v>-0.16666666666666663</v>
      </c>
      <c r="H677" s="8" t="str" cm="1">
        <f t="array" ref="H677">_xlfn.IFS(Lektionen[[#This Row],[Bearbeitungsdauer_abgewichen]]&gt;0.6,"viel länger",Lektionen[[#This Row],[Bearbeitungsdauer_abgewichen]]&gt;0.3,"länger",Lektionen[[#This Row],[Bearbeitungsdauer_abgewichen]]&lt;-0.3,"kürzer",TRUE,"keine Abweichung")</f>
        <v>keine Abweichung</v>
      </c>
      <c r="I677">
        <v>2</v>
      </c>
    </row>
    <row r="678" spans="1:9" x14ac:dyDescent="0.3">
      <c r="A678" s="13">
        <v>101</v>
      </c>
      <c r="B678" s="4">
        <v>5</v>
      </c>
      <c r="C678" t="s">
        <v>532</v>
      </c>
      <c r="D678" t="s">
        <v>530</v>
      </c>
      <c r="E678">
        <v>30</v>
      </c>
      <c r="F678">
        <v>38</v>
      </c>
      <c r="G678" s="8">
        <f>Lektionen[[#This Row],[Bearbeitungsdauer_real]]/Lektionen[[#This Row],[Bearbeitungsdauer_geschätzt]]-1</f>
        <v>0.26666666666666661</v>
      </c>
      <c r="H678" s="8" t="str" cm="1">
        <f t="array" ref="H678">_xlfn.IFS(Lektionen[[#This Row],[Bearbeitungsdauer_abgewichen]]&gt;0.6,"viel länger",Lektionen[[#This Row],[Bearbeitungsdauer_abgewichen]]&gt;0.3,"länger",Lektionen[[#This Row],[Bearbeitungsdauer_abgewichen]]&lt;-0.3,"kürzer",TRUE,"keine Abweichung")</f>
        <v>keine Abweichung</v>
      </c>
      <c r="I678">
        <v>3</v>
      </c>
    </row>
    <row r="679" spans="1:9" hidden="1" x14ac:dyDescent="0.3">
      <c r="A679" s="13">
        <v>101</v>
      </c>
      <c r="B679" s="4">
        <v>6</v>
      </c>
      <c r="C679" t="s">
        <v>533</v>
      </c>
      <c r="D679" t="s">
        <v>534</v>
      </c>
      <c r="E679">
        <v>5</v>
      </c>
      <c r="F679">
        <v>3</v>
      </c>
      <c r="G679" s="8">
        <f>Lektionen[[#This Row],[Bearbeitungsdauer_real]]/Lektionen[[#This Row],[Bearbeitungsdauer_geschätzt]]-1</f>
        <v>-0.4</v>
      </c>
      <c r="H679" s="8" t="str" cm="1">
        <f t="array" ref="H679">_xlfn.IFS(Lektionen[[#This Row],[Bearbeitungsdauer_abgewichen]]&gt;0.6,"viel länger",Lektionen[[#This Row],[Bearbeitungsdauer_abgewichen]]&gt;0.3,"länger",Lektionen[[#This Row],[Bearbeitungsdauer_abgewichen]]&lt;-0.3,"kürzer",TRUE,"keine Abweichung")</f>
        <v>kürzer</v>
      </c>
      <c r="I679">
        <v>1</v>
      </c>
    </row>
    <row r="680" spans="1:9" hidden="1" x14ac:dyDescent="0.3">
      <c r="A680" s="13">
        <v>101</v>
      </c>
      <c r="B680" s="4">
        <v>7</v>
      </c>
      <c r="C680" t="s">
        <v>535</v>
      </c>
      <c r="D680" t="s">
        <v>536</v>
      </c>
      <c r="E680">
        <v>10</v>
      </c>
      <c r="F680">
        <v>11</v>
      </c>
      <c r="G680" s="8">
        <f>Lektionen[[#This Row],[Bearbeitungsdauer_real]]/Lektionen[[#This Row],[Bearbeitungsdauer_geschätzt]]-1</f>
        <v>0.10000000000000009</v>
      </c>
      <c r="H680" s="8" t="str" cm="1">
        <f t="array" ref="H680">_xlfn.IFS(Lektionen[[#This Row],[Bearbeitungsdauer_abgewichen]]&gt;0.6,"viel länger",Lektionen[[#This Row],[Bearbeitungsdauer_abgewichen]]&gt;0.3,"länger",Lektionen[[#This Row],[Bearbeitungsdauer_abgewichen]]&lt;-0.3,"kürzer",TRUE,"keine Abweichung")</f>
        <v>keine Abweichung</v>
      </c>
      <c r="I680">
        <v>3</v>
      </c>
    </row>
    <row r="681" spans="1:9" hidden="1" x14ac:dyDescent="0.3">
      <c r="A681" s="13">
        <v>101</v>
      </c>
      <c r="B681" s="4">
        <v>8</v>
      </c>
      <c r="C681" t="s">
        <v>537</v>
      </c>
      <c r="D681" t="s">
        <v>527</v>
      </c>
      <c r="E681">
        <v>5</v>
      </c>
      <c r="F681">
        <v>5</v>
      </c>
      <c r="G681" s="8">
        <f>Lektionen[[#This Row],[Bearbeitungsdauer_real]]/Lektionen[[#This Row],[Bearbeitungsdauer_geschätzt]]-1</f>
        <v>0</v>
      </c>
      <c r="H681" s="8" t="str" cm="1">
        <f t="array" ref="H681">_xlfn.IFS(Lektionen[[#This Row],[Bearbeitungsdauer_abgewichen]]&gt;0.6,"viel länger",Lektionen[[#This Row],[Bearbeitungsdauer_abgewichen]]&gt;0.3,"länger",Lektionen[[#This Row],[Bearbeitungsdauer_abgewichen]]&lt;-0.3,"kürzer",TRUE,"keine Abweichung")</f>
        <v>keine Abweichung</v>
      </c>
      <c r="I681">
        <v>1</v>
      </c>
    </row>
    <row r="682" spans="1:9" hidden="1" x14ac:dyDescent="0.3">
      <c r="A682" s="13">
        <v>102</v>
      </c>
      <c r="B682" s="4">
        <v>1</v>
      </c>
      <c r="C682" t="s">
        <v>526</v>
      </c>
      <c r="D682" t="s">
        <v>527</v>
      </c>
      <c r="E682">
        <v>4</v>
      </c>
      <c r="F682">
        <v>7</v>
      </c>
      <c r="G682" s="8">
        <f>Lektionen[[#This Row],[Bearbeitungsdauer_real]]/Lektionen[[#This Row],[Bearbeitungsdauer_geschätzt]]-1</f>
        <v>0.75</v>
      </c>
      <c r="H682" s="8" t="str" cm="1">
        <f t="array" ref="H682">_xlfn.IFS(Lektionen[[#This Row],[Bearbeitungsdauer_abgewichen]]&gt;0.6,"viel länger",Lektionen[[#This Row],[Bearbeitungsdauer_abgewichen]]&gt;0.3,"länger",Lektionen[[#This Row],[Bearbeitungsdauer_abgewichen]]&lt;-0.3,"kürzer",TRUE,"keine Abweichung")</f>
        <v>viel länger</v>
      </c>
      <c r="I682">
        <v>1</v>
      </c>
    </row>
    <row r="683" spans="1:9" hidden="1" x14ac:dyDescent="0.3">
      <c r="A683" s="13">
        <v>102</v>
      </c>
      <c r="B683" s="4">
        <v>2</v>
      </c>
      <c r="C683" t="s">
        <v>528</v>
      </c>
      <c r="D683" t="s">
        <v>529</v>
      </c>
      <c r="E683">
        <v>15</v>
      </c>
      <c r="F683">
        <v>16</v>
      </c>
      <c r="G683" s="8">
        <f>Lektionen[[#This Row],[Bearbeitungsdauer_real]]/Lektionen[[#This Row],[Bearbeitungsdauer_geschätzt]]-1</f>
        <v>6.6666666666666652E-2</v>
      </c>
      <c r="H683" s="8" t="str" cm="1">
        <f t="array" ref="H683">_xlfn.IFS(Lektionen[[#This Row],[Bearbeitungsdauer_abgewichen]]&gt;0.6,"viel länger",Lektionen[[#This Row],[Bearbeitungsdauer_abgewichen]]&gt;0.3,"länger",Lektionen[[#This Row],[Bearbeitungsdauer_abgewichen]]&lt;-0.3,"kürzer",TRUE,"keine Abweichung")</f>
        <v>keine Abweichung</v>
      </c>
      <c r="I683">
        <v>2</v>
      </c>
    </row>
    <row r="684" spans="1:9" hidden="1" x14ac:dyDescent="0.3">
      <c r="A684" s="13">
        <v>102</v>
      </c>
      <c r="B684" s="4">
        <v>3</v>
      </c>
      <c r="C684" t="s">
        <v>552</v>
      </c>
      <c r="D684" t="s">
        <v>530</v>
      </c>
      <c r="E684">
        <v>30</v>
      </c>
      <c r="F684">
        <v>30</v>
      </c>
      <c r="G684" s="8">
        <f>Lektionen[[#This Row],[Bearbeitungsdauer_real]]/Lektionen[[#This Row],[Bearbeitungsdauer_geschätzt]]-1</f>
        <v>0</v>
      </c>
      <c r="H684" s="8" t="str" cm="1">
        <f t="array" ref="H684">_xlfn.IFS(Lektionen[[#This Row],[Bearbeitungsdauer_abgewichen]]&gt;0.6,"viel länger",Lektionen[[#This Row],[Bearbeitungsdauer_abgewichen]]&gt;0.3,"länger",Lektionen[[#This Row],[Bearbeitungsdauer_abgewichen]]&lt;-0.3,"kürzer",TRUE,"keine Abweichung")</f>
        <v>keine Abweichung</v>
      </c>
      <c r="I684">
        <v>2</v>
      </c>
    </row>
    <row r="685" spans="1:9" hidden="1" x14ac:dyDescent="0.3">
      <c r="A685" s="13">
        <v>102</v>
      </c>
      <c r="B685" s="4">
        <v>4</v>
      </c>
      <c r="C685" t="s">
        <v>531</v>
      </c>
      <c r="D685" t="s">
        <v>530</v>
      </c>
      <c r="E685">
        <v>30</v>
      </c>
      <c r="F685">
        <v>27</v>
      </c>
      <c r="G685" s="8">
        <f>Lektionen[[#This Row],[Bearbeitungsdauer_real]]/Lektionen[[#This Row],[Bearbeitungsdauer_geschätzt]]-1</f>
        <v>-9.9999999999999978E-2</v>
      </c>
      <c r="H685" s="8" t="str" cm="1">
        <f t="array" ref="H685">_xlfn.IFS(Lektionen[[#This Row],[Bearbeitungsdauer_abgewichen]]&gt;0.6,"viel länger",Lektionen[[#This Row],[Bearbeitungsdauer_abgewichen]]&gt;0.3,"länger",Lektionen[[#This Row],[Bearbeitungsdauer_abgewichen]]&lt;-0.3,"kürzer",TRUE,"keine Abweichung")</f>
        <v>keine Abweichung</v>
      </c>
      <c r="I685">
        <v>3</v>
      </c>
    </row>
    <row r="686" spans="1:9" x14ac:dyDescent="0.3">
      <c r="A686" s="13">
        <v>102</v>
      </c>
      <c r="B686" s="4">
        <v>5</v>
      </c>
      <c r="C686" t="s">
        <v>532</v>
      </c>
      <c r="D686" t="s">
        <v>530</v>
      </c>
      <c r="E686">
        <v>30</v>
      </c>
      <c r="F686">
        <v>47</v>
      </c>
      <c r="G686" s="8">
        <f>Lektionen[[#This Row],[Bearbeitungsdauer_real]]/Lektionen[[#This Row],[Bearbeitungsdauer_geschätzt]]-1</f>
        <v>0.56666666666666665</v>
      </c>
      <c r="H686" s="8" t="str" cm="1">
        <f t="array" ref="H686">_xlfn.IFS(Lektionen[[#This Row],[Bearbeitungsdauer_abgewichen]]&gt;0.6,"viel länger",Lektionen[[#This Row],[Bearbeitungsdauer_abgewichen]]&gt;0.3,"länger",Lektionen[[#This Row],[Bearbeitungsdauer_abgewichen]]&lt;-0.3,"kürzer",TRUE,"keine Abweichung")</f>
        <v>länger</v>
      </c>
      <c r="I686">
        <v>3</v>
      </c>
    </row>
    <row r="687" spans="1:9" hidden="1" x14ac:dyDescent="0.3">
      <c r="A687" s="13">
        <v>102</v>
      </c>
      <c r="B687" s="4">
        <v>6</v>
      </c>
      <c r="C687" t="s">
        <v>533</v>
      </c>
      <c r="D687" t="s">
        <v>534</v>
      </c>
      <c r="E687">
        <v>5</v>
      </c>
      <c r="F687">
        <v>3</v>
      </c>
      <c r="G687" s="8">
        <f>Lektionen[[#This Row],[Bearbeitungsdauer_real]]/Lektionen[[#This Row],[Bearbeitungsdauer_geschätzt]]-1</f>
        <v>-0.4</v>
      </c>
      <c r="H687" s="8" t="str" cm="1">
        <f t="array" ref="H687">_xlfn.IFS(Lektionen[[#This Row],[Bearbeitungsdauer_abgewichen]]&gt;0.6,"viel länger",Lektionen[[#This Row],[Bearbeitungsdauer_abgewichen]]&gt;0.3,"länger",Lektionen[[#This Row],[Bearbeitungsdauer_abgewichen]]&lt;-0.3,"kürzer",TRUE,"keine Abweichung")</f>
        <v>kürzer</v>
      </c>
      <c r="I687">
        <v>3</v>
      </c>
    </row>
    <row r="688" spans="1:9" hidden="1" x14ac:dyDescent="0.3">
      <c r="A688" s="13">
        <v>102</v>
      </c>
      <c r="B688" s="4">
        <v>7</v>
      </c>
      <c r="C688" t="s">
        <v>535</v>
      </c>
      <c r="D688" t="s">
        <v>536</v>
      </c>
      <c r="E688">
        <v>10</v>
      </c>
      <c r="F688">
        <v>9</v>
      </c>
      <c r="G688" s="8">
        <f>Lektionen[[#This Row],[Bearbeitungsdauer_real]]/Lektionen[[#This Row],[Bearbeitungsdauer_geschätzt]]-1</f>
        <v>-9.9999999999999978E-2</v>
      </c>
      <c r="H688" s="8" t="str" cm="1">
        <f t="array" ref="H688">_xlfn.IFS(Lektionen[[#This Row],[Bearbeitungsdauer_abgewichen]]&gt;0.6,"viel länger",Lektionen[[#This Row],[Bearbeitungsdauer_abgewichen]]&gt;0.3,"länger",Lektionen[[#This Row],[Bearbeitungsdauer_abgewichen]]&lt;-0.3,"kürzer",TRUE,"keine Abweichung")</f>
        <v>keine Abweichung</v>
      </c>
      <c r="I688">
        <v>3</v>
      </c>
    </row>
    <row r="689" spans="1:9" hidden="1" x14ac:dyDescent="0.3">
      <c r="A689" s="13">
        <v>102</v>
      </c>
      <c r="B689" s="4">
        <v>8</v>
      </c>
      <c r="C689" t="s">
        <v>537</v>
      </c>
      <c r="D689" t="s">
        <v>527</v>
      </c>
      <c r="E689">
        <v>5</v>
      </c>
      <c r="F689">
        <v>5</v>
      </c>
      <c r="G689" s="8">
        <f>Lektionen[[#This Row],[Bearbeitungsdauer_real]]/Lektionen[[#This Row],[Bearbeitungsdauer_geschätzt]]-1</f>
        <v>0</v>
      </c>
      <c r="H689" s="8" t="str" cm="1">
        <f t="array" ref="H689">_xlfn.IFS(Lektionen[[#This Row],[Bearbeitungsdauer_abgewichen]]&gt;0.6,"viel länger",Lektionen[[#This Row],[Bearbeitungsdauer_abgewichen]]&gt;0.3,"länger",Lektionen[[#This Row],[Bearbeitungsdauer_abgewichen]]&lt;-0.3,"kürzer",TRUE,"keine Abweichung")</f>
        <v>keine Abweichung</v>
      </c>
      <c r="I689">
        <v>1</v>
      </c>
    </row>
    <row r="690" spans="1:9" hidden="1" x14ac:dyDescent="0.3">
      <c r="A690" s="13">
        <v>104</v>
      </c>
      <c r="B690" s="4">
        <v>1</v>
      </c>
      <c r="C690" t="s">
        <v>526</v>
      </c>
      <c r="D690" t="s">
        <v>527</v>
      </c>
      <c r="E690">
        <v>4</v>
      </c>
      <c r="F690">
        <v>4</v>
      </c>
      <c r="G690" s="8">
        <f>Lektionen[[#This Row],[Bearbeitungsdauer_real]]/Lektionen[[#This Row],[Bearbeitungsdauer_geschätzt]]-1</f>
        <v>0</v>
      </c>
      <c r="H690" s="8" t="str" cm="1">
        <f t="array" ref="H690">_xlfn.IFS(Lektionen[[#This Row],[Bearbeitungsdauer_abgewichen]]&gt;0.6,"viel länger",Lektionen[[#This Row],[Bearbeitungsdauer_abgewichen]]&gt;0.3,"länger",Lektionen[[#This Row],[Bearbeitungsdauer_abgewichen]]&lt;-0.3,"kürzer",TRUE,"keine Abweichung")</f>
        <v>keine Abweichung</v>
      </c>
      <c r="I690">
        <v>1</v>
      </c>
    </row>
    <row r="691" spans="1:9" hidden="1" x14ac:dyDescent="0.3">
      <c r="A691" s="13">
        <v>104</v>
      </c>
      <c r="B691" s="4">
        <v>2</v>
      </c>
      <c r="C691" t="s">
        <v>528</v>
      </c>
      <c r="D691" t="s">
        <v>529</v>
      </c>
      <c r="E691">
        <v>15</v>
      </c>
      <c r="F691">
        <v>17</v>
      </c>
      <c r="G691" s="8">
        <f>Lektionen[[#This Row],[Bearbeitungsdauer_real]]/Lektionen[[#This Row],[Bearbeitungsdauer_geschätzt]]-1</f>
        <v>0.1333333333333333</v>
      </c>
      <c r="H691" s="8" t="str" cm="1">
        <f t="array" ref="H691">_xlfn.IFS(Lektionen[[#This Row],[Bearbeitungsdauer_abgewichen]]&gt;0.6,"viel länger",Lektionen[[#This Row],[Bearbeitungsdauer_abgewichen]]&gt;0.3,"länger",Lektionen[[#This Row],[Bearbeitungsdauer_abgewichen]]&lt;-0.3,"kürzer",TRUE,"keine Abweichung")</f>
        <v>keine Abweichung</v>
      </c>
      <c r="I691">
        <v>2</v>
      </c>
    </row>
    <row r="692" spans="1:9" hidden="1" x14ac:dyDescent="0.3">
      <c r="A692" s="13">
        <v>104</v>
      </c>
      <c r="B692" s="4">
        <v>3</v>
      </c>
      <c r="C692" t="s">
        <v>552</v>
      </c>
      <c r="D692" t="s">
        <v>530</v>
      </c>
      <c r="E692">
        <v>30</v>
      </c>
      <c r="F692">
        <v>29</v>
      </c>
      <c r="G692" s="8">
        <f>Lektionen[[#This Row],[Bearbeitungsdauer_real]]/Lektionen[[#This Row],[Bearbeitungsdauer_geschätzt]]-1</f>
        <v>-3.3333333333333326E-2</v>
      </c>
      <c r="H692" s="8" t="str" cm="1">
        <f t="array" ref="H692">_xlfn.IFS(Lektionen[[#This Row],[Bearbeitungsdauer_abgewichen]]&gt;0.6,"viel länger",Lektionen[[#This Row],[Bearbeitungsdauer_abgewichen]]&gt;0.3,"länger",Lektionen[[#This Row],[Bearbeitungsdauer_abgewichen]]&lt;-0.3,"kürzer",TRUE,"keine Abweichung")</f>
        <v>keine Abweichung</v>
      </c>
      <c r="I692">
        <v>3</v>
      </c>
    </row>
    <row r="693" spans="1:9" hidden="1" x14ac:dyDescent="0.3">
      <c r="A693" s="13">
        <v>104</v>
      </c>
      <c r="B693" s="4">
        <v>4</v>
      </c>
      <c r="C693" t="s">
        <v>531</v>
      </c>
      <c r="D693" t="s">
        <v>530</v>
      </c>
      <c r="E693">
        <v>30</v>
      </c>
      <c r="F693">
        <v>25</v>
      </c>
      <c r="G693" s="8">
        <f>Lektionen[[#This Row],[Bearbeitungsdauer_real]]/Lektionen[[#This Row],[Bearbeitungsdauer_geschätzt]]-1</f>
        <v>-0.16666666666666663</v>
      </c>
      <c r="H693" s="8" t="str" cm="1">
        <f t="array" ref="H693">_xlfn.IFS(Lektionen[[#This Row],[Bearbeitungsdauer_abgewichen]]&gt;0.6,"viel länger",Lektionen[[#This Row],[Bearbeitungsdauer_abgewichen]]&gt;0.3,"länger",Lektionen[[#This Row],[Bearbeitungsdauer_abgewichen]]&lt;-0.3,"kürzer",TRUE,"keine Abweichung")</f>
        <v>keine Abweichung</v>
      </c>
      <c r="I693">
        <v>3</v>
      </c>
    </row>
    <row r="694" spans="1:9" x14ac:dyDescent="0.3">
      <c r="A694" s="13">
        <v>104</v>
      </c>
      <c r="B694" s="4">
        <v>5</v>
      </c>
      <c r="C694" t="s">
        <v>532</v>
      </c>
      <c r="D694" t="s">
        <v>530</v>
      </c>
      <c r="E694">
        <v>30</v>
      </c>
      <c r="F694">
        <v>39</v>
      </c>
      <c r="G694" s="8">
        <f>Lektionen[[#This Row],[Bearbeitungsdauer_real]]/Lektionen[[#This Row],[Bearbeitungsdauer_geschätzt]]-1</f>
        <v>0.30000000000000004</v>
      </c>
      <c r="H694" s="8" t="str" cm="1">
        <f t="array" ref="H694">_xlfn.IFS(Lektionen[[#This Row],[Bearbeitungsdauer_abgewichen]]&gt;0.6,"viel länger",Lektionen[[#This Row],[Bearbeitungsdauer_abgewichen]]&gt;0.3,"länger",Lektionen[[#This Row],[Bearbeitungsdauer_abgewichen]]&lt;-0.3,"kürzer",TRUE,"keine Abweichung")</f>
        <v>keine Abweichung</v>
      </c>
      <c r="I694">
        <v>4</v>
      </c>
    </row>
    <row r="695" spans="1:9" hidden="1" x14ac:dyDescent="0.3">
      <c r="A695" s="13">
        <v>104</v>
      </c>
      <c r="B695" s="4">
        <v>6</v>
      </c>
      <c r="C695" t="s">
        <v>533</v>
      </c>
      <c r="D695" t="s">
        <v>534</v>
      </c>
      <c r="E695">
        <v>5</v>
      </c>
      <c r="F695">
        <v>3</v>
      </c>
      <c r="G695" s="8">
        <f>Lektionen[[#This Row],[Bearbeitungsdauer_real]]/Lektionen[[#This Row],[Bearbeitungsdauer_geschätzt]]-1</f>
        <v>-0.4</v>
      </c>
      <c r="H695" s="8" t="str" cm="1">
        <f t="array" ref="H695">_xlfn.IFS(Lektionen[[#This Row],[Bearbeitungsdauer_abgewichen]]&gt;0.6,"viel länger",Lektionen[[#This Row],[Bearbeitungsdauer_abgewichen]]&gt;0.3,"länger",Lektionen[[#This Row],[Bearbeitungsdauer_abgewichen]]&lt;-0.3,"kürzer",TRUE,"keine Abweichung")</f>
        <v>kürzer</v>
      </c>
      <c r="I695">
        <v>1</v>
      </c>
    </row>
    <row r="696" spans="1:9" hidden="1" x14ac:dyDescent="0.3">
      <c r="A696" s="13">
        <v>104</v>
      </c>
      <c r="B696" s="4">
        <v>7</v>
      </c>
      <c r="C696" t="s">
        <v>535</v>
      </c>
      <c r="D696" t="s">
        <v>536</v>
      </c>
      <c r="E696">
        <v>10</v>
      </c>
      <c r="F696">
        <v>10</v>
      </c>
      <c r="G696" s="8">
        <f>Lektionen[[#This Row],[Bearbeitungsdauer_real]]/Lektionen[[#This Row],[Bearbeitungsdauer_geschätzt]]-1</f>
        <v>0</v>
      </c>
      <c r="H696" s="8" t="str" cm="1">
        <f t="array" ref="H696">_xlfn.IFS(Lektionen[[#This Row],[Bearbeitungsdauer_abgewichen]]&gt;0.6,"viel länger",Lektionen[[#This Row],[Bearbeitungsdauer_abgewichen]]&gt;0.3,"länger",Lektionen[[#This Row],[Bearbeitungsdauer_abgewichen]]&lt;-0.3,"kürzer",TRUE,"keine Abweichung")</f>
        <v>keine Abweichung</v>
      </c>
      <c r="I696">
        <v>3</v>
      </c>
    </row>
    <row r="697" spans="1:9" hidden="1" x14ac:dyDescent="0.3">
      <c r="A697" s="13">
        <v>104</v>
      </c>
      <c r="B697" s="4">
        <v>8</v>
      </c>
      <c r="C697" t="s">
        <v>537</v>
      </c>
      <c r="D697" t="s">
        <v>527</v>
      </c>
      <c r="E697">
        <v>5</v>
      </c>
      <c r="F697">
        <v>5</v>
      </c>
      <c r="G697" s="8">
        <f>Lektionen[[#This Row],[Bearbeitungsdauer_real]]/Lektionen[[#This Row],[Bearbeitungsdauer_geschätzt]]-1</f>
        <v>0</v>
      </c>
      <c r="H697" s="8" t="str" cm="1">
        <f t="array" ref="H697">_xlfn.IFS(Lektionen[[#This Row],[Bearbeitungsdauer_abgewichen]]&gt;0.6,"viel länger",Lektionen[[#This Row],[Bearbeitungsdauer_abgewichen]]&gt;0.3,"länger",Lektionen[[#This Row],[Bearbeitungsdauer_abgewichen]]&lt;-0.3,"kürzer",TRUE,"keine Abweichung")</f>
        <v>keine Abweichung</v>
      </c>
      <c r="I697">
        <v>1</v>
      </c>
    </row>
    <row r="698" spans="1:9" hidden="1" x14ac:dyDescent="0.3">
      <c r="A698" s="13">
        <v>105</v>
      </c>
      <c r="B698" s="4">
        <v>1</v>
      </c>
      <c r="C698" t="s">
        <v>526</v>
      </c>
      <c r="D698" t="s">
        <v>527</v>
      </c>
      <c r="E698">
        <v>4</v>
      </c>
      <c r="F698">
        <v>4</v>
      </c>
      <c r="G698" s="8">
        <f>Lektionen[[#This Row],[Bearbeitungsdauer_real]]/Lektionen[[#This Row],[Bearbeitungsdauer_geschätzt]]-1</f>
        <v>0</v>
      </c>
      <c r="H698" s="8" t="str" cm="1">
        <f t="array" ref="H698">_xlfn.IFS(Lektionen[[#This Row],[Bearbeitungsdauer_abgewichen]]&gt;0.6,"viel länger",Lektionen[[#This Row],[Bearbeitungsdauer_abgewichen]]&gt;0.3,"länger",Lektionen[[#This Row],[Bearbeitungsdauer_abgewichen]]&lt;-0.3,"kürzer",TRUE,"keine Abweichung")</f>
        <v>keine Abweichung</v>
      </c>
      <c r="I698">
        <v>1</v>
      </c>
    </row>
    <row r="699" spans="1:9" hidden="1" x14ac:dyDescent="0.3">
      <c r="A699" s="13">
        <v>105</v>
      </c>
      <c r="B699" s="4">
        <v>2</v>
      </c>
      <c r="C699" t="s">
        <v>528</v>
      </c>
      <c r="D699" t="s">
        <v>529</v>
      </c>
      <c r="E699">
        <v>15</v>
      </c>
      <c r="F699">
        <v>19</v>
      </c>
      <c r="G699" s="8">
        <f>Lektionen[[#This Row],[Bearbeitungsdauer_real]]/Lektionen[[#This Row],[Bearbeitungsdauer_geschätzt]]-1</f>
        <v>0.26666666666666661</v>
      </c>
      <c r="H699" s="8" t="str" cm="1">
        <f t="array" ref="H699">_xlfn.IFS(Lektionen[[#This Row],[Bearbeitungsdauer_abgewichen]]&gt;0.6,"viel länger",Lektionen[[#This Row],[Bearbeitungsdauer_abgewichen]]&gt;0.3,"länger",Lektionen[[#This Row],[Bearbeitungsdauer_abgewichen]]&lt;-0.3,"kürzer",TRUE,"keine Abweichung")</f>
        <v>keine Abweichung</v>
      </c>
      <c r="I699">
        <v>2</v>
      </c>
    </row>
    <row r="700" spans="1:9" hidden="1" x14ac:dyDescent="0.3">
      <c r="A700" s="13">
        <v>105</v>
      </c>
      <c r="B700" s="4">
        <v>3</v>
      </c>
      <c r="C700" t="s">
        <v>552</v>
      </c>
      <c r="D700" t="s">
        <v>530</v>
      </c>
      <c r="E700">
        <v>30</v>
      </c>
      <c r="F700">
        <v>30</v>
      </c>
      <c r="G700" s="8">
        <f>Lektionen[[#This Row],[Bearbeitungsdauer_real]]/Lektionen[[#This Row],[Bearbeitungsdauer_geschätzt]]-1</f>
        <v>0</v>
      </c>
      <c r="H700" s="8" t="str" cm="1">
        <f t="array" ref="H700">_xlfn.IFS(Lektionen[[#This Row],[Bearbeitungsdauer_abgewichen]]&gt;0.6,"viel länger",Lektionen[[#This Row],[Bearbeitungsdauer_abgewichen]]&gt;0.3,"länger",Lektionen[[#This Row],[Bearbeitungsdauer_abgewichen]]&lt;-0.3,"kürzer",TRUE,"keine Abweichung")</f>
        <v>keine Abweichung</v>
      </c>
      <c r="I700">
        <v>2</v>
      </c>
    </row>
    <row r="701" spans="1:9" hidden="1" x14ac:dyDescent="0.3">
      <c r="A701" s="13">
        <v>105</v>
      </c>
      <c r="B701" s="4">
        <v>4</v>
      </c>
      <c r="C701" t="s">
        <v>531</v>
      </c>
      <c r="D701" t="s">
        <v>530</v>
      </c>
      <c r="E701">
        <v>30</v>
      </c>
      <c r="F701">
        <v>27</v>
      </c>
      <c r="G701" s="8">
        <f>Lektionen[[#This Row],[Bearbeitungsdauer_real]]/Lektionen[[#This Row],[Bearbeitungsdauer_geschätzt]]-1</f>
        <v>-9.9999999999999978E-2</v>
      </c>
      <c r="H701" s="8" t="str" cm="1">
        <f t="array" ref="H701">_xlfn.IFS(Lektionen[[#This Row],[Bearbeitungsdauer_abgewichen]]&gt;0.6,"viel länger",Lektionen[[#This Row],[Bearbeitungsdauer_abgewichen]]&gt;0.3,"länger",Lektionen[[#This Row],[Bearbeitungsdauer_abgewichen]]&lt;-0.3,"kürzer",TRUE,"keine Abweichung")</f>
        <v>keine Abweichung</v>
      </c>
      <c r="I701">
        <v>4</v>
      </c>
    </row>
    <row r="702" spans="1:9" x14ac:dyDescent="0.3">
      <c r="A702" s="13">
        <v>105</v>
      </c>
      <c r="B702" s="4">
        <v>5</v>
      </c>
      <c r="C702" t="s">
        <v>532</v>
      </c>
      <c r="D702" t="s">
        <v>530</v>
      </c>
      <c r="E702">
        <v>30</v>
      </c>
      <c r="F702">
        <v>20</v>
      </c>
      <c r="G702" s="8">
        <f>Lektionen[[#This Row],[Bearbeitungsdauer_real]]/Lektionen[[#This Row],[Bearbeitungsdauer_geschätzt]]-1</f>
        <v>-0.33333333333333337</v>
      </c>
      <c r="H702" s="8" t="str" cm="1">
        <f t="array" ref="H702">_xlfn.IFS(Lektionen[[#This Row],[Bearbeitungsdauer_abgewichen]]&gt;0.6,"viel länger",Lektionen[[#This Row],[Bearbeitungsdauer_abgewichen]]&gt;0.3,"länger",Lektionen[[#This Row],[Bearbeitungsdauer_abgewichen]]&lt;-0.3,"kürzer",TRUE,"keine Abweichung")</f>
        <v>kürzer</v>
      </c>
      <c r="I702">
        <v>5</v>
      </c>
    </row>
    <row r="703" spans="1:9" hidden="1" x14ac:dyDescent="0.3">
      <c r="A703" s="13">
        <v>105</v>
      </c>
      <c r="B703" s="4">
        <v>6</v>
      </c>
      <c r="C703" t="s">
        <v>533</v>
      </c>
      <c r="D703" t="s">
        <v>534</v>
      </c>
      <c r="E703">
        <v>5</v>
      </c>
      <c r="F703">
        <v>1</v>
      </c>
      <c r="G703" s="8">
        <f>Lektionen[[#This Row],[Bearbeitungsdauer_real]]/Lektionen[[#This Row],[Bearbeitungsdauer_geschätzt]]-1</f>
        <v>-0.8</v>
      </c>
      <c r="H703" s="8" t="str" cm="1">
        <f t="array" ref="H703">_xlfn.IFS(Lektionen[[#This Row],[Bearbeitungsdauer_abgewichen]]&gt;0.6,"viel länger",Lektionen[[#This Row],[Bearbeitungsdauer_abgewichen]]&gt;0.3,"länger",Lektionen[[#This Row],[Bearbeitungsdauer_abgewichen]]&lt;-0.3,"kürzer",TRUE,"keine Abweichung")</f>
        <v>kürzer</v>
      </c>
      <c r="I703">
        <v>2</v>
      </c>
    </row>
    <row r="704" spans="1:9" hidden="1" x14ac:dyDescent="0.3">
      <c r="A704" s="13">
        <v>105</v>
      </c>
      <c r="B704" s="4">
        <v>7</v>
      </c>
      <c r="C704" t="s">
        <v>535</v>
      </c>
      <c r="D704" t="s">
        <v>536</v>
      </c>
      <c r="E704">
        <v>10</v>
      </c>
      <c r="F704">
        <v>11</v>
      </c>
      <c r="G704" s="8">
        <f>Lektionen[[#This Row],[Bearbeitungsdauer_real]]/Lektionen[[#This Row],[Bearbeitungsdauer_geschätzt]]-1</f>
        <v>0.10000000000000009</v>
      </c>
      <c r="H704" s="8" t="str" cm="1">
        <f t="array" ref="H704">_xlfn.IFS(Lektionen[[#This Row],[Bearbeitungsdauer_abgewichen]]&gt;0.6,"viel länger",Lektionen[[#This Row],[Bearbeitungsdauer_abgewichen]]&gt;0.3,"länger",Lektionen[[#This Row],[Bearbeitungsdauer_abgewichen]]&lt;-0.3,"kürzer",TRUE,"keine Abweichung")</f>
        <v>keine Abweichung</v>
      </c>
      <c r="I704">
        <v>3</v>
      </c>
    </row>
    <row r="705" spans="1:9" hidden="1" x14ac:dyDescent="0.3">
      <c r="A705" s="13">
        <v>105</v>
      </c>
      <c r="B705" s="4">
        <v>8</v>
      </c>
      <c r="C705" t="s">
        <v>537</v>
      </c>
      <c r="D705" t="s">
        <v>527</v>
      </c>
      <c r="E705">
        <v>5</v>
      </c>
      <c r="F705">
        <v>5</v>
      </c>
      <c r="G705" s="8">
        <f>Lektionen[[#This Row],[Bearbeitungsdauer_real]]/Lektionen[[#This Row],[Bearbeitungsdauer_geschätzt]]-1</f>
        <v>0</v>
      </c>
      <c r="H705" s="8" t="str" cm="1">
        <f t="array" ref="H705">_xlfn.IFS(Lektionen[[#This Row],[Bearbeitungsdauer_abgewichen]]&gt;0.6,"viel länger",Lektionen[[#This Row],[Bearbeitungsdauer_abgewichen]]&gt;0.3,"länger",Lektionen[[#This Row],[Bearbeitungsdauer_abgewichen]]&lt;-0.3,"kürzer",TRUE,"keine Abweichung")</f>
        <v>keine Abweichung</v>
      </c>
      <c r="I705">
        <v>1</v>
      </c>
    </row>
    <row r="706" spans="1:9" hidden="1" x14ac:dyDescent="0.3">
      <c r="A706" s="13">
        <v>106</v>
      </c>
      <c r="B706" s="4">
        <v>1</v>
      </c>
      <c r="C706" t="s">
        <v>526</v>
      </c>
      <c r="D706" t="s">
        <v>527</v>
      </c>
      <c r="E706">
        <v>4</v>
      </c>
      <c r="F706">
        <v>4</v>
      </c>
      <c r="G706" s="8">
        <f>Lektionen[[#This Row],[Bearbeitungsdauer_real]]/Lektionen[[#This Row],[Bearbeitungsdauer_geschätzt]]-1</f>
        <v>0</v>
      </c>
      <c r="H706" s="8" t="str" cm="1">
        <f t="array" ref="H706">_xlfn.IFS(Lektionen[[#This Row],[Bearbeitungsdauer_abgewichen]]&gt;0.6,"viel länger",Lektionen[[#This Row],[Bearbeitungsdauer_abgewichen]]&gt;0.3,"länger",Lektionen[[#This Row],[Bearbeitungsdauer_abgewichen]]&lt;-0.3,"kürzer",TRUE,"keine Abweichung")</f>
        <v>keine Abweichung</v>
      </c>
      <c r="I706">
        <v>1</v>
      </c>
    </row>
    <row r="707" spans="1:9" hidden="1" x14ac:dyDescent="0.3">
      <c r="A707" s="13">
        <v>106</v>
      </c>
      <c r="B707" s="4">
        <v>2</v>
      </c>
      <c r="C707" t="s">
        <v>528</v>
      </c>
      <c r="D707" t="s">
        <v>529</v>
      </c>
      <c r="E707">
        <v>15</v>
      </c>
      <c r="F707">
        <v>17</v>
      </c>
      <c r="G707" s="8">
        <f>Lektionen[[#This Row],[Bearbeitungsdauer_real]]/Lektionen[[#This Row],[Bearbeitungsdauer_geschätzt]]-1</f>
        <v>0.1333333333333333</v>
      </c>
      <c r="H707" s="8" t="str" cm="1">
        <f t="array" ref="H707">_xlfn.IFS(Lektionen[[#This Row],[Bearbeitungsdauer_abgewichen]]&gt;0.6,"viel länger",Lektionen[[#This Row],[Bearbeitungsdauer_abgewichen]]&gt;0.3,"länger",Lektionen[[#This Row],[Bearbeitungsdauer_abgewichen]]&lt;-0.3,"kürzer",TRUE,"keine Abweichung")</f>
        <v>keine Abweichung</v>
      </c>
      <c r="I707">
        <v>2</v>
      </c>
    </row>
    <row r="708" spans="1:9" hidden="1" x14ac:dyDescent="0.3">
      <c r="A708" s="13">
        <v>106</v>
      </c>
      <c r="B708" s="4">
        <v>3</v>
      </c>
      <c r="C708" t="s">
        <v>552</v>
      </c>
      <c r="D708" t="s">
        <v>530</v>
      </c>
      <c r="E708">
        <v>30</v>
      </c>
      <c r="F708">
        <v>28</v>
      </c>
      <c r="G708" s="8">
        <f>Lektionen[[#This Row],[Bearbeitungsdauer_real]]/Lektionen[[#This Row],[Bearbeitungsdauer_geschätzt]]-1</f>
        <v>-6.6666666666666652E-2</v>
      </c>
      <c r="H708" s="8" t="str" cm="1">
        <f t="array" ref="H708">_xlfn.IFS(Lektionen[[#This Row],[Bearbeitungsdauer_abgewichen]]&gt;0.6,"viel länger",Lektionen[[#This Row],[Bearbeitungsdauer_abgewichen]]&gt;0.3,"länger",Lektionen[[#This Row],[Bearbeitungsdauer_abgewichen]]&lt;-0.3,"kürzer",TRUE,"keine Abweichung")</f>
        <v>keine Abweichung</v>
      </c>
      <c r="I708">
        <v>2</v>
      </c>
    </row>
    <row r="709" spans="1:9" hidden="1" x14ac:dyDescent="0.3">
      <c r="A709" s="13">
        <v>106</v>
      </c>
      <c r="B709" s="4">
        <v>4</v>
      </c>
      <c r="C709" t="s">
        <v>531</v>
      </c>
      <c r="D709" t="s">
        <v>530</v>
      </c>
      <c r="E709">
        <v>30</v>
      </c>
      <c r="F709">
        <v>30</v>
      </c>
      <c r="G709" s="8">
        <f>Lektionen[[#This Row],[Bearbeitungsdauer_real]]/Lektionen[[#This Row],[Bearbeitungsdauer_geschätzt]]-1</f>
        <v>0</v>
      </c>
      <c r="H709" s="8" t="str" cm="1">
        <f t="array" ref="H709">_xlfn.IFS(Lektionen[[#This Row],[Bearbeitungsdauer_abgewichen]]&gt;0.6,"viel länger",Lektionen[[#This Row],[Bearbeitungsdauer_abgewichen]]&gt;0.3,"länger",Lektionen[[#This Row],[Bearbeitungsdauer_abgewichen]]&lt;-0.3,"kürzer",TRUE,"keine Abweichung")</f>
        <v>keine Abweichung</v>
      </c>
      <c r="I709">
        <v>2</v>
      </c>
    </row>
    <row r="710" spans="1:9" x14ac:dyDescent="0.3">
      <c r="A710" s="13">
        <v>106</v>
      </c>
      <c r="B710" s="4">
        <v>5</v>
      </c>
      <c r="C710" t="s">
        <v>532</v>
      </c>
      <c r="D710" t="s">
        <v>530</v>
      </c>
      <c r="E710">
        <v>30</v>
      </c>
      <c r="F710">
        <v>52</v>
      </c>
      <c r="G710" s="8">
        <f>Lektionen[[#This Row],[Bearbeitungsdauer_real]]/Lektionen[[#This Row],[Bearbeitungsdauer_geschätzt]]-1</f>
        <v>0.73333333333333339</v>
      </c>
      <c r="H710" s="8" t="str" cm="1">
        <f t="array" ref="H710">_xlfn.IFS(Lektionen[[#This Row],[Bearbeitungsdauer_abgewichen]]&gt;0.6,"viel länger",Lektionen[[#This Row],[Bearbeitungsdauer_abgewichen]]&gt;0.3,"länger",Lektionen[[#This Row],[Bearbeitungsdauer_abgewichen]]&lt;-0.3,"kürzer",TRUE,"keine Abweichung")</f>
        <v>viel länger</v>
      </c>
      <c r="I710">
        <v>4</v>
      </c>
    </row>
    <row r="711" spans="1:9" hidden="1" x14ac:dyDescent="0.3">
      <c r="A711" s="13">
        <v>106</v>
      </c>
      <c r="B711" s="4">
        <v>6</v>
      </c>
      <c r="C711" t="s">
        <v>533</v>
      </c>
      <c r="D711" t="s">
        <v>534</v>
      </c>
      <c r="E711">
        <v>5</v>
      </c>
      <c r="F711">
        <v>2</v>
      </c>
      <c r="G711" s="8">
        <f>Lektionen[[#This Row],[Bearbeitungsdauer_real]]/Lektionen[[#This Row],[Bearbeitungsdauer_geschätzt]]-1</f>
        <v>-0.6</v>
      </c>
      <c r="H711" s="8" t="str" cm="1">
        <f t="array" ref="H711">_xlfn.IFS(Lektionen[[#This Row],[Bearbeitungsdauer_abgewichen]]&gt;0.6,"viel länger",Lektionen[[#This Row],[Bearbeitungsdauer_abgewichen]]&gt;0.3,"länger",Lektionen[[#This Row],[Bearbeitungsdauer_abgewichen]]&lt;-0.3,"kürzer",TRUE,"keine Abweichung")</f>
        <v>kürzer</v>
      </c>
      <c r="I711">
        <v>2</v>
      </c>
    </row>
    <row r="712" spans="1:9" hidden="1" x14ac:dyDescent="0.3">
      <c r="A712" s="13">
        <v>106</v>
      </c>
      <c r="B712" s="4">
        <v>7</v>
      </c>
      <c r="C712" t="s">
        <v>535</v>
      </c>
      <c r="D712" t="s">
        <v>536</v>
      </c>
      <c r="E712">
        <v>10</v>
      </c>
      <c r="F712">
        <v>9</v>
      </c>
      <c r="G712" s="8">
        <f>Lektionen[[#This Row],[Bearbeitungsdauer_real]]/Lektionen[[#This Row],[Bearbeitungsdauer_geschätzt]]-1</f>
        <v>-9.9999999999999978E-2</v>
      </c>
      <c r="H712" s="8" t="str" cm="1">
        <f t="array" ref="H712">_xlfn.IFS(Lektionen[[#This Row],[Bearbeitungsdauer_abgewichen]]&gt;0.6,"viel länger",Lektionen[[#This Row],[Bearbeitungsdauer_abgewichen]]&gt;0.3,"länger",Lektionen[[#This Row],[Bearbeitungsdauer_abgewichen]]&lt;-0.3,"kürzer",TRUE,"keine Abweichung")</f>
        <v>keine Abweichung</v>
      </c>
      <c r="I712">
        <v>3</v>
      </c>
    </row>
    <row r="713" spans="1:9" hidden="1" x14ac:dyDescent="0.3">
      <c r="A713" s="13">
        <v>106</v>
      </c>
      <c r="B713" s="4">
        <v>8</v>
      </c>
      <c r="C713" t="s">
        <v>537</v>
      </c>
      <c r="D713" t="s">
        <v>527</v>
      </c>
      <c r="E713">
        <v>5</v>
      </c>
      <c r="F713">
        <v>7</v>
      </c>
      <c r="G713" s="8">
        <f>Lektionen[[#This Row],[Bearbeitungsdauer_real]]/Lektionen[[#This Row],[Bearbeitungsdauer_geschätzt]]-1</f>
        <v>0.39999999999999991</v>
      </c>
      <c r="H713" s="8" t="str" cm="1">
        <f t="array" ref="H713">_xlfn.IFS(Lektionen[[#This Row],[Bearbeitungsdauer_abgewichen]]&gt;0.6,"viel länger",Lektionen[[#This Row],[Bearbeitungsdauer_abgewichen]]&gt;0.3,"länger",Lektionen[[#This Row],[Bearbeitungsdauer_abgewichen]]&lt;-0.3,"kürzer",TRUE,"keine Abweichung")</f>
        <v>länger</v>
      </c>
      <c r="I713">
        <v>1</v>
      </c>
    </row>
    <row r="714" spans="1:9" hidden="1" x14ac:dyDescent="0.3">
      <c r="A714" s="13">
        <v>107</v>
      </c>
      <c r="B714" s="4">
        <v>1</v>
      </c>
      <c r="C714" t="s">
        <v>526</v>
      </c>
      <c r="D714" t="s">
        <v>527</v>
      </c>
      <c r="E714">
        <v>4</v>
      </c>
      <c r="F714">
        <v>4</v>
      </c>
      <c r="G714" s="8">
        <f>Lektionen[[#This Row],[Bearbeitungsdauer_real]]/Lektionen[[#This Row],[Bearbeitungsdauer_geschätzt]]-1</f>
        <v>0</v>
      </c>
      <c r="H714" s="8" t="str" cm="1">
        <f t="array" ref="H714">_xlfn.IFS(Lektionen[[#This Row],[Bearbeitungsdauer_abgewichen]]&gt;0.6,"viel länger",Lektionen[[#This Row],[Bearbeitungsdauer_abgewichen]]&gt;0.3,"länger",Lektionen[[#This Row],[Bearbeitungsdauer_abgewichen]]&lt;-0.3,"kürzer",TRUE,"keine Abweichung")</f>
        <v>keine Abweichung</v>
      </c>
      <c r="I714">
        <v>1</v>
      </c>
    </row>
    <row r="715" spans="1:9" hidden="1" x14ac:dyDescent="0.3">
      <c r="A715" s="13">
        <v>107</v>
      </c>
      <c r="B715" s="4">
        <v>2</v>
      </c>
      <c r="C715" t="s">
        <v>528</v>
      </c>
      <c r="D715" t="s">
        <v>529</v>
      </c>
      <c r="E715">
        <v>15</v>
      </c>
      <c r="F715">
        <v>20</v>
      </c>
      <c r="G715" s="8">
        <f>Lektionen[[#This Row],[Bearbeitungsdauer_real]]/Lektionen[[#This Row],[Bearbeitungsdauer_geschätzt]]-1</f>
        <v>0.33333333333333326</v>
      </c>
      <c r="H715" s="8" t="str" cm="1">
        <f t="array" ref="H715">_xlfn.IFS(Lektionen[[#This Row],[Bearbeitungsdauer_abgewichen]]&gt;0.6,"viel länger",Lektionen[[#This Row],[Bearbeitungsdauer_abgewichen]]&gt;0.3,"länger",Lektionen[[#This Row],[Bearbeitungsdauer_abgewichen]]&lt;-0.3,"kürzer",TRUE,"keine Abweichung")</f>
        <v>länger</v>
      </c>
      <c r="I715">
        <v>1</v>
      </c>
    </row>
    <row r="716" spans="1:9" hidden="1" x14ac:dyDescent="0.3">
      <c r="A716" s="13">
        <v>107</v>
      </c>
      <c r="B716" s="4">
        <v>3</v>
      </c>
      <c r="C716" t="s">
        <v>552</v>
      </c>
      <c r="D716" t="s">
        <v>530</v>
      </c>
      <c r="E716">
        <v>30</v>
      </c>
      <c r="F716">
        <v>28</v>
      </c>
      <c r="G716" s="8">
        <f>Lektionen[[#This Row],[Bearbeitungsdauer_real]]/Lektionen[[#This Row],[Bearbeitungsdauer_geschätzt]]-1</f>
        <v>-6.6666666666666652E-2</v>
      </c>
      <c r="H716" s="8" t="str" cm="1">
        <f t="array" ref="H716">_xlfn.IFS(Lektionen[[#This Row],[Bearbeitungsdauer_abgewichen]]&gt;0.6,"viel länger",Lektionen[[#This Row],[Bearbeitungsdauer_abgewichen]]&gt;0.3,"länger",Lektionen[[#This Row],[Bearbeitungsdauer_abgewichen]]&lt;-0.3,"kürzer",TRUE,"keine Abweichung")</f>
        <v>keine Abweichung</v>
      </c>
      <c r="I716">
        <v>3</v>
      </c>
    </row>
    <row r="717" spans="1:9" hidden="1" x14ac:dyDescent="0.3">
      <c r="A717" s="13">
        <v>107</v>
      </c>
      <c r="B717" s="4">
        <v>4</v>
      </c>
      <c r="C717" t="s">
        <v>531</v>
      </c>
      <c r="D717" t="s">
        <v>530</v>
      </c>
      <c r="E717">
        <v>30</v>
      </c>
      <c r="F717">
        <v>27</v>
      </c>
      <c r="G717" s="8">
        <f>Lektionen[[#This Row],[Bearbeitungsdauer_real]]/Lektionen[[#This Row],[Bearbeitungsdauer_geschätzt]]-1</f>
        <v>-9.9999999999999978E-2</v>
      </c>
      <c r="H717" s="8" t="str" cm="1">
        <f t="array" ref="H717">_xlfn.IFS(Lektionen[[#This Row],[Bearbeitungsdauer_abgewichen]]&gt;0.6,"viel länger",Lektionen[[#This Row],[Bearbeitungsdauer_abgewichen]]&gt;0.3,"länger",Lektionen[[#This Row],[Bearbeitungsdauer_abgewichen]]&lt;-0.3,"kürzer",TRUE,"keine Abweichung")</f>
        <v>keine Abweichung</v>
      </c>
      <c r="I717">
        <v>3</v>
      </c>
    </row>
    <row r="718" spans="1:9" x14ac:dyDescent="0.3">
      <c r="A718" s="13">
        <v>107</v>
      </c>
      <c r="B718" s="4">
        <v>5</v>
      </c>
      <c r="C718" t="s">
        <v>532</v>
      </c>
      <c r="D718" t="s">
        <v>530</v>
      </c>
      <c r="E718">
        <v>30</v>
      </c>
      <c r="F718">
        <v>49</v>
      </c>
      <c r="G718" s="8">
        <f>Lektionen[[#This Row],[Bearbeitungsdauer_real]]/Lektionen[[#This Row],[Bearbeitungsdauer_geschätzt]]-1</f>
        <v>0.6333333333333333</v>
      </c>
      <c r="H718" s="8" t="str" cm="1">
        <f t="array" ref="H718">_xlfn.IFS(Lektionen[[#This Row],[Bearbeitungsdauer_abgewichen]]&gt;0.6,"viel länger",Lektionen[[#This Row],[Bearbeitungsdauer_abgewichen]]&gt;0.3,"länger",Lektionen[[#This Row],[Bearbeitungsdauer_abgewichen]]&lt;-0.3,"kürzer",TRUE,"keine Abweichung")</f>
        <v>viel länger</v>
      </c>
      <c r="I718">
        <v>4</v>
      </c>
    </row>
    <row r="719" spans="1:9" hidden="1" x14ac:dyDescent="0.3">
      <c r="A719" s="13">
        <v>107</v>
      </c>
      <c r="B719" s="4">
        <v>6</v>
      </c>
      <c r="C719" t="s">
        <v>533</v>
      </c>
      <c r="D719" t="s">
        <v>534</v>
      </c>
      <c r="E719">
        <v>5</v>
      </c>
      <c r="F719">
        <v>1</v>
      </c>
      <c r="G719" s="8">
        <f>Lektionen[[#This Row],[Bearbeitungsdauer_real]]/Lektionen[[#This Row],[Bearbeitungsdauer_geschätzt]]-1</f>
        <v>-0.8</v>
      </c>
      <c r="H719" s="8" t="str" cm="1">
        <f t="array" ref="H719">_xlfn.IFS(Lektionen[[#This Row],[Bearbeitungsdauer_abgewichen]]&gt;0.6,"viel länger",Lektionen[[#This Row],[Bearbeitungsdauer_abgewichen]]&gt;0.3,"länger",Lektionen[[#This Row],[Bearbeitungsdauer_abgewichen]]&lt;-0.3,"kürzer",TRUE,"keine Abweichung")</f>
        <v>kürzer</v>
      </c>
      <c r="I719">
        <v>2</v>
      </c>
    </row>
    <row r="720" spans="1:9" hidden="1" x14ac:dyDescent="0.3">
      <c r="A720" s="13">
        <v>107</v>
      </c>
      <c r="B720" s="4">
        <v>7</v>
      </c>
      <c r="C720" t="s">
        <v>535</v>
      </c>
      <c r="D720" t="s">
        <v>536</v>
      </c>
      <c r="E720">
        <v>10</v>
      </c>
      <c r="F720">
        <v>10</v>
      </c>
      <c r="G720" s="8">
        <f>Lektionen[[#This Row],[Bearbeitungsdauer_real]]/Lektionen[[#This Row],[Bearbeitungsdauer_geschätzt]]-1</f>
        <v>0</v>
      </c>
      <c r="H720" s="8" t="str" cm="1">
        <f t="array" ref="H720">_xlfn.IFS(Lektionen[[#This Row],[Bearbeitungsdauer_abgewichen]]&gt;0.6,"viel länger",Lektionen[[#This Row],[Bearbeitungsdauer_abgewichen]]&gt;0.3,"länger",Lektionen[[#This Row],[Bearbeitungsdauer_abgewichen]]&lt;-0.3,"kürzer",TRUE,"keine Abweichung")</f>
        <v>keine Abweichung</v>
      </c>
      <c r="I720">
        <v>3</v>
      </c>
    </row>
    <row r="721" spans="1:9" hidden="1" x14ac:dyDescent="0.3">
      <c r="A721" s="13">
        <v>107</v>
      </c>
      <c r="B721" s="4">
        <v>8</v>
      </c>
      <c r="C721" t="s">
        <v>537</v>
      </c>
      <c r="D721" t="s">
        <v>527</v>
      </c>
      <c r="E721">
        <v>5</v>
      </c>
      <c r="F721">
        <v>5</v>
      </c>
      <c r="G721" s="8">
        <f>Lektionen[[#This Row],[Bearbeitungsdauer_real]]/Lektionen[[#This Row],[Bearbeitungsdauer_geschätzt]]-1</f>
        <v>0</v>
      </c>
      <c r="H721" s="8" t="str" cm="1">
        <f t="array" ref="H721">_xlfn.IFS(Lektionen[[#This Row],[Bearbeitungsdauer_abgewichen]]&gt;0.6,"viel länger",Lektionen[[#This Row],[Bearbeitungsdauer_abgewichen]]&gt;0.3,"länger",Lektionen[[#This Row],[Bearbeitungsdauer_abgewichen]]&lt;-0.3,"kürzer",TRUE,"keine Abweichung")</f>
        <v>keine Abweichung</v>
      </c>
      <c r="I721">
        <v>1</v>
      </c>
    </row>
    <row r="722" spans="1:9" hidden="1" x14ac:dyDescent="0.3">
      <c r="A722" s="13">
        <v>108</v>
      </c>
      <c r="B722" s="4">
        <v>1</v>
      </c>
      <c r="C722" t="s">
        <v>526</v>
      </c>
      <c r="D722" t="s">
        <v>527</v>
      </c>
      <c r="E722">
        <v>4</v>
      </c>
      <c r="F722">
        <v>4</v>
      </c>
      <c r="G722" s="8">
        <f>Lektionen[[#This Row],[Bearbeitungsdauer_real]]/Lektionen[[#This Row],[Bearbeitungsdauer_geschätzt]]-1</f>
        <v>0</v>
      </c>
      <c r="H722" s="8" t="str" cm="1">
        <f t="array" ref="H722">_xlfn.IFS(Lektionen[[#This Row],[Bearbeitungsdauer_abgewichen]]&gt;0.6,"viel länger",Lektionen[[#This Row],[Bearbeitungsdauer_abgewichen]]&gt;0.3,"länger",Lektionen[[#This Row],[Bearbeitungsdauer_abgewichen]]&lt;-0.3,"kürzer",TRUE,"keine Abweichung")</f>
        <v>keine Abweichung</v>
      </c>
      <c r="I722">
        <v>1</v>
      </c>
    </row>
    <row r="723" spans="1:9" hidden="1" x14ac:dyDescent="0.3">
      <c r="A723" s="13">
        <v>108</v>
      </c>
      <c r="B723" s="4">
        <v>2</v>
      </c>
      <c r="C723" t="s">
        <v>528</v>
      </c>
      <c r="D723" t="s">
        <v>529</v>
      </c>
      <c r="E723">
        <v>15</v>
      </c>
      <c r="F723">
        <v>15</v>
      </c>
      <c r="G723" s="8">
        <f>Lektionen[[#This Row],[Bearbeitungsdauer_real]]/Lektionen[[#This Row],[Bearbeitungsdauer_geschätzt]]-1</f>
        <v>0</v>
      </c>
      <c r="H723" s="8" t="str" cm="1">
        <f t="array" ref="H723">_xlfn.IFS(Lektionen[[#This Row],[Bearbeitungsdauer_abgewichen]]&gt;0.6,"viel länger",Lektionen[[#This Row],[Bearbeitungsdauer_abgewichen]]&gt;0.3,"länger",Lektionen[[#This Row],[Bearbeitungsdauer_abgewichen]]&lt;-0.3,"kürzer",TRUE,"keine Abweichung")</f>
        <v>keine Abweichung</v>
      </c>
      <c r="I723">
        <v>2</v>
      </c>
    </row>
    <row r="724" spans="1:9" hidden="1" x14ac:dyDescent="0.3">
      <c r="A724" s="13">
        <v>108</v>
      </c>
      <c r="B724" s="4">
        <v>3</v>
      </c>
      <c r="C724" t="s">
        <v>552</v>
      </c>
      <c r="D724" t="s">
        <v>530</v>
      </c>
      <c r="E724">
        <v>30</v>
      </c>
      <c r="F724">
        <v>28</v>
      </c>
      <c r="G724" s="8">
        <f>Lektionen[[#This Row],[Bearbeitungsdauer_real]]/Lektionen[[#This Row],[Bearbeitungsdauer_geschätzt]]-1</f>
        <v>-6.6666666666666652E-2</v>
      </c>
      <c r="H724" s="8" t="str" cm="1">
        <f t="array" ref="H724">_xlfn.IFS(Lektionen[[#This Row],[Bearbeitungsdauer_abgewichen]]&gt;0.6,"viel länger",Lektionen[[#This Row],[Bearbeitungsdauer_abgewichen]]&gt;0.3,"länger",Lektionen[[#This Row],[Bearbeitungsdauer_abgewichen]]&lt;-0.3,"kürzer",TRUE,"keine Abweichung")</f>
        <v>keine Abweichung</v>
      </c>
      <c r="I724">
        <v>2</v>
      </c>
    </row>
    <row r="725" spans="1:9" hidden="1" x14ac:dyDescent="0.3">
      <c r="A725" s="13">
        <v>108</v>
      </c>
      <c r="B725" s="4">
        <v>4</v>
      </c>
      <c r="C725" t="s">
        <v>531</v>
      </c>
      <c r="D725" t="s">
        <v>530</v>
      </c>
      <c r="E725">
        <v>30</v>
      </c>
      <c r="F725">
        <v>32</v>
      </c>
      <c r="G725" s="8">
        <f>Lektionen[[#This Row],[Bearbeitungsdauer_real]]/Lektionen[[#This Row],[Bearbeitungsdauer_geschätzt]]-1</f>
        <v>6.6666666666666652E-2</v>
      </c>
      <c r="H725" s="8" t="str" cm="1">
        <f t="array" ref="H725">_xlfn.IFS(Lektionen[[#This Row],[Bearbeitungsdauer_abgewichen]]&gt;0.6,"viel länger",Lektionen[[#This Row],[Bearbeitungsdauer_abgewichen]]&gt;0.3,"länger",Lektionen[[#This Row],[Bearbeitungsdauer_abgewichen]]&lt;-0.3,"kürzer",TRUE,"keine Abweichung")</f>
        <v>keine Abweichung</v>
      </c>
      <c r="I725">
        <v>3</v>
      </c>
    </row>
    <row r="726" spans="1:9" x14ac:dyDescent="0.3">
      <c r="A726" s="13">
        <v>108</v>
      </c>
      <c r="B726" s="4">
        <v>5</v>
      </c>
      <c r="C726" t="s">
        <v>532</v>
      </c>
      <c r="D726" t="s">
        <v>530</v>
      </c>
      <c r="E726">
        <v>30</v>
      </c>
      <c r="F726">
        <v>42</v>
      </c>
      <c r="G726" s="8">
        <f>Lektionen[[#This Row],[Bearbeitungsdauer_real]]/Lektionen[[#This Row],[Bearbeitungsdauer_geschätzt]]-1</f>
        <v>0.39999999999999991</v>
      </c>
      <c r="H726" s="8" t="str" cm="1">
        <f t="array" ref="H726">_xlfn.IFS(Lektionen[[#This Row],[Bearbeitungsdauer_abgewichen]]&gt;0.6,"viel länger",Lektionen[[#This Row],[Bearbeitungsdauer_abgewichen]]&gt;0.3,"länger",Lektionen[[#This Row],[Bearbeitungsdauer_abgewichen]]&lt;-0.3,"kürzer",TRUE,"keine Abweichung")</f>
        <v>länger</v>
      </c>
      <c r="I726">
        <v>4</v>
      </c>
    </row>
    <row r="727" spans="1:9" hidden="1" x14ac:dyDescent="0.3">
      <c r="A727" s="13">
        <v>108</v>
      </c>
      <c r="B727" s="4">
        <v>6</v>
      </c>
      <c r="C727" t="s">
        <v>533</v>
      </c>
      <c r="D727" t="s">
        <v>534</v>
      </c>
      <c r="E727">
        <v>5</v>
      </c>
      <c r="F727">
        <v>1</v>
      </c>
      <c r="G727" s="8">
        <f>Lektionen[[#This Row],[Bearbeitungsdauer_real]]/Lektionen[[#This Row],[Bearbeitungsdauer_geschätzt]]-1</f>
        <v>-0.8</v>
      </c>
      <c r="H727" s="8" t="str" cm="1">
        <f t="array" ref="H727">_xlfn.IFS(Lektionen[[#This Row],[Bearbeitungsdauer_abgewichen]]&gt;0.6,"viel länger",Lektionen[[#This Row],[Bearbeitungsdauer_abgewichen]]&gt;0.3,"länger",Lektionen[[#This Row],[Bearbeitungsdauer_abgewichen]]&lt;-0.3,"kürzer",TRUE,"keine Abweichung")</f>
        <v>kürzer</v>
      </c>
      <c r="I727">
        <v>1</v>
      </c>
    </row>
    <row r="728" spans="1:9" hidden="1" x14ac:dyDescent="0.3">
      <c r="A728" s="13">
        <v>108</v>
      </c>
      <c r="B728" s="4">
        <v>7</v>
      </c>
      <c r="C728" t="s">
        <v>535</v>
      </c>
      <c r="D728" t="s">
        <v>536</v>
      </c>
      <c r="E728">
        <v>10</v>
      </c>
      <c r="F728">
        <v>11</v>
      </c>
      <c r="G728" s="8">
        <f>Lektionen[[#This Row],[Bearbeitungsdauer_real]]/Lektionen[[#This Row],[Bearbeitungsdauer_geschätzt]]-1</f>
        <v>0.10000000000000009</v>
      </c>
      <c r="H728" s="8" t="str" cm="1">
        <f t="array" ref="H728">_xlfn.IFS(Lektionen[[#This Row],[Bearbeitungsdauer_abgewichen]]&gt;0.6,"viel länger",Lektionen[[#This Row],[Bearbeitungsdauer_abgewichen]]&gt;0.3,"länger",Lektionen[[#This Row],[Bearbeitungsdauer_abgewichen]]&lt;-0.3,"kürzer",TRUE,"keine Abweichung")</f>
        <v>keine Abweichung</v>
      </c>
      <c r="I728">
        <v>4</v>
      </c>
    </row>
    <row r="729" spans="1:9" hidden="1" x14ac:dyDescent="0.3">
      <c r="A729" s="13">
        <v>108</v>
      </c>
      <c r="B729" s="4">
        <v>8</v>
      </c>
      <c r="C729" t="s">
        <v>537</v>
      </c>
      <c r="D729" t="s">
        <v>527</v>
      </c>
      <c r="E729">
        <v>5</v>
      </c>
      <c r="F729">
        <v>5</v>
      </c>
      <c r="G729" s="8">
        <f>Lektionen[[#This Row],[Bearbeitungsdauer_real]]/Lektionen[[#This Row],[Bearbeitungsdauer_geschätzt]]-1</f>
        <v>0</v>
      </c>
      <c r="H729" s="8" t="str" cm="1">
        <f t="array" ref="H729">_xlfn.IFS(Lektionen[[#This Row],[Bearbeitungsdauer_abgewichen]]&gt;0.6,"viel länger",Lektionen[[#This Row],[Bearbeitungsdauer_abgewichen]]&gt;0.3,"länger",Lektionen[[#This Row],[Bearbeitungsdauer_abgewichen]]&lt;-0.3,"kürzer",TRUE,"keine Abweichung")</f>
        <v>keine Abweichung</v>
      </c>
      <c r="I729">
        <v>1</v>
      </c>
    </row>
    <row r="730" spans="1:9" hidden="1" x14ac:dyDescent="0.3">
      <c r="A730" s="13">
        <v>109</v>
      </c>
      <c r="B730" s="4">
        <v>1</v>
      </c>
      <c r="C730" t="s">
        <v>526</v>
      </c>
      <c r="D730" t="s">
        <v>527</v>
      </c>
      <c r="E730">
        <v>4</v>
      </c>
      <c r="F730">
        <v>4</v>
      </c>
      <c r="G730" s="8">
        <f>Lektionen[[#This Row],[Bearbeitungsdauer_real]]/Lektionen[[#This Row],[Bearbeitungsdauer_geschätzt]]-1</f>
        <v>0</v>
      </c>
      <c r="H730" s="8" t="str" cm="1">
        <f t="array" ref="H730">_xlfn.IFS(Lektionen[[#This Row],[Bearbeitungsdauer_abgewichen]]&gt;0.6,"viel länger",Lektionen[[#This Row],[Bearbeitungsdauer_abgewichen]]&gt;0.3,"länger",Lektionen[[#This Row],[Bearbeitungsdauer_abgewichen]]&lt;-0.3,"kürzer",TRUE,"keine Abweichung")</f>
        <v>keine Abweichung</v>
      </c>
      <c r="I730">
        <v>1</v>
      </c>
    </row>
    <row r="731" spans="1:9" hidden="1" x14ac:dyDescent="0.3">
      <c r="A731" s="13">
        <v>109</v>
      </c>
      <c r="B731" s="4">
        <v>2</v>
      </c>
      <c r="C731" t="s">
        <v>528</v>
      </c>
      <c r="D731" t="s">
        <v>529</v>
      </c>
      <c r="E731">
        <v>15</v>
      </c>
      <c r="F731">
        <v>18</v>
      </c>
      <c r="G731" s="8">
        <f>Lektionen[[#This Row],[Bearbeitungsdauer_real]]/Lektionen[[#This Row],[Bearbeitungsdauer_geschätzt]]-1</f>
        <v>0.19999999999999996</v>
      </c>
      <c r="H731" s="8" t="str" cm="1">
        <f t="array" ref="H731">_xlfn.IFS(Lektionen[[#This Row],[Bearbeitungsdauer_abgewichen]]&gt;0.6,"viel länger",Lektionen[[#This Row],[Bearbeitungsdauer_abgewichen]]&gt;0.3,"länger",Lektionen[[#This Row],[Bearbeitungsdauer_abgewichen]]&lt;-0.3,"kürzer",TRUE,"keine Abweichung")</f>
        <v>keine Abweichung</v>
      </c>
      <c r="I731">
        <v>2</v>
      </c>
    </row>
    <row r="732" spans="1:9" hidden="1" x14ac:dyDescent="0.3">
      <c r="A732" s="13">
        <v>109</v>
      </c>
      <c r="B732" s="4">
        <v>3</v>
      </c>
      <c r="C732" t="s">
        <v>552</v>
      </c>
      <c r="D732" t="s">
        <v>530</v>
      </c>
      <c r="E732">
        <v>30</v>
      </c>
      <c r="F732">
        <v>29</v>
      </c>
      <c r="G732" s="8">
        <f>Lektionen[[#This Row],[Bearbeitungsdauer_real]]/Lektionen[[#This Row],[Bearbeitungsdauer_geschätzt]]-1</f>
        <v>-3.3333333333333326E-2</v>
      </c>
      <c r="H732" s="8" t="str" cm="1">
        <f t="array" ref="H732">_xlfn.IFS(Lektionen[[#This Row],[Bearbeitungsdauer_abgewichen]]&gt;0.6,"viel länger",Lektionen[[#This Row],[Bearbeitungsdauer_abgewichen]]&gt;0.3,"länger",Lektionen[[#This Row],[Bearbeitungsdauer_abgewichen]]&lt;-0.3,"kürzer",TRUE,"keine Abweichung")</f>
        <v>keine Abweichung</v>
      </c>
      <c r="I732">
        <v>3</v>
      </c>
    </row>
    <row r="733" spans="1:9" hidden="1" x14ac:dyDescent="0.3">
      <c r="A733" s="13">
        <v>109</v>
      </c>
      <c r="B733" s="4">
        <v>4</v>
      </c>
      <c r="C733" t="s">
        <v>531</v>
      </c>
      <c r="D733" t="s">
        <v>530</v>
      </c>
      <c r="E733">
        <v>30</v>
      </c>
      <c r="F733">
        <v>35</v>
      </c>
      <c r="G733" s="8">
        <f>Lektionen[[#This Row],[Bearbeitungsdauer_real]]/Lektionen[[#This Row],[Bearbeitungsdauer_geschätzt]]-1</f>
        <v>0.16666666666666674</v>
      </c>
      <c r="H733" s="8" t="str" cm="1">
        <f t="array" ref="H733">_xlfn.IFS(Lektionen[[#This Row],[Bearbeitungsdauer_abgewichen]]&gt;0.6,"viel länger",Lektionen[[#This Row],[Bearbeitungsdauer_abgewichen]]&gt;0.3,"länger",Lektionen[[#This Row],[Bearbeitungsdauer_abgewichen]]&lt;-0.3,"kürzer",TRUE,"keine Abweichung")</f>
        <v>keine Abweichung</v>
      </c>
      <c r="I733">
        <v>3</v>
      </c>
    </row>
    <row r="734" spans="1:9" x14ac:dyDescent="0.3">
      <c r="A734" s="13">
        <v>109</v>
      </c>
      <c r="B734" s="4">
        <v>5</v>
      </c>
      <c r="C734" t="s">
        <v>532</v>
      </c>
      <c r="D734" t="s">
        <v>530</v>
      </c>
      <c r="E734">
        <v>30</v>
      </c>
      <c r="F734">
        <v>53</v>
      </c>
      <c r="G734" s="8">
        <f>Lektionen[[#This Row],[Bearbeitungsdauer_real]]/Lektionen[[#This Row],[Bearbeitungsdauer_geschätzt]]-1</f>
        <v>0.76666666666666661</v>
      </c>
      <c r="H734" s="8" t="str" cm="1">
        <f t="array" ref="H734">_xlfn.IFS(Lektionen[[#This Row],[Bearbeitungsdauer_abgewichen]]&gt;0.6,"viel länger",Lektionen[[#This Row],[Bearbeitungsdauer_abgewichen]]&gt;0.3,"länger",Lektionen[[#This Row],[Bearbeitungsdauer_abgewichen]]&lt;-0.3,"kürzer",TRUE,"keine Abweichung")</f>
        <v>viel länger</v>
      </c>
      <c r="I734">
        <v>4</v>
      </c>
    </row>
    <row r="735" spans="1:9" hidden="1" x14ac:dyDescent="0.3">
      <c r="A735" s="13">
        <v>109</v>
      </c>
      <c r="B735" s="4">
        <v>6</v>
      </c>
      <c r="C735" t="s">
        <v>533</v>
      </c>
      <c r="D735" t="s">
        <v>534</v>
      </c>
      <c r="E735">
        <v>5</v>
      </c>
      <c r="F735">
        <v>2</v>
      </c>
      <c r="G735" s="8">
        <f>Lektionen[[#This Row],[Bearbeitungsdauer_real]]/Lektionen[[#This Row],[Bearbeitungsdauer_geschätzt]]-1</f>
        <v>-0.6</v>
      </c>
      <c r="H735" s="8" t="str" cm="1">
        <f t="array" ref="H735">_xlfn.IFS(Lektionen[[#This Row],[Bearbeitungsdauer_abgewichen]]&gt;0.6,"viel länger",Lektionen[[#This Row],[Bearbeitungsdauer_abgewichen]]&gt;0.3,"länger",Lektionen[[#This Row],[Bearbeitungsdauer_abgewichen]]&lt;-0.3,"kürzer",TRUE,"keine Abweichung")</f>
        <v>kürzer</v>
      </c>
      <c r="I735">
        <v>1</v>
      </c>
    </row>
    <row r="736" spans="1:9" hidden="1" x14ac:dyDescent="0.3">
      <c r="A736" s="13">
        <v>109</v>
      </c>
      <c r="B736" s="4">
        <v>7</v>
      </c>
      <c r="C736" t="s">
        <v>535</v>
      </c>
      <c r="D736" t="s">
        <v>536</v>
      </c>
      <c r="E736">
        <v>10</v>
      </c>
      <c r="F736">
        <v>9</v>
      </c>
      <c r="G736" s="8">
        <f>Lektionen[[#This Row],[Bearbeitungsdauer_real]]/Lektionen[[#This Row],[Bearbeitungsdauer_geschätzt]]-1</f>
        <v>-9.9999999999999978E-2</v>
      </c>
      <c r="H736" s="8" t="str" cm="1">
        <f t="array" ref="H736">_xlfn.IFS(Lektionen[[#This Row],[Bearbeitungsdauer_abgewichen]]&gt;0.6,"viel länger",Lektionen[[#This Row],[Bearbeitungsdauer_abgewichen]]&gt;0.3,"länger",Lektionen[[#This Row],[Bearbeitungsdauer_abgewichen]]&lt;-0.3,"kürzer",TRUE,"keine Abweichung")</f>
        <v>keine Abweichung</v>
      </c>
      <c r="I736">
        <v>3</v>
      </c>
    </row>
    <row r="737" spans="1:9" hidden="1" x14ac:dyDescent="0.3">
      <c r="A737" s="13">
        <v>109</v>
      </c>
      <c r="B737" s="4">
        <v>8</v>
      </c>
      <c r="C737" t="s">
        <v>537</v>
      </c>
      <c r="D737" t="s">
        <v>527</v>
      </c>
      <c r="E737">
        <v>5</v>
      </c>
      <c r="F737">
        <v>7</v>
      </c>
      <c r="G737" s="8">
        <f>Lektionen[[#This Row],[Bearbeitungsdauer_real]]/Lektionen[[#This Row],[Bearbeitungsdauer_geschätzt]]-1</f>
        <v>0.39999999999999991</v>
      </c>
      <c r="H737" s="8" t="str" cm="1">
        <f t="array" ref="H737">_xlfn.IFS(Lektionen[[#This Row],[Bearbeitungsdauer_abgewichen]]&gt;0.6,"viel länger",Lektionen[[#This Row],[Bearbeitungsdauer_abgewichen]]&gt;0.3,"länger",Lektionen[[#This Row],[Bearbeitungsdauer_abgewichen]]&lt;-0.3,"kürzer",TRUE,"keine Abweichung")</f>
        <v>länger</v>
      </c>
      <c r="I737">
        <v>1</v>
      </c>
    </row>
    <row r="738" spans="1:9" hidden="1" x14ac:dyDescent="0.3">
      <c r="A738" s="13">
        <v>110</v>
      </c>
      <c r="B738" s="4">
        <v>1</v>
      </c>
      <c r="C738" t="s">
        <v>526</v>
      </c>
      <c r="D738" t="s">
        <v>527</v>
      </c>
      <c r="E738">
        <v>4</v>
      </c>
      <c r="F738">
        <v>4</v>
      </c>
      <c r="G738" s="8">
        <f>Lektionen[[#This Row],[Bearbeitungsdauer_real]]/Lektionen[[#This Row],[Bearbeitungsdauer_geschätzt]]-1</f>
        <v>0</v>
      </c>
      <c r="H738" s="8" t="str" cm="1">
        <f t="array" ref="H738">_xlfn.IFS(Lektionen[[#This Row],[Bearbeitungsdauer_abgewichen]]&gt;0.6,"viel länger",Lektionen[[#This Row],[Bearbeitungsdauer_abgewichen]]&gt;0.3,"länger",Lektionen[[#This Row],[Bearbeitungsdauer_abgewichen]]&lt;-0.3,"kürzer",TRUE,"keine Abweichung")</f>
        <v>keine Abweichung</v>
      </c>
      <c r="I738">
        <v>1</v>
      </c>
    </row>
    <row r="739" spans="1:9" hidden="1" x14ac:dyDescent="0.3">
      <c r="A739" s="13">
        <v>110</v>
      </c>
      <c r="B739" s="4">
        <v>2</v>
      </c>
      <c r="C739" t="s">
        <v>528</v>
      </c>
      <c r="D739" t="s">
        <v>529</v>
      </c>
      <c r="E739">
        <v>15</v>
      </c>
      <c r="F739">
        <v>19</v>
      </c>
      <c r="G739" s="8">
        <f>Lektionen[[#This Row],[Bearbeitungsdauer_real]]/Lektionen[[#This Row],[Bearbeitungsdauer_geschätzt]]-1</f>
        <v>0.26666666666666661</v>
      </c>
      <c r="H739" s="8" t="str" cm="1">
        <f t="array" ref="H739">_xlfn.IFS(Lektionen[[#This Row],[Bearbeitungsdauer_abgewichen]]&gt;0.6,"viel länger",Lektionen[[#This Row],[Bearbeitungsdauer_abgewichen]]&gt;0.3,"länger",Lektionen[[#This Row],[Bearbeitungsdauer_abgewichen]]&lt;-0.3,"kürzer",TRUE,"keine Abweichung")</f>
        <v>keine Abweichung</v>
      </c>
      <c r="I739">
        <v>1</v>
      </c>
    </row>
    <row r="740" spans="1:9" hidden="1" x14ac:dyDescent="0.3">
      <c r="A740" s="13">
        <v>110</v>
      </c>
      <c r="B740" s="4">
        <v>3</v>
      </c>
      <c r="C740" t="s">
        <v>552</v>
      </c>
      <c r="D740" t="s">
        <v>530</v>
      </c>
      <c r="E740">
        <v>30</v>
      </c>
      <c r="F740">
        <v>29</v>
      </c>
      <c r="G740" s="8">
        <f>Lektionen[[#This Row],[Bearbeitungsdauer_real]]/Lektionen[[#This Row],[Bearbeitungsdauer_geschätzt]]-1</f>
        <v>-3.3333333333333326E-2</v>
      </c>
      <c r="H740" s="8" t="str" cm="1">
        <f t="array" ref="H740">_xlfn.IFS(Lektionen[[#This Row],[Bearbeitungsdauer_abgewichen]]&gt;0.6,"viel länger",Lektionen[[#This Row],[Bearbeitungsdauer_abgewichen]]&gt;0.3,"länger",Lektionen[[#This Row],[Bearbeitungsdauer_abgewichen]]&lt;-0.3,"kürzer",TRUE,"keine Abweichung")</f>
        <v>keine Abweichung</v>
      </c>
      <c r="I740">
        <v>3</v>
      </c>
    </row>
    <row r="741" spans="1:9" hidden="1" x14ac:dyDescent="0.3">
      <c r="A741" s="13">
        <v>110</v>
      </c>
      <c r="B741" s="4">
        <v>4</v>
      </c>
      <c r="C741" t="s">
        <v>531</v>
      </c>
      <c r="D741" t="s">
        <v>530</v>
      </c>
      <c r="E741">
        <v>30</v>
      </c>
      <c r="F741">
        <v>32</v>
      </c>
      <c r="G741" s="8">
        <f>Lektionen[[#This Row],[Bearbeitungsdauer_real]]/Lektionen[[#This Row],[Bearbeitungsdauer_geschätzt]]-1</f>
        <v>6.6666666666666652E-2</v>
      </c>
      <c r="H741" s="8" t="str" cm="1">
        <f t="array" ref="H741">_xlfn.IFS(Lektionen[[#This Row],[Bearbeitungsdauer_abgewichen]]&gt;0.6,"viel länger",Lektionen[[#This Row],[Bearbeitungsdauer_abgewichen]]&gt;0.3,"länger",Lektionen[[#This Row],[Bearbeitungsdauer_abgewichen]]&lt;-0.3,"kürzer",TRUE,"keine Abweichung")</f>
        <v>keine Abweichung</v>
      </c>
      <c r="I741">
        <v>3</v>
      </c>
    </row>
    <row r="742" spans="1:9" x14ac:dyDescent="0.3">
      <c r="A742" s="13">
        <v>110</v>
      </c>
      <c r="B742" s="4">
        <v>5</v>
      </c>
      <c r="C742" t="s">
        <v>532</v>
      </c>
      <c r="D742" t="s">
        <v>530</v>
      </c>
      <c r="E742">
        <v>30</v>
      </c>
      <c r="F742">
        <v>51</v>
      </c>
      <c r="G742" s="8">
        <f>Lektionen[[#This Row],[Bearbeitungsdauer_real]]/Lektionen[[#This Row],[Bearbeitungsdauer_geschätzt]]-1</f>
        <v>0.7</v>
      </c>
      <c r="H742" s="8" t="str" cm="1">
        <f t="array" ref="H742">_xlfn.IFS(Lektionen[[#This Row],[Bearbeitungsdauer_abgewichen]]&gt;0.6,"viel länger",Lektionen[[#This Row],[Bearbeitungsdauer_abgewichen]]&gt;0.3,"länger",Lektionen[[#This Row],[Bearbeitungsdauer_abgewichen]]&lt;-0.3,"kürzer",TRUE,"keine Abweichung")</f>
        <v>viel länger</v>
      </c>
      <c r="I742">
        <v>4</v>
      </c>
    </row>
    <row r="743" spans="1:9" hidden="1" x14ac:dyDescent="0.3">
      <c r="A743" s="13">
        <v>110</v>
      </c>
      <c r="B743" s="4">
        <v>6</v>
      </c>
      <c r="C743" t="s">
        <v>533</v>
      </c>
      <c r="D743" t="s">
        <v>534</v>
      </c>
      <c r="E743">
        <v>5</v>
      </c>
      <c r="F743">
        <v>2</v>
      </c>
      <c r="G743" s="8">
        <f>Lektionen[[#This Row],[Bearbeitungsdauer_real]]/Lektionen[[#This Row],[Bearbeitungsdauer_geschätzt]]-1</f>
        <v>-0.6</v>
      </c>
      <c r="H743" s="8" t="str" cm="1">
        <f t="array" ref="H743">_xlfn.IFS(Lektionen[[#This Row],[Bearbeitungsdauer_abgewichen]]&gt;0.6,"viel länger",Lektionen[[#This Row],[Bearbeitungsdauer_abgewichen]]&gt;0.3,"länger",Lektionen[[#This Row],[Bearbeitungsdauer_abgewichen]]&lt;-0.3,"kürzer",TRUE,"keine Abweichung")</f>
        <v>kürzer</v>
      </c>
      <c r="I743">
        <v>2</v>
      </c>
    </row>
    <row r="744" spans="1:9" hidden="1" x14ac:dyDescent="0.3">
      <c r="A744" s="13">
        <v>110</v>
      </c>
      <c r="B744" s="4">
        <v>7</v>
      </c>
      <c r="C744" t="s">
        <v>535</v>
      </c>
      <c r="D744" t="s">
        <v>536</v>
      </c>
      <c r="E744">
        <v>10</v>
      </c>
      <c r="F744">
        <v>9</v>
      </c>
      <c r="G744" s="8">
        <f>Lektionen[[#This Row],[Bearbeitungsdauer_real]]/Lektionen[[#This Row],[Bearbeitungsdauer_geschätzt]]-1</f>
        <v>-9.9999999999999978E-2</v>
      </c>
      <c r="H744" s="8" t="str" cm="1">
        <f t="array" ref="H744">_xlfn.IFS(Lektionen[[#This Row],[Bearbeitungsdauer_abgewichen]]&gt;0.6,"viel länger",Lektionen[[#This Row],[Bearbeitungsdauer_abgewichen]]&gt;0.3,"länger",Lektionen[[#This Row],[Bearbeitungsdauer_abgewichen]]&lt;-0.3,"kürzer",TRUE,"keine Abweichung")</f>
        <v>keine Abweichung</v>
      </c>
      <c r="I744">
        <v>4</v>
      </c>
    </row>
    <row r="745" spans="1:9" hidden="1" x14ac:dyDescent="0.3">
      <c r="A745" s="13">
        <v>110</v>
      </c>
      <c r="B745" s="4">
        <v>8</v>
      </c>
      <c r="C745" t="s">
        <v>537</v>
      </c>
      <c r="D745" t="s">
        <v>527</v>
      </c>
      <c r="E745">
        <v>5</v>
      </c>
      <c r="F745">
        <v>5</v>
      </c>
      <c r="G745" s="8">
        <f>Lektionen[[#This Row],[Bearbeitungsdauer_real]]/Lektionen[[#This Row],[Bearbeitungsdauer_geschätzt]]-1</f>
        <v>0</v>
      </c>
      <c r="H745" s="8" t="str" cm="1">
        <f t="array" ref="H745">_xlfn.IFS(Lektionen[[#This Row],[Bearbeitungsdauer_abgewichen]]&gt;0.6,"viel länger",Lektionen[[#This Row],[Bearbeitungsdauer_abgewichen]]&gt;0.3,"länger",Lektionen[[#This Row],[Bearbeitungsdauer_abgewichen]]&lt;-0.3,"kürzer",TRUE,"keine Abweichung")</f>
        <v>keine Abweichung</v>
      </c>
      <c r="I745">
        <v>1</v>
      </c>
    </row>
    <row r="746" spans="1:9" hidden="1" x14ac:dyDescent="0.3">
      <c r="A746" s="13">
        <v>111</v>
      </c>
      <c r="B746" s="4">
        <v>1</v>
      </c>
      <c r="C746" t="s">
        <v>526</v>
      </c>
      <c r="D746" t="s">
        <v>527</v>
      </c>
      <c r="E746">
        <v>4</v>
      </c>
      <c r="F746">
        <v>5</v>
      </c>
      <c r="G746" s="8">
        <f>Lektionen[[#This Row],[Bearbeitungsdauer_real]]/Lektionen[[#This Row],[Bearbeitungsdauer_geschätzt]]-1</f>
        <v>0.25</v>
      </c>
      <c r="H746" s="8" t="str" cm="1">
        <f t="array" ref="H746">_xlfn.IFS(Lektionen[[#This Row],[Bearbeitungsdauer_abgewichen]]&gt;0.6,"viel länger",Lektionen[[#This Row],[Bearbeitungsdauer_abgewichen]]&gt;0.3,"länger",Lektionen[[#This Row],[Bearbeitungsdauer_abgewichen]]&lt;-0.3,"kürzer",TRUE,"keine Abweichung")</f>
        <v>keine Abweichung</v>
      </c>
      <c r="I746">
        <v>1</v>
      </c>
    </row>
    <row r="747" spans="1:9" hidden="1" x14ac:dyDescent="0.3">
      <c r="A747" s="13">
        <v>111</v>
      </c>
      <c r="B747" s="4">
        <v>2</v>
      </c>
      <c r="C747" t="s">
        <v>528</v>
      </c>
      <c r="D747" t="s">
        <v>529</v>
      </c>
      <c r="E747">
        <v>15</v>
      </c>
      <c r="F747">
        <v>15</v>
      </c>
      <c r="G747" s="8">
        <f>Lektionen[[#This Row],[Bearbeitungsdauer_real]]/Lektionen[[#This Row],[Bearbeitungsdauer_geschätzt]]-1</f>
        <v>0</v>
      </c>
      <c r="H747" s="8" t="str" cm="1">
        <f t="array" ref="H747">_xlfn.IFS(Lektionen[[#This Row],[Bearbeitungsdauer_abgewichen]]&gt;0.6,"viel länger",Lektionen[[#This Row],[Bearbeitungsdauer_abgewichen]]&gt;0.3,"länger",Lektionen[[#This Row],[Bearbeitungsdauer_abgewichen]]&lt;-0.3,"kürzer",TRUE,"keine Abweichung")</f>
        <v>keine Abweichung</v>
      </c>
      <c r="I747">
        <v>1</v>
      </c>
    </row>
    <row r="748" spans="1:9" hidden="1" x14ac:dyDescent="0.3">
      <c r="A748" s="13">
        <v>111</v>
      </c>
      <c r="B748" s="4">
        <v>3</v>
      </c>
      <c r="C748" t="s">
        <v>552</v>
      </c>
      <c r="D748" t="s">
        <v>530</v>
      </c>
      <c r="E748">
        <v>30</v>
      </c>
      <c r="F748">
        <v>28</v>
      </c>
      <c r="G748" s="8">
        <f>Lektionen[[#This Row],[Bearbeitungsdauer_real]]/Lektionen[[#This Row],[Bearbeitungsdauer_geschätzt]]-1</f>
        <v>-6.6666666666666652E-2</v>
      </c>
      <c r="H748" s="8" t="str" cm="1">
        <f t="array" ref="H748">_xlfn.IFS(Lektionen[[#This Row],[Bearbeitungsdauer_abgewichen]]&gt;0.6,"viel länger",Lektionen[[#This Row],[Bearbeitungsdauer_abgewichen]]&gt;0.3,"länger",Lektionen[[#This Row],[Bearbeitungsdauer_abgewichen]]&lt;-0.3,"kürzer",TRUE,"keine Abweichung")</f>
        <v>keine Abweichung</v>
      </c>
      <c r="I748">
        <v>3</v>
      </c>
    </row>
    <row r="749" spans="1:9" hidden="1" x14ac:dyDescent="0.3">
      <c r="A749" s="13">
        <v>111</v>
      </c>
      <c r="B749" s="4">
        <v>4</v>
      </c>
      <c r="C749" t="s">
        <v>531</v>
      </c>
      <c r="D749" t="s">
        <v>530</v>
      </c>
      <c r="E749">
        <v>30</v>
      </c>
      <c r="F749">
        <v>34</v>
      </c>
      <c r="G749" s="8">
        <f>Lektionen[[#This Row],[Bearbeitungsdauer_real]]/Lektionen[[#This Row],[Bearbeitungsdauer_geschätzt]]-1</f>
        <v>0.1333333333333333</v>
      </c>
      <c r="H749" s="8" t="str" cm="1">
        <f t="array" ref="H749">_xlfn.IFS(Lektionen[[#This Row],[Bearbeitungsdauer_abgewichen]]&gt;0.6,"viel länger",Lektionen[[#This Row],[Bearbeitungsdauer_abgewichen]]&gt;0.3,"länger",Lektionen[[#This Row],[Bearbeitungsdauer_abgewichen]]&lt;-0.3,"kürzer",TRUE,"keine Abweichung")</f>
        <v>keine Abweichung</v>
      </c>
      <c r="I749">
        <v>3</v>
      </c>
    </row>
    <row r="750" spans="1:9" x14ac:dyDescent="0.3">
      <c r="A750" s="13">
        <v>111</v>
      </c>
      <c r="B750" s="4">
        <v>5</v>
      </c>
      <c r="C750" t="s">
        <v>532</v>
      </c>
      <c r="D750" t="s">
        <v>530</v>
      </c>
      <c r="E750">
        <v>30</v>
      </c>
      <c r="F750">
        <v>41</v>
      </c>
      <c r="G750" s="8">
        <f>Lektionen[[#This Row],[Bearbeitungsdauer_real]]/Lektionen[[#This Row],[Bearbeitungsdauer_geschätzt]]-1</f>
        <v>0.3666666666666667</v>
      </c>
      <c r="H750" s="8" t="str" cm="1">
        <f t="array" ref="H750">_xlfn.IFS(Lektionen[[#This Row],[Bearbeitungsdauer_abgewichen]]&gt;0.6,"viel länger",Lektionen[[#This Row],[Bearbeitungsdauer_abgewichen]]&gt;0.3,"länger",Lektionen[[#This Row],[Bearbeitungsdauer_abgewichen]]&lt;-0.3,"kürzer",TRUE,"keine Abweichung")</f>
        <v>länger</v>
      </c>
      <c r="I750">
        <v>4</v>
      </c>
    </row>
    <row r="751" spans="1:9" hidden="1" x14ac:dyDescent="0.3">
      <c r="A751" s="13">
        <v>111</v>
      </c>
      <c r="B751" s="4">
        <v>6</v>
      </c>
      <c r="C751" t="s">
        <v>533</v>
      </c>
      <c r="D751" t="s">
        <v>534</v>
      </c>
      <c r="E751">
        <v>5</v>
      </c>
      <c r="F751">
        <v>3</v>
      </c>
      <c r="G751" s="8">
        <f>Lektionen[[#This Row],[Bearbeitungsdauer_real]]/Lektionen[[#This Row],[Bearbeitungsdauer_geschätzt]]-1</f>
        <v>-0.4</v>
      </c>
      <c r="H751" s="8" t="str" cm="1">
        <f t="array" ref="H751">_xlfn.IFS(Lektionen[[#This Row],[Bearbeitungsdauer_abgewichen]]&gt;0.6,"viel länger",Lektionen[[#This Row],[Bearbeitungsdauer_abgewichen]]&gt;0.3,"länger",Lektionen[[#This Row],[Bearbeitungsdauer_abgewichen]]&lt;-0.3,"kürzer",TRUE,"keine Abweichung")</f>
        <v>kürzer</v>
      </c>
      <c r="I751">
        <v>3</v>
      </c>
    </row>
    <row r="752" spans="1:9" hidden="1" x14ac:dyDescent="0.3">
      <c r="A752" s="13">
        <v>111</v>
      </c>
      <c r="B752" s="4">
        <v>7</v>
      </c>
      <c r="C752" t="s">
        <v>535</v>
      </c>
      <c r="D752" t="s">
        <v>536</v>
      </c>
      <c r="E752">
        <v>10</v>
      </c>
      <c r="F752">
        <v>9</v>
      </c>
      <c r="G752" s="8">
        <f>Lektionen[[#This Row],[Bearbeitungsdauer_real]]/Lektionen[[#This Row],[Bearbeitungsdauer_geschätzt]]-1</f>
        <v>-9.9999999999999978E-2</v>
      </c>
      <c r="H752" s="8" t="str" cm="1">
        <f t="array" ref="H752">_xlfn.IFS(Lektionen[[#This Row],[Bearbeitungsdauer_abgewichen]]&gt;0.6,"viel länger",Lektionen[[#This Row],[Bearbeitungsdauer_abgewichen]]&gt;0.3,"länger",Lektionen[[#This Row],[Bearbeitungsdauer_abgewichen]]&lt;-0.3,"kürzer",TRUE,"keine Abweichung")</f>
        <v>keine Abweichung</v>
      </c>
      <c r="I752">
        <v>4</v>
      </c>
    </row>
    <row r="753" spans="1:9" hidden="1" x14ac:dyDescent="0.3">
      <c r="A753" s="13">
        <v>111</v>
      </c>
      <c r="B753" s="4">
        <v>8</v>
      </c>
      <c r="C753" t="s">
        <v>537</v>
      </c>
      <c r="D753" t="s">
        <v>527</v>
      </c>
      <c r="E753">
        <v>5</v>
      </c>
      <c r="F753">
        <v>5</v>
      </c>
      <c r="G753" s="8">
        <f>Lektionen[[#This Row],[Bearbeitungsdauer_real]]/Lektionen[[#This Row],[Bearbeitungsdauer_geschätzt]]-1</f>
        <v>0</v>
      </c>
      <c r="H753" s="8" t="str" cm="1">
        <f t="array" ref="H753">_xlfn.IFS(Lektionen[[#This Row],[Bearbeitungsdauer_abgewichen]]&gt;0.6,"viel länger",Lektionen[[#This Row],[Bearbeitungsdauer_abgewichen]]&gt;0.3,"länger",Lektionen[[#This Row],[Bearbeitungsdauer_abgewichen]]&lt;-0.3,"kürzer",TRUE,"keine Abweichung")</f>
        <v>keine Abweichung</v>
      </c>
      <c r="I753">
        <v>1</v>
      </c>
    </row>
    <row r="754" spans="1:9" hidden="1" x14ac:dyDescent="0.3">
      <c r="A754" s="13">
        <v>112</v>
      </c>
      <c r="B754" s="4">
        <v>1</v>
      </c>
      <c r="C754" t="s">
        <v>526</v>
      </c>
      <c r="D754" t="s">
        <v>527</v>
      </c>
      <c r="E754">
        <v>4</v>
      </c>
      <c r="F754">
        <v>6</v>
      </c>
      <c r="G754" s="8">
        <f>Lektionen[[#This Row],[Bearbeitungsdauer_real]]/Lektionen[[#This Row],[Bearbeitungsdauer_geschätzt]]-1</f>
        <v>0.5</v>
      </c>
      <c r="H754" s="8" t="str" cm="1">
        <f t="array" ref="H754">_xlfn.IFS(Lektionen[[#This Row],[Bearbeitungsdauer_abgewichen]]&gt;0.6,"viel länger",Lektionen[[#This Row],[Bearbeitungsdauer_abgewichen]]&gt;0.3,"länger",Lektionen[[#This Row],[Bearbeitungsdauer_abgewichen]]&lt;-0.3,"kürzer",TRUE,"keine Abweichung")</f>
        <v>länger</v>
      </c>
      <c r="I754">
        <v>1</v>
      </c>
    </row>
    <row r="755" spans="1:9" hidden="1" x14ac:dyDescent="0.3">
      <c r="A755" s="13">
        <v>112</v>
      </c>
      <c r="B755" s="4">
        <v>2</v>
      </c>
      <c r="C755" t="s">
        <v>528</v>
      </c>
      <c r="D755" t="s">
        <v>529</v>
      </c>
      <c r="E755">
        <v>15</v>
      </c>
      <c r="F755">
        <v>17</v>
      </c>
      <c r="G755" s="8">
        <f>Lektionen[[#This Row],[Bearbeitungsdauer_real]]/Lektionen[[#This Row],[Bearbeitungsdauer_geschätzt]]-1</f>
        <v>0.1333333333333333</v>
      </c>
      <c r="H755" s="8" t="str" cm="1">
        <f t="array" ref="H755">_xlfn.IFS(Lektionen[[#This Row],[Bearbeitungsdauer_abgewichen]]&gt;0.6,"viel länger",Lektionen[[#This Row],[Bearbeitungsdauer_abgewichen]]&gt;0.3,"länger",Lektionen[[#This Row],[Bearbeitungsdauer_abgewichen]]&lt;-0.3,"kürzer",TRUE,"keine Abweichung")</f>
        <v>keine Abweichung</v>
      </c>
      <c r="I755">
        <v>1</v>
      </c>
    </row>
    <row r="756" spans="1:9" hidden="1" x14ac:dyDescent="0.3">
      <c r="A756" s="13">
        <v>112</v>
      </c>
      <c r="B756" s="4">
        <v>3</v>
      </c>
      <c r="C756" t="s">
        <v>552</v>
      </c>
      <c r="D756" t="s">
        <v>530</v>
      </c>
      <c r="E756">
        <v>30</v>
      </c>
      <c r="F756">
        <v>29</v>
      </c>
      <c r="G756" s="8">
        <f>Lektionen[[#This Row],[Bearbeitungsdauer_real]]/Lektionen[[#This Row],[Bearbeitungsdauer_geschätzt]]-1</f>
        <v>-3.3333333333333326E-2</v>
      </c>
      <c r="H756" s="8" t="str" cm="1">
        <f t="array" ref="H756">_xlfn.IFS(Lektionen[[#This Row],[Bearbeitungsdauer_abgewichen]]&gt;0.6,"viel länger",Lektionen[[#This Row],[Bearbeitungsdauer_abgewichen]]&gt;0.3,"länger",Lektionen[[#This Row],[Bearbeitungsdauer_abgewichen]]&lt;-0.3,"kürzer",TRUE,"keine Abweichung")</f>
        <v>keine Abweichung</v>
      </c>
      <c r="I756">
        <v>2</v>
      </c>
    </row>
    <row r="757" spans="1:9" hidden="1" x14ac:dyDescent="0.3">
      <c r="A757" s="13">
        <v>112</v>
      </c>
      <c r="B757" s="4">
        <v>4</v>
      </c>
      <c r="C757" t="s">
        <v>531</v>
      </c>
      <c r="D757" t="s">
        <v>530</v>
      </c>
      <c r="E757">
        <v>30</v>
      </c>
      <c r="F757">
        <v>19</v>
      </c>
      <c r="G757" s="8">
        <f>Lektionen[[#This Row],[Bearbeitungsdauer_real]]/Lektionen[[#This Row],[Bearbeitungsdauer_geschätzt]]-1</f>
        <v>-0.3666666666666667</v>
      </c>
      <c r="H757" s="8" t="str" cm="1">
        <f t="array" ref="H757">_xlfn.IFS(Lektionen[[#This Row],[Bearbeitungsdauer_abgewichen]]&gt;0.6,"viel länger",Lektionen[[#This Row],[Bearbeitungsdauer_abgewichen]]&gt;0.3,"länger",Lektionen[[#This Row],[Bearbeitungsdauer_abgewichen]]&lt;-0.3,"kürzer",TRUE,"keine Abweichung")</f>
        <v>kürzer</v>
      </c>
      <c r="I757">
        <v>2</v>
      </c>
    </row>
    <row r="758" spans="1:9" x14ac:dyDescent="0.3">
      <c r="A758" s="13">
        <v>112</v>
      </c>
      <c r="B758" s="4">
        <v>5</v>
      </c>
      <c r="C758" t="s">
        <v>532</v>
      </c>
      <c r="D758" t="s">
        <v>530</v>
      </c>
      <c r="E758">
        <v>30</v>
      </c>
      <c r="F758">
        <v>44</v>
      </c>
      <c r="G758" s="8">
        <f>Lektionen[[#This Row],[Bearbeitungsdauer_real]]/Lektionen[[#This Row],[Bearbeitungsdauer_geschätzt]]-1</f>
        <v>0.46666666666666656</v>
      </c>
      <c r="H758" s="8" t="str" cm="1">
        <f t="array" ref="H758">_xlfn.IFS(Lektionen[[#This Row],[Bearbeitungsdauer_abgewichen]]&gt;0.6,"viel länger",Lektionen[[#This Row],[Bearbeitungsdauer_abgewichen]]&gt;0.3,"länger",Lektionen[[#This Row],[Bearbeitungsdauer_abgewichen]]&lt;-0.3,"kürzer",TRUE,"keine Abweichung")</f>
        <v>länger</v>
      </c>
      <c r="I758">
        <v>4</v>
      </c>
    </row>
    <row r="759" spans="1:9" hidden="1" x14ac:dyDescent="0.3">
      <c r="A759" s="13">
        <v>112</v>
      </c>
      <c r="B759" s="4">
        <v>6</v>
      </c>
      <c r="C759" t="s">
        <v>533</v>
      </c>
      <c r="D759" t="s">
        <v>534</v>
      </c>
      <c r="E759">
        <v>5</v>
      </c>
      <c r="F759">
        <v>2</v>
      </c>
      <c r="G759" s="8">
        <f>Lektionen[[#This Row],[Bearbeitungsdauer_real]]/Lektionen[[#This Row],[Bearbeitungsdauer_geschätzt]]-1</f>
        <v>-0.6</v>
      </c>
      <c r="H759" s="8" t="str" cm="1">
        <f t="array" ref="H759">_xlfn.IFS(Lektionen[[#This Row],[Bearbeitungsdauer_abgewichen]]&gt;0.6,"viel länger",Lektionen[[#This Row],[Bearbeitungsdauer_abgewichen]]&gt;0.3,"länger",Lektionen[[#This Row],[Bearbeitungsdauer_abgewichen]]&lt;-0.3,"kürzer",TRUE,"keine Abweichung")</f>
        <v>kürzer</v>
      </c>
      <c r="I759">
        <v>3</v>
      </c>
    </row>
    <row r="760" spans="1:9" hidden="1" x14ac:dyDescent="0.3">
      <c r="A760" s="13">
        <v>112</v>
      </c>
      <c r="B760" s="4">
        <v>7</v>
      </c>
      <c r="C760" t="s">
        <v>535</v>
      </c>
      <c r="D760" t="s">
        <v>536</v>
      </c>
      <c r="E760">
        <v>10</v>
      </c>
      <c r="F760">
        <v>9</v>
      </c>
      <c r="G760" s="8">
        <f>Lektionen[[#This Row],[Bearbeitungsdauer_real]]/Lektionen[[#This Row],[Bearbeitungsdauer_geschätzt]]-1</f>
        <v>-9.9999999999999978E-2</v>
      </c>
      <c r="H760" s="8" t="str" cm="1">
        <f t="array" ref="H760">_xlfn.IFS(Lektionen[[#This Row],[Bearbeitungsdauer_abgewichen]]&gt;0.6,"viel länger",Lektionen[[#This Row],[Bearbeitungsdauer_abgewichen]]&gt;0.3,"länger",Lektionen[[#This Row],[Bearbeitungsdauer_abgewichen]]&lt;-0.3,"kürzer",TRUE,"keine Abweichung")</f>
        <v>keine Abweichung</v>
      </c>
      <c r="I760">
        <v>4</v>
      </c>
    </row>
    <row r="761" spans="1:9" hidden="1" x14ac:dyDescent="0.3">
      <c r="A761" s="13">
        <v>112</v>
      </c>
      <c r="B761" s="4">
        <v>8</v>
      </c>
      <c r="C761" t="s">
        <v>537</v>
      </c>
      <c r="D761" t="s">
        <v>527</v>
      </c>
      <c r="E761">
        <v>5</v>
      </c>
      <c r="F761">
        <v>5</v>
      </c>
      <c r="G761" s="8">
        <f>Lektionen[[#This Row],[Bearbeitungsdauer_real]]/Lektionen[[#This Row],[Bearbeitungsdauer_geschätzt]]-1</f>
        <v>0</v>
      </c>
      <c r="H761" s="8" t="str" cm="1">
        <f t="array" ref="H761">_xlfn.IFS(Lektionen[[#This Row],[Bearbeitungsdauer_abgewichen]]&gt;0.6,"viel länger",Lektionen[[#This Row],[Bearbeitungsdauer_abgewichen]]&gt;0.3,"länger",Lektionen[[#This Row],[Bearbeitungsdauer_abgewichen]]&lt;-0.3,"kürzer",TRUE,"keine Abweichung")</f>
        <v>keine Abweichung</v>
      </c>
      <c r="I761">
        <v>1</v>
      </c>
    </row>
    <row r="762" spans="1:9" hidden="1" x14ac:dyDescent="0.3">
      <c r="A762" s="13">
        <v>113</v>
      </c>
      <c r="B762" s="4">
        <v>1</v>
      </c>
      <c r="C762" t="s">
        <v>526</v>
      </c>
      <c r="D762" t="s">
        <v>527</v>
      </c>
      <c r="E762">
        <v>4</v>
      </c>
      <c r="F762">
        <v>4</v>
      </c>
      <c r="G762" s="8">
        <f>Lektionen[[#This Row],[Bearbeitungsdauer_real]]/Lektionen[[#This Row],[Bearbeitungsdauer_geschätzt]]-1</f>
        <v>0</v>
      </c>
      <c r="H762" s="8" t="str" cm="1">
        <f t="array" ref="H762">_xlfn.IFS(Lektionen[[#This Row],[Bearbeitungsdauer_abgewichen]]&gt;0.6,"viel länger",Lektionen[[#This Row],[Bearbeitungsdauer_abgewichen]]&gt;0.3,"länger",Lektionen[[#This Row],[Bearbeitungsdauer_abgewichen]]&lt;-0.3,"kürzer",TRUE,"keine Abweichung")</f>
        <v>keine Abweichung</v>
      </c>
      <c r="I762">
        <v>1</v>
      </c>
    </row>
    <row r="763" spans="1:9" hidden="1" x14ac:dyDescent="0.3">
      <c r="A763" s="13">
        <v>113</v>
      </c>
      <c r="B763" s="4">
        <v>2</v>
      </c>
      <c r="C763" t="s">
        <v>528</v>
      </c>
      <c r="D763" t="s">
        <v>529</v>
      </c>
      <c r="E763">
        <v>15</v>
      </c>
      <c r="F763">
        <v>15</v>
      </c>
      <c r="G763" s="8">
        <f>Lektionen[[#This Row],[Bearbeitungsdauer_real]]/Lektionen[[#This Row],[Bearbeitungsdauer_geschätzt]]-1</f>
        <v>0</v>
      </c>
      <c r="H763" s="8" t="str" cm="1">
        <f t="array" ref="H763">_xlfn.IFS(Lektionen[[#This Row],[Bearbeitungsdauer_abgewichen]]&gt;0.6,"viel länger",Lektionen[[#This Row],[Bearbeitungsdauer_abgewichen]]&gt;0.3,"länger",Lektionen[[#This Row],[Bearbeitungsdauer_abgewichen]]&lt;-0.3,"kürzer",TRUE,"keine Abweichung")</f>
        <v>keine Abweichung</v>
      </c>
      <c r="I763">
        <v>1</v>
      </c>
    </row>
    <row r="764" spans="1:9" hidden="1" x14ac:dyDescent="0.3">
      <c r="A764" s="13">
        <v>113</v>
      </c>
      <c r="B764" s="4">
        <v>3</v>
      </c>
      <c r="C764" t="s">
        <v>552</v>
      </c>
      <c r="D764" t="s">
        <v>530</v>
      </c>
      <c r="E764">
        <v>30</v>
      </c>
      <c r="F764">
        <v>28</v>
      </c>
      <c r="G764" s="8">
        <f>Lektionen[[#This Row],[Bearbeitungsdauer_real]]/Lektionen[[#This Row],[Bearbeitungsdauer_geschätzt]]-1</f>
        <v>-6.6666666666666652E-2</v>
      </c>
      <c r="H764" s="8" t="str" cm="1">
        <f t="array" ref="H764">_xlfn.IFS(Lektionen[[#This Row],[Bearbeitungsdauer_abgewichen]]&gt;0.6,"viel länger",Lektionen[[#This Row],[Bearbeitungsdauer_abgewichen]]&gt;0.3,"länger",Lektionen[[#This Row],[Bearbeitungsdauer_abgewichen]]&lt;-0.3,"kürzer",TRUE,"keine Abweichung")</f>
        <v>keine Abweichung</v>
      </c>
      <c r="I764">
        <v>3</v>
      </c>
    </row>
    <row r="765" spans="1:9" hidden="1" x14ac:dyDescent="0.3">
      <c r="A765" s="13">
        <v>113</v>
      </c>
      <c r="B765" s="4">
        <v>4</v>
      </c>
      <c r="C765" t="s">
        <v>531</v>
      </c>
      <c r="D765" t="s">
        <v>530</v>
      </c>
      <c r="E765">
        <v>30</v>
      </c>
      <c r="F765">
        <v>26</v>
      </c>
      <c r="G765" s="8">
        <f>Lektionen[[#This Row],[Bearbeitungsdauer_real]]/Lektionen[[#This Row],[Bearbeitungsdauer_geschätzt]]-1</f>
        <v>-0.1333333333333333</v>
      </c>
      <c r="H765" s="8" t="str" cm="1">
        <f t="array" ref="H765">_xlfn.IFS(Lektionen[[#This Row],[Bearbeitungsdauer_abgewichen]]&gt;0.6,"viel länger",Lektionen[[#This Row],[Bearbeitungsdauer_abgewichen]]&gt;0.3,"länger",Lektionen[[#This Row],[Bearbeitungsdauer_abgewichen]]&lt;-0.3,"kürzer",TRUE,"keine Abweichung")</f>
        <v>keine Abweichung</v>
      </c>
      <c r="I765">
        <v>3</v>
      </c>
    </row>
    <row r="766" spans="1:9" x14ac:dyDescent="0.3">
      <c r="A766" s="13">
        <v>113</v>
      </c>
      <c r="B766" s="4">
        <v>5</v>
      </c>
      <c r="C766" t="s">
        <v>532</v>
      </c>
      <c r="D766" t="s">
        <v>530</v>
      </c>
      <c r="E766">
        <v>30</v>
      </c>
      <c r="F766">
        <v>50</v>
      </c>
      <c r="G766" s="8">
        <f>Lektionen[[#This Row],[Bearbeitungsdauer_real]]/Lektionen[[#This Row],[Bearbeitungsdauer_geschätzt]]-1</f>
        <v>0.66666666666666674</v>
      </c>
      <c r="H766" s="8" t="str" cm="1">
        <f t="array" ref="H766">_xlfn.IFS(Lektionen[[#This Row],[Bearbeitungsdauer_abgewichen]]&gt;0.6,"viel länger",Lektionen[[#This Row],[Bearbeitungsdauer_abgewichen]]&gt;0.3,"länger",Lektionen[[#This Row],[Bearbeitungsdauer_abgewichen]]&lt;-0.3,"kürzer",TRUE,"keine Abweichung")</f>
        <v>viel länger</v>
      </c>
      <c r="I766">
        <v>3</v>
      </c>
    </row>
    <row r="767" spans="1:9" hidden="1" x14ac:dyDescent="0.3">
      <c r="A767" s="13">
        <v>113</v>
      </c>
      <c r="B767" s="4">
        <v>6</v>
      </c>
      <c r="C767" t="s">
        <v>533</v>
      </c>
      <c r="D767" t="s">
        <v>534</v>
      </c>
      <c r="E767">
        <v>5</v>
      </c>
      <c r="F767">
        <v>1</v>
      </c>
      <c r="G767" s="8">
        <f>Lektionen[[#This Row],[Bearbeitungsdauer_real]]/Lektionen[[#This Row],[Bearbeitungsdauer_geschätzt]]-1</f>
        <v>-0.8</v>
      </c>
      <c r="H767" s="8" t="str" cm="1">
        <f t="array" ref="H767">_xlfn.IFS(Lektionen[[#This Row],[Bearbeitungsdauer_abgewichen]]&gt;0.6,"viel länger",Lektionen[[#This Row],[Bearbeitungsdauer_abgewichen]]&gt;0.3,"länger",Lektionen[[#This Row],[Bearbeitungsdauer_abgewichen]]&lt;-0.3,"kürzer",TRUE,"keine Abweichung")</f>
        <v>kürzer</v>
      </c>
      <c r="I767">
        <v>2</v>
      </c>
    </row>
    <row r="768" spans="1:9" hidden="1" x14ac:dyDescent="0.3">
      <c r="A768" s="13">
        <v>113</v>
      </c>
      <c r="B768" s="4">
        <v>7</v>
      </c>
      <c r="C768" t="s">
        <v>535</v>
      </c>
      <c r="D768" t="s">
        <v>536</v>
      </c>
      <c r="E768">
        <v>10</v>
      </c>
      <c r="F768">
        <v>9</v>
      </c>
      <c r="G768" s="8">
        <f>Lektionen[[#This Row],[Bearbeitungsdauer_real]]/Lektionen[[#This Row],[Bearbeitungsdauer_geschätzt]]-1</f>
        <v>-9.9999999999999978E-2</v>
      </c>
      <c r="H768" s="8" t="str" cm="1">
        <f t="array" ref="H768">_xlfn.IFS(Lektionen[[#This Row],[Bearbeitungsdauer_abgewichen]]&gt;0.6,"viel länger",Lektionen[[#This Row],[Bearbeitungsdauer_abgewichen]]&gt;0.3,"länger",Lektionen[[#This Row],[Bearbeitungsdauer_abgewichen]]&lt;-0.3,"kürzer",TRUE,"keine Abweichung")</f>
        <v>keine Abweichung</v>
      </c>
      <c r="I768">
        <v>4</v>
      </c>
    </row>
    <row r="769" spans="1:9" hidden="1" x14ac:dyDescent="0.3">
      <c r="A769" s="13">
        <v>113</v>
      </c>
      <c r="B769" s="4">
        <v>8</v>
      </c>
      <c r="C769" t="s">
        <v>537</v>
      </c>
      <c r="D769" t="s">
        <v>527</v>
      </c>
      <c r="E769">
        <v>5</v>
      </c>
      <c r="F769">
        <v>5</v>
      </c>
      <c r="G769" s="8">
        <f>Lektionen[[#This Row],[Bearbeitungsdauer_real]]/Lektionen[[#This Row],[Bearbeitungsdauer_geschätzt]]-1</f>
        <v>0</v>
      </c>
      <c r="H769" s="8" t="str" cm="1">
        <f t="array" ref="H769">_xlfn.IFS(Lektionen[[#This Row],[Bearbeitungsdauer_abgewichen]]&gt;0.6,"viel länger",Lektionen[[#This Row],[Bearbeitungsdauer_abgewichen]]&gt;0.3,"länger",Lektionen[[#This Row],[Bearbeitungsdauer_abgewichen]]&lt;-0.3,"kürzer",TRUE,"keine Abweichung")</f>
        <v>keine Abweichung</v>
      </c>
      <c r="I769">
        <v>1</v>
      </c>
    </row>
    <row r="770" spans="1:9" hidden="1" x14ac:dyDescent="0.3">
      <c r="A770" s="13">
        <v>114</v>
      </c>
      <c r="B770" s="4">
        <v>1</v>
      </c>
      <c r="C770" t="s">
        <v>526</v>
      </c>
      <c r="D770" t="s">
        <v>527</v>
      </c>
      <c r="E770">
        <v>4</v>
      </c>
      <c r="F770">
        <v>4</v>
      </c>
      <c r="G770" s="8">
        <f>Lektionen[[#This Row],[Bearbeitungsdauer_real]]/Lektionen[[#This Row],[Bearbeitungsdauer_geschätzt]]-1</f>
        <v>0</v>
      </c>
      <c r="H770" s="8" t="str" cm="1">
        <f t="array" ref="H770">_xlfn.IFS(Lektionen[[#This Row],[Bearbeitungsdauer_abgewichen]]&gt;0.6,"viel länger",Lektionen[[#This Row],[Bearbeitungsdauer_abgewichen]]&gt;0.3,"länger",Lektionen[[#This Row],[Bearbeitungsdauer_abgewichen]]&lt;-0.3,"kürzer",TRUE,"keine Abweichung")</f>
        <v>keine Abweichung</v>
      </c>
      <c r="I770">
        <v>1</v>
      </c>
    </row>
    <row r="771" spans="1:9" hidden="1" x14ac:dyDescent="0.3">
      <c r="A771" s="13">
        <v>114</v>
      </c>
      <c r="B771" s="4">
        <v>2</v>
      </c>
      <c r="C771" t="s">
        <v>528</v>
      </c>
      <c r="D771" t="s">
        <v>529</v>
      </c>
      <c r="E771">
        <v>15</v>
      </c>
      <c r="F771">
        <v>17</v>
      </c>
      <c r="G771" s="8">
        <f>Lektionen[[#This Row],[Bearbeitungsdauer_real]]/Lektionen[[#This Row],[Bearbeitungsdauer_geschätzt]]-1</f>
        <v>0.1333333333333333</v>
      </c>
      <c r="H771" s="8" t="str" cm="1">
        <f t="array" ref="H771">_xlfn.IFS(Lektionen[[#This Row],[Bearbeitungsdauer_abgewichen]]&gt;0.6,"viel länger",Lektionen[[#This Row],[Bearbeitungsdauer_abgewichen]]&gt;0.3,"länger",Lektionen[[#This Row],[Bearbeitungsdauer_abgewichen]]&lt;-0.3,"kürzer",TRUE,"keine Abweichung")</f>
        <v>keine Abweichung</v>
      </c>
      <c r="I771">
        <v>1</v>
      </c>
    </row>
    <row r="772" spans="1:9" hidden="1" x14ac:dyDescent="0.3">
      <c r="A772" s="13">
        <v>114</v>
      </c>
      <c r="B772" s="4">
        <v>3</v>
      </c>
      <c r="C772" t="s">
        <v>552</v>
      </c>
      <c r="D772" t="s">
        <v>530</v>
      </c>
      <c r="E772">
        <v>30</v>
      </c>
      <c r="F772">
        <v>30</v>
      </c>
      <c r="G772" s="8">
        <f>Lektionen[[#This Row],[Bearbeitungsdauer_real]]/Lektionen[[#This Row],[Bearbeitungsdauer_geschätzt]]-1</f>
        <v>0</v>
      </c>
      <c r="H772" s="8" t="str" cm="1">
        <f t="array" ref="H772">_xlfn.IFS(Lektionen[[#This Row],[Bearbeitungsdauer_abgewichen]]&gt;0.6,"viel länger",Lektionen[[#This Row],[Bearbeitungsdauer_abgewichen]]&gt;0.3,"länger",Lektionen[[#This Row],[Bearbeitungsdauer_abgewichen]]&lt;-0.3,"kürzer",TRUE,"keine Abweichung")</f>
        <v>keine Abweichung</v>
      </c>
      <c r="I772">
        <v>2</v>
      </c>
    </row>
    <row r="773" spans="1:9" hidden="1" x14ac:dyDescent="0.3">
      <c r="A773" s="13">
        <v>114</v>
      </c>
      <c r="B773" s="4">
        <v>4</v>
      </c>
      <c r="C773" t="s">
        <v>531</v>
      </c>
      <c r="D773" t="s">
        <v>530</v>
      </c>
      <c r="E773">
        <v>30</v>
      </c>
      <c r="F773">
        <v>25</v>
      </c>
      <c r="G773" s="8">
        <f>Lektionen[[#This Row],[Bearbeitungsdauer_real]]/Lektionen[[#This Row],[Bearbeitungsdauer_geschätzt]]-1</f>
        <v>-0.16666666666666663</v>
      </c>
      <c r="H773" s="8" t="str" cm="1">
        <f t="array" ref="H773">_xlfn.IFS(Lektionen[[#This Row],[Bearbeitungsdauer_abgewichen]]&gt;0.6,"viel länger",Lektionen[[#This Row],[Bearbeitungsdauer_abgewichen]]&gt;0.3,"länger",Lektionen[[#This Row],[Bearbeitungsdauer_abgewichen]]&lt;-0.3,"kürzer",TRUE,"keine Abweichung")</f>
        <v>keine Abweichung</v>
      </c>
      <c r="I773">
        <v>3</v>
      </c>
    </row>
    <row r="774" spans="1:9" x14ac:dyDescent="0.3">
      <c r="A774" s="13">
        <v>114</v>
      </c>
      <c r="B774" s="4">
        <v>5</v>
      </c>
      <c r="C774" t="s">
        <v>532</v>
      </c>
      <c r="D774" t="s">
        <v>530</v>
      </c>
      <c r="E774">
        <v>30</v>
      </c>
      <c r="F774">
        <v>39</v>
      </c>
      <c r="G774" s="8">
        <f>Lektionen[[#This Row],[Bearbeitungsdauer_real]]/Lektionen[[#This Row],[Bearbeitungsdauer_geschätzt]]-1</f>
        <v>0.30000000000000004</v>
      </c>
      <c r="H774" s="8" t="str" cm="1">
        <f t="array" ref="H774">_xlfn.IFS(Lektionen[[#This Row],[Bearbeitungsdauer_abgewichen]]&gt;0.6,"viel länger",Lektionen[[#This Row],[Bearbeitungsdauer_abgewichen]]&gt;0.3,"länger",Lektionen[[#This Row],[Bearbeitungsdauer_abgewichen]]&lt;-0.3,"kürzer",TRUE,"keine Abweichung")</f>
        <v>keine Abweichung</v>
      </c>
      <c r="I774">
        <v>4</v>
      </c>
    </row>
    <row r="775" spans="1:9" hidden="1" x14ac:dyDescent="0.3">
      <c r="A775" s="13">
        <v>114</v>
      </c>
      <c r="B775" s="4">
        <v>6</v>
      </c>
      <c r="C775" t="s">
        <v>533</v>
      </c>
      <c r="D775" t="s">
        <v>534</v>
      </c>
      <c r="E775">
        <v>5</v>
      </c>
      <c r="F775">
        <v>1</v>
      </c>
      <c r="G775" s="8">
        <f>Lektionen[[#This Row],[Bearbeitungsdauer_real]]/Lektionen[[#This Row],[Bearbeitungsdauer_geschätzt]]-1</f>
        <v>-0.8</v>
      </c>
      <c r="H775" s="8" t="str" cm="1">
        <f t="array" ref="H775">_xlfn.IFS(Lektionen[[#This Row],[Bearbeitungsdauer_abgewichen]]&gt;0.6,"viel länger",Lektionen[[#This Row],[Bearbeitungsdauer_abgewichen]]&gt;0.3,"länger",Lektionen[[#This Row],[Bearbeitungsdauer_abgewichen]]&lt;-0.3,"kürzer",TRUE,"keine Abweichung")</f>
        <v>kürzer</v>
      </c>
      <c r="I775">
        <v>2</v>
      </c>
    </row>
    <row r="776" spans="1:9" hidden="1" x14ac:dyDescent="0.3">
      <c r="A776" s="13">
        <v>114</v>
      </c>
      <c r="B776" s="4">
        <v>7</v>
      </c>
      <c r="C776" t="s">
        <v>535</v>
      </c>
      <c r="D776" t="s">
        <v>536</v>
      </c>
      <c r="E776">
        <v>10</v>
      </c>
      <c r="F776">
        <v>8</v>
      </c>
      <c r="G776" s="8">
        <f>Lektionen[[#This Row],[Bearbeitungsdauer_real]]/Lektionen[[#This Row],[Bearbeitungsdauer_geschätzt]]-1</f>
        <v>-0.19999999999999996</v>
      </c>
      <c r="H776" s="8" t="str" cm="1">
        <f t="array" ref="H776">_xlfn.IFS(Lektionen[[#This Row],[Bearbeitungsdauer_abgewichen]]&gt;0.6,"viel länger",Lektionen[[#This Row],[Bearbeitungsdauer_abgewichen]]&gt;0.3,"länger",Lektionen[[#This Row],[Bearbeitungsdauer_abgewichen]]&lt;-0.3,"kürzer",TRUE,"keine Abweichung")</f>
        <v>keine Abweichung</v>
      </c>
      <c r="I776">
        <v>5</v>
      </c>
    </row>
    <row r="777" spans="1:9" hidden="1" x14ac:dyDescent="0.3">
      <c r="A777" s="13">
        <v>114</v>
      </c>
      <c r="B777" s="4">
        <v>8</v>
      </c>
      <c r="C777" t="s">
        <v>537</v>
      </c>
      <c r="D777" t="s">
        <v>527</v>
      </c>
      <c r="E777">
        <v>5</v>
      </c>
      <c r="F777">
        <v>7</v>
      </c>
      <c r="G777" s="8">
        <f>Lektionen[[#This Row],[Bearbeitungsdauer_real]]/Lektionen[[#This Row],[Bearbeitungsdauer_geschätzt]]-1</f>
        <v>0.39999999999999991</v>
      </c>
      <c r="H777" s="8" t="str" cm="1">
        <f t="array" ref="H777">_xlfn.IFS(Lektionen[[#This Row],[Bearbeitungsdauer_abgewichen]]&gt;0.6,"viel länger",Lektionen[[#This Row],[Bearbeitungsdauer_abgewichen]]&gt;0.3,"länger",Lektionen[[#This Row],[Bearbeitungsdauer_abgewichen]]&lt;-0.3,"kürzer",TRUE,"keine Abweichung")</f>
        <v>länger</v>
      </c>
      <c r="I777">
        <v>1</v>
      </c>
    </row>
    <row r="778" spans="1:9" hidden="1" x14ac:dyDescent="0.3">
      <c r="A778" s="13">
        <v>115</v>
      </c>
      <c r="B778" s="4">
        <v>1</v>
      </c>
      <c r="C778" t="s">
        <v>526</v>
      </c>
      <c r="D778" t="s">
        <v>527</v>
      </c>
      <c r="E778">
        <v>4</v>
      </c>
      <c r="F778">
        <v>4</v>
      </c>
      <c r="G778" s="8">
        <f>Lektionen[[#This Row],[Bearbeitungsdauer_real]]/Lektionen[[#This Row],[Bearbeitungsdauer_geschätzt]]-1</f>
        <v>0</v>
      </c>
      <c r="H778" s="8" t="str" cm="1">
        <f t="array" ref="H778">_xlfn.IFS(Lektionen[[#This Row],[Bearbeitungsdauer_abgewichen]]&gt;0.6,"viel länger",Lektionen[[#This Row],[Bearbeitungsdauer_abgewichen]]&gt;0.3,"länger",Lektionen[[#This Row],[Bearbeitungsdauer_abgewichen]]&lt;-0.3,"kürzer",TRUE,"keine Abweichung")</f>
        <v>keine Abweichung</v>
      </c>
      <c r="I778">
        <v>1</v>
      </c>
    </row>
    <row r="779" spans="1:9" hidden="1" x14ac:dyDescent="0.3">
      <c r="A779" s="13">
        <v>115</v>
      </c>
      <c r="B779" s="4">
        <v>2</v>
      </c>
      <c r="C779" t="s">
        <v>528</v>
      </c>
      <c r="D779" t="s">
        <v>529</v>
      </c>
      <c r="E779">
        <v>15</v>
      </c>
      <c r="F779">
        <v>18</v>
      </c>
      <c r="G779" s="8">
        <f>Lektionen[[#This Row],[Bearbeitungsdauer_real]]/Lektionen[[#This Row],[Bearbeitungsdauer_geschätzt]]-1</f>
        <v>0.19999999999999996</v>
      </c>
      <c r="H779" s="8" t="str" cm="1">
        <f t="array" ref="H779">_xlfn.IFS(Lektionen[[#This Row],[Bearbeitungsdauer_abgewichen]]&gt;0.6,"viel länger",Lektionen[[#This Row],[Bearbeitungsdauer_abgewichen]]&gt;0.3,"länger",Lektionen[[#This Row],[Bearbeitungsdauer_abgewichen]]&lt;-0.3,"kürzer",TRUE,"keine Abweichung")</f>
        <v>keine Abweichung</v>
      </c>
      <c r="I779">
        <v>1</v>
      </c>
    </row>
    <row r="780" spans="1:9" hidden="1" x14ac:dyDescent="0.3">
      <c r="A780" s="13">
        <v>115</v>
      </c>
      <c r="B780" s="4">
        <v>3</v>
      </c>
      <c r="C780" t="s">
        <v>552</v>
      </c>
      <c r="D780" t="s">
        <v>530</v>
      </c>
      <c r="E780">
        <v>30</v>
      </c>
      <c r="F780">
        <v>27</v>
      </c>
      <c r="G780" s="8">
        <f>Lektionen[[#This Row],[Bearbeitungsdauer_real]]/Lektionen[[#This Row],[Bearbeitungsdauer_geschätzt]]-1</f>
        <v>-9.9999999999999978E-2</v>
      </c>
      <c r="H780" s="8" t="str" cm="1">
        <f t="array" ref="H780">_xlfn.IFS(Lektionen[[#This Row],[Bearbeitungsdauer_abgewichen]]&gt;0.6,"viel länger",Lektionen[[#This Row],[Bearbeitungsdauer_abgewichen]]&gt;0.3,"länger",Lektionen[[#This Row],[Bearbeitungsdauer_abgewichen]]&lt;-0.3,"kürzer",TRUE,"keine Abweichung")</f>
        <v>keine Abweichung</v>
      </c>
      <c r="I780">
        <v>2</v>
      </c>
    </row>
    <row r="781" spans="1:9" hidden="1" x14ac:dyDescent="0.3">
      <c r="A781" s="13">
        <v>115</v>
      </c>
      <c r="B781" s="4">
        <v>4</v>
      </c>
      <c r="C781" t="s">
        <v>531</v>
      </c>
      <c r="D781" t="s">
        <v>530</v>
      </c>
      <c r="E781">
        <v>30</v>
      </c>
      <c r="F781">
        <v>26</v>
      </c>
      <c r="G781" s="8">
        <f>Lektionen[[#This Row],[Bearbeitungsdauer_real]]/Lektionen[[#This Row],[Bearbeitungsdauer_geschätzt]]-1</f>
        <v>-0.1333333333333333</v>
      </c>
      <c r="H781" s="8" t="str" cm="1">
        <f t="array" ref="H781">_xlfn.IFS(Lektionen[[#This Row],[Bearbeitungsdauer_abgewichen]]&gt;0.6,"viel länger",Lektionen[[#This Row],[Bearbeitungsdauer_abgewichen]]&gt;0.3,"länger",Lektionen[[#This Row],[Bearbeitungsdauer_abgewichen]]&lt;-0.3,"kürzer",TRUE,"keine Abweichung")</f>
        <v>keine Abweichung</v>
      </c>
      <c r="I781">
        <v>2</v>
      </c>
    </row>
    <row r="782" spans="1:9" x14ac:dyDescent="0.3">
      <c r="A782" s="13">
        <v>115</v>
      </c>
      <c r="B782" s="4">
        <v>5</v>
      </c>
      <c r="C782" t="s">
        <v>532</v>
      </c>
      <c r="D782" t="s">
        <v>530</v>
      </c>
      <c r="E782">
        <v>30</v>
      </c>
      <c r="F782">
        <v>43</v>
      </c>
      <c r="G782" s="8">
        <f>Lektionen[[#This Row],[Bearbeitungsdauer_real]]/Lektionen[[#This Row],[Bearbeitungsdauer_geschätzt]]-1</f>
        <v>0.43333333333333335</v>
      </c>
      <c r="H782" s="8" t="str" cm="1">
        <f t="array" ref="H782">_xlfn.IFS(Lektionen[[#This Row],[Bearbeitungsdauer_abgewichen]]&gt;0.6,"viel länger",Lektionen[[#This Row],[Bearbeitungsdauer_abgewichen]]&gt;0.3,"länger",Lektionen[[#This Row],[Bearbeitungsdauer_abgewichen]]&lt;-0.3,"kürzer",TRUE,"keine Abweichung")</f>
        <v>länger</v>
      </c>
      <c r="I782">
        <v>4</v>
      </c>
    </row>
    <row r="783" spans="1:9" hidden="1" x14ac:dyDescent="0.3">
      <c r="A783" s="13">
        <v>115</v>
      </c>
      <c r="B783" s="4">
        <v>6</v>
      </c>
      <c r="C783" t="s">
        <v>533</v>
      </c>
      <c r="D783" t="s">
        <v>534</v>
      </c>
      <c r="E783">
        <v>5</v>
      </c>
      <c r="F783">
        <v>2</v>
      </c>
      <c r="G783" s="8">
        <f>Lektionen[[#This Row],[Bearbeitungsdauer_real]]/Lektionen[[#This Row],[Bearbeitungsdauer_geschätzt]]-1</f>
        <v>-0.6</v>
      </c>
      <c r="H783" s="8" t="str" cm="1">
        <f t="array" ref="H783">_xlfn.IFS(Lektionen[[#This Row],[Bearbeitungsdauer_abgewichen]]&gt;0.6,"viel länger",Lektionen[[#This Row],[Bearbeitungsdauer_abgewichen]]&gt;0.3,"länger",Lektionen[[#This Row],[Bearbeitungsdauer_abgewichen]]&lt;-0.3,"kürzer",TRUE,"keine Abweichung")</f>
        <v>kürzer</v>
      </c>
      <c r="I783">
        <v>1</v>
      </c>
    </row>
    <row r="784" spans="1:9" hidden="1" x14ac:dyDescent="0.3">
      <c r="A784" s="13">
        <v>115</v>
      </c>
      <c r="B784" s="4">
        <v>7</v>
      </c>
      <c r="C784" t="s">
        <v>535</v>
      </c>
      <c r="D784" t="s">
        <v>536</v>
      </c>
      <c r="E784">
        <v>10</v>
      </c>
      <c r="F784">
        <v>9</v>
      </c>
      <c r="G784" s="8">
        <f>Lektionen[[#This Row],[Bearbeitungsdauer_real]]/Lektionen[[#This Row],[Bearbeitungsdauer_geschätzt]]-1</f>
        <v>-9.9999999999999978E-2</v>
      </c>
      <c r="H784" s="8" t="str" cm="1">
        <f t="array" ref="H784">_xlfn.IFS(Lektionen[[#This Row],[Bearbeitungsdauer_abgewichen]]&gt;0.6,"viel länger",Lektionen[[#This Row],[Bearbeitungsdauer_abgewichen]]&gt;0.3,"länger",Lektionen[[#This Row],[Bearbeitungsdauer_abgewichen]]&lt;-0.3,"kürzer",TRUE,"keine Abweichung")</f>
        <v>keine Abweichung</v>
      </c>
      <c r="I784">
        <v>4</v>
      </c>
    </row>
    <row r="785" spans="1:9" hidden="1" x14ac:dyDescent="0.3">
      <c r="A785" s="13">
        <v>115</v>
      </c>
      <c r="B785" s="4">
        <v>8</v>
      </c>
      <c r="C785" t="s">
        <v>537</v>
      </c>
      <c r="D785" t="s">
        <v>527</v>
      </c>
      <c r="E785">
        <v>5</v>
      </c>
      <c r="F785">
        <v>5</v>
      </c>
      <c r="G785" s="8">
        <f>Lektionen[[#This Row],[Bearbeitungsdauer_real]]/Lektionen[[#This Row],[Bearbeitungsdauer_geschätzt]]-1</f>
        <v>0</v>
      </c>
      <c r="H785" s="8" t="str" cm="1">
        <f t="array" ref="H785">_xlfn.IFS(Lektionen[[#This Row],[Bearbeitungsdauer_abgewichen]]&gt;0.6,"viel länger",Lektionen[[#This Row],[Bearbeitungsdauer_abgewichen]]&gt;0.3,"länger",Lektionen[[#This Row],[Bearbeitungsdauer_abgewichen]]&lt;-0.3,"kürzer",TRUE,"keine Abweichung")</f>
        <v>keine Abweichung</v>
      </c>
      <c r="I785">
        <v>1</v>
      </c>
    </row>
    <row r="786" spans="1:9" hidden="1" x14ac:dyDescent="0.3">
      <c r="A786" s="13">
        <v>116</v>
      </c>
      <c r="B786" s="4">
        <v>1</v>
      </c>
      <c r="C786" t="s">
        <v>526</v>
      </c>
      <c r="D786" t="s">
        <v>527</v>
      </c>
      <c r="E786">
        <v>4</v>
      </c>
      <c r="F786">
        <v>4</v>
      </c>
      <c r="G786" s="8">
        <f>Lektionen[[#This Row],[Bearbeitungsdauer_real]]/Lektionen[[#This Row],[Bearbeitungsdauer_geschätzt]]-1</f>
        <v>0</v>
      </c>
      <c r="H786" s="8" t="str" cm="1">
        <f t="array" ref="H786">_xlfn.IFS(Lektionen[[#This Row],[Bearbeitungsdauer_abgewichen]]&gt;0.6,"viel länger",Lektionen[[#This Row],[Bearbeitungsdauer_abgewichen]]&gt;0.3,"länger",Lektionen[[#This Row],[Bearbeitungsdauer_abgewichen]]&lt;-0.3,"kürzer",TRUE,"keine Abweichung")</f>
        <v>keine Abweichung</v>
      </c>
      <c r="I786">
        <v>1</v>
      </c>
    </row>
    <row r="787" spans="1:9" hidden="1" x14ac:dyDescent="0.3">
      <c r="A787" s="13">
        <v>116</v>
      </c>
      <c r="B787" s="4">
        <v>2</v>
      </c>
      <c r="C787" t="s">
        <v>528</v>
      </c>
      <c r="D787" t="s">
        <v>529</v>
      </c>
      <c r="E787">
        <v>15</v>
      </c>
      <c r="F787">
        <v>16</v>
      </c>
      <c r="G787" s="8">
        <f>Lektionen[[#This Row],[Bearbeitungsdauer_real]]/Lektionen[[#This Row],[Bearbeitungsdauer_geschätzt]]-1</f>
        <v>6.6666666666666652E-2</v>
      </c>
      <c r="H787" s="8" t="str" cm="1">
        <f t="array" ref="H787">_xlfn.IFS(Lektionen[[#This Row],[Bearbeitungsdauer_abgewichen]]&gt;0.6,"viel länger",Lektionen[[#This Row],[Bearbeitungsdauer_abgewichen]]&gt;0.3,"länger",Lektionen[[#This Row],[Bearbeitungsdauer_abgewichen]]&lt;-0.3,"kürzer",TRUE,"keine Abweichung")</f>
        <v>keine Abweichung</v>
      </c>
      <c r="I787">
        <v>1</v>
      </c>
    </row>
    <row r="788" spans="1:9" hidden="1" x14ac:dyDescent="0.3">
      <c r="A788" s="13">
        <v>116</v>
      </c>
      <c r="B788" s="4">
        <v>3</v>
      </c>
      <c r="C788" t="s">
        <v>552</v>
      </c>
      <c r="D788" t="s">
        <v>530</v>
      </c>
      <c r="E788">
        <v>30</v>
      </c>
      <c r="F788">
        <v>30</v>
      </c>
      <c r="G788" s="8">
        <f>Lektionen[[#This Row],[Bearbeitungsdauer_real]]/Lektionen[[#This Row],[Bearbeitungsdauer_geschätzt]]-1</f>
        <v>0</v>
      </c>
      <c r="H788" s="8" t="str" cm="1">
        <f t="array" ref="H788">_xlfn.IFS(Lektionen[[#This Row],[Bearbeitungsdauer_abgewichen]]&gt;0.6,"viel länger",Lektionen[[#This Row],[Bearbeitungsdauer_abgewichen]]&gt;0.3,"länger",Lektionen[[#This Row],[Bearbeitungsdauer_abgewichen]]&lt;-0.3,"kürzer",TRUE,"keine Abweichung")</f>
        <v>keine Abweichung</v>
      </c>
      <c r="I788">
        <v>2</v>
      </c>
    </row>
    <row r="789" spans="1:9" hidden="1" x14ac:dyDescent="0.3">
      <c r="A789" s="13">
        <v>116</v>
      </c>
      <c r="B789" s="4">
        <v>4</v>
      </c>
      <c r="C789" t="s">
        <v>531</v>
      </c>
      <c r="D789" t="s">
        <v>530</v>
      </c>
      <c r="E789">
        <v>30</v>
      </c>
      <c r="F789">
        <v>23</v>
      </c>
      <c r="G789" s="8">
        <f>Lektionen[[#This Row],[Bearbeitungsdauer_real]]/Lektionen[[#This Row],[Bearbeitungsdauer_geschätzt]]-1</f>
        <v>-0.23333333333333328</v>
      </c>
      <c r="H789" s="8" t="str" cm="1">
        <f t="array" ref="H789">_xlfn.IFS(Lektionen[[#This Row],[Bearbeitungsdauer_abgewichen]]&gt;0.6,"viel länger",Lektionen[[#This Row],[Bearbeitungsdauer_abgewichen]]&gt;0.3,"länger",Lektionen[[#This Row],[Bearbeitungsdauer_abgewichen]]&lt;-0.3,"kürzer",TRUE,"keine Abweichung")</f>
        <v>keine Abweichung</v>
      </c>
      <c r="I789">
        <v>3</v>
      </c>
    </row>
    <row r="790" spans="1:9" x14ac:dyDescent="0.3">
      <c r="A790" s="13">
        <v>116</v>
      </c>
      <c r="B790" s="4">
        <v>5</v>
      </c>
      <c r="C790" t="s">
        <v>532</v>
      </c>
      <c r="D790" t="s">
        <v>530</v>
      </c>
      <c r="E790">
        <v>30</v>
      </c>
      <c r="F790">
        <v>43</v>
      </c>
      <c r="G790" s="8">
        <f>Lektionen[[#This Row],[Bearbeitungsdauer_real]]/Lektionen[[#This Row],[Bearbeitungsdauer_geschätzt]]-1</f>
        <v>0.43333333333333335</v>
      </c>
      <c r="H790" s="8" t="str" cm="1">
        <f t="array" ref="H790">_xlfn.IFS(Lektionen[[#This Row],[Bearbeitungsdauer_abgewichen]]&gt;0.6,"viel länger",Lektionen[[#This Row],[Bearbeitungsdauer_abgewichen]]&gt;0.3,"länger",Lektionen[[#This Row],[Bearbeitungsdauer_abgewichen]]&lt;-0.3,"kürzer",TRUE,"keine Abweichung")</f>
        <v>länger</v>
      </c>
      <c r="I790">
        <v>3</v>
      </c>
    </row>
    <row r="791" spans="1:9" hidden="1" x14ac:dyDescent="0.3">
      <c r="A791" s="13">
        <v>116</v>
      </c>
      <c r="B791" s="4">
        <v>6</v>
      </c>
      <c r="C791" t="s">
        <v>533</v>
      </c>
      <c r="D791" t="s">
        <v>534</v>
      </c>
      <c r="E791">
        <v>5</v>
      </c>
      <c r="F791">
        <v>1</v>
      </c>
      <c r="G791" s="8">
        <f>Lektionen[[#This Row],[Bearbeitungsdauer_real]]/Lektionen[[#This Row],[Bearbeitungsdauer_geschätzt]]-1</f>
        <v>-0.8</v>
      </c>
      <c r="H791" s="8" t="str" cm="1">
        <f t="array" ref="H791">_xlfn.IFS(Lektionen[[#This Row],[Bearbeitungsdauer_abgewichen]]&gt;0.6,"viel länger",Lektionen[[#This Row],[Bearbeitungsdauer_abgewichen]]&gt;0.3,"länger",Lektionen[[#This Row],[Bearbeitungsdauer_abgewichen]]&lt;-0.3,"kürzer",TRUE,"keine Abweichung")</f>
        <v>kürzer</v>
      </c>
      <c r="I791">
        <v>2</v>
      </c>
    </row>
    <row r="792" spans="1:9" hidden="1" x14ac:dyDescent="0.3">
      <c r="A792" s="13">
        <v>116</v>
      </c>
      <c r="B792" s="4">
        <v>7</v>
      </c>
      <c r="C792" t="s">
        <v>535</v>
      </c>
      <c r="D792" t="s">
        <v>536</v>
      </c>
      <c r="E792">
        <v>10</v>
      </c>
      <c r="F792">
        <v>10</v>
      </c>
      <c r="G792" s="8">
        <f>Lektionen[[#This Row],[Bearbeitungsdauer_real]]/Lektionen[[#This Row],[Bearbeitungsdauer_geschätzt]]-1</f>
        <v>0</v>
      </c>
      <c r="H792" s="8" t="str" cm="1">
        <f t="array" ref="H792">_xlfn.IFS(Lektionen[[#This Row],[Bearbeitungsdauer_abgewichen]]&gt;0.6,"viel länger",Lektionen[[#This Row],[Bearbeitungsdauer_abgewichen]]&gt;0.3,"länger",Lektionen[[#This Row],[Bearbeitungsdauer_abgewichen]]&lt;-0.3,"kürzer",TRUE,"keine Abweichung")</f>
        <v>keine Abweichung</v>
      </c>
      <c r="I792">
        <v>4</v>
      </c>
    </row>
    <row r="793" spans="1:9" hidden="1" x14ac:dyDescent="0.3">
      <c r="A793" s="13">
        <v>116</v>
      </c>
      <c r="B793" s="4">
        <v>8</v>
      </c>
      <c r="C793" t="s">
        <v>537</v>
      </c>
      <c r="D793" t="s">
        <v>527</v>
      </c>
      <c r="E793">
        <v>5</v>
      </c>
      <c r="F793">
        <v>5</v>
      </c>
      <c r="G793" s="8">
        <f>Lektionen[[#This Row],[Bearbeitungsdauer_real]]/Lektionen[[#This Row],[Bearbeitungsdauer_geschätzt]]-1</f>
        <v>0</v>
      </c>
      <c r="H793" s="8" t="str" cm="1">
        <f t="array" ref="H793">_xlfn.IFS(Lektionen[[#This Row],[Bearbeitungsdauer_abgewichen]]&gt;0.6,"viel länger",Lektionen[[#This Row],[Bearbeitungsdauer_abgewichen]]&gt;0.3,"länger",Lektionen[[#This Row],[Bearbeitungsdauer_abgewichen]]&lt;-0.3,"kürzer",TRUE,"keine Abweichung")</f>
        <v>keine Abweichung</v>
      </c>
      <c r="I793">
        <v>1</v>
      </c>
    </row>
    <row r="794" spans="1:9" hidden="1" x14ac:dyDescent="0.3">
      <c r="A794" s="13">
        <v>117</v>
      </c>
      <c r="B794" s="4">
        <v>1</v>
      </c>
      <c r="C794" t="s">
        <v>526</v>
      </c>
      <c r="D794" t="s">
        <v>527</v>
      </c>
      <c r="E794">
        <v>4</v>
      </c>
      <c r="F794">
        <v>4</v>
      </c>
      <c r="G794" s="8">
        <f>Lektionen[[#This Row],[Bearbeitungsdauer_real]]/Lektionen[[#This Row],[Bearbeitungsdauer_geschätzt]]-1</f>
        <v>0</v>
      </c>
      <c r="H794" s="8" t="str" cm="1">
        <f t="array" ref="H794">_xlfn.IFS(Lektionen[[#This Row],[Bearbeitungsdauer_abgewichen]]&gt;0.6,"viel länger",Lektionen[[#This Row],[Bearbeitungsdauer_abgewichen]]&gt;0.3,"länger",Lektionen[[#This Row],[Bearbeitungsdauer_abgewichen]]&lt;-0.3,"kürzer",TRUE,"keine Abweichung")</f>
        <v>keine Abweichung</v>
      </c>
      <c r="I794">
        <v>1</v>
      </c>
    </row>
    <row r="795" spans="1:9" hidden="1" x14ac:dyDescent="0.3">
      <c r="A795" s="13">
        <v>117</v>
      </c>
      <c r="B795" s="4">
        <v>2</v>
      </c>
      <c r="C795" t="s">
        <v>528</v>
      </c>
      <c r="D795" t="s">
        <v>529</v>
      </c>
      <c r="E795">
        <v>15</v>
      </c>
      <c r="F795">
        <v>21</v>
      </c>
      <c r="G795" s="8">
        <f>Lektionen[[#This Row],[Bearbeitungsdauer_real]]/Lektionen[[#This Row],[Bearbeitungsdauer_geschätzt]]-1</f>
        <v>0.39999999999999991</v>
      </c>
      <c r="H795" s="8" t="str" cm="1">
        <f t="array" ref="H795">_xlfn.IFS(Lektionen[[#This Row],[Bearbeitungsdauer_abgewichen]]&gt;0.6,"viel länger",Lektionen[[#This Row],[Bearbeitungsdauer_abgewichen]]&gt;0.3,"länger",Lektionen[[#This Row],[Bearbeitungsdauer_abgewichen]]&lt;-0.3,"kürzer",TRUE,"keine Abweichung")</f>
        <v>länger</v>
      </c>
      <c r="I795">
        <v>1</v>
      </c>
    </row>
    <row r="796" spans="1:9" hidden="1" x14ac:dyDescent="0.3">
      <c r="A796" s="13">
        <v>117</v>
      </c>
      <c r="B796" s="4">
        <v>3</v>
      </c>
      <c r="C796" t="s">
        <v>552</v>
      </c>
      <c r="D796" t="s">
        <v>530</v>
      </c>
      <c r="E796">
        <v>30</v>
      </c>
      <c r="F796">
        <v>30</v>
      </c>
      <c r="G796" s="8">
        <f>Lektionen[[#This Row],[Bearbeitungsdauer_real]]/Lektionen[[#This Row],[Bearbeitungsdauer_geschätzt]]-1</f>
        <v>0</v>
      </c>
      <c r="H796" s="8" t="str" cm="1">
        <f t="array" ref="H796">_xlfn.IFS(Lektionen[[#This Row],[Bearbeitungsdauer_abgewichen]]&gt;0.6,"viel länger",Lektionen[[#This Row],[Bearbeitungsdauer_abgewichen]]&gt;0.3,"länger",Lektionen[[#This Row],[Bearbeitungsdauer_abgewichen]]&lt;-0.3,"kürzer",TRUE,"keine Abweichung")</f>
        <v>keine Abweichung</v>
      </c>
      <c r="I796">
        <v>2</v>
      </c>
    </row>
    <row r="797" spans="1:9" hidden="1" x14ac:dyDescent="0.3">
      <c r="A797" s="13">
        <v>117</v>
      </c>
      <c r="B797" s="4">
        <v>4</v>
      </c>
      <c r="C797" t="s">
        <v>531</v>
      </c>
      <c r="D797" t="s">
        <v>530</v>
      </c>
      <c r="E797">
        <v>30</v>
      </c>
      <c r="F797">
        <v>23</v>
      </c>
      <c r="G797" s="8">
        <f>Lektionen[[#This Row],[Bearbeitungsdauer_real]]/Lektionen[[#This Row],[Bearbeitungsdauer_geschätzt]]-1</f>
        <v>-0.23333333333333328</v>
      </c>
      <c r="H797" s="8" t="str" cm="1">
        <f t="array" ref="H797">_xlfn.IFS(Lektionen[[#This Row],[Bearbeitungsdauer_abgewichen]]&gt;0.6,"viel länger",Lektionen[[#This Row],[Bearbeitungsdauer_abgewichen]]&gt;0.3,"länger",Lektionen[[#This Row],[Bearbeitungsdauer_abgewichen]]&lt;-0.3,"kürzer",TRUE,"keine Abweichung")</f>
        <v>keine Abweichung</v>
      </c>
      <c r="I797">
        <v>4</v>
      </c>
    </row>
    <row r="798" spans="1:9" x14ac:dyDescent="0.3">
      <c r="A798" s="13">
        <v>117</v>
      </c>
      <c r="B798" s="4">
        <v>5</v>
      </c>
      <c r="C798" t="s">
        <v>532</v>
      </c>
      <c r="D798" t="s">
        <v>530</v>
      </c>
      <c r="E798">
        <v>30</v>
      </c>
      <c r="F798">
        <v>52</v>
      </c>
      <c r="G798" s="8">
        <f>Lektionen[[#This Row],[Bearbeitungsdauer_real]]/Lektionen[[#This Row],[Bearbeitungsdauer_geschätzt]]-1</f>
        <v>0.73333333333333339</v>
      </c>
      <c r="H798" s="8" t="str" cm="1">
        <f t="array" ref="H798">_xlfn.IFS(Lektionen[[#This Row],[Bearbeitungsdauer_abgewichen]]&gt;0.6,"viel länger",Lektionen[[#This Row],[Bearbeitungsdauer_abgewichen]]&gt;0.3,"länger",Lektionen[[#This Row],[Bearbeitungsdauer_abgewichen]]&lt;-0.3,"kürzer",TRUE,"keine Abweichung")</f>
        <v>viel länger</v>
      </c>
      <c r="I798">
        <v>3</v>
      </c>
    </row>
    <row r="799" spans="1:9" hidden="1" x14ac:dyDescent="0.3">
      <c r="A799" s="13">
        <v>117</v>
      </c>
      <c r="B799" s="4">
        <v>6</v>
      </c>
      <c r="C799" t="s">
        <v>533</v>
      </c>
      <c r="D799" t="s">
        <v>534</v>
      </c>
      <c r="E799">
        <v>5</v>
      </c>
      <c r="F799">
        <v>2</v>
      </c>
      <c r="G799" s="8">
        <f>Lektionen[[#This Row],[Bearbeitungsdauer_real]]/Lektionen[[#This Row],[Bearbeitungsdauer_geschätzt]]-1</f>
        <v>-0.6</v>
      </c>
      <c r="H799" s="8" t="str" cm="1">
        <f t="array" ref="H799">_xlfn.IFS(Lektionen[[#This Row],[Bearbeitungsdauer_abgewichen]]&gt;0.6,"viel länger",Lektionen[[#This Row],[Bearbeitungsdauer_abgewichen]]&gt;0.3,"länger",Lektionen[[#This Row],[Bearbeitungsdauer_abgewichen]]&lt;-0.3,"kürzer",TRUE,"keine Abweichung")</f>
        <v>kürzer</v>
      </c>
      <c r="I799">
        <v>1</v>
      </c>
    </row>
    <row r="800" spans="1:9" hidden="1" x14ac:dyDescent="0.3">
      <c r="A800" s="13">
        <v>117</v>
      </c>
      <c r="B800" s="4">
        <v>7</v>
      </c>
      <c r="C800" t="s">
        <v>535</v>
      </c>
      <c r="D800" t="s">
        <v>536</v>
      </c>
      <c r="E800">
        <v>10</v>
      </c>
      <c r="F800">
        <v>9</v>
      </c>
      <c r="G800" s="8">
        <f>Lektionen[[#This Row],[Bearbeitungsdauer_real]]/Lektionen[[#This Row],[Bearbeitungsdauer_geschätzt]]-1</f>
        <v>-9.9999999999999978E-2</v>
      </c>
      <c r="H800" s="8" t="str" cm="1">
        <f t="array" ref="H800">_xlfn.IFS(Lektionen[[#This Row],[Bearbeitungsdauer_abgewichen]]&gt;0.6,"viel länger",Lektionen[[#This Row],[Bearbeitungsdauer_abgewichen]]&gt;0.3,"länger",Lektionen[[#This Row],[Bearbeitungsdauer_abgewichen]]&lt;-0.3,"kürzer",TRUE,"keine Abweichung")</f>
        <v>keine Abweichung</v>
      </c>
      <c r="I800">
        <v>3</v>
      </c>
    </row>
    <row r="801" spans="1:9" hidden="1" x14ac:dyDescent="0.3">
      <c r="A801" s="13">
        <v>117</v>
      </c>
      <c r="B801" s="4">
        <v>8</v>
      </c>
      <c r="C801" t="s">
        <v>537</v>
      </c>
      <c r="D801" t="s">
        <v>527</v>
      </c>
      <c r="E801">
        <v>5</v>
      </c>
      <c r="F801">
        <v>5</v>
      </c>
      <c r="G801" s="8">
        <f>Lektionen[[#This Row],[Bearbeitungsdauer_real]]/Lektionen[[#This Row],[Bearbeitungsdauer_geschätzt]]-1</f>
        <v>0</v>
      </c>
      <c r="H801" s="8" t="str" cm="1">
        <f t="array" ref="H801">_xlfn.IFS(Lektionen[[#This Row],[Bearbeitungsdauer_abgewichen]]&gt;0.6,"viel länger",Lektionen[[#This Row],[Bearbeitungsdauer_abgewichen]]&gt;0.3,"länger",Lektionen[[#This Row],[Bearbeitungsdauer_abgewichen]]&lt;-0.3,"kürzer",TRUE,"keine Abweichung")</f>
        <v>keine Abweichung</v>
      </c>
      <c r="I801">
        <v>1</v>
      </c>
    </row>
    <row r="802" spans="1:9" hidden="1" x14ac:dyDescent="0.3">
      <c r="A802" s="13">
        <v>119</v>
      </c>
      <c r="B802" s="4">
        <v>1</v>
      </c>
      <c r="C802" t="s">
        <v>526</v>
      </c>
      <c r="D802" t="s">
        <v>527</v>
      </c>
      <c r="E802">
        <v>4</v>
      </c>
      <c r="F802">
        <v>4</v>
      </c>
      <c r="G802" s="8">
        <f>Lektionen[[#This Row],[Bearbeitungsdauer_real]]/Lektionen[[#This Row],[Bearbeitungsdauer_geschätzt]]-1</f>
        <v>0</v>
      </c>
      <c r="H802" s="8" t="str" cm="1">
        <f t="array" ref="H802">_xlfn.IFS(Lektionen[[#This Row],[Bearbeitungsdauer_abgewichen]]&gt;0.6,"viel länger",Lektionen[[#This Row],[Bearbeitungsdauer_abgewichen]]&gt;0.3,"länger",Lektionen[[#This Row],[Bearbeitungsdauer_abgewichen]]&lt;-0.3,"kürzer",TRUE,"keine Abweichung")</f>
        <v>keine Abweichung</v>
      </c>
      <c r="I802">
        <v>1</v>
      </c>
    </row>
    <row r="803" spans="1:9" hidden="1" x14ac:dyDescent="0.3">
      <c r="A803" s="13">
        <v>119</v>
      </c>
      <c r="B803" s="4">
        <v>2</v>
      </c>
      <c r="C803" t="s">
        <v>528</v>
      </c>
      <c r="D803" t="s">
        <v>529</v>
      </c>
      <c r="E803">
        <v>15</v>
      </c>
      <c r="F803">
        <v>17</v>
      </c>
      <c r="G803" s="8">
        <f>Lektionen[[#This Row],[Bearbeitungsdauer_real]]/Lektionen[[#This Row],[Bearbeitungsdauer_geschätzt]]-1</f>
        <v>0.1333333333333333</v>
      </c>
      <c r="H803" s="8" t="str" cm="1">
        <f t="array" ref="H803">_xlfn.IFS(Lektionen[[#This Row],[Bearbeitungsdauer_abgewichen]]&gt;0.6,"viel länger",Lektionen[[#This Row],[Bearbeitungsdauer_abgewichen]]&gt;0.3,"länger",Lektionen[[#This Row],[Bearbeitungsdauer_abgewichen]]&lt;-0.3,"kürzer",TRUE,"keine Abweichung")</f>
        <v>keine Abweichung</v>
      </c>
      <c r="I803">
        <v>1</v>
      </c>
    </row>
    <row r="804" spans="1:9" hidden="1" x14ac:dyDescent="0.3">
      <c r="A804" s="13">
        <v>119</v>
      </c>
      <c r="B804" s="4">
        <v>3</v>
      </c>
      <c r="C804" t="s">
        <v>552</v>
      </c>
      <c r="D804" t="s">
        <v>530</v>
      </c>
      <c r="E804">
        <v>30</v>
      </c>
      <c r="F804">
        <v>29</v>
      </c>
      <c r="G804" s="8">
        <f>Lektionen[[#This Row],[Bearbeitungsdauer_real]]/Lektionen[[#This Row],[Bearbeitungsdauer_geschätzt]]-1</f>
        <v>-3.3333333333333326E-2</v>
      </c>
      <c r="H804" s="8" t="str" cm="1">
        <f t="array" ref="H804">_xlfn.IFS(Lektionen[[#This Row],[Bearbeitungsdauer_abgewichen]]&gt;0.6,"viel länger",Lektionen[[#This Row],[Bearbeitungsdauer_abgewichen]]&gt;0.3,"länger",Lektionen[[#This Row],[Bearbeitungsdauer_abgewichen]]&lt;-0.3,"kürzer",TRUE,"keine Abweichung")</f>
        <v>keine Abweichung</v>
      </c>
      <c r="I804">
        <v>3</v>
      </c>
    </row>
    <row r="805" spans="1:9" hidden="1" x14ac:dyDescent="0.3">
      <c r="A805" s="13">
        <v>119</v>
      </c>
      <c r="B805" s="4">
        <v>4</v>
      </c>
      <c r="C805" t="s">
        <v>531</v>
      </c>
      <c r="D805" t="s">
        <v>530</v>
      </c>
      <c r="E805">
        <v>30</v>
      </c>
      <c r="F805">
        <v>31</v>
      </c>
      <c r="G805" s="8">
        <f>Lektionen[[#This Row],[Bearbeitungsdauer_real]]/Lektionen[[#This Row],[Bearbeitungsdauer_geschätzt]]-1</f>
        <v>3.3333333333333437E-2</v>
      </c>
      <c r="H805" s="8" t="str" cm="1">
        <f t="array" ref="H805">_xlfn.IFS(Lektionen[[#This Row],[Bearbeitungsdauer_abgewichen]]&gt;0.6,"viel länger",Lektionen[[#This Row],[Bearbeitungsdauer_abgewichen]]&gt;0.3,"länger",Lektionen[[#This Row],[Bearbeitungsdauer_abgewichen]]&lt;-0.3,"kürzer",TRUE,"keine Abweichung")</f>
        <v>keine Abweichung</v>
      </c>
      <c r="I805">
        <v>3</v>
      </c>
    </row>
    <row r="806" spans="1:9" x14ac:dyDescent="0.3">
      <c r="A806" s="13">
        <v>119</v>
      </c>
      <c r="B806" s="4">
        <v>5</v>
      </c>
      <c r="C806" t="s">
        <v>532</v>
      </c>
      <c r="D806" t="s">
        <v>530</v>
      </c>
      <c r="E806">
        <v>30</v>
      </c>
      <c r="F806">
        <v>55</v>
      </c>
      <c r="G806" s="8">
        <f>Lektionen[[#This Row],[Bearbeitungsdauer_real]]/Lektionen[[#This Row],[Bearbeitungsdauer_geschätzt]]-1</f>
        <v>0.83333333333333326</v>
      </c>
      <c r="H806" s="8" t="str" cm="1">
        <f t="array" ref="H806">_xlfn.IFS(Lektionen[[#This Row],[Bearbeitungsdauer_abgewichen]]&gt;0.6,"viel länger",Lektionen[[#This Row],[Bearbeitungsdauer_abgewichen]]&gt;0.3,"länger",Lektionen[[#This Row],[Bearbeitungsdauer_abgewichen]]&lt;-0.3,"kürzer",TRUE,"keine Abweichung")</f>
        <v>viel länger</v>
      </c>
      <c r="I806">
        <v>4</v>
      </c>
    </row>
    <row r="807" spans="1:9" hidden="1" x14ac:dyDescent="0.3">
      <c r="A807" s="13">
        <v>119</v>
      </c>
      <c r="B807" s="4">
        <v>6</v>
      </c>
      <c r="C807" t="s">
        <v>533</v>
      </c>
      <c r="D807" t="s">
        <v>534</v>
      </c>
      <c r="E807">
        <v>5</v>
      </c>
      <c r="F807">
        <v>2</v>
      </c>
      <c r="G807" s="8">
        <f>Lektionen[[#This Row],[Bearbeitungsdauer_real]]/Lektionen[[#This Row],[Bearbeitungsdauer_geschätzt]]-1</f>
        <v>-0.6</v>
      </c>
      <c r="H807" s="8" t="str" cm="1">
        <f t="array" ref="H807">_xlfn.IFS(Lektionen[[#This Row],[Bearbeitungsdauer_abgewichen]]&gt;0.6,"viel länger",Lektionen[[#This Row],[Bearbeitungsdauer_abgewichen]]&gt;0.3,"länger",Lektionen[[#This Row],[Bearbeitungsdauer_abgewichen]]&lt;-0.3,"kürzer",TRUE,"keine Abweichung")</f>
        <v>kürzer</v>
      </c>
      <c r="I807">
        <v>3</v>
      </c>
    </row>
    <row r="808" spans="1:9" hidden="1" x14ac:dyDescent="0.3">
      <c r="A808" s="13">
        <v>119</v>
      </c>
      <c r="B808" s="4">
        <v>7</v>
      </c>
      <c r="C808" t="s">
        <v>535</v>
      </c>
      <c r="D808" t="s">
        <v>536</v>
      </c>
      <c r="E808">
        <v>10</v>
      </c>
      <c r="F808">
        <v>9</v>
      </c>
      <c r="G808" s="8">
        <f>Lektionen[[#This Row],[Bearbeitungsdauer_real]]/Lektionen[[#This Row],[Bearbeitungsdauer_geschätzt]]-1</f>
        <v>-9.9999999999999978E-2</v>
      </c>
      <c r="H808" s="8" t="str" cm="1">
        <f t="array" ref="H808">_xlfn.IFS(Lektionen[[#This Row],[Bearbeitungsdauer_abgewichen]]&gt;0.6,"viel länger",Lektionen[[#This Row],[Bearbeitungsdauer_abgewichen]]&gt;0.3,"länger",Lektionen[[#This Row],[Bearbeitungsdauer_abgewichen]]&lt;-0.3,"kürzer",TRUE,"keine Abweichung")</f>
        <v>keine Abweichung</v>
      </c>
      <c r="I808">
        <v>4</v>
      </c>
    </row>
    <row r="809" spans="1:9" hidden="1" x14ac:dyDescent="0.3">
      <c r="A809" s="13">
        <v>119</v>
      </c>
      <c r="B809" s="4">
        <v>8</v>
      </c>
      <c r="C809" t="s">
        <v>537</v>
      </c>
      <c r="D809" t="s">
        <v>527</v>
      </c>
      <c r="E809">
        <v>5</v>
      </c>
      <c r="F809">
        <v>6</v>
      </c>
      <c r="G809" s="8">
        <f>Lektionen[[#This Row],[Bearbeitungsdauer_real]]/Lektionen[[#This Row],[Bearbeitungsdauer_geschätzt]]-1</f>
        <v>0.19999999999999996</v>
      </c>
      <c r="H809" s="8" t="str" cm="1">
        <f t="array" ref="H809">_xlfn.IFS(Lektionen[[#This Row],[Bearbeitungsdauer_abgewichen]]&gt;0.6,"viel länger",Lektionen[[#This Row],[Bearbeitungsdauer_abgewichen]]&gt;0.3,"länger",Lektionen[[#This Row],[Bearbeitungsdauer_abgewichen]]&lt;-0.3,"kürzer",TRUE,"keine Abweichung")</f>
        <v>keine Abweichung</v>
      </c>
      <c r="I809">
        <v>1</v>
      </c>
    </row>
    <row r="810" spans="1:9" hidden="1" x14ac:dyDescent="0.3">
      <c r="A810" s="13">
        <v>120</v>
      </c>
      <c r="B810" s="4">
        <v>1</v>
      </c>
      <c r="C810" t="s">
        <v>526</v>
      </c>
      <c r="D810" t="s">
        <v>527</v>
      </c>
      <c r="E810">
        <v>4</v>
      </c>
      <c r="F810">
        <v>7</v>
      </c>
      <c r="G810" s="8">
        <f>Lektionen[[#This Row],[Bearbeitungsdauer_real]]/Lektionen[[#This Row],[Bearbeitungsdauer_geschätzt]]-1</f>
        <v>0.75</v>
      </c>
      <c r="H810" s="8" t="str" cm="1">
        <f t="array" ref="H810">_xlfn.IFS(Lektionen[[#This Row],[Bearbeitungsdauer_abgewichen]]&gt;0.6,"viel länger",Lektionen[[#This Row],[Bearbeitungsdauer_abgewichen]]&gt;0.3,"länger",Lektionen[[#This Row],[Bearbeitungsdauer_abgewichen]]&lt;-0.3,"kürzer",TRUE,"keine Abweichung")</f>
        <v>viel länger</v>
      </c>
      <c r="I810">
        <v>1</v>
      </c>
    </row>
    <row r="811" spans="1:9" hidden="1" x14ac:dyDescent="0.3">
      <c r="A811" s="13">
        <v>120</v>
      </c>
      <c r="B811" s="4">
        <v>2</v>
      </c>
      <c r="C811" t="s">
        <v>528</v>
      </c>
      <c r="D811" t="s">
        <v>529</v>
      </c>
      <c r="E811">
        <v>15</v>
      </c>
      <c r="F811">
        <v>18</v>
      </c>
      <c r="G811" s="8">
        <f>Lektionen[[#This Row],[Bearbeitungsdauer_real]]/Lektionen[[#This Row],[Bearbeitungsdauer_geschätzt]]-1</f>
        <v>0.19999999999999996</v>
      </c>
      <c r="H811" s="8" t="str" cm="1">
        <f t="array" ref="H811">_xlfn.IFS(Lektionen[[#This Row],[Bearbeitungsdauer_abgewichen]]&gt;0.6,"viel länger",Lektionen[[#This Row],[Bearbeitungsdauer_abgewichen]]&gt;0.3,"länger",Lektionen[[#This Row],[Bearbeitungsdauer_abgewichen]]&lt;-0.3,"kürzer",TRUE,"keine Abweichung")</f>
        <v>keine Abweichung</v>
      </c>
      <c r="I811">
        <v>2</v>
      </c>
    </row>
    <row r="812" spans="1:9" hidden="1" x14ac:dyDescent="0.3">
      <c r="A812" s="13">
        <v>120</v>
      </c>
      <c r="B812" s="4">
        <v>3</v>
      </c>
      <c r="C812" t="s">
        <v>552</v>
      </c>
      <c r="D812" t="s">
        <v>530</v>
      </c>
      <c r="E812">
        <v>30</v>
      </c>
      <c r="F812">
        <v>27</v>
      </c>
      <c r="G812" s="8">
        <f>Lektionen[[#This Row],[Bearbeitungsdauer_real]]/Lektionen[[#This Row],[Bearbeitungsdauer_geschätzt]]-1</f>
        <v>-9.9999999999999978E-2</v>
      </c>
      <c r="H812" s="8" t="str" cm="1">
        <f t="array" ref="H812">_xlfn.IFS(Lektionen[[#This Row],[Bearbeitungsdauer_abgewichen]]&gt;0.6,"viel länger",Lektionen[[#This Row],[Bearbeitungsdauer_abgewichen]]&gt;0.3,"länger",Lektionen[[#This Row],[Bearbeitungsdauer_abgewichen]]&lt;-0.3,"kürzer",TRUE,"keine Abweichung")</f>
        <v>keine Abweichung</v>
      </c>
      <c r="I812">
        <v>3</v>
      </c>
    </row>
    <row r="813" spans="1:9" hidden="1" x14ac:dyDescent="0.3">
      <c r="A813" s="13">
        <v>120</v>
      </c>
      <c r="B813" s="4">
        <v>4</v>
      </c>
      <c r="C813" t="s">
        <v>531</v>
      </c>
      <c r="D813" t="s">
        <v>530</v>
      </c>
      <c r="E813">
        <v>30</v>
      </c>
      <c r="F813">
        <v>26</v>
      </c>
      <c r="G813" s="8">
        <f>Lektionen[[#This Row],[Bearbeitungsdauer_real]]/Lektionen[[#This Row],[Bearbeitungsdauer_geschätzt]]-1</f>
        <v>-0.1333333333333333</v>
      </c>
      <c r="H813" s="8" t="str" cm="1">
        <f t="array" ref="H813">_xlfn.IFS(Lektionen[[#This Row],[Bearbeitungsdauer_abgewichen]]&gt;0.6,"viel länger",Lektionen[[#This Row],[Bearbeitungsdauer_abgewichen]]&gt;0.3,"länger",Lektionen[[#This Row],[Bearbeitungsdauer_abgewichen]]&lt;-0.3,"kürzer",TRUE,"keine Abweichung")</f>
        <v>keine Abweichung</v>
      </c>
      <c r="I813">
        <v>2</v>
      </c>
    </row>
    <row r="814" spans="1:9" x14ac:dyDescent="0.3">
      <c r="A814" s="13">
        <v>120</v>
      </c>
      <c r="B814" s="4">
        <v>5</v>
      </c>
      <c r="C814" t="s">
        <v>532</v>
      </c>
      <c r="D814" t="s">
        <v>530</v>
      </c>
      <c r="E814">
        <v>30</v>
      </c>
      <c r="F814">
        <v>46</v>
      </c>
      <c r="G814" s="8">
        <f>Lektionen[[#This Row],[Bearbeitungsdauer_real]]/Lektionen[[#This Row],[Bearbeitungsdauer_geschätzt]]-1</f>
        <v>0.53333333333333344</v>
      </c>
      <c r="H814" s="8" t="str" cm="1">
        <f t="array" ref="H814">_xlfn.IFS(Lektionen[[#This Row],[Bearbeitungsdauer_abgewichen]]&gt;0.6,"viel länger",Lektionen[[#This Row],[Bearbeitungsdauer_abgewichen]]&gt;0.3,"länger",Lektionen[[#This Row],[Bearbeitungsdauer_abgewichen]]&lt;-0.3,"kürzer",TRUE,"keine Abweichung")</f>
        <v>länger</v>
      </c>
      <c r="I814">
        <v>4</v>
      </c>
    </row>
    <row r="815" spans="1:9" hidden="1" x14ac:dyDescent="0.3">
      <c r="A815" s="13">
        <v>120</v>
      </c>
      <c r="B815" s="4">
        <v>6</v>
      </c>
      <c r="C815" t="s">
        <v>533</v>
      </c>
      <c r="D815" t="s">
        <v>534</v>
      </c>
      <c r="E815">
        <v>5</v>
      </c>
      <c r="F815">
        <v>1</v>
      </c>
      <c r="G815" s="8">
        <f>Lektionen[[#This Row],[Bearbeitungsdauer_real]]/Lektionen[[#This Row],[Bearbeitungsdauer_geschätzt]]-1</f>
        <v>-0.8</v>
      </c>
      <c r="H815" s="8" t="str" cm="1">
        <f t="array" ref="H815">_xlfn.IFS(Lektionen[[#This Row],[Bearbeitungsdauer_abgewichen]]&gt;0.6,"viel länger",Lektionen[[#This Row],[Bearbeitungsdauer_abgewichen]]&gt;0.3,"länger",Lektionen[[#This Row],[Bearbeitungsdauer_abgewichen]]&lt;-0.3,"kürzer",TRUE,"keine Abweichung")</f>
        <v>kürzer</v>
      </c>
      <c r="I815">
        <v>2</v>
      </c>
    </row>
    <row r="816" spans="1:9" hidden="1" x14ac:dyDescent="0.3">
      <c r="A816" s="13">
        <v>120</v>
      </c>
      <c r="B816" s="4">
        <v>7</v>
      </c>
      <c r="C816" t="s">
        <v>535</v>
      </c>
      <c r="D816" t="s">
        <v>536</v>
      </c>
      <c r="E816">
        <v>10</v>
      </c>
      <c r="F816">
        <v>10</v>
      </c>
      <c r="G816" s="8">
        <f>Lektionen[[#This Row],[Bearbeitungsdauer_real]]/Lektionen[[#This Row],[Bearbeitungsdauer_geschätzt]]-1</f>
        <v>0</v>
      </c>
      <c r="H816" s="8" t="str" cm="1">
        <f t="array" ref="H816">_xlfn.IFS(Lektionen[[#This Row],[Bearbeitungsdauer_abgewichen]]&gt;0.6,"viel länger",Lektionen[[#This Row],[Bearbeitungsdauer_abgewichen]]&gt;0.3,"länger",Lektionen[[#This Row],[Bearbeitungsdauer_abgewichen]]&lt;-0.3,"kürzer",TRUE,"keine Abweichung")</f>
        <v>keine Abweichung</v>
      </c>
      <c r="I816">
        <v>3</v>
      </c>
    </row>
    <row r="817" spans="1:9" hidden="1" x14ac:dyDescent="0.3">
      <c r="A817" s="13">
        <v>120</v>
      </c>
      <c r="B817" s="4">
        <v>8</v>
      </c>
      <c r="C817" t="s">
        <v>537</v>
      </c>
      <c r="D817" t="s">
        <v>527</v>
      </c>
      <c r="E817">
        <v>5</v>
      </c>
      <c r="F817">
        <v>7</v>
      </c>
      <c r="G817" s="8">
        <f>Lektionen[[#This Row],[Bearbeitungsdauer_real]]/Lektionen[[#This Row],[Bearbeitungsdauer_geschätzt]]-1</f>
        <v>0.39999999999999991</v>
      </c>
      <c r="H817" s="8" t="str" cm="1">
        <f t="array" ref="H817">_xlfn.IFS(Lektionen[[#This Row],[Bearbeitungsdauer_abgewichen]]&gt;0.6,"viel länger",Lektionen[[#This Row],[Bearbeitungsdauer_abgewichen]]&gt;0.3,"länger",Lektionen[[#This Row],[Bearbeitungsdauer_abgewichen]]&lt;-0.3,"kürzer",TRUE,"keine Abweichung")</f>
        <v>länger</v>
      </c>
      <c r="I817">
        <v>1</v>
      </c>
    </row>
    <row r="818" spans="1:9" hidden="1" x14ac:dyDescent="0.3">
      <c r="A818" s="13">
        <v>121</v>
      </c>
      <c r="B818" s="4">
        <v>1</v>
      </c>
      <c r="C818" t="s">
        <v>526</v>
      </c>
      <c r="D818" t="s">
        <v>527</v>
      </c>
      <c r="E818">
        <v>4</v>
      </c>
      <c r="F818">
        <v>4</v>
      </c>
      <c r="G818" s="8">
        <f>Lektionen[[#This Row],[Bearbeitungsdauer_real]]/Lektionen[[#This Row],[Bearbeitungsdauer_geschätzt]]-1</f>
        <v>0</v>
      </c>
      <c r="H818" s="8" t="str" cm="1">
        <f t="array" ref="H818">_xlfn.IFS(Lektionen[[#This Row],[Bearbeitungsdauer_abgewichen]]&gt;0.6,"viel länger",Lektionen[[#This Row],[Bearbeitungsdauer_abgewichen]]&gt;0.3,"länger",Lektionen[[#This Row],[Bearbeitungsdauer_abgewichen]]&lt;-0.3,"kürzer",TRUE,"keine Abweichung")</f>
        <v>keine Abweichung</v>
      </c>
      <c r="I818">
        <v>1</v>
      </c>
    </row>
    <row r="819" spans="1:9" hidden="1" x14ac:dyDescent="0.3">
      <c r="A819" s="13">
        <v>121</v>
      </c>
      <c r="B819" s="4">
        <v>2</v>
      </c>
      <c r="C819" t="s">
        <v>528</v>
      </c>
      <c r="D819" t="s">
        <v>529</v>
      </c>
      <c r="E819">
        <v>15</v>
      </c>
      <c r="F819">
        <v>20</v>
      </c>
      <c r="G819" s="8">
        <f>Lektionen[[#This Row],[Bearbeitungsdauer_real]]/Lektionen[[#This Row],[Bearbeitungsdauer_geschätzt]]-1</f>
        <v>0.33333333333333326</v>
      </c>
      <c r="H819" s="8" t="str" cm="1">
        <f t="array" ref="H819">_xlfn.IFS(Lektionen[[#This Row],[Bearbeitungsdauer_abgewichen]]&gt;0.6,"viel länger",Lektionen[[#This Row],[Bearbeitungsdauer_abgewichen]]&gt;0.3,"länger",Lektionen[[#This Row],[Bearbeitungsdauer_abgewichen]]&lt;-0.3,"kürzer",TRUE,"keine Abweichung")</f>
        <v>länger</v>
      </c>
      <c r="I819">
        <v>1</v>
      </c>
    </row>
    <row r="820" spans="1:9" hidden="1" x14ac:dyDescent="0.3">
      <c r="A820" s="13">
        <v>121</v>
      </c>
      <c r="B820" s="4">
        <v>3</v>
      </c>
      <c r="C820" t="s">
        <v>552</v>
      </c>
      <c r="D820" t="s">
        <v>530</v>
      </c>
      <c r="E820">
        <v>30</v>
      </c>
      <c r="F820">
        <v>30</v>
      </c>
      <c r="G820" s="8">
        <f>Lektionen[[#This Row],[Bearbeitungsdauer_real]]/Lektionen[[#This Row],[Bearbeitungsdauer_geschätzt]]-1</f>
        <v>0</v>
      </c>
      <c r="H820" s="8" t="str" cm="1">
        <f t="array" ref="H820">_xlfn.IFS(Lektionen[[#This Row],[Bearbeitungsdauer_abgewichen]]&gt;0.6,"viel länger",Lektionen[[#This Row],[Bearbeitungsdauer_abgewichen]]&gt;0.3,"länger",Lektionen[[#This Row],[Bearbeitungsdauer_abgewichen]]&lt;-0.3,"kürzer",TRUE,"keine Abweichung")</f>
        <v>keine Abweichung</v>
      </c>
      <c r="I820">
        <v>2</v>
      </c>
    </row>
    <row r="821" spans="1:9" hidden="1" x14ac:dyDescent="0.3">
      <c r="A821" s="13">
        <v>121</v>
      </c>
      <c r="B821" s="4">
        <v>4</v>
      </c>
      <c r="C821" t="s">
        <v>531</v>
      </c>
      <c r="D821" t="s">
        <v>530</v>
      </c>
      <c r="E821">
        <v>30</v>
      </c>
      <c r="F821">
        <v>27</v>
      </c>
      <c r="G821" s="8">
        <f>Lektionen[[#This Row],[Bearbeitungsdauer_real]]/Lektionen[[#This Row],[Bearbeitungsdauer_geschätzt]]-1</f>
        <v>-9.9999999999999978E-2</v>
      </c>
      <c r="H821" s="8" t="str" cm="1">
        <f t="array" ref="H821">_xlfn.IFS(Lektionen[[#This Row],[Bearbeitungsdauer_abgewichen]]&gt;0.6,"viel länger",Lektionen[[#This Row],[Bearbeitungsdauer_abgewichen]]&gt;0.3,"länger",Lektionen[[#This Row],[Bearbeitungsdauer_abgewichen]]&lt;-0.3,"kürzer",TRUE,"keine Abweichung")</f>
        <v>keine Abweichung</v>
      </c>
      <c r="I821">
        <v>3</v>
      </c>
    </row>
    <row r="822" spans="1:9" x14ac:dyDescent="0.3">
      <c r="A822" s="13">
        <v>121</v>
      </c>
      <c r="B822" s="4">
        <v>5</v>
      </c>
      <c r="C822" t="s">
        <v>532</v>
      </c>
      <c r="D822" t="s">
        <v>530</v>
      </c>
      <c r="E822">
        <v>30</v>
      </c>
      <c r="F822">
        <v>45</v>
      </c>
      <c r="G822" s="8">
        <f>Lektionen[[#This Row],[Bearbeitungsdauer_real]]/Lektionen[[#This Row],[Bearbeitungsdauer_geschätzt]]-1</f>
        <v>0.5</v>
      </c>
      <c r="H822" s="8" t="str" cm="1">
        <f t="array" ref="H822">_xlfn.IFS(Lektionen[[#This Row],[Bearbeitungsdauer_abgewichen]]&gt;0.6,"viel länger",Lektionen[[#This Row],[Bearbeitungsdauer_abgewichen]]&gt;0.3,"länger",Lektionen[[#This Row],[Bearbeitungsdauer_abgewichen]]&lt;-0.3,"kürzer",TRUE,"keine Abweichung")</f>
        <v>länger</v>
      </c>
      <c r="I822">
        <v>3</v>
      </c>
    </row>
    <row r="823" spans="1:9" hidden="1" x14ac:dyDescent="0.3">
      <c r="A823" s="13">
        <v>121</v>
      </c>
      <c r="B823" s="4">
        <v>6</v>
      </c>
      <c r="C823" t="s">
        <v>533</v>
      </c>
      <c r="D823" t="s">
        <v>534</v>
      </c>
      <c r="E823">
        <v>5</v>
      </c>
      <c r="F823">
        <v>2</v>
      </c>
      <c r="G823" s="8">
        <f>Lektionen[[#This Row],[Bearbeitungsdauer_real]]/Lektionen[[#This Row],[Bearbeitungsdauer_geschätzt]]-1</f>
        <v>-0.6</v>
      </c>
      <c r="H823" s="8" t="str" cm="1">
        <f t="array" ref="H823">_xlfn.IFS(Lektionen[[#This Row],[Bearbeitungsdauer_abgewichen]]&gt;0.6,"viel länger",Lektionen[[#This Row],[Bearbeitungsdauer_abgewichen]]&gt;0.3,"länger",Lektionen[[#This Row],[Bearbeitungsdauer_abgewichen]]&lt;-0.3,"kürzer",TRUE,"keine Abweichung")</f>
        <v>kürzer</v>
      </c>
      <c r="I823">
        <v>2</v>
      </c>
    </row>
    <row r="824" spans="1:9" hidden="1" x14ac:dyDescent="0.3">
      <c r="A824" s="13">
        <v>121</v>
      </c>
      <c r="B824" s="4">
        <v>7</v>
      </c>
      <c r="C824" t="s">
        <v>535</v>
      </c>
      <c r="D824" t="s">
        <v>536</v>
      </c>
      <c r="E824">
        <v>10</v>
      </c>
      <c r="F824">
        <v>9</v>
      </c>
      <c r="G824" s="8">
        <f>Lektionen[[#This Row],[Bearbeitungsdauer_real]]/Lektionen[[#This Row],[Bearbeitungsdauer_geschätzt]]-1</f>
        <v>-9.9999999999999978E-2</v>
      </c>
      <c r="H824" s="8" t="str" cm="1">
        <f t="array" ref="H824">_xlfn.IFS(Lektionen[[#This Row],[Bearbeitungsdauer_abgewichen]]&gt;0.6,"viel länger",Lektionen[[#This Row],[Bearbeitungsdauer_abgewichen]]&gt;0.3,"länger",Lektionen[[#This Row],[Bearbeitungsdauer_abgewichen]]&lt;-0.3,"kürzer",TRUE,"keine Abweichung")</f>
        <v>keine Abweichung</v>
      </c>
      <c r="I824">
        <v>3</v>
      </c>
    </row>
    <row r="825" spans="1:9" hidden="1" x14ac:dyDescent="0.3">
      <c r="A825" s="13">
        <v>121</v>
      </c>
      <c r="B825" s="4">
        <v>8</v>
      </c>
      <c r="C825" t="s">
        <v>537</v>
      </c>
      <c r="D825" t="s">
        <v>527</v>
      </c>
      <c r="E825">
        <v>5</v>
      </c>
      <c r="F825">
        <v>5</v>
      </c>
      <c r="G825" s="8">
        <f>Lektionen[[#This Row],[Bearbeitungsdauer_real]]/Lektionen[[#This Row],[Bearbeitungsdauer_geschätzt]]-1</f>
        <v>0</v>
      </c>
      <c r="H825" s="8" t="str" cm="1">
        <f t="array" ref="H825">_xlfn.IFS(Lektionen[[#This Row],[Bearbeitungsdauer_abgewichen]]&gt;0.6,"viel länger",Lektionen[[#This Row],[Bearbeitungsdauer_abgewichen]]&gt;0.3,"länger",Lektionen[[#This Row],[Bearbeitungsdauer_abgewichen]]&lt;-0.3,"kürzer",TRUE,"keine Abweichung")</f>
        <v>keine Abweichung</v>
      </c>
      <c r="I825">
        <v>1</v>
      </c>
    </row>
    <row r="826" spans="1:9" hidden="1" x14ac:dyDescent="0.3">
      <c r="A826" s="13">
        <v>123</v>
      </c>
      <c r="B826" s="4">
        <v>1</v>
      </c>
      <c r="C826" t="s">
        <v>526</v>
      </c>
      <c r="D826" t="s">
        <v>527</v>
      </c>
      <c r="E826">
        <v>4</v>
      </c>
      <c r="F826">
        <v>5</v>
      </c>
      <c r="G826" s="8">
        <f>Lektionen[[#This Row],[Bearbeitungsdauer_real]]/Lektionen[[#This Row],[Bearbeitungsdauer_geschätzt]]-1</f>
        <v>0.25</v>
      </c>
      <c r="H826" s="8" t="str" cm="1">
        <f t="array" ref="H826">_xlfn.IFS(Lektionen[[#This Row],[Bearbeitungsdauer_abgewichen]]&gt;0.6,"viel länger",Lektionen[[#This Row],[Bearbeitungsdauer_abgewichen]]&gt;0.3,"länger",Lektionen[[#This Row],[Bearbeitungsdauer_abgewichen]]&lt;-0.3,"kürzer",TRUE,"keine Abweichung")</f>
        <v>keine Abweichung</v>
      </c>
      <c r="I826">
        <v>1</v>
      </c>
    </row>
    <row r="827" spans="1:9" hidden="1" x14ac:dyDescent="0.3">
      <c r="A827" s="13">
        <v>123</v>
      </c>
      <c r="B827" s="4">
        <v>2</v>
      </c>
      <c r="C827" t="s">
        <v>528</v>
      </c>
      <c r="D827" t="s">
        <v>529</v>
      </c>
      <c r="E827">
        <v>15</v>
      </c>
      <c r="F827">
        <v>19</v>
      </c>
      <c r="G827" s="8">
        <f>Lektionen[[#This Row],[Bearbeitungsdauer_real]]/Lektionen[[#This Row],[Bearbeitungsdauer_geschätzt]]-1</f>
        <v>0.26666666666666661</v>
      </c>
      <c r="H827" s="8" t="str" cm="1">
        <f t="array" ref="H827">_xlfn.IFS(Lektionen[[#This Row],[Bearbeitungsdauer_abgewichen]]&gt;0.6,"viel länger",Lektionen[[#This Row],[Bearbeitungsdauer_abgewichen]]&gt;0.3,"länger",Lektionen[[#This Row],[Bearbeitungsdauer_abgewichen]]&lt;-0.3,"kürzer",TRUE,"keine Abweichung")</f>
        <v>keine Abweichung</v>
      </c>
      <c r="I827">
        <v>2</v>
      </c>
    </row>
    <row r="828" spans="1:9" hidden="1" x14ac:dyDescent="0.3">
      <c r="A828" s="13">
        <v>123</v>
      </c>
      <c r="B828" s="4">
        <v>3</v>
      </c>
      <c r="C828" t="s">
        <v>552</v>
      </c>
      <c r="D828" t="s">
        <v>530</v>
      </c>
      <c r="E828">
        <v>30</v>
      </c>
      <c r="F828">
        <v>38</v>
      </c>
      <c r="G828" s="8">
        <f>Lektionen[[#This Row],[Bearbeitungsdauer_real]]/Lektionen[[#This Row],[Bearbeitungsdauer_geschätzt]]-1</f>
        <v>0.26666666666666661</v>
      </c>
      <c r="H828" s="8" t="str" cm="1">
        <f t="array" ref="H828">_xlfn.IFS(Lektionen[[#This Row],[Bearbeitungsdauer_abgewichen]]&gt;0.6,"viel länger",Lektionen[[#This Row],[Bearbeitungsdauer_abgewichen]]&gt;0.3,"länger",Lektionen[[#This Row],[Bearbeitungsdauer_abgewichen]]&lt;-0.3,"kürzer",TRUE,"keine Abweichung")</f>
        <v>keine Abweichung</v>
      </c>
      <c r="I828">
        <v>3</v>
      </c>
    </row>
    <row r="829" spans="1:9" hidden="1" x14ac:dyDescent="0.3">
      <c r="A829" s="13">
        <v>123</v>
      </c>
      <c r="B829" s="4">
        <v>4</v>
      </c>
      <c r="C829" t="s">
        <v>531</v>
      </c>
      <c r="D829" t="s">
        <v>530</v>
      </c>
      <c r="E829">
        <v>30</v>
      </c>
      <c r="F829">
        <v>29</v>
      </c>
      <c r="G829" s="8">
        <f>Lektionen[[#This Row],[Bearbeitungsdauer_real]]/Lektionen[[#This Row],[Bearbeitungsdauer_geschätzt]]-1</f>
        <v>-3.3333333333333326E-2</v>
      </c>
      <c r="H829" s="8" t="str" cm="1">
        <f t="array" ref="H829">_xlfn.IFS(Lektionen[[#This Row],[Bearbeitungsdauer_abgewichen]]&gt;0.6,"viel länger",Lektionen[[#This Row],[Bearbeitungsdauer_abgewichen]]&gt;0.3,"länger",Lektionen[[#This Row],[Bearbeitungsdauer_abgewichen]]&lt;-0.3,"kürzer",TRUE,"keine Abweichung")</f>
        <v>keine Abweichung</v>
      </c>
      <c r="I829">
        <v>4</v>
      </c>
    </row>
    <row r="830" spans="1:9" x14ac:dyDescent="0.3">
      <c r="A830" s="13">
        <v>123</v>
      </c>
      <c r="B830" s="4">
        <v>5</v>
      </c>
      <c r="C830" t="s">
        <v>532</v>
      </c>
      <c r="D830" t="s">
        <v>530</v>
      </c>
      <c r="E830">
        <v>30</v>
      </c>
      <c r="F830">
        <v>50</v>
      </c>
      <c r="G830" s="8">
        <f>Lektionen[[#This Row],[Bearbeitungsdauer_real]]/Lektionen[[#This Row],[Bearbeitungsdauer_geschätzt]]-1</f>
        <v>0.66666666666666674</v>
      </c>
      <c r="H830" s="8" t="str" cm="1">
        <f t="array" ref="H830">_xlfn.IFS(Lektionen[[#This Row],[Bearbeitungsdauer_abgewichen]]&gt;0.6,"viel länger",Lektionen[[#This Row],[Bearbeitungsdauer_abgewichen]]&gt;0.3,"länger",Lektionen[[#This Row],[Bearbeitungsdauer_abgewichen]]&lt;-0.3,"kürzer",TRUE,"keine Abweichung")</f>
        <v>viel länger</v>
      </c>
      <c r="I830">
        <v>4</v>
      </c>
    </row>
    <row r="831" spans="1:9" hidden="1" x14ac:dyDescent="0.3">
      <c r="A831" s="13">
        <v>123</v>
      </c>
      <c r="B831" s="4">
        <v>6</v>
      </c>
      <c r="C831" t="s">
        <v>533</v>
      </c>
      <c r="D831" t="s">
        <v>534</v>
      </c>
      <c r="E831">
        <v>5</v>
      </c>
      <c r="F831">
        <v>2</v>
      </c>
      <c r="G831" s="8">
        <f>Lektionen[[#This Row],[Bearbeitungsdauer_real]]/Lektionen[[#This Row],[Bearbeitungsdauer_geschätzt]]-1</f>
        <v>-0.6</v>
      </c>
      <c r="H831" s="8" t="str" cm="1">
        <f t="array" ref="H831">_xlfn.IFS(Lektionen[[#This Row],[Bearbeitungsdauer_abgewichen]]&gt;0.6,"viel länger",Lektionen[[#This Row],[Bearbeitungsdauer_abgewichen]]&gt;0.3,"länger",Lektionen[[#This Row],[Bearbeitungsdauer_abgewichen]]&lt;-0.3,"kürzer",TRUE,"keine Abweichung")</f>
        <v>kürzer</v>
      </c>
      <c r="I831">
        <v>2</v>
      </c>
    </row>
    <row r="832" spans="1:9" hidden="1" x14ac:dyDescent="0.3">
      <c r="A832" s="13">
        <v>123</v>
      </c>
      <c r="B832" s="4">
        <v>7</v>
      </c>
      <c r="C832" t="s">
        <v>535</v>
      </c>
      <c r="D832" t="s">
        <v>536</v>
      </c>
      <c r="E832">
        <v>10</v>
      </c>
      <c r="F832">
        <v>8</v>
      </c>
      <c r="G832" s="8">
        <f>Lektionen[[#This Row],[Bearbeitungsdauer_real]]/Lektionen[[#This Row],[Bearbeitungsdauer_geschätzt]]-1</f>
        <v>-0.19999999999999996</v>
      </c>
      <c r="H832" s="8" t="str" cm="1">
        <f t="array" ref="H832">_xlfn.IFS(Lektionen[[#This Row],[Bearbeitungsdauer_abgewichen]]&gt;0.6,"viel länger",Lektionen[[#This Row],[Bearbeitungsdauer_abgewichen]]&gt;0.3,"länger",Lektionen[[#This Row],[Bearbeitungsdauer_abgewichen]]&lt;-0.3,"kürzer",TRUE,"keine Abweichung")</f>
        <v>keine Abweichung</v>
      </c>
      <c r="I832">
        <v>3</v>
      </c>
    </row>
    <row r="833" spans="1:9" hidden="1" x14ac:dyDescent="0.3">
      <c r="A833" s="13">
        <v>123</v>
      </c>
      <c r="B833" s="4">
        <v>8</v>
      </c>
      <c r="C833" t="s">
        <v>537</v>
      </c>
      <c r="D833" t="s">
        <v>527</v>
      </c>
      <c r="E833">
        <v>5</v>
      </c>
      <c r="F833">
        <v>5</v>
      </c>
      <c r="G833" s="8">
        <f>Lektionen[[#This Row],[Bearbeitungsdauer_real]]/Lektionen[[#This Row],[Bearbeitungsdauer_geschätzt]]-1</f>
        <v>0</v>
      </c>
      <c r="H833" s="8" t="str" cm="1">
        <f t="array" ref="H833">_xlfn.IFS(Lektionen[[#This Row],[Bearbeitungsdauer_abgewichen]]&gt;0.6,"viel länger",Lektionen[[#This Row],[Bearbeitungsdauer_abgewichen]]&gt;0.3,"länger",Lektionen[[#This Row],[Bearbeitungsdauer_abgewichen]]&lt;-0.3,"kürzer",TRUE,"keine Abweichung")</f>
        <v>keine Abweichung</v>
      </c>
      <c r="I833">
        <v>1</v>
      </c>
    </row>
    <row r="834" spans="1:9" hidden="1" x14ac:dyDescent="0.3">
      <c r="A834" s="13">
        <v>124</v>
      </c>
      <c r="B834" s="4">
        <v>1</v>
      </c>
      <c r="C834" t="s">
        <v>526</v>
      </c>
      <c r="D834" t="s">
        <v>527</v>
      </c>
      <c r="E834">
        <v>4</v>
      </c>
      <c r="F834">
        <v>4</v>
      </c>
      <c r="G834" s="8">
        <f>Lektionen[[#This Row],[Bearbeitungsdauer_real]]/Lektionen[[#This Row],[Bearbeitungsdauer_geschätzt]]-1</f>
        <v>0</v>
      </c>
      <c r="H834" s="8" t="str" cm="1">
        <f t="array" ref="H834">_xlfn.IFS(Lektionen[[#This Row],[Bearbeitungsdauer_abgewichen]]&gt;0.6,"viel länger",Lektionen[[#This Row],[Bearbeitungsdauer_abgewichen]]&gt;0.3,"länger",Lektionen[[#This Row],[Bearbeitungsdauer_abgewichen]]&lt;-0.3,"kürzer",TRUE,"keine Abweichung")</f>
        <v>keine Abweichung</v>
      </c>
      <c r="I834">
        <v>1</v>
      </c>
    </row>
    <row r="835" spans="1:9" hidden="1" x14ac:dyDescent="0.3">
      <c r="A835" s="13">
        <v>124</v>
      </c>
      <c r="B835" s="4">
        <v>2</v>
      </c>
      <c r="C835" t="s">
        <v>528</v>
      </c>
      <c r="D835" t="s">
        <v>529</v>
      </c>
      <c r="E835">
        <v>15</v>
      </c>
      <c r="F835">
        <v>18</v>
      </c>
      <c r="G835" s="8">
        <f>Lektionen[[#This Row],[Bearbeitungsdauer_real]]/Lektionen[[#This Row],[Bearbeitungsdauer_geschätzt]]-1</f>
        <v>0.19999999999999996</v>
      </c>
      <c r="H835" s="8" t="str" cm="1">
        <f t="array" ref="H835">_xlfn.IFS(Lektionen[[#This Row],[Bearbeitungsdauer_abgewichen]]&gt;0.6,"viel länger",Lektionen[[#This Row],[Bearbeitungsdauer_abgewichen]]&gt;0.3,"länger",Lektionen[[#This Row],[Bearbeitungsdauer_abgewichen]]&lt;-0.3,"kürzer",TRUE,"keine Abweichung")</f>
        <v>keine Abweichung</v>
      </c>
      <c r="I835">
        <v>1</v>
      </c>
    </row>
    <row r="836" spans="1:9" hidden="1" x14ac:dyDescent="0.3">
      <c r="A836" s="13">
        <v>124</v>
      </c>
      <c r="B836" s="4">
        <v>3</v>
      </c>
      <c r="C836" t="s">
        <v>552</v>
      </c>
      <c r="D836" t="s">
        <v>530</v>
      </c>
      <c r="E836">
        <v>30</v>
      </c>
      <c r="F836">
        <v>28</v>
      </c>
      <c r="G836" s="8">
        <f>Lektionen[[#This Row],[Bearbeitungsdauer_real]]/Lektionen[[#This Row],[Bearbeitungsdauer_geschätzt]]-1</f>
        <v>-6.6666666666666652E-2</v>
      </c>
      <c r="H836" s="8" t="str" cm="1">
        <f t="array" ref="H836">_xlfn.IFS(Lektionen[[#This Row],[Bearbeitungsdauer_abgewichen]]&gt;0.6,"viel länger",Lektionen[[#This Row],[Bearbeitungsdauer_abgewichen]]&gt;0.3,"länger",Lektionen[[#This Row],[Bearbeitungsdauer_abgewichen]]&lt;-0.3,"kürzer",TRUE,"keine Abweichung")</f>
        <v>keine Abweichung</v>
      </c>
      <c r="I836">
        <v>2</v>
      </c>
    </row>
    <row r="837" spans="1:9" hidden="1" x14ac:dyDescent="0.3">
      <c r="A837" s="13">
        <v>124</v>
      </c>
      <c r="B837" s="4">
        <v>4</v>
      </c>
      <c r="C837" t="s">
        <v>531</v>
      </c>
      <c r="D837" t="s">
        <v>530</v>
      </c>
      <c r="E837">
        <v>30</v>
      </c>
      <c r="F837">
        <v>32</v>
      </c>
      <c r="G837" s="8">
        <f>Lektionen[[#This Row],[Bearbeitungsdauer_real]]/Lektionen[[#This Row],[Bearbeitungsdauer_geschätzt]]-1</f>
        <v>6.6666666666666652E-2</v>
      </c>
      <c r="H837" s="8" t="str" cm="1">
        <f t="array" ref="H837">_xlfn.IFS(Lektionen[[#This Row],[Bearbeitungsdauer_abgewichen]]&gt;0.6,"viel länger",Lektionen[[#This Row],[Bearbeitungsdauer_abgewichen]]&gt;0.3,"länger",Lektionen[[#This Row],[Bearbeitungsdauer_abgewichen]]&lt;-0.3,"kürzer",TRUE,"keine Abweichung")</f>
        <v>keine Abweichung</v>
      </c>
      <c r="I837">
        <v>3</v>
      </c>
    </row>
    <row r="838" spans="1:9" x14ac:dyDescent="0.3">
      <c r="A838" s="13">
        <v>124</v>
      </c>
      <c r="B838" s="4">
        <v>5</v>
      </c>
      <c r="C838" t="s">
        <v>532</v>
      </c>
      <c r="D838" t="s">
        <v>530</v>
      </c>
      <c r="E838">
        <v>30</v>
      </c>
      <c r="F838">
        <v>45</v>
      </c>
      <c r="G838" s="8">
        <f>Lektionen[[#This Row],[Bearbeitungsdauer_real]]/Lektionen[[#This Row],[Bearbeitungsdauer_geschätzt]]-1</f>
        <v>0.5</v>
      </c>
      <c r="H838" s="8" t="str" cm="1">
        <f t="array" ref="H838">_xlfn.IFS(Lektionen[[#This Row],[Bearbeitungsdauer_abgewichen]]&gt;0.6,"viel länger",Lektionen[[#This Row],[Bearbeitungsdauer_abgewichen]]&gt;0.3,"länger",Lektionen[[#This Row],[Bearbeitungsdauer_abgewichen]]&lt;-0.3,"kürzer",TRUE,"keine Abweichung")</f>
        <v>länger</v>
      </c>
      <c r="I838">
        <v>3</v>
      </c>
    </row>
    <row r="839" spans="1:9" hidden="1" x14ac:dyDescent="0.3">
      <c r="A839" s="13">
        <v>124</v>
      </c>
      <c r="B839" s="4">
        <v>6</v>
      </c>
      <c r="C839" t="s">
        <v>533</v>
      </c>
      <c r="D839" t="s">
        <v>534</v>
      </c>
      <c r="E839">
        <v>5</v>
      </c>
      <c r="F839">
        <v>1</v>
      </c>
      <c r="G839" s="8">
        <f>Lektionen[[#This Row],[Bearbeitungsdauer_real]]/Lektionen[[#This Row],[Bearbeitungsdauer_geschätzt]]-1</f>
        <v>-0.8</v>
      </c>
      <c r="H839" s="8" t="str" cm="1">
        <f t="array" ref="H839">_xlfn.IFS(Lektionen[[#This Row],[Bearbeitungsdauer_abgewichen]]&gt;0.6,"viel länger",Lektionen[[#This Row],[Bearbeitungsdauer_abgewichen]]&gt;0.3,"länger",Lektionen[[#This Row],[Bearbeitungsdauer_abgewichen]]&lt;-0.3,"kürzer",TRUE,"keine Abweichung")</f>
        <v>kürzer</v>
      </c>
      <c r="I839">
        <v>1</v>
      </c>
    </row>
    <row r="840" spans="1:9" hidden="1" x14ac:dyDescent="0.3">
      <c r="A840" s="13">
        <v>124</v>
      </c>
      <c r="B840" s="4">
        <v>7</v>
      </c>
      <c r="C840" t="s">
        <v>535</v>
      </c>
      <c r="D840" t="s">
        <v>536</v>
      </c>
      <c r="E840">
        <v>10</v>
      </c>
      <c r="F840">
        <v>11</v>
      </c>
      <c r="G840" s="8">
        <f>Lektionen[[#This Row],[Bearbeitungsdauer_real]]/Lektionen[[#This Row],[Bearbeitungsdauer_geschätzt]]-1</f>
        <v>0.10000000000000009</v>
      </c>
      <c r="H840" s="8" t="str" cm="1">
        <f t="array" ref="H840">_xlfn.IFS(Lektionen[[#This Row],[Bearbeitungsdauer_abgewichen]]&gt;0.6,"viel länger",Lektionen[[#This Row],[Bearbeitungsdauer_abgewichen]]&gt;0.3,"länger",Lektionen[[#This Row],[Bearbeitungsdauer_abgewichen]]&lt;-0.3,"kürzer",TRUE,"keine Abweichung")</f>
        <v>keine Abweichung</v>
      </c>
      <c r="I840">
        <v>3</v>
      </c>
    </row>
    <row r="841" spans="1:9" hidden="1" x14ac:dyDescent="0.3">
      <c r="A841" s="13">
        <v>124</v>
      </c>
      <c r="B841" s="4">
        <v>8</v>
      </c>
      <c r="C841" t="s">
        <v>537</v>
      </c>
      <c r="D841" t="s">
        <v>527</v>
      </c>
      <c r="E841">
        <v>5</v>
      </c>
      <c r="F841">
        <v>5</v>
      </c>
      <c r="G841" s="8">
        <f>Lektionen[[#This Row],[Bearbeitungsdauer_real]]/Lektionen[[#This Row],[Bearbeitungsdauer_geschätzt]]-1</f>
        <v>0</v>
      </c>
      <c r="H841" s="8" t="str" cm="1">
        <f t="array" ref="H841">_xlfn.IFS(Lektionen[[#This Row],[Bearbeitungsdauer_abgewichen]]&gt;0.6,"viel länger",Lektionen[[#This Row],[Bearbeitungsdauer_abgewichen]]&gt;0.3,"länger",Lektionen[[#This Row],[Bearbeitungsdauer_abgewichen]]&lt;-0.3,"kürzer",TRUE,"keine Abweichung")</f>
        <v>keine Abweichung</v>
      </c>
      <c r="I841">
        <v>1</v>
      </c>
    </row>
    <row r="842" spans="1:9" hidden="1" x14ac:dyDescent="0.3">
      <c r="A842" s="13">
        <v>125</v>
      </c>
      <c r="B842" s="4">
        <v>1</v>
      </c>
      <c r="C842" t="s">
        <v>526</v>
      </c>
      <c r="D842" t="s">
        <v>527</v>
      </c>
      <c r="E842">
        <v>4</v>
      </c>
      <c r="F842">
        <v>7</v>
      </c>
      <c r="G842" s="8">
        <f>Lektionen[[#This Row],[Bearbeitungsdauer_real]]/Lektionen[[#This Row],[Bearbeitungsdauer_geschätzt]]-1</f>
        <v>0.75</v>
      </c>
      <c r="H842" s="8" t="str" cm="1">
        <f t="array" ref="H842">_xlfn.IFS(Lektionen[[#This Row],[Bearbeitungsdauer_abgewichen]]&gt;0.6,"viel länger",Lektionen[[#This Row],[Bearbeitungsdauer_abgewichen]]&gt;0.3,"länger",Lektionen[[#This Row],[Bearbeitungsdauer_abgewichen]]&lt;-0.3,"kürzer",TRUE,"keine Abweichung")</f>
        <v>viel länger</v>
      </c>
      <c r="I842">
        <v>1</v>
      </c>
    </row>
    <row r="843" spans="1:9" hidden="1" x14ac:dyDescent="0.3">
      <c r="A843" s="13">
        <v>125</v>
      </c>
      <c r="B843" s="4">
        <v>2</v>
      </c>
      <c r="C843" t="s">
        <v>528</v>
      </c>
      <c r="D843" t="s">
        <v>529</v>
      </c>
      <c r="E843">
        <v>15</v>
      </c>
      <c r="F843">
        <v>16</v>
      </c>
      <c r="G843" s="8">
        <f>Lektionen[[#This Row],[Bearbeitungsdauer_real]]/Lektionen[[#This Row],[Bearbeitungsdauer_geschätzt]]-1</f>
        <v>6.6666666666666652E-2</v>
      </c>
      <c r="H843" s="8" t="str" cm="1">
        <f t="array" ref="H843">_xlfn.IFS(Lektionen[[#This Row],[Bearbeitungsdauer_abgewichen]]&gt;0.6,"viel länger",Lektionen[[#This Row],[Bearbeitungsdauer_abgewichen]]&gt;0.3,"länger",Lektionen[[#This Row],[Bearbeitungsdauer_abgewichen]]&lt;-0.3,"kürzer",TRUE,"keine Abweichung")</f>
        <v>keine Abweichung</v>
      </c>
      <c r="I843">
        <v>2</v>
      </c>
    </row>
    <row r="844" spans="1:9" hidden="1" x14ac:dyDescent="0.3">
      <c r="A844" s="13">
        <v>125</v>
      </c>
      <c r="B844" s="4">
        <v>3</v>
      </c>
      <c r="C844" t="s">
        <v>552</v>
      </c>
      <c r="D844" t="s">
        <v>530</v>
      </c>
      <c r="E844">
        <v>30</v>
      </c>
      <c r="F844">
        <v>30</v>
      </c>
      <c r="G844" s="8">
        <f>Lektionen[[#This Row],[Bearbeitungsdauer_real]]/Lektionen[[#This Row],[Bearbeitungsdauer_geschätzt]]-1</f>
        <v>0</v>
      </c>
      <c r="H844" s="8" t="str" cm="1">
        <f t="array" ref="H844">_xlfn.IFS(Lektionen[[#This Row],[Bearbeitungsdauer_abgewichen]]&gt;0.6,"viel länger",Lektionen[[#This Row],[Bearbeitungsdauer_abgewichen]]&gt;0.3,"länger",Lektionen[[#This Row],[Bearbeitungsdauer_abgewichen]]&lt;-0.3,"kürzer",TRUE,"keine Abweichung")</f>
        <v>keine Abweichung</v>
      </c>
      <c r="I844">
        <v>2</v>
      </c>
    </row>
    <row r="845" spans="1:9" hidden="1" x14ac:dyDescent="0.3">
      <c r="A845" s="13">
        <v>125</v>
      </c>
      <c r="B845" s="4">
        <v>4</v>
      </c>
      <c r="C845" t="s">
        <v>531</v>
      </c>
      <c r="D845" t="s">
        <v>530</v>
      </c>
      <c r="E845">
        <v>30</v>
      </c>
      <c r="F845">
        <v>29</v>
      </c>
      <c r="G845" s="8">
        <f>Lektionen[[#This Row],[Bearbeitungsdauer_real]]/Lektionen[[#This Row],[Bearbeitungsdauer_geschätzt]]-1</f>
        <v>-3.3333333333333326E-2</v>
      </c>
      <c r="H845" s="8" t="str" cm="1">
        <f t="array" ref="H845">_xlfn.IFS(Lektionen[[#This Row],[Bearbeitungsdauer_abgewichen]]&gt;0.6,"viel länger",Lektionen[[#This Row],[Bearbeitungsdauer_abgewichen]]&gt;0.3,"länger",Lektionen[[#This Row],[Bearbeitungsdauer_abgewichen]]&lt;-0.3,"kürzer",TRUE,"keine Abweichung")</f>
        <v>keine Abweichung</v>
      </c>
      <c r="I845">
        <v>3</v>
      </c>
    </row>
    <row r="846" spans="1:9" x14ac:dyDescent="0.3">
      <c r="A846" s="13">
        <v>125</v>
      </c>
      <c r="B846" s="4">
        <v>5</v>
      </c>
      <c r="C846" t="s">
        <v>532</v>
      </c>
      <c r="D846" t="s">
        <v>530</v>
      </c>
      <c r="E846">
        <v>30</v>
      </c>
      <c r="F846">
        <v>41</v>
      </c>
      <c r="G846" s="8">
        <f>Lektionen[[#This Row],[Bearbeitungsdauer_real]]/Lektionen[[#This Row],[Bearbeitungsdauer_geschätzt]]-1</f>
        <v>0.3666666666666667</v>
      </c>
      <c r="H846" s="8" t="str" cm="1">
        <f t="array" ref="H846">_xlfn.IFS(Lektionen[[#This Row],[Bearbeitungsdauer_abgewichen]]&gt;0.6,"viel länger",Lektionen[[#This Row],[Bearbeitungsdauer_abgewichen]]&gt;0.3,"länger",Lektionen[[#This Row],[Bearbeitungsdauer_abgewichen]]&lt;-0.3,"kürzer",TRUE,"keine Abweichung")</f>
        <v>länger</v>
      </c>
      <c r="I846">
        <v>3</v>
      </c>
    </row>
    <row r="847" spans="1:9" hidden="1" x14ac:dyDescent="0.3">
      <c r="A847" s="13">
        <v>125</v>
      </c>
      <c r="B847" s="4">
        <v>6</v>
      </c>
      <c r="C847" t="s">
        <v>533</v>
      </c>
      <c r="D847" t="s">
        <v>534</v>
      </c>
      <c r="E847">
        <v>5</v>
      </c>
      <c r="F847">
        <v>1</v>
      </c>
      <c r="G847" s="8">
        <f>Lektionen[[#This Row],[Bearbeitungsdauer_real]]/Lektionen[[#This Row],[Bearbeitungsdauer_geschätzt]]-1</f>
        <v>-0.8</v>
      </c>
      <c r="H847" s="8" t="str" cm="1">
        <f t="array" ref="H847">_xlfn.IFS(Lektionen[[#This Row],[Bearbeitungsdauer_abgewichen]]&gt;0.6,"viel länger",Lektionen[[#This Row],[Bearbeitungsdauer_abgewichen]]&gt;0.3,"länger",Lektionen[[#This Row],[Bearbeitungsdauer_abgewichen]]&lt;-0.3,"kürzer",TRUE,"keine Abweichung")</f>
        <v>kürzer</v>
      </c>
      <c r="I847">
        <v>2</v>
      </c>
    </row>
    <row r="848" spans="1:9" hidden="1" x14ac:dyDescent="0.3">
      <c r="A848" s="13">
        <v>125</v>
      </c>
      <c r="B848" s="4">
        <v>7</v>
      </c>
      <c r="C848" t="s">
        <v>535</v>
      </c>
      <c r="D848" t="s">
        <v>536</v>
      </c>
      <c r="E848">
        <v>10</v>
      </c>
      <c r="F848">
        <v>10</v>
      </c>
      <c r="G848" s="8">
        <f>Lektionen[[#This Row],[Bearbeitungsdauer_real]]/Lektionen[[#This Row],[Bearbeitungsdauer_geschätzt]]-1</f>
        <v>0</v>
      </c>
      <c r="H848" s="8" t="str" cm="1">
        <f t="array" ref="H848">_xlfn.IFS(Lektionen[[#This Row],[Bearbeitungsdauer_abgewichen]]&gt;0.6,"viel länger",Lektionen[[#This Row],[Bearbeitungsdauer_abgewichen]]&gt;0.3,"länger",Lektionen[[#This Row],[Bearbeitungsdauer_abgewichen]]&lt;-0.3,"kürzer",TRUE,"keine Abweichung")</f>
        <v>keine Abweichung</v>
      </c>
      <c r="I848">
        <v>3</v>
      </c>
    </row>
    <row r="849" spans="1:9" hidden="1" x14ac:dyDescent="0.3">
      <c r="A849" s="13">
        <v>125</v>
      </c>
      <c r="B849" s="4">
        <v>8</v>
      </c>
      <c r="C849" t="s">
        <v>537</v>
      </c>
      <c r="D849" t="s">
        <v>527</v>
      </c>
      <c r="E849">
        <v>5</v>
      </c>
      <c r="F849">
        <v>5</v>
      </c>
      <c r="G849" s="8">
        <f>Lektionen[[#This Row],[Bearbeitungsdauer_real]]/Lektionen[[#This Row],[Bearbeitungsdauer_geschätzt]]-1</f>
        <v>0</v>
      </c>
      <c r="H849" s="8" t="str" cm="1">
        <f t="array" ref="H849">_xlfn.IFS(Lektionen[[#This Row],[Bearbeitungsdauer_abgewichen]]&gt;0.6,"viel länger",Lektionen[[#This Row],[Bearbeitungsdauer_abgewichen]]&gt;0.3,"länger",Lektionen[[#This Row],[Bearbeitungsdauer_abgewichen]]&lt;-0.3,"kürzer",TRUE,"keine Abweichung")</f>
        <v>keine Abweichung</v>
      </c>
      <c r="I849">
        <v>1</v>
      </c>
    </row>
    <row r="850" spans="1:9" hidden="1" x14ac:dyDescent="0.3">
      <c r="A850" s="13">
        <v>126</v>
      </c>
      <c r="B850" s="4">
        <v>1</v>
      </c>
      <c r="C850" t="s">
        <v>526</v>
      </c>
      <c r="D850" t="s">
        <v>527</v>
      </c>
      <c r="E850">
        <v>4</v>
      </c>
      <c r="F850">
        <v>4</v>
      </c>
      <c r="G850" s="8">
        <f>Lektionen[[#This Row],[Bearbeitungsdauer_real]]/Lektionen[[#This Row],[Bearbeitungsdauer_geschätzt]]-1</f>
        <v>0</v>
      </c>
      <c r="H850" s="8" t="str" cm="1">
        <f t="array" ref="H850">_xlfn.IFS(Lektionen[[#This Row],[Bearbeitungsdauer_abgewichen]]&gt;0.6,"viel länger",Lektionen[[#This Row],[Bearbeitungsdauer_abgewichen]]&gt;0.3,"länger",Lektionen[[#This Row],[Bearbeitungsdauer_abgewichen]]&lt;-0.3,"kürzer",TRUE,"keine Abweichung")</f>
        <v>keine Abweichung</v>
      </c>
      <c r="I850">
        <v>1</v>
      </c>
    </row>
    <row r="851" spans="1:9" hidden="1" x14ac:dyDescent="0.3">
      <c r="A851" s="13">
        <v>126</v>
      </c>
      <c r="B851" s="4">
        <v>2</v>
      </c>
      <c r="C851" t="s">
        <v>528</v>
      </c>
      <c r="D851" t="s">
        <v>529</v>
      </c>
      <c r="E851">
        <v>15</v>
      </c>
      <c r="F851">
        <v>18</v>
      </c>
      <c r="G851" s="8">
        <f>Lektionen[[#This Row],[Bearbeitungsdauer_real]]/Lektionen[[#This Row],[Bearbeitungsdauer_geschätzt]]-1</f>
        <v>0.19999999999999996</v>
      </c>
      <c r="H851" s="8" t="str" cm="1">
        <f t="array" ref="H851">_xlfn.IFS(Lektionen[[#This Row],[Bearbeitungsdauer_abgewichen]]&gt;0.6,"viel länger",Lektionen[[#This Row],[Bearbeitungsdauer_abgewichen]]&gt;0.3,"länger",Lektionen[[#This Row],[Bearbeitungsdauer_abgewichen]]&lt;-0.3,"kürzer",TRUE,"keine Abweichung")</f>
        <v>keine Abweichung</v>
      </c>
      <c r="I851">
        <v>2</v>
      </c>
    </row>
    <row r="852" spans="1:9" hidden="1" x14ac:dyDescent="0.3">
      <c r="A852" s="13">
        <v>126</v>
      </c>
      <c r="B852" s="4">
        <v>3</v>
      </c>
      <c r="C852" t="s">
        <v>552</v>
      </c>
      <c r="D852" t="s">
        <v>530</v>
      </c>
      <c r="E852">
        <v>30</v>
      </c>
      <c r="F852">
        <v>30</v>
      </c>
      <c r="G852" s="8">
        <f>Lektionen[[#This Row],[Bearbeitungsdauer_real]]/Lektionen[[#This Row],[Bearbeitungsdauer_geschätzt]]-1</f>
        <v>0</v>
      </c>
      <c r="H852" s="8" t="str" cm="1">
        <f t="array" ref="H852">_xlfn.IFS(Lektionen[[#This Row],[Bearbeitungsdauer_abgewichen]]&gt;0.6,"viel länger",Lektionen[[#This Row],[Bearbeitungsdauer_abgewichen]]&gt;0.3,"länger",Lektionen[[#This Row],[Bearbeitungsdauer_abgewichen]]&lt;-0.3,"kürzer",TRUE,"keine Abweichung")</f>
        <v>keine Abweichung</v>
      </c>
      <c r="I852">
        <v>3</v>
      </c>
    </row>
    <row r="853" spans="1:9" hidden="1" x14ac:dyDescent="0.3">
      <c r="A853" s="13">
        <v>126</v>
      </c>
      <c r="B853" s="4">
        <v>4</v>
      </c>
      <c r="C853" t="s">
        <v>531</v>
      </c>
      <c r="D853" t="s">
        <v>530</v>
      </c>
      <c r="E853">
        <v>30</v>
      </c>
      <c r="F853">
        <v>31</v>
      </c>
      <c r="G853" s="8">
        <f>Lektionen[[#This Row],[Bearbeitungsdauer_real]]/Lektionen[[#This Row],[Bearbeitungsdauer_geschätzt]]-1</f>
        <v>3.3333333333333437E-2</v>
      </c>
      <c r="H853" s="8" t="str" cm="1">
        <f t="array" ref="H853">_xlfn.IFS(Lektionen[[#This Row],[Bearbeitungsdauer_abgewichen]]&gt;0.6,"viel länger",Lektionen[[#This Row],[Bearbeitungsdauer_abgewichen]]&gt;0.3,"länger",Lektionen[[#This Row],[Bearbeitungsdauer_abgewichen]]&lt;-0.3,"kürzer",TRUE,"keine Abweichung")</f>
        <v>keine Abweichung</v>
      </c>
      <c r="I853">
        <v>4</v>
      </c>
    </row>
    <row r="854" spans="1:9" x14ac:dyDescent="0.3">
      <c r="A854" s="13">
        <v>126</v>
      </c>
      <c r="B854" s="4">
        <v>5</v>
      </c>
      <c r="C854" t="s">
        <v>532</v>
      </c>
      <c r="D854" t="s">
        <v>530</v>
      </c>
      <c r="E854">
        <v>30</v>
      </c>
      <c r="F854">
        <v>55</v>
      </c>
      <c r="G854" s="8">
        <f>Lektionen[[#This Row],[Bearbeitungsdauer_real]]/Lektionen[[#This Row],[Bearbeitungsdauer_geschätzt]]-1</f>
        <v>0.83333333333333326</v>
      </c>
      <c r="H854" s="8" t="str" cm="1">
        <f t="array" ref="H854">_xlfn.IFS(Lektionen[[#This Row],[Bearbeitungsdauer_abgewichen]]&gt;0.6,"viel länger",Lektionen[[#This Row],[Bearbeitungsdauer_abgewichen]]&gt;0.3,"länger",Lektionen[[#This Row],[Bearbeitungsdauer_abgewichen]]&lt;-0.3,"kürzer",TRUE,"keine Abweichung")</f>
        <v>viel länger</v>
      </c>
      <c r="I854">
        <v>4</v>
      </c>
    </row>
    <row r="855" spans="1:9" hidden="1" x14ac:dyDescent="0.3">
      <c r="A855" s="13">
        <v>126</v>
      </c>
      <c r="B855" s="4">
        <v>6</v>
      </c>
      <c r="C855" t="s">
        <v>533</v>
      </c>
      <c r="D855" t="s">
        <v>534</v>
      </c>
      <c r="E855">
        <v>5</v>
      </c>
      <c r="F855">
        <v>2</v>
      </c>
      <c r="G855" s="8">
        <f>Lektionen[[#This Row],[Bearbeitungsdauer_real]]/Lektionen[[#This Row],[Bearbeitungsdauer_geschätzt]]-1</f>
        <v>-0.6</v>
      </c>
      <c r="H855" s="8" t="str" cm="1">
        <f t="array" ref="H855">_xlfn.IFS(Lektionen[[#This Row],[Bearbeitungsdauer_abgewichen]]&gt;0.6,"viel länger",Lektionen[[#This Row],[Bearbeitungsdauer_abgewichen]]&gt;0.3,"länger",Lektionen[[#This Row],[Bearbeitungsdauer_abgewichen]]&lt;-0.3,"kürzer",TRUE,"keine Abweichung")</f>
        <v>kürzer</v>
      </c>
      <c r="I855">
        <v>2</v>
      </c>
    </row>
    <row r="856" spans="1:9" hidden="1" x14ac:dyDescent="0.3">
      <c r="A856" s="13">
        <v>126</v>
      </c>
      <c r="B856" s="4">
        <v>7</v>
      </c>
      <c r="C856" t="s">
        <v>535</v>
      </c>
      <c r="D856" t="s">
        <v>536</v>
      </c>
      <c r="E856">
        <v>10</v>
      </c>
      <c r="F856">
        <v>10</v>
      </c>
      <c r="G856" s="8">
        <f>Lektionen[[#This Row],[Bearbeitungsdauer_real]]/Lektionen[[#This Row],[Bearbeitungsdauer_geschätzt]]-1</f>
        <v>0</v>
      </c>
      <c r="H856" s="8" t="str" cm="1">
        <f t="array" ref="H856">_xlfn.IFS(Lektionen[[#This Row],[Bearbeitungsdauer_abgewichen]]&gt;0.6,"viel länger",Lektionen[[#This Row],[Bearbeitungsdauer_abgewichen]]&gt;0.3,"länger",Lektionen[[#This Row],[Bearbeitungsdauer_abgewichen]]&lt;-0.3,"kürzer",TRUE,"keine Abweichung")</f>
        <v>keine Abweichung</v>
      </c>
      <c r="I856">
        <v>3</v>
      </c>
    </row>
    <row r="857" spans="1:9" hidden="1" x14ac:dyDescent="0.3">
      <c r="A857" s="13">
        <v>126</v>
      </c>
      <c r="B857" s="4">
        <v>8</v>
      </c>
      <c r="C857" t="s">
        <v>537</v>
      </c>
      <c r="D857" t="s">
        <v>527</v>
      </c>
      <c r="E857">
        <v>5</v>
      </c>
      <c r="F857">
        <v>5</v>
      </c>
      <c r="G857" s="8">
        <f>Lektionen[[#This Row],[Bearbeitungsdauer_real]]/Lektionen[[#This Row],[Bearbeitungsdauer_geschätzt]]-1</f>
        <v>0</v>
      </c>
      <c r="H857" s="8" t="str" cm="1">
        <f t="array" ref="H857">_xlfn.IFS(Lektionen[[#This Row],[Bearbeitungsdauer_abgewichen]]&gt;0.6,"viel länger",Lektionen[[#This Row],[Bearbeitungsdauer_abgewichen]]&gt;0.3,"länger",Lektionen[[#This Row],[Bearbeitungsdauer_abgewichen]]&lt;-0.3,"kürzer",TRUE,"keine Abweichung")</f>
        <v>keine Abweichung</v>
      </c>
      <c r="I857">
        <v>1</v>
      </c>
    </row>
    <row r="858" spans="1:9" hidden="1" x14ac:dyDescent="0.3">
      <c r="A858" s="13">
        <v>127</v>
      </c>
      <c r="B858" s="4">
        <v>1</v>
      </c>
      <c r="C858" t="s">
        <v>526</v>
      </c>
      <c r="D858" t="s">
        <v>527</v>
      </c>
      <c r="E858">
        <v>4</v>
      </c>
      <c r="F858">
        <v>4</v>
      </c>
      <c r="G858" s="8">
        <f>Lektionen[[#This Row],[Bearbeitungsdauer_real]]/Lektionen[[#This Row],[Bearbeitungsdauer_geschätzt]]-1</f>
        <v>0</v>
      </c>
      <c r="H858" s="8" t="str" cm="1">
        <f t="array" ref="H858">_xlfn.IFS(Lektionen[[#This Row],[Bearbeitungsdauer_abgewichen]]&gt;0.6,"viel länger",Lektionen[[#This Row],[Bearbeitungsdauer_abgewichen]]&gt;0.3,"länger",Lektionen[[#This Row],[Bearbeitungsdauer_abgewichen]]&lt;-0.3,"kürzer",TRUE,"keine Abweichung")</f>
        <v>keine Abweichung</v>
      </c>
      <c r="I858">
        <v>1</v>
      </c>
    </row>
    <row r="859" spans="1:9" hidden="1" x14ac:dyDescent="0.3">
      <c r="A859" s="13">
        <v>127</v>
      </c>
      <c r="B859" s="4">
        <v>2</v>
      </c>
      <c r="C859" t="s">
        <v>528</v>
      </c>
      <c r="D859" t="s">
        <v>529</v>
      </c>
      <c r="E859">
        <v>15</v>
      </c>
      <c r="F859">
        <v>16</v>
      </c>
      <c r="G859" s="8">
        <f>Lektionen[[#This Row],[Bearbeitungsdauer_real]]/Lektionen[[#This Row],[Bearbeitungsdauer_geschätzt]]-1</f>
        <v>6.6666666666666652E-2</v>
      </c>
      <c r="H859" s="8" t="str" cm="1">
        <f t="array" ref="H859">_xlfn.IFS(Lektionen[[#This Row],[Bearbeitungsdauer_abgewichen]]&gt;0.6,"viel länger",Lektionen[[#This Row],[Bearbeitungsdauer_abgewichen]]&gt;0.3,"länger",Lektionen[[#This Row],[Bearbeitungsdauer_abgewichen]]&lt;-0.3,"kürzer",TRUE,"keine Abweichung")</f>
        <v>keine Abweichung</v>
      </c>
      <c r="I859">
        <v>1</v>
      </c>
    </row>
    <row r="860" spans="1:9" hidden="1" x14ac:dyDescent="0.3">
      <c r="A860" s="13">
        <v>127</v>
      </c>
      <c r="B860" s="4">
        <v>3</v>
      </c>
      <c r="C860" t="s">
        <v>552</v>
      </c>
      <c r="D860" t="s">
        <v>530</v>
      </c>
      <c r="E860">
        <v>30</v>
      </c>
      <c r="F860">
        <v>29</v>
      </c>
      <c r="G860" s="8">
        <f>Lektionen[[#This Row],[Bearbeitungsdauer_real]]/Lektionen[[#This Row],[Bearbeitungsdauer_geschätzt]]-1</f>
        <v>-3.3333333333333326E-2</v>
      </c>
      <c r="H860" s="8" t="str" cm="1">
        <f t="array" ref="H860">_xlfn.IFS(Lektionen[[#This Row],[Bearbeitungsdauer_abgewichen]]&gt;0.6,"viel länger",Lektionen[[#This Row],[Bearbeitungsdauer_abgewichen]]&gt;0.3,"länger",Lektionen[[#This Row],[Bearbeitungsdauer_abgewichen]]&lt;-0.3,"kürzer",TRUE,"keine Abweichung")</f>
        <v>keine Abweichung</v>
      </c>
      <c r="I860">
        <v>3</v>
      </c>
    </row>
    <row r="861" spans="1:9" hidden="1" x14ac:dyDescent="0.3">
      <c r="A861" s="13">
        <v>127</v>
      </c>
      <c r="B861" s="4">
        <v>4</v>
      </c>
      <c r="C861" t="s">
        <v>531</v>
      </c>
      <c r="D861" t="s">
        <v>530</v>
      </c>
      <c r="E861">
        <v>30</v>
      </c>
      <c r="F861">
        <v>26</v>
      </c>
      <c r="G861" s="8">
        <f>Lektionen[[#This Row],[Bearbeitungsdauer_real]]/Lektionen[[#This Row],[Bearbeitungsdauer_geschätzt]]-1</f>
        <v>-0.1333333333333333</v>
      </c>
      <c r="H861" s="8" t="str" cm="1">
        <f t="array" ref="H861">_xlfn.IFS(Lektionen[[#This Row],[Bearbeitungsdauer_abgewichen]]&gt;0.6,"viel länger",Lektionen[[#This Row],[Bearbeitungsdauer_abgewichen]]&gt;0.3,"länger",Lektionen[[#This Row],[Bearbeitungsdauer_abgewichen]]&lt;-0.3,"kürzer",TRUE,"keine Abweichung")</f>
        <v>keine Abweichung</v>
      </c>
      <c r="I861">
        <v>3</v>
      </c>
    </row>
    <row r="862" spans="1:9" x14ac:dyDescent="0.3">
      <c r="A862" s="13">
        <v>127</v>
      </c>
      <c r="B862" s="4">
        <v>5</v>
      </c>
      <c r="C862" t="s">
        <v>532</v>
      </c>
      <c r="D862" t="s">
        <v>530</v>
      </c>
      <c r="E862">
        <v>30</v>
      </c>
      <c r="F862">
        <v>43</v>
      </c>
      <c r="G862" s="8">
        <f>Lektionen[[#This Row],[Bearbeitungsdauer_real]]/Lektionen[[#This Row],[Bearbeitungsdauer_geschätzt]]-1</f>
        <v>0.43333333333333335</v>
      </c>
      <c r="H862" s="8" t="str" cm="1">
        <f t="array" ref="H862">_xlfn.IFS(Lektionen[[#This Row],[Bearbeitungsdauer_abgewichen]]&gt;0.6,"viel länger",Lektionen[[#This Row],[Bearbeitungsdauer_abgewichen]]&gt;0.3,"länger",Lektionen[[#This Row],[Bearbeitungsdauer_abgewichen]]&lt;-0.3,"kürzer",TRUE,"keine Abweichung")</f>
        <v>länger</v>
      </c>
      <c r="I862">
        <v>4</v>
      </c>
    </row>
    <row r="863" spans="1:9" hidden="1" x14ac:dyDescent="0.3">
      <c r="A863" s="13">
        <v>127</v>
      </c>
      <c r="B863" s="4">
        <v>6</v>
      </c>
      <c r="C863" t="s">
        <v>533</v>
      </c>
      <c r="D863" t="s">
        <v>534</v>
      </c>
      <c r="E863">
        <v>5</v>
      </c>
      <c r="F863">
        <v>2</v>
      </c>
      <c r="G863" s="8">
        <f>Lektionen[[#This Row],[Bearbeitungsdauer_real]]/Lektionen[[#This Row],[Bearbeitungsdauer_geschätzt]]-1</f>
        <v>-0.6</v>
      </c>
      <c r="H863" s="8" t="str" cm="1">
        <f t="array" ref="H863">_xlfn.IFS(Lektionen[[#This Row],[Bearbeitungsdauer_abgewichen]]&gt;0.6,"viel länger",Lektionen[[#This Row],[Bearbeitungsdauer_abgewichen]]&gt;0.3,"länger",Lektionen[[#This Row],[Bearbeitungsdauer_abgewichen]]&lt;-0.3,"kürzer",TRUE,"keine Abweichung")</f>
        <v>kürzer</v>
      </c>
      <c r="I863">
        <v>2</v>
      </c>
    </row>
    <row r="864" spans="1:9" hidden="1" x14ac:dyDescent="0.3">
      <c r="A864" s="13">
        <v>127</v>
      </c>
      <c r="B864" s="4">
        <v>7</v>
      </c>
      <c r="C864" t="s">
        <v>535</v>
      </c>
      <c r="D864" t="s">
        <v>536</v>
      </c>
      <c r="E864">
        <v>10</v>
      </c>
      <c r="F864">
        <v>9</v>
      </c>
      <c r="G864" s="8">
        <f>Lektionen[[#This Row],[Bearbeitungsdauer_real]]/Lektionen[[#This Row],[Bearbeitungsdauer_geschätzt]]-1</f>
        <v>-9.9999999999999978E-2</v>
      </c>
      <c r="H864" s="8" t="str" cm="1">
        <f t="array" ref="H864">_xlfn.IFS(Lektionen[[#This Row],[Bearbeitungsdauer_abgewichen]]&gt;0.6,"viel länger",Lektionen[[#This Row],[Bearbeitungsdauer_abgewichen]]&gt;0.3,"länger",Lektionen[[#This Row],[Bearbeitungsdauer_abgewichen]]&lt;-0.3,"kürzer",TRUE,"keine Abweichung")</f>
        <v>keine Abweichung</v>
      </c>
      <c r="I864">
        <v>3</v>
      </c>
    </row>
    <row r="865" spans="1:9" hidden="1" x14ac:dyDescent="0.3">
      <c r="A865" s="13">
        <v>127</v>
      </c>
      <c r="B865" s="4">
        <v>8</v>
      </c>
      <c r="C865" t="s">
        <v>537</v>
      </c>
      <c r="D865" t="s">
        <v>527</v>
      </c>
      <c r="E865">
        <v>5</v>
      </c>
      <c r="F865">
        <v>5</v>
      </c>
      <c r="G865" s="8">
        <f>Lektionen[[#This Row],[Bearbeitungsdauer_real]]/Lektionen[[#This Row],[Bearbeitungsdauer_geschätzt]]-1</f>
        <v>0</v>
      </c>
      <c r="H865" s="8" t="str" cm="1">
        <f t="array" ref="H865">_xlfn.IFS(Lektionen[[#This Row],[Bearbeitungsdauer_abgewichen]]&gt;0.6,"viel länger",Lektionen[[#This Row],[Bearbeitungsdauer_abgewichen]]&gt;0.3,"länger",Lektionen[[#This Row],[Bearbeitungsdauer_abgewichen]]&lt;-0.3,"kürzer",TRUE,"keine Abweichung")</f>
        <v>keine Abweichung</v>
      </c>
      <c r="I865">
        <v>1</v>
      </c>
    </row>
    <row r="866" spans="1:9" hidden="1" x14ac:dyDescent="0.3">
      <c r="A866" s="13">
        <v>128</v>
      </c>
      <c r="B866" s="4">
        <v>1</v>
      </c>
      <c r="C866" t="s">
        <v>526</v>
      </c>
      <c r="D866" t="s">
        <v>527</v>
      </c>
      <c r="E866">
        <v>4</v>
      </c>
      <c r="F866">
        <v>4</v>
      </c>
      <c r="G866" s="8">
        <f>Lektionen[[#This Row],[Bearbeitungsdauer_real]]/Lektionen[[#This Row],[Bearbeitungsdauer_geschätzt]]-1</f>
        <v>0</v>
      </c>
      <c r="H866" s="8" t="str" cm="1">
        <f t="array" ref="H866">_xlfn.IFS(Lektionen[[#This Row],[Bearbeitungsdauer_abgewichen]]&gt;0.6,"viel länger",Lektionen[[#This Row],[Bearbeitungsdauer_abgewichen]]&gt;0.3,"länger",Lektionen[[#This Row],[Bearbeitungsdauer_abgewichen]]&lt;-0.3,"kürzer",TRUE,"keine Abweichung")</f>
        <v>keine Abweichung</v>
      </c>
      <c r="I866">
        <v>1</v>
      </c>
    </row>
    <row r="867" spans="1:9" hidden="1" x14ac:dyDescent="0.3">
      <c r="A867" s="13">
        <v>128</v>
      </c>
      <c r="B867" s="4">
        <v>2</v>
      </c>
      <c r="C867" t="s">
        <v>528</v>
      </c>
      <c r="D867" t="s">
        <v>529</v>
      </c>
      <c r="E867">
        <v>15</v>
      </c>
      <c r="F867">
        <v>17</v>
      </c>
      <c r="G867" s="8">
        <f>Lektionen[[#This Row],[Bearbeitungsdauer_real]]/Lektionen[[#This Row],[Bearbeitungsdauer_geschätzt]]-1</f>
        <v>0.1333333333333333</v>
      </c>
      <c r="H867" s="8" t="str" cm="1">
        <f t="array" ref="H867">_xlfn.IFS(Lektionen[[#This Row],[Bearbeitungsdauer_abgewichen]]&gt;0.6,"viel länger",Lektionen[[#This Row],[Bearbeitungsdauer_abgewichen]]&gt;0.3,"länger",Lektionen[[#This Row],[Bearbeitungsdauer_abgewichen]]&lt;-0.3,"kürzer",TRUE,"keine Abweichung")</f>
        <v>keine Abweichung</v>
      </c>
      <c r="I867">
        <v>1</v>
      </c>
    </row>
    <row r="868" spans="1:9" hidden="1" x14ac:dyDescent="0.3">
      <c r="A868" s="13">
        <v>128</v>
      </c>
      <c r="B868" s="4">
        <v>3</v>
      </c>
      <c r="C868" t="s">
        <v>552</v>
      </c>
      <c r="D868" t="s">
        <v>530</v>
      </c>
      <c r="E868">
        <v>30</v>
      </c>
      <c r="F868">
        <v>31</v>
      </c>
      <c r="G868" s="8">
        <f>Lektionen[[#This Row],[Bearbeitungsdauer_real]]/Lektionen[[#This Row],[Bearbeitungsdauer_geschätzt]]-1</f>
        <v>3.3333333333333437E-2</v>
      </c>
      <c r="H868" s="8" t="str" cm="1">
        <f t="array" ref="H868">_xlfn.IFS(Lektionen[[#This Row],[Bearbeitungsdauer_abgewichen]]&gt;0.6,"viel länger",Lektionen[[#This Row],[Bearbeitungsdauer_abgewichen]]&gt;0.3,"länger",Lektionen[[#This Row],[Bearbeitungsdauer_abgewichen]]&lt;-0.3,"kürzer",TRUE,"keine Abweichung")</f>
        <v>keine Abweichung</v>
      </c>
      <c r="I868">
        <v>4</v>
      </c>
    </row>
    <row r="869" spans="1:9" hidden="1" x14ac:dyDescent="0.3">
      <c r="A869" s="13">
        <v>128</v>
      </c>
      <c r="B869" s="4">
        <v>4</v>
      </c>
      <c r="C869" t="s">
        <v>531</v>
      </c>
      <c r="D869" t="s">
        <v>530</v>
      </c>
      <c r="E869">
        <v>30</v>
      </c>
      <c r="F869">
        <v>26</v>
      </c>
      <c r="G869" s="8">
        <f>Lektionen[[#This Row],[Bearbeitungsdauer_real]]/Lektionen[[#This Row],[Bearbeitungsdauer_geschätzt]]-1</f>
        <v>-0.1333333333333333</v>
      </c>
      <c r="H869" s="8" t="str" cm="1">
        <f t="array" ref="H869">_xlfn.IFS(Lektionen[[#This Row],[Bearbeitungsdauer_abgewichen]]&gt;0.6,"viel länger",Lektionen[[#This Row],[Bearbeitungsdauer_abgewichen]]&gt;0.3,"länger",Lektionen[[#This Row],[Bearbeitungsdauer_abgewichen]]&lt;-0.3,"kürzer",TRUE,"keine Abweichung")</f>
        <v>keine Abweichung</v>
      </c>
      <c r="I869">
        <v>3</v>
      </c>
    </row>
    <row r="870" spans="1:9" x14ac:dyDescent="0.3">
      <c r="A870" s="13">
        <v>128</v>
      </c>
      <c r="B870" s="4">
        <v>5</v>
      </c>
      <c r="C870" t="s">
        <v>532</v>
      </c>
      <c r="D870" t="s">
        <v>530</v>
      </c>
      <c r="E870">
        <v>30</v>
      </c>
      <c r="F870">
        <v>48</v>
      </c>
      <c r="G870" s="8">
        <f>Lektionen[[#This Row],[Bearbeitungsdauer_real]]/Lektionen[[#This Row],[Bearbeitungsdauer_geschätzt]]-1</f>
        <v>0.60000000000000009</v>
      </c>
      <c r="H870" s="8" t="str" cm="1">
        <f t="array" ref="H870">_xlfn.IFS(Lektionen[[#This Row],[Bearbeitungsdauer_abgewichen]]&gt;0.6,"viel länger",Lektionen[[#This Row],[Bearbeitungsdauer_abgewichen]]&gt;0.3,"länger",Lektionen[[#This Row],[Bearbeitungsdauer_abgewichen]]&lt;-0.3,"kürzer",TRUE,"keine Abweichung")</f>
        <v>länger</v>
      </c>
      <c r="I870">
        <v>3</v>
      </c>
    </row>
    <row r="871" spans="1:9" hidden="1" x14ac:dyDescent="0.3">
      <c r="A871" s="13">
        <v>128</v>
      </c>
      <c r="B871" s="4">
        <v>6</v>
      </c>
      <c r="C871" t="s">
        <v>533</v>
      </c>
      <c r="D871" t="s">
        <v>534</v>
      </c>
      <c r="E871">
        <v>5</v>
      </c>
      <c r="F871">
        <v>3</v>
      </c>
      <c r="G871" s="8">
        <f>Lektionen[[#This Row],[Bearbeitungsdauer_real]]/Lektionen[[#This Row],[Bearbeitungsdauer_geschätzt]]-1</f>
        <v>-0.4</v>
      </c>
      <c r="H871" s="8" t="str" cm="1">
        <f t="array" ref="H871">_xlfn.IFS(Lektionen[[#This Row],[Bearbeitungsdauer_abgewichen]]&gt;0.6,"viel länger",Lektionen[[#This Row],[Bearbeitungsdauer_abgewichen]]&gt;0.3,"länger",Lektionen[[#This Row],[Bearbeitungsdauer_abgewichen]]&lt;-0.3,"kürzer",TRUE,"keine Abweichung")</f>
        <v>kürzer</v>
      </c>
      <c r="I871">
        <v>2</v>
      </c>
    </row>
    <row r="872" spans="1:9" hidden="1" x14ac:dyDescent="0.3">
      <c r="A872" s="13">
        <v>128</v>
      </c>
      <c r="B872" s="4">
        <v>7</v>
      </c>
      <c r="C872" t="s">
        <v>535</v>
      </c>
      <c r="D872" t="s">
        <v>536</v>
      </c>
      <c r="E872">
        <v>10</v>
      </c>
      <c r="F872">
        <v>10</v>
      </c>
      <c r="G872" s="8">
        <f>Lektionen[[#This Row],[Bearbeitungsdauer_real]]/Lektionen[[#This Row],[Bearbeitungsdauer_geschätzt]]-1</f>
        <v>0</v>
      </c>
      <c r="H872" s="8" t="str" cm="1">
        <f t="array" ref="H872">_xlfn.IFS(Lektionen[[#This Row],[Bearbeitungsdauer_abgewichen]]&gt;0.6,"viel länger",Lektionen[[#This Row],[Bearbeitungsdauer_abgewichen]]&gt;0.3,"länger",Lektionen[[#This Row],[Bearbeitungsdauer_abgewichen]]&lt;-0.3,"kürzer",TRUE,"keine Abweichung")</f>
        <v>keine Abweichung</v>
      </c>
      <c r="I872">
        <v>4</v>
      </c>
    </row>
    <row r="873" spans="1:9" hidden="1" x14ac:dyDescent="0.3">
      <c r="A873" s="13">
        <v>128</v>
      </c>
      <c r="B873" s="4">
        <v>8</v>
      </c>
      <c r="C873" t="s">
        <v>537</v>
      </c>
      <c r="D873" t="s">
        <v>527</v>
      </c>
      <c r="E873">
        <v>5</v>
      </c>
      <c r="F873">
        <v>7</v>
      </c>
      <c r="G873" s="8">
        <f>Lektionen[[#This Row],[Bearbeitungsdauer_real]]/Lektionen[[#This Row],[Bearbeitungsdauer_geschätzt]]-1</f>
        <v>0.39999999999999991</v>
      </c>
      <c r="H873" s="8" t="str" cm="1">
        <f t="array" ref="H873">_xlfn.IFS(Lektionen[[#This Row],[Bearbeitungsdauer_abgewichen]]&gt;0.6,"viel länger",Lektionen[[#This Row],[Bearbeitungsdauer_abgewichen]]&gt;0.3,"länger",Lektionen[[#This Row],[Bearbeitungsdauer_abgewichen]]&lt;-0.3,"kürzer",TRUE,"keine Abweichung")</f>
        <v>länger</v>
      </c>
      <c r="I873">
        <v>1</v>
      </c>
    </row>
    <row r="874" spans="1:9" hidden="1" x14ac:dyDescent="0.3">
      <c r="A874" s="13">
        <v>130</v>
      </c>
      <c r="B874" s="4">
        <v>1</v>
      </c>
      <c r="C874" t="s">
        <v>526</v>
      </c>
      <c r="D874" t="s">
        <v>527</v>
      </c>
      <c r="E874">
        <v>4</v>
      </c>
      <c r="F874">
        <v>7</v>
      </c>
      <c r="G874" s="8">
        <f>Lektionen[[#This Row],[Bearbeitungsdauer_real]]/Lektionen[[#This Row],[Bearbeitungsdauer_geschätzt]]-1</f>
        <v>0.75</v>
      </c>
      <c r="H874" s="8" t="str" cm="1">
        <f t="array" ref="H874">_xlfn.IFS(Lektionen[[#This Row],[Bearbeitungsdauer_abgewichen]]&gt;0.6,"viel länger",Lektionen[[#This Row],[Bearbeitungsdauer_abgewichen]]&gt;0.3,"länger",Lektionen[[#This Row],[Bearbeitungsdauer_abgewichen]]&lt;-0.3,"kürzer",TRUE,"keine Abweichung")</f>
        <v>viel länger</v>
      </c>
      <c r="I874">
        <v>1</v>
      </c>
    </row>
    <row r="875" spans="1:9" hidden="1" x14ac:dyDescent="0.3">
      <c r="A875" s="13">
        <v>130</v>
      </c>
      <c r="B875" s="4">
        <v>2</v>
      </c>
      <c r="C875" t="s">
        <v>528</v>
      </c>
      <c r="D875" t="s">
        <v>529</v>
      </c>
      <c r="E875">
        <v>15</v>
      </c>
      <c r="F875">
        <v>21</v>
      </c>
      <c r="G875" s="8">
        <f>Lektionen[[#This Row],[Bearbeitungsdauer_real]]/Lektionen[[#This Row],[Bearbeitungsdauer_geschätzt]]-1</f>
        <v>0.39999999999999991</v>
      </c>
      <c r="H875" s="8" t="str" cm="1">
        <f t="array" ref="H875">_xlfn.IFS(Lektionen[[#This Row],[Bearbeitungsdauer_abgewichen]]&gt;0.6,"viel länger",Lektionen[[#This Row],[Bearbeitungsdauer_abgewichen]]&gt;0.3,"länger",Lektionen[[#This Row],[Bearbeitungsdauer_abgewichen]]&lt;-0.3,"kürzer",TRUE,"keine Abweichung")</f>
        <v>länger</v>
      </c>
      <c r="I875">
        <v>1</v>
      </c>
    </row>
    <row r="876" spans="1:9" hidden="1" x14ac:dyDescent="0.3">
      <c r="A876" s="13">
        <v>130</v>
      </c>
      <c r="B876" s="4">
        <v>3</v>
      </c>
      <c r="C876" t="s">
        <v>552</v>
      </c>
      <c r="D876" t="s">
        <v>530</v>
      </c>
      <c r="E876">
        <v>30</v>
      </c>
      <c r="F876">
        <v>29</v>
      </c>
      <c r="G876" s="8">
        <f>Lektionen[[#This Row],[Bearbeitungsdauer_real]]/Lektionen[[#This Row],[Bearbeitungsdauer_geschätzt]]-1</f>
        <v>-3.3333333333333326E-2</v>
      </c>
      <c r="H876" s="8" t="str" cm="1">
        <f t="array" ref="H876">_xlfn.IFS(Lektionen[[#This Row],[Bearbeitungsdauer_abgewichen]]&gt;0.6,"viel länger",Lektionen[[#This Row],[Bearbeitungsdauer_abgewichen]]&gt;0.3,"länger",Lektionen[[#This Row],[Bearbeitungsdauer_abgewichen]]&lt;-0.3,"kürzer",TRUE,"keine Abweichung")</f>
        <v>keine Abweichung</v>
      </c>
      <c r="I876">
        <v>2</v>
      </c>
    </row>
    <row r="877" spans="1:9" hidden="1" x14ac:dyDescent="0.3">
      <c r="A877" s="13">
        <v>130</v>
      </c>
      <c r="B877" s="4">
        <v>4</v>
      </c>
      <c r="C877" t="s">
        <v>531</v>
      </c>
      <c r="D877" t="s">
        <v>530</v>
      </c>
      <c r="E877">
        <v>30</v>
      </c>
      <c r="F877">
        <v>27</v>
      </c>
      <c r="G877" s="8">
        <f>Lektionen[[#This Row],[Bearbeitungsdauer_real]]/Lektionen[[#This Row],[Bearbeitungsdauer_geschätzt]]-1</f>
        <v>-9.9999999999999978E-2</v>
      </c>
      <c r="H877" s="8" t="str" cm="1">
        <f t="array" ref="H877">_xlfn.IFS(Lektionen[[#This Row],[Bearbeitungsdauer_abgewichen]]&gt;0.6,"viel länger",Lektionen[[#This Row],[Bearbeitungsdauer_abgewichen]]&gt;0.3,"länger",Lektionen[[#This Row],[Bearbeitungsdauer_abgewichen]]&lt;-0.3,"kürzer",TRUE,"keine Abweichung")</f>
        <v>keine Abweichung</v>
      </c>
      <c r="I877">
        <v>2</v>
      </c>
    </row>
    <row r="878" spans="1:9" x14ac:dyDescent="0.3">
      <c r="A878" s="13">
        <v>130</v>
      </c>
      <c r="B878" s="4">
        <v>5</v>
      </c>
      <c r="C878" t="s">
        <v>532</v>
      </c>
      <c r="D878" t="s">
        <v>530</v>
      </c>
      <c r="E878">
        <v>30</v>
      </c>
      <c r="F878">
        <v>48</v>
      </c>
      <c r="G878" s="8">
        <f>Lektionen[[#This Row],[Bearbeitungsdauer_real]]/Lektionen[[#This Row],[Bearbeitungsdauer_geschätzt]]-1</f>
        <v>0.60000000000000009</v>
      </c>
      <c r="H878" s="8" t="str" cm="1">
        <f t="array" ref="H878">_xlfn.IFS(Lektionen[[#This Row],[Bearbeitungsdauer_abgewichen]]&gt;0.6,"viel länger",Lektionen[[#This Row],[Bearbeitungsdauer_abgewichen]]&gt;0.3,"länger",Lektionen[[#This Row],[Bearbeitungsdauer_abgewichen]]&lt;-0.3,"kürzer",TRUE,"keine Abweichung")</f>
        <v>länger</v>
      </c>
      <c r="I878">
        <v>3</v>
      </c>
    </row>
    <row r="879" spans="1:9" hidden="1" x14ac:dyDescent="0.3">
      <c r="A879" s="13">
        <v>130</v>
      </c>
      <c r="B879" s="4">
        <v>6</v>
      </c>
      <c r="C879" t="s">
        <v>533</v>
      </c>
      <c r="D879" t="s">
        <v>534</v>
      </c>
      <c r="E879">
        <v>5</v>
      </c>
      <c r="F879">
        <v>2</v>
      </c>
      <c r="G879" s="8">
        <f>Lektionen[[#This Row],[Bearbeitungsdauer_real]]/Lektionen[[#This Row],[Bearbeitungsdauer_geschätzt]]-1</f>
        <v>-0.6</v>
      </c>
      <c r="H879" s="8" t="str" cm="1">
        <f t="array" ref="H879">_xlfn.IFS(Lektionen[[#This Row],[Bearbeitungsdauer_abgewichen]]&gt;0.6,"viel länger",Lektionen[[#This Row],[Bearbeitungsdauer_abgewichen]]&gt;0.3,"länger",Lektionen[[#This Row],[Bearbeitungsdauer_abgewichen]]&lt;-0.3,"kürzer",TRUE,"keine Abweichung")</f>
        <v>kürzer</v>
      </c>
      <c r="I879">
        <v>2</v>
      </c>
    </row>
    <row r="880" spans="1:9" hidden="1" x14ac:dyDescent="0.3">
      <c r="A880" s="13">
        <v>130</v>
      </c>
      <c r="B880" s="4">
        <v>7</v>
      </c>
      <c r="C880" t="s">
        <v>535</v>
      </c>
      <c r="D880" t="s">
        <v>536</v>
      </c>
      <c r="E880">
        <v>10</v>
      </c>
      <c r="F880">
        <v>11</v>
      </c>
      <c r="G880" s="8">
        <f>Lektionen[[#This Row],[Bearbeitungsdauer_real]]/Lektionen[[#This Row],[Bearbeitungsdauer_geschätzt]]-1</f>
        <v>0.10000000000000009</v>
      </c>
      <c r="H880" s="8" t="str" cm="1">
        <f t="array" ref="H880">_xlfn.IFS(Lektionen[[#This Row],[Bearbeitungsdauer_abgewichen]]&gt;0.6,"viel länger",Lektionen[[#This Row],[Bearbeitungsdauer_abgewichen]]&gt;0.3,"länger",Lektionen[[#This Row],[Bearbeitungsdauer_abgewichen]]&lt;-0.3,"kürzer",TRUE,"keine Abweichung")</f>
        <v>keine Abweichung</v>
      </c>
      <c r="I880">
        <v>3</v>
      </c>
    </row>
    <row r="881" spans="1:9" hidden="1" x14ac:dyDescent="0.3">
      <c r="A881" s="13">
        <v>130</v>
      </c>
      <c r="B881" s="4">
        <v>8</v>
      </c>
      <c r="C881" t="s">
        <v>537</v>
      </c>
      <c r="D881" t="s">
        <v>527</v>
      </c>
      <c r="E881">
        <v>5</v>
      </c>
      <c r="F881">
        <v>5</v>
      </c>
      <c r="G881" s="8">
        <f>Lektionen[[#This Row],[Bearbeitungsdauer_real]]/Lektionen[[#This Row],[Bearbeitungsdauer_geschätzt]]-1</f>
        <v>0</v>
      </c>
      <c r="H881" s="8" t="str" cm="1">
        <f t="array" ref="H881">_xlfn.IFS(Lektionen[[#This Row],[Bearbeitungsdauer_abgewichen]]&gt;0.6,"viel länger",Lektionen[[#This Row],[Bearbeitungsdauer_abgewichen]]&gt;0.3,"länger",Lektionen[[#This Row],[Bearbeitungsdauer_abgewichen]]&lt;-0.3,"kürzer",TRUE,"keine Abweichung")</f>
        <v>keine Abweichung</v>
      </c>
      <c r="I881">
        <v>1</v>
      </c>
    </row>
    <row r="882" spans="1:9" hidden="1" x14ac:dyDescent="0.3">
      <c r="A882" s="13">
        <v>131</v>
      </c>
      <c r="B882" s="4">
        <v>1</v>
      </c>
      <c r="C882" t="s">
        <v>526</v>
      </c>
      <c r="D882" t="s">
        <v>527</v>
      </c>
      <c r="E882">
        <v>4</v>
      </c>
      <c r="F882">
        <v>4</v>
      </c>
      <c r="G882" s="8">
        <f>Lektionen[[#This Row],[Bearbeitungsdauer_real]]/Lektionen[[#This Row],[Bearbeitungsdauer_geschätzt]]-1</f>
        <v>0</v>
      </c>
      <c r="H882" s="8" t="str" cm="1">
        <f t="array" ref="H882">_xlfn.IFS(Lektionen[[#This Row],[Bearbeitungsdauer_abgewichen]]&gt;0.6,"viel länger",Lektionen[[#This Row],[Bearbeitungsdauer_abgewichen]]&gt;0.3,"länger",Lektionen[[#This Row],[Bearbeitungsdauer_abgewichen]]&lt;-0.3,"kürzer",TRUE,"keine Abweichung")</f>
        <v>keine Abweichung</v>
      </c>
      <c r="I882">
        <v>1</v>
      </c>
    </row>
    <row r="883" spans="1:9" hidden="1" x14ac:dyDescent="0.3">
      <c r="A883" s="13">
        <v>131</v>
      </c>
      <c r="B883" s="4">
        <v>2</v>
      </c>
      <c r="C883" t="s">
        <v>528</v>
      </c>
      <c r="D883" t="s">
        <v>529</v>
      </c>
      <c r="E883">
        <v>15</v>
      </c>
      <c r="F883">
        <v>17</v>
      </c>
      <c r="G883" s="8">
        <f>Lektionen[[#This Row],[Bearbeitungsdauer_real]]/Lektionen[[#This Row],[Bearbeitungsdauer_geschätzt]]-1</f>
        <v>0.1333333333333333</v>
      </c>
      <c r="H883" s="8" t="str" cm="1">
        <f t="array" ref="H883">_xlfn.IFS(Lektionen[[#This Row],[Bearbeitungsdauer_abgewichen]]&gt;0.6,"viel länger",Lektionen[[#This Row],[Bearbeitungsdauer_abgewichen]]&gt;0.3,"länger",Lektionen[[#This Row],[Bearbeitungsdauer_abgewichen]]&lt;-0.3,"kürzer",TRUE,"keine Abweichung")</f>
        <v>keine Abweichung</v>
      </c>
      <c r="I883">
        <v>2</v>
      </c>
    </row>
    <row r="884" spans="1:9" hidden="1" x14ac:dyDescent="0.3">
      <c r="A884" s="13">
        <v>131</v>
      </c>
      <c r="B884" s="4">
        <v>3</v>
      </c>
      <c r="C884" t="s">
        <v>552</v>
      </c>
      <c r="D884" t="s">
        <v>530</v>
      </c>
      <c r="E884">
        <v>30</v>
      </c>
      <c r="F884">
        <v>29</v>
      </c>
      <c r="G884" s="8">
        <f>Lektionen[[#This Row],[Bearbeitungsdauer_real]]/Lektionen[[#This Row],[Bearbeitungsdauer_geschätzt]]-1</f>
        <v>-3.3333333333333326E-2</v>
      </c>
      <c r="H884" s="8" t="str" cm="1">
        <f t="array" ref="H884">_xlfn.IFS(Lektionen[[#This Row],[Bearbeitungsdauer_abgewichen]]&gt;0.6,"viel länger",Lektionen[[#This Row],[Bearbeitungsdauer_abgewichen]]&gt;0.3,"länger",Lektionen[[#This Row],[Bearbeitungsdauer_abgewichen]]&lt;-0.3,"kürzer",TRUE,"keine Abweichung")</f>
        <v>keine Abweichung</v>
      </c>
      <c r="I884">
        <v>3</v>
      </c>
    </row>
    <row r="885" spans="1:9" hidden="1" x14ac:dyDescent="0.3">
      <c r="A885" s="13">
        <v>131</v>
      </c>
      <c r="B885" s="4">
        <v>4</v>
      </c>
      <c r="C885" t="s">
        <v>531</v>
      </c>
      <c r="D885" t="s">
        <v>530</v>
      </c>
      <c r="E885">
        <v>30</v>
      </c>
      <c r="F885">
        <v>26</v>
      </c>
      <c r="G885" s="8">
        <f>Lektionen[[#This Row],[Bearbeitungsdauer_real]]/Lektionen[[#This Row],[Bearbeitungsdauer_geschätzt]]-1</f>
        <v>-0.1333333333333333</v>
      </c>
      <c r="H885" s="8" t="str" cm="1">
        <f t="array" ref="H885">_xlfn.IFS(Lektionen[[#This Row],[Bearbeitungsdauer_abgewichen]]&gt;0.6,"viel länger",Lektionen[[#This Row],[Bearbeitungsdauer_abgewichen]]&gt;0.3,"länger",Lektionen[[#This Row],[Bearbeitungsdauer_abgewichen]]&lt;-0.3,"kürzer",TRUE,"keine Abweichung")</f>
        <v>keine Abweichung</v>
      </c>
      <c r="I885">
        <v>3</v>
      </c>
    </row>
    <row r="886" spans="1:9" x14ac:dyDescent="0.3">
      <c r="A886" s="13">
        <v>131</v>
      </c>
      <c r="B886" s="4">
        <v>5</v>
      </c>
      <c r="C886" t="s">
        <v>532</v>
      </c>
      <c r="D886" t="s">
        <v>530</v>
      </c>
      <c r="E886">
        <v>30</v>
      </c>
      <c r="F886">
        <v>47</v>
      </c>
      <c r="G886" s="8">
        <f>Lektionen[[#This Row],[Bearbeitungsdauer_real]]/Lektionen[[#This Row],[Bearbeitungsdauer_geschätzt]]-1</f>
        <v>0.56666666666666665</v>
      </c>
      <c r="H886" s="8" t="str" cm="1">
        <f t="array" ref="H886">_xlfn.IFS(Lektionen[[#This Row],[Bearbeitungsdauer_abgewichen]]&gt;0.6,"viel länger",Lektionen[[#This Row],[Bearbeitungsdauer_abgewichen]]&gt;0.3,"länger",Lektionen[[#This Row],[Bearbeitungsdauer_abgewichen]]&lt;-0.3,"kürzer",TRUE,"keine Abweichung")</f>
        <v>länger</v>
      </c>
      <c r="I886">
        <v>4</v>
      </c>
    </row>
    <row r="887" spans="1:9" hidden="1" x14ac:dyDescent="0.3">
      <c r="A887" s="13">
        <v>131</v>
      </c>
      <c r="B887" s="4">
        <v>6</v>
      </c>
      <c r="C887" t="s">
        <v>533</v>
      </c>
      <c r="D887" t="s">
        <v>534</v>
      </c>
      <c r="E887">
        <v>5</v>
      </c>
      <c r="F887">
        <v>1</v>
      </c>
      <c r="G887" s="8">
        <f>Lektionen[[#This Row],[Bearbeitungsdauer_real]]/Lektionen[[#This Row],[Bearbeitungsdauer_geschätzt]]-1</f>
        <v>-0.8</v>
      </c>
      <c r="H887" s="8" t="str" cm="1">
        <f t="array" ref="H887">_xlfn.IFS(Lektionen[[#This Row],[Bearbeitungsdauer_abgewichen]]&gt;0.6,"viel länger",Lektionen[[#This Row],[Bearbeitungsdauer_abgewichen]]&gt;0.3,"länger",Lektionen[[#This Row],[Bearbeitungsdauer_abgewichen]]&lt;-0.3,"kürzer",TRUE,"keine Abweichung")</f>
        <v>kürzer</v>
      </c>
      <c r="I887">
        <v>2</v>
      </c>
    </row>
    <row r="888" spans="1:9" hidden="1" x14ac:dyDescent="0.3">
      <c r="A888" s="13">
        <v>131</v>
      </c>
      <c r="B888" s="4">
        <v>7</v>
      </c>
      <c r="C888" t="s">
        <v>535</v>
      </c>
      <c r="D888" t="s">
        <v>536</v>
      </c>
      <c r="E888">
        <v>10</v>
      </c>
      <c r="F888">
        <v>8</v>
      </c>
      <c r="G888" s="8">
        <f>Lektionen[[#This Row],[Bearbeitungsdauer_real]]/Lektionen[[#This Row],[Bearbeitungsdauer_geschätzt]]-1</f>
        <v>-0.19999999999999996</v>
      </c>
      <c r="H888" s="8" t="str" cm="1">
        <f t="array" ref="H888">_xlfn.IFS(Lektionen[[#This Row],[Bearbeitungsdauer_abgewichen]]&gt;0.6,"viel länger",Lektionen[[#This Row],[Bearbeitungsdauer_abgewichen]]&gt;0.3,"länger",Lektionen[[#This Row],[Bearbeitungsdauer_abgewichen]]&lt;-0.3,"kürzer",TRUE,"keine Abweichung")</f>
        <v>keine Abweichung</v>
      </c>
      <c r="I888">
        <v>3</v>
      </c>
    </row>
    <row r="889" spans="1:9" hidden="1" x14ac:dyDescent="0.3">
      <c r="A889" s="13">
        <v>131</v>
      </c>
      <c r="B889" s="4">
        <v>8</v>
      </c>
      <c r="C889" t="s">
        <v>537</v>
      </c>
      <c r="D889" t="s">
        <v>527</v>
      </c>
      <c r="E889">
        <v>5</v>
      </c>
      <c r="F889">
        <v>5</v>
      </c>
      <c r="G889" s="8">
        <f>Lektionen[[#This Row],[Bearbeitungsdauer_real]]/Lektionen[[#This Row],[Bearbeitungsdauer_geschätzt]]-1</f>
        <v>0</v>
      </c>
      <c r="H889" s="8" t="str" cm="1">
        <f t="array" ref="H889">_xlfn.IFS(Lektionen[[#This Row],[Bearbeitungsdauer_abgewichen]]&gt;0.6,"viel länger",Lektionen[[#This Row],[Bearbeitungsdauer_abgewichen]]&gt;0.3,"länger",Lektionen[[#This Row],[Bearbeitungsdauer_abgewichen]]&lt;-0.3,"kürzer",TRUE,"keine Abweichung")</f>
        <v>keine Abweichung</v>
      </c>
      <c r="I889">
        <v>1</v>
      </c>
    </row>
    <row r="890" spans="1:9" hidden="1" x14ac:dyDescent="0.3">
      <c r="A890" s="13">
        <v>133</v>
      </c>
      <c r="B890" s="4">
        <v>1</v>
      </c>
      <c r="C890" t="s">
        <v>526</v>
      </c>
      <c r="D890" t="s">
        <v>527</v>
      </c>
      <c r="E890">
        <v>4</v>
      </c>
      <c r="F890">
        <v>4</v>
      </c>
      <c r="G890" s="8">
        <f>Lektionen[[#This Row],[Bearbeitungsdauer_real]]/Lektionen[[#This Row],[Bearbeitungsdauer_geschätzt]]-1</f>
        <v>0</v>
      </c>
      <c r="H890" s="8" t="str" cm="1">
        <f t="array" ref="H890">_xlfn.IFS(Lektionen[[#This Row],[Bearbeitungsdauer_abgewichen]]&gt;0.6,"viel länger",Lektionen[[#This Row],[Bearbeitungsdauer_abgewichen]]&gt;0.3,"länger",Lektionen[[#This Row],[Bearbeitungsdauer_abgewichen]]&lt;-0.3,"kürzer",TRUE,"keine Abweichung")</f>
        <v>keine Abweichung</v>
      </c>
      <c r="I890">
        <v>1</v>
      </c>
    </row>
    <row r="891" spans="1:9" hidden="1" x14ac:dyDescent="0.3">
      <c r="A891" s="13">
        <v>133</v>
      </c>
      <c r="B891" s="4">
        <v>2</v>
      </c>
      <c r="C891" t="s">
        <v>528</v>
      </c>
      <c r="D891" t="s">
        <v>529</v>
      </c>
      <c r="E891">
        <v>15</v>
      </c>
      <c r="F891">
        <v>17</v>
      </c>
      <c r="G891" s="8">
        <f>Lektionen[[#This Row],[Bearbeitungsdauer_real]]/Lektionen[[#This Row],[Bearbeitungsdauer_geschätzt]]-1</f>
        <v>0.1333333333333333</v>
      </c>
      <c r="H891" s="8" t="str" cm="1">
        <f t="array" ref="H891">_xlfn.IFS(Lektionen[[#This Row],[Bearbeitungsdauer_abgewichen]]&gt;0.6,"viel länger",Lektionen[[#This Row],[Bearbeitungsdauer_abgewichen]]&gt;0.3,"länger",Lektionen[[#This Row],[Bearbeitungsdauer_abgewichen]]&lt;-0.3,"kürzer",TRUE,"keine Abweichung")</f>
        <v>keine Abweichung</v>
      </c>
      <c r="I891">
        <v>2</v>
      </c>
    </row>
    <row r="892" spans="1:9" hidden="1" x14ac:dyDescent="0.3">
      <c r="A892" s="13">
        <v>133</v>
      </c>
      <c r="B892" s="4">
        <v>3</v>
      </c>
      <c r="C892" t="s">
        <v>552</v>
      </c>
      <c r="D892" t="s">
        <v>530</v>
      </c>
      <c r="E892">
        <v>30</v>
      </c>
      <c r="F892">
        <v>28</v>
      </c>
      <c r="G892" s="8">
        <f>Lektionen[[#This Row],[Bearbeitungsdauer_real]]/Lektionen[[#This Row],[Bearbeitungsdauer_geschätzt]]-1</f>
        <v>-6.6666666666666652E-2</v>
      </c>
      <c r="H892" s="8" t="str" cm="1">
        <f t="array" ref="H892">_xlfn.IFS(Lektionen[[#This Row],[Bearbeitungsdauer_abgewichen]]&gt;0.6,"viel länger",Lektionen[[#This Row],[Bearbeitungsdauer_abgewichen]]&gt;0.3,"länger",Lektionen[[#This Row],[Bearbeitungsdauer_abgewichen]]&lt;-0.3,"kürzer",TRUE,"keine Abweichung")</f>
        <v>keine Abweichung</v>
      </c>
      <c r="I892">
        <v>2</v>
      </c>
    </row>
    <row r="893" spans="1:9" hidden="1" x14ac:dyDescent="0.3">
      <c r="A893" s="13">
        <v>133</v>
      </c>
      <c r="B893" s="4">
        <v>4</v>
      </c>
      <c r="C893" t="s">
        <v>531</v>
      </c>
      <c r="D893" t="s">
        <v>530</v>
      </c>
      <c r="E893">
        <v>30</v>
      </c>
      <c r="F893">
        <v>15</v>
      </c>
      <c r="G893" s="8">
        <f>Lektionen[[#This Row],[Bearbeitungsdauer_real]]/Lektionen[[#This Row],[Bearbeitungsdauer_geschätzt]]-1</f>
        <v>-0.5</v>
      </c>
      <c r="H893" s="8" t="str" cm="1">
        <f t="array" ref="H893">_xlfn.IFS(Lektionen[[#This Row],[Bearbeitungsdauer_abgewichen]]&gt;0.6,"viel länger",Lektionen[[#This Row],[Bearbeitungsdauer_abgewichen]]&gt;0.3,"länger",Lektionen[[#This Row],[Bearbeitungsdauer_abgewichen]]&lt;-0.3,"kürzer",TRUE,"keine Abweichung")</f>
        <v>kürzer</v>
      </c>
      <c r="I893">
        <v>3</v>
      </c>
    </row>
    <row r="894" spans="1:9" x14ac:dyDescent="0.3">
      <c r="A894" s="13">
        <v>133</v>
      </c>
      <c r="B894" s="4">
        <v>5</v>
      </c>
      <c r="C894" t="s">
        <v>532</v>
      </c>
      <c r="D894" t="s">
        <v>530</v>
      </c>
      <c r="E894">
        <v>30</v>
      </c>
      <c r="F894">
        <v>55</v>
      </c>
      <c r="G894" s="8">
        <f>Lektionen[[#This Row],[Bearbeitungsdauer_real]]/Lektionen[[#This Row],[Bearbeitungsdauer_geschätzt]]-1</f>
        <v>0.83333333333333326</v>
      </c>
      <c r="H894" s="8" t="str" cm="1">
        <f t="array" ref="H894">_xlfn.IFS(Lektionen[[#This Row],[Bearbeitungsdauer_abgewichen]]&gt;0.6,"viel länger",Lektionen[[#This Row],[Bearbeitungsdauer_abgewichen]]&gt;0.3,"länger",Lektionen[[#This Row],[Bearbeitungsdauer_abgewichen]]&lt;-0.3,"kürzer",TRUE,"keine Abweichung")</f>
        <v>viel länger</v>
      </c>
      <c r="I894">
        <v>3</v>
      </c>
    </row>
    <row r="895" spans="1:9" hidden="1" x14ac:dyDescent="0.3">
      <c r="A895" s="13">
        <v>133</v>
      </c>
      <c r="B895" s="4">
        <v>6</v>
      </c>
      <c r="C895" t="s">
        <v>533</v>
      </c>
      <c r="D895" t="s">
        <v>534</v>
      </c>
      <c r="E895">
        <v>5</v>
      </c>
      <c r="F895">
        <v>1</v>
      </c>
      <c r="G895" s="8">
        <f>Lektionen[[#This Row],[Bearbeitungsdauer_real]]/Lektionen[[#This Row],[Bearbeitungsdauer_geschätzt]]-1</f>
        <v>-0.8</v>
      </c>
      <c r="H895" s="8" t="str" cm="1">
        <f t="array" ref="H895">_xlfn.IFS(Lektionen[[#This Row],[Bearbeitungsdauer_abgewichen]]&gt;0.6,"viel länger",Lektionen[[#This Row],[Bearbeitungsdauer_abgewichen]]&gt;0.3,"länger",Lektionen[[#This Row],[Bearbeitungsdauer_abgewichen]]&lt;-0.3,"kürzer",TRUE,"keine Abweichung")</f>
        <v>kürzer</v>
      </c>
      <c r="I895">
        <v>2</v>
      </c>
    </row>
    <row r="896" spans="1:9" hidden="1" x14ac:dyDescent="0.3">
      <c r="A896" s="13">
        <v>133</v>
      </c>
      <c r="B896" s="4">
        <v>7</v>
      </c>
      <c r="C896" t="s">
        <v>535</v>
      </c>
      <c r="D896" t="s">
        <v>536</v>
      </c>
      <c r="E896">
        <v>10</v>
      </c>
      <c r="F896">
        <v>8</v>
      </c>
      <c r="G896" s="8">
        <f>Lektionen[[#This Row],[Bearbeitungsdauer_real]]/Lektionen[[#This Row],[Bearbeitungsdauer_geschätzt]]-1</f>
        <v>-0.19999999999999996</v>
      </c>
      <c r="H896" s="8" t="str" cm="1">
        <f t="array" ref="H896">_xlfn.IFS(Lektionen[[#This Row],[Bearbeitungsdauer_abgewichen]]&gt;0.6,"viel länger",Lektionen[[#This Row],[Bearbeitungsdauer_abgewichen]]&gt;0.3,"länger",Lektionen[[#This Row],[Bearbeitungsdauer_abgewichen]]&lt;-0.3,"kürzer",TRUE,"keine Abweichung")</f>
        <v>keine Abweichung</v>
      </c>
      <c r="I896">
        <v>4</v>
      </c>
    </row>
    <row r="897" spans="1:9" hidden="1" x14ac:dyDescent="0.3">
      <c r="A897" s="13">
        <v>133</v>
      </c>
      <c r="B897" s="4">
        <v>8</v>
      </c>
      <c r="C897" t="s">
        <v>537</v>
      </c>
      <c r="D897" t="s">
        <v>527</v>
      </c>
      <c r="E897">
        <v>5</v>
      </c>
      <c r="F897">
        <v>5</v>
      </c>
      <c r="G897" s="8">
        <f>Lektionen[[#This Row],[Bearbeitungsdauer_real]]/Lektionen[[#This Row],[Bearbeitungsdauer_geschätzt]]-1</f>
        <v>0</v>
      </c>
      <c r="H897" s="8" t="str" cm="1">
        <f t="array" ref="H897">_xlfn.IFS(Lektionen[[#This Row],[Bearbeitungsdauer_abgewichen]]&gt;0.6,"viel länger",Lektionen[[#This Row],[Bearbeitungsdauer_abgewichen]]&gt;0.3,"länger",Lektionen[[#This Row],[Bearbeitungsdauer_abgewichen]]&lt;-0.3,"kürzer",TRUE,"keine Abweichung")</f>
        <v>keine Abweichung</v>
      </c>
      <c r="I897">
        <v>1</v>
      </c>
    </row>
    <row r="898" spans="1:9" hidden="1" x14ac:dyDescent="0.3">
      <c r="A898" s="13">
        <v>134</v>
      </c>
      <c r="B898" s="4">
        <v>1</v>
      </c>
      <c r="C898" t="s">
        <v>526</v>
      </c>
      <c r="D898" t="s">
        <v>527</v>
      </c>
      <c r="E898">
        <v>4</v>
      </c>
      <c r="F898">
        <v>4</v>
      </c>
      <c r="G898" s="8">
        <f>Lektionen[[#This Row],[Bearbeitungsdauer_real]]/Lektionen[[#This Row],[Bearbeitungsdauer_geschätzt]]-1</f>
        <v>0</v>
      </c>
      <c r="H898" s="8" t="str" cm="1">
        <f t="array" ref="H898">_xlfn.IFS(Lektionen[[#This Row],[Bearbeitungsdauer_abgewichen]]&gt;0.6,"viel länger",Lektionen[[#This Row],[Bearbeitungsdauer_abgewichen]]&gt;0.3,"länger",Lektionen[[#This Row],[Bearbeitungsdauer_abgewichen]]&lt;-0.3,"kürzer",TRUE,"keine Abweichung")</f>
        <v>keine Abweichung</v>
      </c>
      <c r="I898">
        <v>1</v>
      </c>
    </row>
    <row r="899" spans="1:9" hidden="1" x14ac:dyDescent="0.3">
      <c r="A899" s="13">
        <v>134</v>
      </c>
      <c r="B899" s="4">
        <v>2</v>
      </c>
      <c r="C899" t="s">
        <v>528</v>
      </c>
      <c r="D899" t="s">
        <v>529</v>
      </c>
      <c r="E899">
        <v>15</v>
      </c>
      <c r="F899">
        <v>17</v>
      </c>
      <c r="G899" s="8">
        <f>Lektionen[[#This Row],[Bearbeitungsdauer_real]]/Lektionen[[#This Row],[Bearbeitungsdauer_geschätzt]]-1</f>
        <v>0.1333333333333333</v>
      </c>
      <c r="H899" s="8" t="str" cm="1">
        <f t="array" ref="H899">_xlfn.IFS(Lektionen[[#This Row],[Bearbeitungsdauer_abgewichen]]&gt;0.6,"viel länger",Lektionen[[#This Row],[Bearbeitungsdauer_abgewichen]]&gt;0.3,"länger",Lektionen[[#This Row],[Bearbeitungsdauer_abgewichen]]&lt;-0.3,"kürzer",TRUE,"keine Abweichung")</f>
        <v>keine Abweichung</v>
      </c>
      <c r="I899">
        <v>1</v>
      </c>
    </row>
    <row r="900" spans="1:9" hidden="1" x14ac:dyDescent="0.3">
      <c r="A900" s="13">
        <v>134</v>
      </c>
      <c r="B900" s="4">
        <v>3</v>
      </c>
      <c r="C900" t="s">
        <v>552</v>
      </c>
      <c r="D900" t="s">
        <v>530</v>
      </c>
      <c r="E900">
        <v>30</v>
      </c>
      <c r="F900">
        <v>28</v>
      </c>
      <c r="G900" s="8">
        <f>Lektionen[[#This Row],[Bearbeitungsdauer_real]]/Lektionen[[#This Row],[Bearbeitungsdauer_geschätzt]]-1</f>
        <v>-6.6666666666666652E-2</v>
      </c>
      <c r="H900" s="8" t="str" cm="1">
        <f t="array" ref="H900">_xlfn.IFS(Lektionen[[#This Row],[Bearbeitungsdauer_abgewichen]]&gt;0.6,"viel länger",Lektionen[[#This Row],[Bearbeitungsdauer_abgewichen]]&gt;0.3,"länger",Lektionen[[#This Row],[Bearbeitungsdauer_abgewichen]]&lt;-0.3,"kürzer",TRUE,"keine Abweichung")</f>
        <v>keine Abweichung</v>
      </c>
      <c r="I900">
        <v>2</v>
      </c>
    </row>
    <row r="901" spans="1:9" hidden="1" x14ac:dyDescent="0.3">
      <c r="A901" s="13">
        <v>134</v>
      </c>
      <c r="B901" s="4">
        <v>4</v>
      </c>
      <c r="C901" t="s">
        <v>531</v>
      </c>
      <c r="D901" t="s">
        <v>530</v>
      </c>
      <c r="E901">
        <v>30</v>
      </c>
      <c r="F901">
        <v>27</v>
      </c>
      <c r="G901" s="8">
        <f>Lektionen[[#This Row],[Bearbeitungsdauer_real]]/Lektionen[[#This Row],[Bearbeitungsdauer_geschätzt]]-1</f>
        <v>-9.9999999999999978E-2</v>
      </c>
      <c r="H901" s="8" t="str" cm="1">
        <f t="array" ref="H901">_xlfn.IFS(Lektionen[[#This Row],[Bearbeitungsdauer_abgewichen]]&gt;0.6,"viel länger",Lektionen[[#This Row],[Bearbeitungsdauer_abgewichen]]&gt;0.3,"länger",Lektionen[[#This Row],[Bearbeitungsdauer_abgewichen]]&lt;-0.3,"kürzer",TRUE,"keine Abweichung")</f>
        <v>keine Abweichung</v>
      </c>
      <c r="I901">
        <v>3</v>
      </c>
    </row>
    <row r="902" spans="1:9" x14ac:dyDescent="0.3">
      <c r="A902" s="13">
        <v>134</v>
      </c>
      <c r="B902" s="4">
        <v>5</v>
      </c>
      <c r="C902" t="s">
        <v>532</v>
      </c>
      <c r="D902" t="s">
        <v>530</v>
      </c>
      <c r="E902">
        <v>30</v>
      </c>
      <c r="F902">
        <v>46</v>
      </c>
      <c r="G902" s="8">
        <f>Lektionen[[#This Row],[Bearbeitungsdauer_real]]/Lektionen[[#This Row],[Bearbeitungsdauer_geschätzt]]-1</f>
        <v>0.53333333333333344</v>
      </c>
      <c r="H902" s="8" t="str" cm="1">
        <f t="array" ref="H902">_xlfn.IFS(Lektionen[[#This Row],[Bearbeitungsdauer_abgewichen]]&gt;0.6,"viel länger",Lektionen[[#This Row],[Bearbeitungsdauer_abgewichen]]&gt;0.3,"länger",Lektionen[[#This Row],[Bearbeitungsdauer_abgewichen]]&lt;-0.3,"kürzer",TRUE,"keine Abweichung")</f>
        <v>länger</v>
      </c>
      <c r="I902">
        <v>4</v>
      </c>
    </row>
    <row r="903" spans="1:9" hidden="1" x14ac:dyDescent="0.3">
      <c r="A903" s="13">
        <v>134</v>
      </c>
      <c r="B903" s="4">
        <v>6</v>
      </c>
      <c r="C903" t="s">
        <v>533</v>
      </c>
      <c r="D903" t="s">
        <v>534</v>
      </c>
      <c r="E903">
        <v>5</v>
      </c>
      <c r="F903">
        <v>2</v>
      </c>
      <c r="G903" s="8">
        <f>Lektionen[[#This Row],[Bearbeitungsdauer_real]]/Lektionen[[#This Row],[Bearbeitungsdauer_geschätzt]]-1</f>
        <v>-0.6</v>
      </c>
      <c r="H903" s="8" t="str" cm="1">
        <f t="array" ref="H903">_xlfn.IFS(Lektionen[[#This Row],[Bearbeitungsdauer_abgewichen]]&gt;0.6,"viel länger",Lektionen[[#This Row],[Bearbeitungsdauer_abgewichen]]&gt;0.3,"länger",Lektionen[[#This Row],[Bearbeitungsdauer_abgewichen]]&lt;-0.3,"kürzer",TRUE,"keine Abweichung")</f>
        <v>kürzer</v>
      </c>
      <c r="I903">
        <v>1</v>
      </c>
    </row>
    <row r="904" spans="1:9" hidden="1" x14ac:dyDescent="0.3">
      <c r="A904" s="13">
        <v>134</v>
      </c>
      <c r="B904" s="4">
        <v>7</v>
      </c>
      <c r="C904" t="s">
        <v>535</v>
      </c>
      <c r="D904" t="s">
        <v>536</v>
      </c>
      <c r="E904">
        <v>10</v>
      </c>
      <c r="F904">
        <v>9</v>
      </c>
      <c r="G904" s="8">
        <f>Lektionen[[#This Row],[Bearbeitungsdauer_real]]/Lektionen[[#This Row],[Bearbeitungsdauer_geschätzt]]-1</f>
        <v>-9.9999999999999978E-2</v>
      </c>
      <c r="H904" s="8" t="str" cm="1">
        <f t="array" ref="H904">_xlfn.IFS(Lektionen[[#This Row],[Bearbeitungsdauer_abgewichen]]&gt;0.6,"viel länger",Lektionen[[#This Row],[Bearbeitungsdauer_abgewichen]]&gt;0.3,"länger",Lektionen[[#This Row],[Bearbeitungsdauer_abgewichen]]&lt;-0.3,"kürzer",TRUE,"keine Abweichung")</f>
        <v>keine Abweichung</v>
      </c>
      <c r="I904">
        <v>3</v>
      </c>
    </row>
    <row r="905" spans="1:9" hidden="1" x14ac:dyDescent="0.3">
      <c r="A905" s="13">
        <v>134</v>
      </c>
      <c r="B905" s="4">
        <v>8</v>
      </c>
      <c r="C905" t="s">
        <v>537</v>
      </c>
      <c r="D905" t="s">
        <v>527</v>
      </c>
      <c r="E905">
        <v>5</v>
      </c>
      <c r="F905">
        <v>8</v>
      </c>
      <c r="G905" s="8">
        <f>Lektionen[[#This Row],[Bearbeitungsdauer_real]]/Lektionen[[#This Row],[Bearbeitungsdauer_geschätzt]]-1</f>
        <v>0.60000000000000009</v>
      </c>
      <c r="H905" s="8" t="str" cm="1">
        <f t="array" ref="H905">_xlfn.IFS(Lektionen[[#This Row],[Bearbeitungsdauer_abgewichen]]&gt;0.6,"viel länger",Lektionen[[#This Row],[Bearbeitungsdauer_abgewichen]]&gt;0.3,"länger",Lektionen[[#This Row],[Bearbeitungsdauer_abgewichen]]&lt;-0.3,"kürzer",TRUE,"keine Abweichung")</f>
        <v>länger</v>
      </c>
      <c r="I905">
        <v>1</v>
      </c>
    </row>
    <row r="906" spans="1:9" hidden="1" x14ac:dyDescent="0.3">
      <c r="A906" s="13">
        <v>136</v>
      </c>
      <c r="B906" s="4">
        <v>1</v>
      </c>
      <c r="C906" t="s">
        <v>526</v>
      </c>
      <c r="D906" t="s">
        <v>527</v>
      </c>
      <c r="E906">
        <v>4</v>
      </c>
      <c r="F906">
        <v>4</v>
      </c>
      <c r="G906" s="8">
        <f>Lektionen[[#This Row],[Bearbeitungsdauer_real]]/Lektionen[[#This Row],[Bearbeitungsdauer_geschätzt]]-1</f>
        <v>0</v>
      </c>
      <c r="H906" s="8" t="str" cm="1">
        <f t="array" ref="H906">_xlfn.IFS(Lektionen[[#This Row],[Bearbeitungsdauer_abgewichen]]&gt;0.6,"viel länger",Lektionen[[#This Row],[Bearbeitungsdauer_abgewichen]]&gt;0.3,"länger",Lektionen[[#This Row],[Bearbeitungsdauer_abgewichen]]&lt;-0.3,"kürzer",TRUE,"keine Abweichung")</f>
        <v>keine Abweichung</v>
      </c>
      <c r="I906">
        <v>1</v>
      </c>
    </row>
    <row r="907" spans="1:9" hidden="1" x14ac:dyDescent="0.3">
      <c r="A907" s="13">
        <v>136</v>
      </c>
      <c r="B907" s="4">
        <v>2</v>
      </c>
      <c r="C907" t="s">
        <v>528</v>
      </c>
      <c r="D907" t="s">
        <v>529</v>
      </c>
      <c r="E907">
        <v>15</v>
      </c>
      <c r="F907">
        <v>20</v>
      </c>
      <c r="G907" s="8">
        <f>Lektionen[[#This Row],[Bearbeitungsdauer_real]]/Lektionen[[#This Row],[Bearbeitungsdauer_geschätzt]]-1</f>
        <v>0.33333333333333326</v>
      </c>
      <c r="H907" s="8" t="str" cm="1">
        <f t="array" ref="H907">_xlfn.IFS(Lektionen[[#This Row],[Bearbeitungsdauer_abgewichen]]&gt;0.6,"viel länger",Lektionen[[#This Row],[Bearbeitungsdauer_abgewichen]]&gt;0.3,"länger",Lektionen[[#This Row],[Bearbeitungsdauer_abgewichen]]&lt;-0.3,"kürzer",TRUE,"keine Abweichung")</f>
        <v>länger</v>
      </c>
      <c r="I907">
        <v>2</v>
      </c>
    </row>
    <row r="908" spans="1:9" hidden="1" x14ac:dyDescent="0.3">
      <c r="A908" s="13">
        <v>136</v>
      </c>
      <c r="B908" s="4">
        <v>3</v>
      </c>
      <c r="C908" t="s">
        <v>552</v>
      </c>
      <c r="D908" t="s">
        <v>530</v>
      </c>
      <c r="E908">
        <v>30</v>
      </c>
      <c r="F908">
        <v>39</v>
      </c>
      <c r="G908" s="8">
        <f>Lektionen[[#This Row],[Bearbeitungsdauer_real]]/Lektionen[[#This Row],[Bearbeitungsdauer_geschätzt]]-1</f>
        <v>0.30000000000000004</v>
      </c>
      <c r="H908" s="8" t="str" cm="1">
        <f t="array" ref="H908">_xlfn.IFS(Lektionen[[#This Row],[Bearbeitungsdauer_abgewichen]]&gt;0.6,"viel länger",Lektionen[[#This Row],[Bearbeitungsdauer_abgewichen]]&gt;0.3,"länger",Lektionen[[#This Row],[Bearbeitungsdauer_abgewichen]]&lt;-0.3,"kürzer",TRUE,"keine Abweichung")</f>
        <v>keine Abweichung</v>
      </c>
      <c r="I908">
        <v>3</v>
      </c>
    </row>
    <row r="909" spans="1:9" hidden="1" x14ac:dyDescent="0.3">
      <c r="A909" s="13">
        <v>136</v>
      </c>
      <c r="B909" s="4">
        <v>4</v>
      </c>
      <c r="C909" t="s">
        <v>531</v>
      </c>
      <c r="D909" t="s">
        <v>530</v>
      </c>
      <c r="E909">
        <v>30</v>
      </c>
      <c r="F909">
        <v>37</v>
      </c>
      <c r="G909" s="8">
        <f>Lektionen[[#This Row],[Bearbeitungsdauer_real]]/Lektionen[[#This Row],[Bearbeitungsdauer_geschätzt]]-1</f>
        <v>0.23333333333333339</v>
      </c>
      <c r="H909" s="8" t="str" cm="1">
        <f t="array" ref="H909">_xlfn.IFS(Lektionen[[#This Row],[Bearbeitungsdauer_abgewichen]]&gt;0.6,"viel länger",Lektionen[[#This Row],[Bearbeitungsdauer_abgewichen]]&gt;0.3,"länger",Lektionen[[#This Row],[Bearbeitungsdauer_abgewichen]]&lt;-0.3,"kürzer",TRUE,"keine Abweichung")</f>
        <v>keine Abweichung</v>
      </c>
      <c r="I909">
        <v>2</v>
      </c>
    </row>
    <row r="910" spans="1:9" x14ac:dyDescent="0.3">
      <c r="A910" s="13">
        <v>136</v>
      </c>
      <c r="B910" s="4">
        <v>5</v>
      </c>
      <c r="C910" t="s">
        <v>532</v>
      </c>
      <c r="D910" t="s">
        <v>530</v>
      </c>
      <c r="E910">
        <v>30</v>
      </c>
      <c r="F910">
        <v>50</v>
      </c>
      <c r="G910" s="8">
        <f>Lektionen[[#This Row],[Bearbeitungsdauer_real]]/Lektionen[[#This Row],[Bearbeitungsdauer_geschätzt]]-1</f>
        <v>0.66666666666666674</v>
      </c>
      <c r="H910" s="8" t="str" cm="1">
        <f t="array" ref="H910">_xlfn.IFS(Lektionen[[#This Row],[Bearbeitungsdauer_abgewichen]]&gt;0.6,"viel länger",Lektionen[[#This Row],[Bearbeitungsdauer_abgewichen]]&gt;0.3,"länger",Lektionen[[#This Row],[Bearbeitungsdauer_abgewichen]]&lt;-0.3,"kürzer",TRUE,"keine Abweichung")</f>
        <v>viel länger</v>
      </c>
      <c r="I910">
        <v>4</v>
      </c>
    </row>
    <row r="911" spans="1:9" hidden="1" x14ac:dyDescent="0.3">
      <c r="A911" s="13">
        <v>136</v>
      </c>
      <c r="B911" s="4">
        <v>6</v>
      </c>
      <c r="C911" t="s">
        <v>533</v>
      </c>
      <c r="D911" t="s">
        <v>534</v>
      </c>
      <c r="E911">
        <v>5</v>
      </c>
      <c r="F911">
        <v>3</v>
      </c>
      <c r="G911" s="8">
        <f>Lektionen[[#This Row],[Bearbeitungsdauer_real]]/Lektionen[[#This Row],[Bearbeitungsdauer_geschätzt]]-1</f>
        <v>-0.4</v>
      </c>
      <c r="H911" s="8" t="str" cm="1">
        <f t="array" ref="H911">_xlfn.IFS(Lektionen[[#This Row],[Bearbeitungsdauer_abgewichen]]&gt;0.6,"viel länger",Lektionen[[#This Row],[Bearbeitungsdauer_abgewichen]]&gt;0.3,"länger",Lektionen[[#This Row],[Bearbeitungsdauer_abgewichen]]&lt;-0.3,"kürzer",TRUE,"keine Abweichung")</f>
        <v>kürzer</v>
      </c>
      <c r="I911">
        <v>2</v>
      </c>
    </row>
    <row r="912" spans="1:9" hidden="1" x14ac:dyDescent="0.3">
      <c r="A912" s="13">
        <v>136</v>
      </c>
      <c r="B912" s="4">
        <v>7</v>
      </c>
      <c r="C912" t="s">
        <v>535</v>
      </c>
      <c r="D912" t="s">
        <v>536</v>
      </c>
      <c r="E912">
        <v>10</v>
      </c>
      <c r="F912">
        <v>8</v>
      </c>
      <c r="G912" s="8">
        <f>Lektionen[[#This Row],[Bearbeitungsdauer_real]]/Lektionen[[#This Row],[Bearbeitungsdauer_geschätzt]]-1</f>
        <v>-0.19999999999999996</v>
      </c>
      <c r="H912" s="8" t="str" cm="1">
        <f t="array" ref="H912">_xlfn.IFS(Lektionen[[#This Row],[Bearbeitungsdauer_abgewichen]]&gt;0.6,"viel länger",Lektionen[[#This Row],[Bearbeitungsdauer_abgewichen]]&gt;0.3,"länger",Lektionen[[#This Row],[Bearbeitungsdauer_abgewichen]]&lt;-0.3,"kürzer",TRUE,"keine Abweichung")</f>
        <v>keine Abweichung</v>
      </c>
      <c r="I912">
        <v>4</v>
      </c>
    </row>
    <row r="913" spans="1:9" hidden="1" x14ac:dyDescent="0.3">
      <c r="A913" s="13">
        <v>136</v>
      </c>
      <c r="B913" s="4">
        <v>8</v>
      </c>
      <c r="C913" t="s">
        <v>537</v>
      </c>
      <c r="D913" t="s">
        <v>527</v>
      </c>
      <c r="E913">
        <v>5</v>
      </c>
      <c r="F913">
        <v>5</v>
      </c>
      <c r="G913" s="8">
        <f>Lektionen[[#This Row],[Bearbeitungsdauer_real]]/Lektionen[[#This Row],[Bearbeitungsdauer_geschätzt]]-1</f>
        <v>0</v>
      </c>
      <c r="H913" s="8" t="str" cm="1">
        <f t="array" ref="H913">_xlfn.IFS(Lektionen[[#This Row],[Bearbeitungsdauer_abgewichen]]&gt;0.6,"viel länger",Lektionen[[#This Row],[Bearbeitungsdauer_abgewichen]]&gt;0.3,"länger",Lektionen[[#This Row],[Bearbeitungsdauer_abgewichen]]&lt;-0.3,"kürzer",TRUE,"keine Abweichung")</f>
        <v>keine Abweichung</v>
      </c>
      <c r="I913">
        <v>1</v>
      </c>
    </row>
    <row r="914" spans="1:9" hidden="1" x14ac:dyDescent="0.3">
      <c r="A914" s="13">
        <v>137</v>
      </c>
      <c r="B914" s="4">
        <v>1</v>
      </c>
      <c r="C914" t="s">
        <v>526</v>
      </c>
      <c r="D914" t="s">
        <v>527</v>
      </c>
      <c r="E914">
        <v>4</v>
      </c>
      <c r="F914">
        <v>4</v>
      </c>
      <c r="G914" s="8">
        <f>Lektionen[[#This Row],[Bearbeitungsdauer_real]]/Lektionen[[#This Row],[Bearbeitungsdauer_geschätzt]]-1</f>
        <v>0</v>
      </c>
      <c r="H914" s="8" t="str" cm="1">
        <f t="array" ref="H914">_xlfn.IFS(Lektionen[[#This Row],[Bearbeitungsdauer_abgewichen]]&gt;0.6,"viel länger",Lektionen[[#This Row],[Bearbeitungsdauer_abgewichen]]&gt;0.3,"länger",Lektionen[[#This Row],[Bearbeitungsdauer_abgewichen]]&lt;-0.3,"kürzer",TRUE,"keine Abweichung")</f>
        <v>keine Abweichung</v>
      </c>
      <c r="I914">
        <v>1</v>
      </c>
    </row>
    <row r="915" spans="1:9" hidden="1" x14ac:dyDescent="0.3">
      <c r="A915" s="13">
        <v>137</v>
      </c>
      <c r="B915" s="4">
        <v>2</v>
      </c>
      <c r="C915" t="s">
        <v>528</v>
      </c>
      <c r="D915" t="s">
        <v>529</v>
      </c>
      <c r="E915">
        <v>15</v>
      </c>
      <c r="F915">
        <v>18</v>
      </c>
      <c r="G915" s="8">
        <f>Lektionen[[#This Row],[Bearbeitungsdauer_real]]/Lektionen[[#This Row],[Bearbeitungsdauer_geschätzt]]-1</f>
        <v>0.19999999999999996</v>
      </c>
      <c r="H915" s="8" t="str" cm="1">
        <f t="array" ref="H915">_xlfn.IFS(Lektionen[[#This Row],[Bearbeitungsdauer_abgewichen]]&gt;0.6,"viel länger",Lektionen[[#This Row],[Bearbeitungsdauer_abgewichen]]&gt;0.3,"länger",Lektionen[[#This Row],[Bearbeitungsdauer_abgewichen]]&lt;-0.3,"kürzer",TRUE,"keine Abweichung")</f>
        <v>keine Abweichung</v>
      </c>
      <c r="I915">
        <v>1</v>
      </c>
    </row>
    <row r="916" spans="1:9" hidden="1" x14ac:dyDescent="0.3">
      <c r="A916" s="13">
        <v>137</v>
      </c>
      <c r="B916" s="4">
        <v>3</v>
      </c>
      <c r="C916" t="s">
        <v>552</v>
      </c>
      <c r="D916" t="s">
        <v>530</v>
      </c>
      <c r="E916">
        <v>30</v>
      </c>
      <c r="F916">
        <v>30</v>
      </c>
      <c r="G916" s="8">
        <f>Lektionen[[#This Row],[Bearbeitungsdauer_real]]/Lektionen[[#This Row],[Bearbeitungsdauer_geschätzt]]-1</f>
        <v>0</v>
      </c>
      <c r="H916" s="8" t="str" cm="1">
        <f t="array" ref="H916">_xlfn.IFS(Lektionen[[#This Row],[Bearbeitungsdauer_abgewichen]]&gt;0.6,"viel länger",Lektionen[[#This Row],[Bearbeitungsdauer_abgewichen]]&gt;0.3,"länger",Lektionen[[#This Row],[Bearbeitungsdauer_abgewichen]]&lt;-0.3,"kürzer",TRUE,"keine Abweichung")</f>
        <v>keine Abweichung</v>
      </c>
      <c r="I916">
        <v>2</v>
      </c>
    </row>
    <row r="917" spans="1:9" hidden="1" x14ac:dyDescent="0.3">
      <c r="A917" s="13">
        <v>137</v>
      </c>
      <c r="B917" s="4">
        <v>4</v>
      </c>
      <c r="C917" t="s">
        <v>531</v>
      </c>
      <c r="D917" t="s">
        <v>530</v>
      </c>
      <c r="E917">
        <v>30</v>
      </c>
      <c r="F917">
        <v>23</v>
      </c>
      <c r="G917" s="8">
        <f>Lektionen[[#This Row],[Bearbeitungsdauer_real]]/Lektionen[[#This Row],[Bearbeitungsdauer_geschätzt]]-1</f>
        <v>-0.23333333333333328</v>
      </c>
      <c r="H917" s="8" t="str" cm="1">
        <f t="array" ref="H917">_xlfn.IFS(Lektionen[[#This Row],[Bearbeitungsdauer_abgewichen]]&gt;0.6,"viel länger",Lektionen[[#This Row],[Bearbeitungsdauer_abgewichen]]&gt;0.3,"länger",Lektionen[[#This Row],[Bearbeitungsdauer_abgewichen]]&lt;-0.3,"kürzer",TRUE,"keine Abweichung")</f>
        <v>keine Abweichung</v>
      </c>
      <c r="I917">
        <v>3</v>
      </c>
    </row>
    <row r="918" spans="1:9" x14ac:dyDescent="0.3">
      <c r="A918" s="13">
        <v>137</v>
      </c>
      <c r="B918" s="4">
        <v>5</v>
      </c>
      <c r="C918" t="s">
        <v>532</v>
      </c>
      <c r="D918" t="s">
        <v>530</v>
      </c>
      <c r="E918">
        <v>30</v>
      </c>
      <c r="F918">
        <v>49</v>
      </c>
      <c r="G918" s="8">
        <f>Lektionen[[#This Row],[Bearbeitungsdauer_real]]/Lektionen[[#This Row],[Bearbeitungsdauer_geschätzt]]-1</f>
        <v>0.6333333333333333</v>
      </c>
      <c r="H918" s="8" t="str" cm="1">
        <f t="array" ref="H918">_xlfn.IFS(Lektionen[[#This Row],[Bearbeitungsdauer_abgewichen]]&gt;0.6,"viel länger",Lektionen[[#This Row],[Bearbeitungsdauer_abgewichen]]&gt;0.3,"länger",Lektionen[[#This Row],[Bearbeitungsdauer_abgewichen]]&lt;-0.3,"kürzer",TRUE,"keine Abweichung")</f>
        <v>viel länger</v>
      </c>
      <c r="I918">
        <v>4</v>
      </c>
    </row>
    <row r="919" spans="1:9" hidden="1" x14ac:dyDescent="0.3">
      <c r="A919" s="13">
        <v>137</v>
      </c>
      <c r="B919" s="4">
        <v>6</v>
      </c>
      <c r="C919" t="s">
        <v>533</v>
      </c>
      <c r="D919" t="s">
        <v>534</v>
      </c>
      <c r="E919">
        <v>5</v>
      </c>
      <c r="F919">
        <v>1</v>
      </c>
      <c r="G919" s="8">
        <f>Lektionen[[#This Row],[Bearbeitungsdauer_real]]/Lektionen[[#This Row],[Bearbeitungsdauer_geschätzt]]-1</f>
        <v>-0.8</v>
      </c>
      <c r="H919" s="8" t="str" cm="1">
        <f t="array" ref="H919">_xlfn.IFS(Lektionen[[#This Row],[Bearbeitungsdauer_abgewichen]]&gt;0.6,"viel länger",Lektionen[[#This Row],[Bearbeitungsdauer_abgewichen]]&gt;0.3,"länger",Lektionen[[#This Row],[Bearbeitungsdauer_abgewichen]]&lt;-0.3,"kürzer",TRUE,"keine Abweichung")</f>
        <v>kürzer</v>
      </c>
      <c r="I919">
        <v>2</v>
      </c>
    </row>
    <row r="920" spans="1:9" hidden="1" x14ac:dyDescent="0.3">
      <c r="A920" s="13">
        <v>137</v>
      </c>
      <c r="B920" s="4">
        <v>7</v>
      </c>
      <c r="C920" t="s">
        <v>535</v>
      </c>
      <c r="D920" t="s">
        <v>536</v>
      </c>
      <c r="E920">
        <v>10</v>
      </c>
      <c r="F920">
        <v>9</v>
      </c>
      <c r="G920" s="8">
        <f>Lektionen[[#This Row],[Bearbeitungsdauer_real]]/Lektionen[[#This Row],[Bearbeitungsdauer_geschätzt]]-1</f>
        <v>-9.9999999999999978E-2</v>
      </c>
      <c r="H920" s="8" t="str" cm="1">
        <f t="array" ref="H920">_xlfn.IFS(Lektionen[[#This Row],[Bearbeitungsdauer_abgewichen]]&gt;0.6,"viel länger",Lektionen[[#This Row],[Bearbeitungsdauer_abgewichen]]&gt;0.3,"länger",Lektionen[[#This Row],[Bearbeitungsdauer_abgewichen]]&lt;-0.3,"kürzer",TRUE,"keine Abweichung")</f>
        <v>keine Abweichung</v>
      </c>
      <c r="I920">
        <v>3</v>
      </c>
    </row>
    <row r="921" spans="1:9" hidden="1" x14ac:dyDescent="0.3">
      <c r="A921" s="13">
        <v>137</v>
      </c>
      <c r="B921" s="4">
        <v>8</v>
      </c>
      <c r="C921" t="s">
        <v>537</v>
      </c>
      <c r="D921" t="s">
        <v>527</v>
      </c>
      <c r="E921">
        <v>5</v>
      </c>
      <c r="F921">
        <v>5</v>
      </c>
      <c r="G921" s="8">
        <f>Lektionen[[#This Row],[Bearbeitungsdauer_real]]/Lektionen[[#This Row],[Bearbeitungsdauer_geschätzt]]-1</f>
        <v>0</v>
      </c>
      <c r="H921" s="8" t="str" cm="1">
        <f t="array" ref="H921">_xlfn.IFS(Lektionen[[#This Row],[Bearbeitungsdauer_abgewichen]]&gt;0.6,"viel länger",Lektionen[[#This Row],[Bearbeitungsdauer_abgewichen]]&gt;0.3,"länger",Lektionen[[#This Row],[Bearbeitungsdauer_abgewichen]]&lt;-0.3,"kürzer",TRUE,"keine Abweichung")</f>
        <v>keine Abweichung</v>
      </c>
      <c r="I921">
        <v>1</v>
      </c>
    </row>
    <row r="922" spans="1:9" hidden="1" x14ac:dyDescent="0.3">
      <c r="A922" s="13">
        <v>138</v>
      </c>
      <c r="B922" s="4">
        <v>1</v>
      </c>
      <c r="C922" t="s">
        <v>526</v>
      </c>
      <c r="D922" t="s">
        <v>527</v>
      </c>
      <c r="E922">
        <v>4</v>
      </c>
      <c r="F922">
        <v>4</v>
      </c>
      <c r="G922" s="8">
        <f>Lektionen[[#This Row],[Bearbeitungsdauer_real]]/Lektionen[[#This Row],[Bearbeitungsdauer_geschätzt]]-1</f>
        <v>0</v>
      </c>
      <c r="H922" s="8" t="str" cm="1">
        <f t="array" ref="H922">_xlfn.IFS(Lektionen[[#This Row],[Bearbeitungsdauer_abgewichen]]&gt;0.6,"viel länger",Lektionen[[#This Row],[Bearbeitungsdauer_abgewichen]]&gt;0.3,"länger",Lektionen[[#This Row],[Bearbeitungsdauer_abgewichen]]&lt;-0.3,"kürzer",TRUE,"keine Abweichung")</f>
        <v>keine Abweichung</v>
      </c>
      <c r="I922">
        <v>1</v>
      </c>
    </row>
    <row r="923" spans="1:9" hidden="1" x14ac:dyDescent="0.3">
      <c r="A923" s="13">
        <v>138</v>
      </c>
      <c r="B923" s="4">
        <v>2</v>
      </c>
      <c r="C923" t="s">
        <v>528</v>
      </c>
      <c r="D923" t="s">
        <v>529</v>
      </c>
      <c r="E923">
        <v>15</v>
      </c>
      <c r="F923">
        <v>15</v>
      </c>
      <c r="G923" s="8">
        <f>Lektionen[[#This Row],[Bearbeitungsdauer_real]]/Lektionen[[#This Row],[Bearbeitungsdauer_geschätzt]]-1</f>
        <v>0</v>
      </c>
      <c r="H923" s="8" t="str" cm="1">
        <f t="array" ref="H923">_xlfn.IFS(Lektionen[[#This Row],[Bearbeitungsdauer_abgewichen]]&gt;0.6,"viel länger",Lektionen[[#This Row],[Bearbeitungsdauer_abgewichen]]&gt;0.3,"länger",Lektionen[[#This Row],[Bearbeitungsdauer_abgewichen]]&lt;-0.3,"kürzer",TRUE,"keine Abweichung")</f>
        <v>keine Abweichung</v>
      </c>
      <c r="I923">
        <v>1</v>
      </c>
    </row>
    <row r="924" spans="1:9" hidden="1" x14ac:dyDescent="0.3">
      <c r="A924" s="13">
        <v>138</v>
      </c>
      <c r="B924" s="4">
        <v>3</v>
      </c>
      <c r="C924" t="s">
        <v>552</v>
      </c>
      <c r="D924" t="s">
        <v>530</v>
      </c>
      <c r="E924">
        <v>30</v>
      </c>
      <c r="F924">
        <v>35</v>
      </c>
      <c r="G924" s="8">
        <f>Lektionen[[#This Row],[Bearbeitungsdauer_real]]/Lektionen[[#This Row],[Bearbeitungsdauer_geschätzt]]-1</f>
        <v>0.16666666666666674</v>
      </c>
      <c r="H924" s="8" t="str" cm="1">
        <f t="array" ref="H924">_xlfn.IFS(Lektionen[[#This Row],[Bearbeitungsdauer_abgewichen]]&gt;0.6,"viel länger",Lektionen[[#This Row],[Bearbeitungsdauer_abgewichen]]&gt;0.3,"länger",Lektionen[[#This Row],[Bearbeitungsdauer_abgewichen]]&lt;-0.3,"kürzer",TRUE,"keine Abweichung")</f>
        <v>keine Abweichung</v>
      </c>
      <c r="I924">
        <v>2</v>
      </c>
    </row>
    <row r="925" spans="1:9" hidden="1" x14ac:dyDescent="0.3">
      <c r="A925" s="13">
        <v>138</v>
      </c>
      <c r="B925" s="4">
        <v>4</v>
      </c>
      <c r="C925" t="s">
        <v>531</v>
      </c>
      <c r="D925" t="s">
        <v>530</v>
      </c>
      <c r="E925">
        <v>30</v>
      </c>
      <c r="F925">
        <v>32</v>
      </c>
      <c r="G925" s="8">
        <f>Lektionen[[#This Row],[Bearbeitungsdauer_real]]/Lektionen[[#This Row],[Bearbeitungsdauer_geschätzt]]-1</f>
        <v>6.6666666666666652E-2</v>
      </c>
      <c r="H925" s="8" t="str" cm="1">
        <f t="array" ref="H925">_xlfn.IFS(Lektionen[[#This Row],[Bearbeitungsdauer_abgewichen]]&gt;0.6,"viel länger",Lektionen[[#This Row],[Bearbeitungsdauer_abgewichen]]&gt;0.3,"länger",Lektionen[[#This Row],[Bearbeitungsdauer_abgewichen]]&lt;-0.3,"kürzer",TRUE,"keine Abweichung")</f>
        <v>keine Abweichung</v>
      </c>
      <c r="I925">
        <v>3</v>
      </c>
    </row>
    <row r="926" spans="1:9" x14ac:dyDescent="0.3">
      <c r="A926" s="13">
        <v>138</v>
      </c>
      <c r="B926" s="4">
        <v>5</v>
      </c>
      <c r="C926" t="s">
        <v>532</v>
      </c>
      <c r="D926" t="s">
        <v>530</v>
      </c>
      <c r="E926">
        <v>30</v>
      </c>
      <c r="F926">
        <v>44</v>
      </c>
      <c r="G926" s="8">
        <f>Lektionen[[#This Row],[Bearbeitungsdauer_real]]/Lektionen[[#This Row],[Bearbeitungsdauer_geschätzt]]-1</f>
        <v>0.46666666666666656</v>
      </c>
      <c r="H926" s="8" t="str" cm="1">
        <f t="array" ref="H926">_xlfn.IFS(Lektionen[[#This Row],[Bearbeitungsdauer_abgewichen]]&gt;0.6,"viel länger",Lektionen[[#This Row],[Bearbeitungsdauer_abgewichen]]&gt;0.3,"länger",Lektionen[[#This Row],[Bearbeitungsdauer_abgewichen]]&lt;-0.3,"kürzer",TRUE,"keine Abweichung")</f>
        <v>länger</v>
      </c>
      <c r="I926">
        <v>4</v>
      </c>
    </row>
    <row r="927" spans="1:9" hidden="1" x14ac:dyDescent="0.3">
      <c r="A927" s="13">
        <v>138</v>
      </c>
      <c r="B927" s="4">
        <v>6</v>
      </c>
      <c r="C927" t="s">
        <v>533</v>
      </c>
      <c r="D927" t="s">
        <v>534</v>
      </c>
      <c r="E927">
        <v>5</v>
      </c>
      <c r="F927">
        <v>1</v>
      </c>
      <c r="G927" s="8">
        <f>Lektionen[[#This Row],[Bearbeitungsdauer_real]]/Lektionen[[#This Row],[Bearbeitungsdauer_geschätzt]]-1</f>
        <v>-0.8</v>
      </c>
      <c r="H927" s="8" t="str" cm="1">
        <f t="array" ref="H927">_xlfn.IFS(Lektionen[[#This Row],[Bearbeitungsdauer_abgewichen]]&gt;0.6,"viel länger",Lektionen[[#This Row],[Bearbeitungsdauer_abgewichen]]&gt;0.3,"länger",Lektionen[[#This Row],[Bearbeitungsdauer_abgewichen]]&lt;-0.3,"kürzer",TRUE,"keine Abweichung")</f>
        <v>kürzer</v>
      </c>
      <c r="I927">
        <v>2</v>
      </c>
    </row>
    <row r="928" spans="1:9" hidden="1" x14ac:dyDescent="0.3">
      <c r="A928" s="13">
        <v>138</v>
      </c>
      <c r="B928" s="4">
        <v>7</v>
      </c>
      <c r="C928" t="s">
        <v>535</v>
      </c>
      <c r="D928" t="s">
        <v>536</v>
      </c>
      <c r="E928">
        <v>10</v>
      </c>
      <c r="F928">
        <v>9</v>
      </c>
      <c r="G928" s="8">
        <f>Lektionen[[#This Row],[Bearbeitungsdauer_real]]/Lektionen[[#This Row],[Bearbeitungsdauer_geschätzt]]-1</f>
        <v>-9.9999999999999978E-2</v>
      </c>
      <c r="H928" s="8" t="str" cm="1">
        <f t="array" ref="H928">_xlfn.IFS(Lektionen[[#This Row],[Bearbeitungsdauer_abgewichen]]&gt;0.6,"viel länger",Lektionen[[#This Row],[Bearbeitungsdauer_abgewichen]]&gt;0.3,"länger",Lektionen[[#This Row],[Bearbeitungsdauer_abgewichen]]&lt;-0.3,"kürzer",TRUE,"keine Abweichung")</f>
        <v>keine Abweichung</v>
      </c>
      <c r="I928">
        <v>3</v>
      </c>
    </row>
    <row r="929" spans="1:9" hidden="1" x14ac:dyDescent="0.3">
      <c r="A929" s="13">
        <v>138</v>
      </c>
      <c r="B929" s="4">
        <v>8</v>
      </c>
      <c r="C929" t="s">
        <v>537</v>
      </c>
      <c r="D929" t="s">
        <v>527</v>
      </c>
      <c r="E929">
        <v>5</v>
      </c>
      <c r="F929">
        <v>5</v>
      </c>
      <c r="G929" s="8">
        <f>Lektionen[[#This Row],[Bearbeitungsdauer_real]]/Lektionen[[#This Row],[Bearbeitungsdauer_geschätzt]]-1</f>
        <v>0</v>
      </c>
      <c r="H929" s="8" t="str" cm="1">
        <f t="array" ref="H929">_xlfn.IFS(Lektionen[[#This Row],[Bearbeitungsdauer_abgewichen]]&gt;0.6,"viel länger",Lektionen[[#This Row],[Bearbeitungsdauer_abgewichen]]&gt;0.3,"länger",Lektionen[[#This Row],[Bearbeitungsdauer_abgewichen]]&lt;-0.3,"kürzer",TRUE,"keine Abweichung")</f>
        <v>keine Abweichung</v>
      </c>
      <c r="I929">
        <v>1</v>
      </c>
    </row>
    <row r="930" spans="1:9" hidden="1" x14ac:dyDescent="0.3">
      <c r="A930" s="13">
        <v>139</v>
      </c>
      <c r="B930" s="4">
        <v>1</v>
      </c>
      <c r="C930" t="s">
        <v>526</v>
      </c>
      <c r="D930" t="s">
        <v>527</v>
      </c>
      <c r="E930">
        <v>4</v>
      </c>
      <c r="F930">
        <v>4</v>
      </c>
      <c r="G930" s="8">
        <f>Lektionen[[#This Row],[Bearbeitungsdauer_real]]/Lektionen[[#This Row],[Bearbeitungsdauer_geschätzt]]-1</f>
        <v>0</v>
      </c>
      <c r="H930" s="8" t="str" cm="1">
        <f t="array" ref="H930">_xlfn.IFS(Lektionen[[#This Row],[Bearbeitungsdauer_abgewichen]]&gt;0.6,"viel länger",Lektionen[[#This Row],[Bearbeitungsdauer_abgewichen]]&gt;0.3,"länger",Lektionen[[#This Row],[Bearbeitungsdauer_abgewichen]]&lt;-0.3,"kürzer",TRUE,"keine Abweichung")</f>
        <v>keine Abweichung</v>
      </c>
      <c r="I930">
        <v>1</v>
      </c>
    </row>
    <row r="931" spans="1:9" hidden="1" x14ac:dyDescent="0.3">
      <c r="A931" s="13">
        <v>139</v>
      </c>
      <c r="B931" s="4">
        <v>2</v>
      </c>
      <c r="C931" t="s">
        <v>528</v>
      </c>
      <c r="D931" t="s">
        <v>529</v>
      </c>
      <c r="E931">
        <v>15</v>
      </c>
      <c r="F931">
        <v>16</v>
      </c>
      <c r="G931" s="8">
        <f>Lektionen[[#This Row],[Bearbeitungsdauer_real]]/Lektionen[[#This Row],[Bearbeitungsdauer_geschätzt]]-1</f>
        <v>6.6666666666666652E-2</v>
      </c>
      <c r="H931" s="8" t="str" cm="1">
        <f t="array" ref="H931">_xlfn.IFS(Lektionen[[#This Row],[Bearbeitungsdauer_abgewichen]]&gt;0.6,"viel länger",Lektionen[[#This Row],[Bearbeitungsdauer_abgewichen]]&gt;0.3,"länger",Lektionen[[#This Row],[Bearbeitungsdauer_abgewichen]]&lt;-0.3,"kürzer",TRUE,"keine Abweichung")</f>
        <v>keine Abweichung</v>
      </c>
      <c r="I931">
        <v>1</v>
      </c>
    </row>
    <row r="932" spans="1:9" hidden="1" x14ac:dyDescent="0.3">
      <c r="A932" s="13">
        <v>139</v>
      </c>
      <c r="B932" s="4">
        <v>3</v>
      </c>
      <c r="C932" t="s">
        <v>552</v>
      </c>
      <c r="D932" t="s">
        <v>530</v>
      </c>
      <c r="E932">
        <v>30</v>
      </c>
      <c r="F932">
        <v>28</v>
      </c>
      <c r="G932" s="8">
        <f>Lektionen[[#This Row],[Bearbeitungsdauer_real]]/Lektionen[[#This Row],[Bearbeitungsdauer_geschätzt]]-1</f>
        <v>-6.6666666666666652E-2</v>
      </c>
      <c r="H932" s="8" t="str" cm="1">
        <f t="array" ref="H932">_xlfn.IFS(Lektionen[[#This Row],[Bearbeitungsdauer_abgewichen]]&gt;0.6,"viel länger",Lektionen[[#This Row],[Bearbeitungsdauer_abgewichen]]&gt;0.3,"länger",Lektionen[[#This Row],[Bearbeitungsdauer_abgewichen]]&lt;-0.3,"kürzer",TRUE,"keine Abweichung")</f>
        <v>keine Abweichung</v>
      </c>
      <c r="I932">
        <v>3</v>
      </c>
    </row>
    <row r="933" spans="1:9" hidden="1" x14ac:dyDescent="0.3">
      <c r="A933" s="13">
        <v>139</v>
      </c>
      <c r="B933" s="4">
        <v>4</v>
      </c>
      <c r="C933" t="s">
        <v>531</v>
      </c>
      <c r="D933" t="s">
        <v>530</v>
      </c>
      <c r="E933">
        <v>30</v>
      </c>
      <c r="F933">
        <v>22</v>
      </c>
      <c r="G933" s="8">
        <f>Lektionen[[#This Row],[Bearbeitungsdauer_real]]/Lektionen[[#This Row],[Bearbeitungsdauer_geschätzt]]-1</f>
        <v>-0.26666666666666672</v>
      </c>
      <c r="H933" s="8" t="str" cm="1">
        <f t="array" ref="H933">_xlfn.IFS(Lektionen[[#This Row],[Bearbeitungsdauer_abgewichen]]&gt;0.6,"viel länger",Lektionen[[#This Row],[Bearbeitungsdauer_abgewichen]]&gt;0.3,"länger",Lektionen[[#This Row],[Bearbeitungsdauer_abgewichen]]&lt;-0.3,"kürzer",TRUE,"keine Abweichung")</f>
        <v>keine Abweichung</v>
      </c>
      <c r="I933">
        <v>3</v>
      </c>
    </row>
    <row r="934" spans="1:9" x14ac:dyDescent="0.3">
      <c r="A934" s="13">
        <v>139</v>
      </c>
      <c r="B934" s="4">
        <v>5</v>
      </c>
      <c r="C934" t="s">
        <v>532</v>
      </c>
      <c r="D934" t="s">
        <v>530</v>
      </c>
      <c r="E934">
        <v>30</v>
      </c>
      <c r="F934">
        <v>44</v>
      </c>
      <c r="G934" s="8">
        <f>Lektionen[[#This Row],[Bearbeitungsdauer_real]]/Lektionen[[#This Row],[Bearbeitungsdauer_geschätzt]]-1</f>
        <v>0.46666666666666656</v>
      </c>
      <c r="H934" s="8" t="str" cm="1">
        <f t="array" ref="H934">_xlfn.IFS(Lektionen[[#This Row],[Bearbeitungsdauer_abgewichen]]&gt;0.6,"viel länger",Lektionen[[#This Row],[Bearbeitungsdauer_abgewichen]]&gt;0.3,"länger",Lektionen[[#This Row],[Bearbeitungsdauer_abgewichen]]&lt;-0.3,"kürzer",TRUE,"keine Abweichung")</f>
        <v>länger</v>
      </c>
      <c r="I934">
        <v>5</v>
      </c>
    </row>
    <row r="935" spans="1:9" hidden="1" x14ac:dyDescent="0.3">
      <c r="A935" s="13">
        <v>139</v>
      </c>
      <c r="B935" s="4">
        <v>6</v>
      </c>
      <c r="C935" t="s">
        <v>533</v>
      </c>
      <c r="D935" t="s">
        <v>534</v>
      </c>
      <c r="E935">
        <v>5</v>
      </c>
      <c r="F935">
        <v>1</v>
      </c>
      <c r="G935" s="8">
        <f>Lektionen[[#This Row],[Bearbeitungsdauer_real]]/Lektionen[[#This Row],[Bearbeitungsdauer_geschätzt]]-1</f>
        <v>-0.8</v>
      </c>
      <c r="H935" s="8" t="str" cm="1">
        <f t="array" ref="H935">_xlfn.IFS(Lektionen[[#This Row],[Bearbeitungsdauer_abgewichen]]&gt;0.6,"viel länger",Lektionen[[#This Row],[Bearbeitungsdauer_abgewichen]]&gt;0.3,"länger",Lektionen[[#This Row],[Bearbeitungsdauer_abgewichen]]&lt;-0.3,"kürzer",TRUE,"keine Abweichung")</f>
        <v>kürzer</v>
      </c>
      <c r="I935">
        <v>2</v>
      </c>
    </row>
    <row r="936" spans="1:9" hidden="1" x14ac:dyDescent="0.3">
      <c r="A936" s="13">
        <v>139</v>
      </c>
      <c r="B936" s="4">
        <v>7</v>
      </c>
      <c r="C936" t="s">
        <v>535</v>
      </c>
      <c r="D936" t="s">
        <v>536</v>
      </c>
      <c r="E936">
        <v>10</v>
      </c>
      <c r="F936">
        <v>9</v>
      </c>
      <c r="G936" s="8">
        <f>Lektionen[[#This Row],[Bearbeitungsdauer_real]]/Lektionen[[#This Row],[Bearbeitungsdauer_geschätzt]]-1</f>
        <v>-9.9999999999999978E-2</v>
      </c>
      <c r="H936" s="8" t="str" cm="1">
        <f t="array" ref="H936">_xlfn.IFS(Lektionen[[#This Row],[Bearbeitungsdauer_abgewichen]]&gt;0.6,"viel länger",Lektionen[[#This Row],[Bearbeitungsdauer_abgewichen]]&gt;0.3,"länger",Lektionen[[#This Row],[Bearbeitungsdauer_abgewichen]]&lt;-0.3,"kürzer",TRUE,"keine Abweichung")</f>
        <v>keine Abweichung</v>
      </c>
      <c r="I936">
        <v>3</v>
      </c>
    </row>
    <row r="937" spans="1:9" hidden="1" x14ac:dyDescent="0.3">
      <c r="A937" s="13">
        <v>139</v>
      </c>
      <c r="B937" s="4">
        <v>8</v>
      </c>
      <c r="C937" t="s">
        <v>537</v>
      </c>
      <c r="D937" t="s">
        <v>527</v>
      </c>
      <c r="E937">
        <v>5</v>
      </c>
      <c r="F937">
        <v>5</v>
      </c>
      <c r="G937" s="8">
        <f>Lektionen[[#This Row],[Bearbeitungsdauer_real]]/Lektionen[[#This Row],[Bearbeitungsdauer_geschätzt]]-1</f>
        <v>0</v>
      </c>
      <c r="H937" s="8" t="str" cm="1">
        <f t="array" ref="H937">_xlfn.IFS(Lektionen[[#This Row],[Bearbeitungsdauer_abgewichen]]&gt;0.6,"viel länger",Lektionen[[#This Row],[Bearbeitungsdauer_abgewichen]]&gt;0.3,"länger",Lektionen[[#This Row],[Bearbeitungsdauer_abgewichen]]&lt;-0.3,"kürzer",TRUE,"keine Abweichung")</f>
        <v>keine Abweichung</v>
      </c>
      <c r="I937">
        <v>2</v>
      </c>
    </row>
    <row r="938" spans="1:9" hidden="1" x14ac:dyDescent="0.3">
      <c r="A938" s="13">
        <v>141</v>
      </c>
      <c r="B938" s="4">
        <v>1</v>
      </c>
      <c r="C938" t="s">
        <v>526</v>
      </c>
      <c r="D938" t="s">
        <v>527</v>
      </c>
      <c r="E938">
        <v>4</v>
      </c>
      <c r="F938">
        <v>4</v>
      </c>
      <c r="G938" s="8">
        <f>Lektionen[[#This Row],[Bearbeitungsdauer_real]]/Lektionen[[#This Row],[Bearbeitungsdauer_geschätzt]]-1</f>
        <v>0</v>
      </c>
      <c r="H938" s="8" t="str" cm="1">
        <f t="array" ref="H938">_xlfn.IFS(Lektionen[[#This Row],[Bearbeitungsdauer_abgewichen]]&gt;0.6,"viel länger",Lektionen[[#This Row],[Bearbeitungsdauer_abgewichen]]&gt;0.3,"länger",Lektionen[[#This Row],[Bearbeitungsdauer_abgewichen]]&lt;-0.3,"kürzer",TRUE,"keine Abweichung")</f>
        <v>keine Abweichung</v>
      </c>
      <c r="I938">
        <v>1</v>
      </c>
    </row>
    <row r="939" spans="1:9" hidden="1" x14ac:dyDescent="0.3">
      <c r="A939" s="13">
        <v>141</v>
      </c>
      <c r="B939" s="4">
        <v>2</v>
      </c>
      <c r="C939" t="s">
        <v>528</v>
      </c>
      <c r="D939" t="s">
        <v>529</v>
      </c>
      <c r="E939">
        <v>15</v>
      </c>
      <c r="F939">
        <v>21</v>
      </c>
      <c r="G939" s="8">
        <f>Lektionen[[#This Row],[Bearbeitungsdauer_real]]/Lektionen[[#This Row],[Bearbeitungsdauer_geschätzt]]-1</f>
        <v>0.39999999999999991</v>
      </c>
      <c r="H939" s="8" t="str" cm="1">
        <f t="array" ref="H939">_xlfn.IFS(Lektionen[[#This Row],[Bearbeitungsdauer_abgewichen]]&gt;0.6,"viel länger",Lektionen[[#This Row],[Bearbeitungsdauer_abgewichen]]&gt;0.3,"länger",Lektionen[[#This Row],[Bearbeitungsdauer_abgewichen]]&lt;-0.3,"kürzer",TRUE,"keine Abweichung")</f>
        <v>länger</v>
      </c>
      <c r="I939">
        <v>2</v>
      </c>
    </row>
    <row r="940" spans="1:9" hidden="1" x14ac:dyDescent="0.3">
      <c r="A940" s="13">
        <v>141</v>
      </c>
      <c r="B940" s="4">
        <v>3</v>
      </c>
      <c r="C940" t="s">
        <v>552</v>
      </c>
      <c r="D940" t="s">
        <v>530</v>
      </c>
      <c r="E940">
        <v>30</v>
      </c>
      <c r="F940">
        <v>27</v>
      </c>
      <c r="G940" s="8">
        <f>Lektionen[[#This Row],[Bearbeitungsdauer_real]]/Lektionen[[#This Row],[Bearbeitungsdauer_geschätzt]]-1</f>
        <v>-9.9999999999999978E-2</v>
      </c>
      <c r="H940" s="8" t="str" cm="1">
        <f t="array" ref="H940">_xlfn.IFS(Lektionen[[#This Row],[Bearbeitungsdauer_abgewichen]]&gt;0.6,"viel länger",Lektionen[[#This Row],[Bearbeitungsdauer_abgewichen]]&gt;0.3,"länger",Lektionen[[#This Row],[Bearbeitungsdauer_abgewichen]]&lt;-0.3,"kürzer",TRUE,"keine Abweichung")</f>
        <v>keine Abweichung</v>
      </c>
      <c r="I940">
        <v>3</v>
      </c>
    </row>
    <row r="941" spans="1:9" hidden="1" x14ac:dyDescent="0.3">
      <c r="A941" s="13">
        <v>141</v>
      </c>
      <c r="B941" s="4">
        <v>4</v>
      </c>
      <c r="C941" t="s">
        <v>531</v>
      </c>
      <c r="D941" t="s">
        <v>530</v>
      </c>
      <c r="E941">
        <v>30</v>
      </c>
      <c r="F941">
        <v>27</v>
      </c>
      <c r="G941" s="8">
        <f>Lektionen[[#This Row],[Bearbeitungsdauer_real]]/Lektionen[[#This Row],[Bearbeitungsdauer_geschätzt]]-1</f>
        <v>-9.9999999999999978E-2</v>
      </c>
      <c r="H941" s="8" t="str" cm="1">
        <f t="array" ref="H941">_xlfn.IFS(Lektionen[[#This Row],[Bearbeitungsdauer_abgewichen]]&gt;0.6,"viel länger",Lektionen[[#This Row],[Bearbeitungsdauer_abgewichen]]&gt;0.3,"länger",Lektionen[[#This Row],[Bearbeitungsdauer_abgewichen]]&lt;-0.3,"kürzer",TRUE,"keine Abweichung")</f>
        <v>keine Abweichung</v>
      </c>
      <c r="I941">
        <v>3</v>
      </c>
    </row>
    <row r="942" spans="1:9" x14ac:dyDescent="0.3">
      <c r="A942" s="13">
        <v>141</v>
      </c>
      <c r="B942" s="4">
        <v>5</v>
      </c>
      <c r="C942" t="s">
        <v>532</v>
      </c>
      <c r="D942" t="s">
        <v>530</v>
      </c>
      <c r="E942">
        <v>30</v>
      </c>
      <c r="F942">
        <v>52</v>
      </c>
      <c r="G942" s="8">
        <f>Lektionen[[#This Row],[Bearbeitungsdauer_real]]/Lektionen[[#This Row],[Bearbeitungsdauer_geschätzt]]-1</f>
        <v>0.73333333333333339</v>
      </c>
      <c r="H942" s="8" t="str" cm="1">
        <f t="array" ref="H942">_xlfn.IFS(Lektionen[[#This Row],[Bearbeitungsdauer_abgewichen]]&gt;0.6,"viel länger",Lektionen[[#This Row],[Bearbeitungsdauer_abgewichen]]&gt;0.3,"länger",Lektionen[[#This Row],[Bearbeitungsdauer_abgewichen]]&lt;-0.3,"kürzer",TRUE,"keine Abweichung")</f>
        <v>viel länger</v>
      </c>
      <c r="I942">
        <v>3</v>
      </c>
    </row>
    <row r="943" spans="1:9" hidden="1" x14ac:dyDescent="0.3">
      <c r="A943" s="13">
        <v>141</v>
      </c>
      <c r="B943" s="4">
        <v>6</v>
      </c>
      <c r="C943" t="s">
        <v>533</v>
      </c>
      <c r="D943" t="s">
        <v>534</v>
      </c>
      <c r="E943">
        <v>5</v>
      </c>
      <c r="F943">
        <v>2</v>
      </c>
      <c r="G943" s="8">
        <f>Lektionen[[#This Row],[Bearbeitungsdauer_real]]/Lektionen[[#This Row],[Bearbeitungsdauer_geschätzt]]-1</f>
        <v>-0.6</v>
      </c>
      <c r="H943" s="8" t="str" cm="1">
        <f t="array" ref="H943">_xlfn.IFS(Lektionen[[#This Row],[Bearbeitungsdauer_abgewichen]]&gt;0.6,"viel länger",Lektionen[[#This Row],[Bearbeitungsdauer_abgewichen]]&gt;0.3,"länger",Lektionen[[#This Row],[Bearbeitungsdauer_abgewichen]]&lt;-0.3,"kürzer",TRUE,"keine Abweichung")</f>
        <v>kürzer</v>
      </c>
      <c r="I943">
        <v>3</v>
      </c>
    </row>
    <row r="944" spans="1:9" hidden="1" x14ac:dyDescent="0.3">
      <c r="A944" s="13">
        <v>141</v>
      </c>
      <c r="B944" s="4">
        <v>7</v>
      </c>
      <c r="C944" t="s">
        <v>535</v>
      </c>
      <c r="D944" t="s">
        <v>536</v>
      </c>
      <c r="E944">
        <v>10</v>
      </c>
      <c r="F944">
        <v>8</v>
      </c>
      <c r="G944" s="8">
        <f>Lektionen[[#This Row],[Bearbeitungsdauer_real]]/Lektionen[[#This Row],[Bearbeitungsdauer_geschätzt]]-1</f>
        <v>-0.19999999999999996</v>
      </c>
      <c r="H944" s="8" t="str" cm="1">
        <f t="array" ref="H944">_xlfn.IFS(Lektionen[[#This Row],[Bearbeitungsdauer_abgewichen]]&gt;0.6,"viel länger",Lektionen[[#This Row],[Bearbeitungsdauer_abgewichen]]&gt;0.3,"länger",Lektionen[[#This Row],[Bearbeitungsdauer_abgewichen]]&lt;-0.3,"kürzer",TRUE,"keine Abweichung")</f>
        <v>keine Abweichung</v>
      </c>
      <c r="I944">
        <v>3</v>
      </c>
    </row>
    <row r="945" spans="1:9" hidden="1" x14ac:dyDescent="0.3">
      <c r="A945" s="13">
        <v>141</v>
      </c>
      <c r="B945" s="4">
        <v>8</v>
      </c>
      <c r="C945" t="s">
        <v>537</v>
      </c>
      <c r="D945" t="s">
        <v>527</v>
      </c>
      <c r="E945">
        <v>5</v>
      </c>
      <c r="F945">
        <v>9</v>
      </c>
      <c r="G945" s="8">
        <f>Lektionen[[#This Row],[Bearbeitungsdauer_real]]/Lektionen[[#This Row],[Bearbeitungsdauer_geschätzt]]-1</f>
        <v>0.8</v>
      </c>
      <c r="H945" s="8" t="str" cm="1">
        <f t="array" ref="H945">_xlfn.IFS(Lektionen[[#This Row],[Bearbeitungsdauer_abgewichen]]&gt;0.6,"viel länger",Lektionen[[#This Row],[Bearbeitungsdauer_abgewichen]]&gt;0.3,"länger",Lektionen[[#This Row],[Bearbeitungsdauer_abgewichen]]&lt;-0.3,"kürzer",TRUE,"keine Abweichung")</f>
        <v>viel länger</v>
      </c>
      <c r="I945">
        <v>2</v>
      </c>
    </row>
    <row r="946" spans="1:9" hidden="1" x14ac:dyDescent="0.3">
      <c r="A946" s="13">
        <v>142</v>
      </c>
      <c r="B946" s="4">
        <v>1</v>
      </c>
      <c r="C946" t="s">
        <v>526</v>
      </c>
      <c r="D946" t="s">
        <v>527</v>
      </c>
      <c r="E946">
        <v>4</v>
      </c>
      <c r="F946">
        <v>4</v>
      </c>
      <c r="G946" s="8">
        <f>Lektionen[[#This Row],[Bearbeitungsdauer_real]]/Lektionen[[#This Row],[Bearbeitungsdauer_geschätzt]]-1</f>
        <v>0</v>
      </c>
      <c r="H946" s="8" t="str" cm="1">
        <f t="array" ref="H946">_xlfn.IFS(Lektionen[[#This Row],[Bearbeitungsdauer_abgewichen]]&gt;0.6,"viel länger",Lektionen[[#This Row],[Bearbeitungsdauer_abgewichen]]&gt;0.3,"länger",Lektionen[[#This Row],[Bearbeitungsdauer_abgewichen]]&lt;-0.3,"kürzer",TRUE,"keine Abweichung")</f>
        <v>keine Abweichung</v>
      </c>
      <c r="I946">
        <v>1</v>
      </c>
    </row>
    <row r="947" spans="1:9" hidden="1" x14ac:dyDescent="0.3">
      <c r="A947" s="13">
        <v>142</v>
      </c>
      <c r="B947" s="4">
        <v>2</v>
      </c>
      <c r="C947" t="s">
        <v>528</v>
      </c>
      <c r="D947" t="s">
        <v>529</v>
      </c>
      <c r="E947">
        <v>15</v>
      </c>
      <c r="F947">
        <v>22</v>
      </c>
      <c r="G947" s="8">
        <f>Lektionen[[#This Row],[Bearbeitungsdauer_real]]/Lektionen[[#This Row],[Bearbeitungsdauer_geschätzt]]-1</f>
        <v>0.46666666666666656</v>
      </c>
      <c r="H947" s="8" t="str" cm="1">
        <f t="array" ref="H947">_xlfn.IFS(Lektionen[[#This Row],[Bearbeitungsdauer_abgewichen]]&gt;0.6,"viel länger",Lektionen[[#This Row],[Bearbeitungsdauer_abgewichen]]&gt;0.3,"länger",Lektionen[[#This Row],[Bearbeitungsdauer_abgewichen]]&lt;-0.3,"kürzer",TRUE,"keine Abweichung")</f>
        <v>länger</v>
      </c>
      <c r="I947">
        <v>1</v>
      </c>
    </row>
    <row r="948" spans="1:9" hidden="1" x14ac:dyDescent="0.3">
      <c r="A948" s="13">
        <v>142</v>
      </c>
      <c r="B948" s="4">
        <v>3</v>
      </c>
      <c r="C948" t="s">
        <v>552</v>
      </c>
      <c r="D948" t="s">
        <v>530</v>
      </c>
      <c r="E948">
        <v>30</v>
      </c>
      <c r="F948">
        <v>29</v>
      </c>
      <c r="G948" s="8">
        <f>Lektionen[[#This Row],[Bearbeitungsdauer_real]]/Lektionen[[#This Row],[Bearbeitungsdauer_geschätzt]]-1</f>
        <v>-3.3333333333333326E-2</v>
      </c>
      <c r="H948" s="8" t="str" cm="1">
        <f t="array" ref="H948">_xlfn.IFS(Lektionen[[#This Row],[Bearbeitungsdauer_abgewichen]]&gt;0.6,"viel länger",Lektionen[[#This Row],[Bearbeitungsdauer_abgewichen]]&gt;0.3,"länger",Lektionen[[#This Row],[Bearbeitungsdauer_abgewichen]]&lt;-0.3,"kürzer",TRUE,"keine Abweichung")</f>
        <v>keine Abweichung</v>
      </c>
      <c r="I948">
        <v>3</v>
      </c>
    </row>
    <row r="949" spans="1:9" hidden="1" x14ac:dyDescent="0.3">
      <c r="A949" s="13">
        <v>142</v>
      </c>
      <c r="B949" s="4">
        <v>4</v>
      </c>
      <c r="C949" t="s">
        <v>531</v>
      </c>
      <c r="D949" t="s">
        <v>530</v>
      </c>
      <c r="E949">
        <v>30</v>
      </c>
      <c r="F949">
        <v>28</v>
      </c>
      <c r="G949" s="8">
        <f>Lektionen[[#This Row],[Bearbeitungsdauer_real]]/Lektionen[[#This Row],[Bearbeitungsdauer_geschätzt]]-1</f>
        <v>-6.6666666666666652E-2</v>
      </c>
      <c r="H949" s="8" t="str" cm="1">
        <f t="array" ref="H949">_xlfn.IFS(Lektionen[[#This Row],[Bearbeitungsdauer_abgewichen]]&gt;0.6,"viel länger",Lektionen[[#This Row],[Bearbeitungsdauer_abgewichen]]&gt;0.3,"länger",Lektionen[[#This Row],[Bearbeitungsdauer_abgewichen]]&lt;-0.3,"kürzer",TRUE,"keine Abweichung")</f>
        <v>keine Abweichung</v>
      </c>
      <c r="I949">
        <v>3</v>
      </c>
    </row>
    <row r="950" spans="1:9" x14ac:dyDescent="0.3">
      <c r="A950" s="13">
        <v>142</v>
      </c>
      <c r="B950" s="4">
        <v>5</v>
      </c>
      <c r="C950" t="s">
        <v>532</v>
      </c>
      <c r="D950" t="s">
        <v>530</v>
      </c>
      <c r="E950">
        <v>30</v>
      </c>
      <c r="F950">
        <v>44</v>
      </c>
      <c r="G950" s="8">
        <f>Lektionen[[#This Row],[Bearbeitungsdauer_real]]/Lektionen[[#This Row],[Bearbeitungsdauer_geschätzt]]-1</f>
        <v>0.46666666666666656</v>
      </c>
      <c r="H950" s="8" t="str" cm="1">
        <f t="array" ref="H950">_xlfn.IFS(Lektionen[[#This Row],[Bearbeitungsdauer_abgewichen]]&gt;0.6,"viel länger",Lektionen[[#This Row],[Bearbeitungsdauer_abgewichen]]&gt;0.3,"länger",Lektionen[[#This Row],[Bearbeitungsdauer_abgewichen]]&lt;-0.3,"kürzer",TRUE,"keine Abweichung")</f>
        <v>länger</v>
      </c>
      <c r="I950">
        <v>5</v>
      </c>
    </row>
    <row r="951" spans="1:9" hidden="1" x14ac:dyDescent="0.3">
      <c r="A951" s="13">
        <v>142</v>
      </c>
      <c r="B951" s="4">
        <v>6</v>
      </c>
      <c r="C951" t="s">
        <v>533</v>
      </c>
      <c r="D951" t="s">
        <v>534</v>
      </c>
      <c r="E951">
        <v>5</v>
      </c>
      <c r="F951">
        <v>1</v>
      </c>
      <c r="G951" s="8">
        <f>Lektionen[[#This Row],[Bearbeitungsdauer_real]]/Lektionen[[#This Row],[Bearbeitungsdauer_geschätzt]]-1</f>
        <v>-0.8</v>
      </c>
      <c r="H951" s="8" t="str" cm="1">
        <f t="array" ref="H951">_xlfn.IFS(Lektionen[[#This Row],[Bearbeitungsdauer_abgewichen]]&gt;0.6,"viel länger",Lektionen[[#This Row],[Bearbeitungsdauer_abgewichen]]&gt;0.3,"länger",Lektionen[[#This Row],[Bearbeitungsdauer_abgewichen]]&lt;-0.3,"kürzer",TRUE,"keine Abweichung")</f>
        <v>kürzer</v>
      </c>
      <c r="I951">
        <v>2</v>
      </c>
    </row>
    <row r="952" spans="1:9" hidden="1" x14ac:dyDescent="0.3">
      <c r="A952" s="13">
        <v>142</v>
      </c>
      <c r="B952" s="4">
        <v>7</v>
      </c>
      <c r="C952" t="s">
        <v>535</v>
      </c>
      <c r="D952" t="s">
        <v>536</v>
      </c>
      <c r="E952">
        <v>10</v>
      </c>
      <c r="F952">
        <v>11</v>
      </c>
      <c r="G952" s="8">
        <f>Lektionen[[#This Row],[Bearbeitungsdauer_real]]/Lektionen[[#This Row],[Bearbeitungsdauer_geschätzt]]-1</f>
        <v>0.10000000000000009</v>
      </c>
      <c r="H952" s="8" t="str" cm="1">
        <f t="array" ref="H952">_xlfn.IFS(Lektionen[[#This Row],[Bearbeitungsdauer_abgewichen]]&gt;0.6,"viel länger",Lektionen[[#This Row],[Bearbeitungsdauer_abgewichen]]&gt;0.3,"länger",Lektionen[[#This Row],[Bearbeitungsdauer_abgewichen]]&lt;-0.3,"kürzer",TRUE,"keine Abweichung")</f>
        <v>keine Abweichung</v>
      </c>
      <c r="I952">
        <v>3</v>
      </c>
    </row>
    <row r="953" spans="1:9" hidden="1" x14ac:dyDescent="0.3">
      <c r="A953" s="13">
        <v>142</v>
      </c>
      <c r="B953" s="4">
        <v>8</v>
      </c>
      <c r="C953" t="s">
        <v>537</v>
      </c>
      <c r="D953" t="s">
        <v>527</v>
      </c>
      <c r="E953">
        <v>5</v>
      </c>
      <c r="F953">
        <v>7</v>
      </c>
      <c r="G953" s="8">
        <f>Lektionen[[#This Row],[Bearbeitungsdauer_real]]/Lektionen[[#This Row],[Bearbeitungsdauer_geschätzt]]-1</f>
        <v>0.39999999999999991</v>
      </c>
      <c r="H953" s="8" t="str" cm="1">
        <f t="array" ref="H953">_xlfn.IFS(Lektionen[[#This Row],[Bearbeitungsdauer_abgewichen]]&gt;0.6,"viel länger",Lektionen[[#This Row],[Bearbeitungsdauer_abgewichen]]&gt;0.3,"länger",Lektionen[[#This Row],[Bearbeitungsdauer_abgewichen]]&lt;-0.3,"kürzer",TRUE,"keine Abweichung")</f>
        <v>länger</v>
      </c>
      <c r="I953">
        <v>1</v>
      </c>
    </row>
    <row r="954" spans="1:9" hidden="1" x14ac:dyDescent="0.3">
      <c r="A954" s="13">
        <v>143</v>
      </c>
      <c r="B954" s="4">
        <v>1</v>
      </c>
      <c r="C954" t="s">
        <v>526</v>
      </c>
      <c r="D954" t="s">
        <v>527</v>
      </c>
      <c r="E954">
        <v>4</v>
      </c>
      <c r="F954">
        <v>4</v>
      </c>
      <c r="G954" s="8">
        <f>Lektionen[[#This Row],[Bearbeitungsdauer_real]]/Lektionen[[#This Row],[Bearbeitungsdauer_geschätzt]]-1</f>
        <v>0</v>
      </c>
      <c r="H954" s="8" t="str" cm="1">
        <f t="array" ref="H954">_xlfn.IFS(Lektionen[[#This Row],[Bearbeitungsdauer_abgewichen]]&gt;0.6,"viel länger",Lektionen[[#This Row],[Bearbeitungsdauer_abgewichen]]&gt;0.3,"länger",Lektionen[[#This Row],[Bearbeitungsdauer_abgewichen]]&lt;-0.3,"kürzer",TRUE,"keine Abweichung")</f>
        <v>keine Abweichung</v>
      </c>
      <c r="I954">
        <v>1</v>
      </c>
    </row>
    <row r="955" spans="1:9" hidden="1" x14ac:dyDescent="0.3">
      <c r="A955" s="13">
        <v>143</v>
      </c>
      <c r="B955" s="4">
        <v>2</v>
      </c>
      <c r="C955" t="s">
        <v>528</v>
      </c>
      <c r="D955" t="s">
        <v>529</v>
      </c>
      <c r="E955">
        <v>15</v>
      </c>
      <c r="F955">
        <v>19</v>
      </c>
      <c r="G955" s="8">
        <f>Lektionen[[#This Row],[Bearbeitungsdauer_real]]/Lektionen[[#This Row],[Bearbeitungsdauer_geschätzt]]-1</f>
        <v>0.26666666666666661</v>
      </c>
      <c r="H955" s="8" t="str" cm="1">
        <f t="array" ref="H955">_xlfn.IFS(Lektionen[[#This Row],[Bearbeitungsdauer_abgewichen]]&gt;0.6,"viel länger",Lektionen[[#This Row],[Bearbeitungsdauer_abgewichen]]&gt;0.3,"länger",Lektionen[[#This Row],[Bearbeitungsdauer_abgewichen]]&lt;-0.3,"kürzer",TRUE,"keine Abweichung")</f>
        <v>keine Abweichung</v>
      </c>
      <c r="I955">
        <v>1</v>
      </c>
    </row>
    <row r="956" spans="1:9" hidden="1" x14ac:dyDescent="0.3">
      <c r="A956" s="13">
        <v>143</v>
      </c>
      <c r="B956" s="4">
        <v>3</v>
      </c>
      <c r="C956" t="s">
        <v>552</v>
      </c>
      <c r="D956" t="s">
        <v>530</v>
      </c>
      <c r="E956">
        <v>30</v>
      </c>
      <c r="F956">
        <v>29</v>
      </c>
      <c r="G956" s="8">
        <f>Lektionen[[#This Row],[Bearbeitungsdauer_real]]/Lektionen[[#This Row],[Bearbeitungsdauer_geschätzt]]-1</f>
        <v>-3.3333333333333326E-2</v>
      </c>
      <c r="H956" s="8" t="str" cm="1">
        <f t="array" ref="H956">_xlfn.IFS(Lektionen[[#This Row],[Bearbeitungsdauer_abgewichen]]&gt;0.6,"viel länger",Lektionen[[#This Row],[Bearbeitungsdauer_abgewichen]]&gt;0.3,"länger",Lektionen[[#This Row],[Bearbeitungsdauer_abgewichen]]&lt;-0.3,"kürzer",TRUE,"keine Abweichung")</f>
        <v>keine Abweichung</v>
      </c>
      <c r="I956">
        <v>2</v>
      </c>
    </row>
    <row r="957" spans="1:9" hidden="1" x14ac:dyDescent="0.3">
      <c r="A957" s="13">
        <v>143</v>
      </c>
      <c r="B957" s="4">
        <v>4</v>
      </c>
      <c r="C957" t="s">
        <v>531</v>
      </c>
      <c r="D957" t="s">
        <v>530</v>
      </c>
      <c r="E957">
        <v>30</v>
      </c>
      <c r="F957">
        <v>35</v>
      </c>
      <c r="G957" s="8">
        <f>Lektionen[[#This Row],[Bearbeitungsdauer_real]]/Lektionen[[#This Row],[Bearbeitungsdauer_geschätzt]]-1</f>
        <v>0.16666666666666674</v>
      </c>
      <c r="H957" s="8" t="str" cm="1">
        <f t="array" ref="H957">_xlfn.IFS(Lektionen[[#This Row],[Bearbeitungsdauer_abgewichen]]&gt;0.6,"viel länger",Lektionen[[#This Row],[Bearbeitungsdauer_abgewichen]]&gt;0.3,"länger",Lektionen[[#This Row],[Bearbeitungsdauer_abgewichen]]&lt;-0.3,"kürzer",TRUE,"keine Abweichung")</f>
        <v>keine Abweichung</v>
      </c>
      <c r="I957">
        <v>3</v>
      </c>
    </row>
    <row r="958" spans="1:9" x14ac:dyDescent="0.3">
      <c r="A958" s="13">
        <v>143</v>
      </c>
      <c r="B958" s="4">
        <v>5</v>
      </c>
      <c r="C958" t="s">
        <v>532</v>
      </c>
      <c r="D958" t="s">
        <v>530</v>
      </c>
      <c r="E958">
        <v>30</v>
      </c>
      <c r="F958">
        <v>50</v>
      </c>
      <c r="G958" s="8">
        <f>Lektionen[[#This Row],[Bearbeitungsdauer_real]]/Lektionen[[#This Row],[Bearbeitungsdauer_geschätzt]]-1</f>
        <v>0.66666666666666674</v>
      </c>
      <c r="H958" s="8" t="str" cm="1">
        <f t="array" ref="H958">_xlfn.IFS(Lektionen[[#This Row],[Bearbeitungsdauer_abgewichen]]&gt;0.6,"viel länger",Lektionen[[#This Row],[Bearbeitungsdauer_abgewichen]]&gt;0.3,"länger",Lektionen[[#This Row],[Bearbeitungsdauer_abgewichen]]&lt;-0.3,"kürzer",TRUE,"keine Abweichung")</f>
        <v>viel länger</v>
      </c>
      <c r="I958">
        <v>3</v>
      </c>
    </row>
    <row r="959" spans="1:9" hidden="1" x14ac:dyDescent="0.3">
      <c r="A959" s="13">
        <v>143</v>
      </c>
      <c r="B959" s="4">
        <v>6</v>
      </c>
      <c r="C959" t="s">
        <v>533</v>
      </c>
      <c r="D959" t="s">
        <v>534</v>
      </c>
      <c r="E959">
        <v>5</v>
      </c>
      <c r="F959">
        <v>1</v>
      </c>
      <c r="G959" s="8">
        <f>Lektionen[[#This Row],[Bearbeitungsdauer_real]]/Lektionen[[#This Row],[Bearbeitungsdauer_geschätzt]]-1</f>
        <v>-0.8</v>
      </c>
      <c r="H959" s="8" t="str" cm="1">
        <f t="array" ref="H959">_xlfn.IFS(Lektionen[[#This Row],[Bearbeitungsdauer_abgewichen]]&gt;0.6,"viel länger",Lektionen[[#This Row],[Bearbeitungsdauer_abgewichen]]&gt;0.3,"länger",Lektionen[[#This Row],[Bearbeitungsdauer_abgewichen]]&lt;-0.3,"kürzer",TRUE,"keine Abweichung")</f>
        <v>kürzer</v>
      </c>
      <c r="I959">
        <v>2</v>
      </c>
    </row>
    <row r="960" spans="1:9" hidden="1" x14ac:dyDescent="0.3">
      <c r="A960" s="13">
        <v>143</v>
      </c>
      <c r="B960" s="4">
        <v>7</v>
      </c>
      <c r="C960" t="s">
        <v>535</v>
      </c>
      <c r="D960" t="s">
        <v>536</v>
      </c>
      <c r="E960">
        <v>10</v>
      </c>
      <c r="F960">
        <v>9</v>
      </c>
      <c r="G960" s="8">
        <f>Lektionen[[#This Row],[Bearbeitungsdauer_real]]/Lektionen[[#This Row],[Bearbeitungsdauer_geschätzt]]-1</f>
        <v>-9.9999999999999978E-2</v>
      </c>
      <c r="H960" s="8" t="str" cm="1">
        <f t="array" ref="H960">_xlfn.IFS(Lektionen[[#This Row],[Bearbeitungsdauer_abgewichen]]&gt;0.6,"viel länger",Lektionen[[#This Row],[Bearbeitungsdauer_abgewichen]]&gt;0.3,"länger",Lektionen[[#This Row],[Bearbeitungsdauer_abgewichen]]&lt;-0.3,"kürzer",TRUE,"keine Abweichung")</f>
        <v>keine Abweichung</v>
      </c>
      <c r="I960">
        <v>4</v>
      </c>
    </row>
    <row r="961" spans="1:9" hidden="1" x14ac:dyDescent="0.3">
      <c r="A961" s="13">
        <v>143</v>
      </c>
      <c r="B961" s="4">
        <v>8</v>
      </c>
      <c r="C961" t="s">
        <v>537</v>
      </c>
      <c r="D961" t="s">
        <v>527</v>
      </c>
      <c r="E961">
        <v>5</v>
      </c>
      <c r="F961">
        <v>5</v>
      </c>
      <c r="G961" s="8">
        <f>Lektionen[[#This Row],[Bearbeitungsdauer_real]]/Lektionen[[#This Row],[Bearbeitungsdauer_geschätzt]]-1</f>
        <v>0</v>
      </c>
      <c r="H961" s="8" t="str" cm="1">
        <f t="array" ref="H961">_xlfn.IFS(Lektionen[[#This Row],[Bearbeitungsdauer_abgewichen]]&gt;0.6,"viel länger",Lektionen[[#This Row],[Bearbeitungsdauer_abgewichen]]&gt;0.3,"länger",Lektionen[[#This Row],[Bearbeitungsdauer_abgewichen]]&lt;-0.3,"kürzer",TRUE,"keine Abweichung")</f>
        <v>keine Abweichung</v>
      </c>
      <c r="I961">
        <v>1</v>
      </c>
    </row>
    <row r="962" spans="1:9" hidden="1" x14ac:dyDescent="0.3">
      <c r="A962" s="13">
        <v>144</v>
      </c>
      <c r="B962" s="4">
        <v>1</v>
      </c>
      <c r="C962" t="s">
        <v>526</v>
      </c>
      <c r="D962" t="s">
        <v>527</v>
      </c>
      <c r="E962">
        <v>4</v>
      </c>
      <c r="F962">
        <v>4</v>
      </c>
      <c r="G962" s="8">
        <f>Lektionen[[#This Row],[Bearbeitungsdauer_real]]/Lektionen[[#This Row],[Bearbeitungsdauer_geschätzt]]-1</f>
        <v>0</v>
      </c>
      <c r="H962" s="8" t="str" cm="1">
        <f t="array" ref="H962">_xlfn.IFS(Lektionen[[#This Row],[Bearbeitungsdauer_abgewichen]]&gt;0.6,"viel länger",Lektionen[[#This Row],[Bearbeitungsdauer_abgewichen]]&gt;0.3,"länger",Lektionen[[#This Row],[Bearbeitungsdauer_abgewichen]]&lt;-0.3,"kürzer",TRUE,"keine Abweichung")</f>
        <v>keine Abweichung</v>
      </c>
      <c r="I962">
        <v>1</v>
      </c>
    </row>
    <row r="963" spans="1:9" hidden="1" x14ac:dyDescent="0.3">
      <c r="A963" s="13">
        <v>144</v>
      </c>
      <c r="B963" s="4">
        <v>2</v>
      </c>
      <c r="C963" t="s">
        <v>528</v>
      </c>
      <c r="D963" t="s">
        <v>529</v>
      </c>
      <c r="E963">
        <v>15</v>
      </c>
      <c r="F963">
        <v>18</v>
      </c>
      <c r="G963" s="8">
        <f>Lektionen[[#This Row],[Bearbeitungsdauer_real]]/Lektionen[[#This Row],[Bearbeitungsdauer_geschätzt]]-1</f>
        <v>0.19999999999999996</v>
      </c>
      <c r="H963" s="8" t="str" cm="1">
        <f t="array" ref="H963">_xlfn.IFS(Lektionen[[#This Row],[Bearbeitungsdauer_abgewichen]]&gt;0.6,"viel länger",Lektionen[[#This Row],[Bearbeitungsdauer_abgewichen]]&gt;0.3,"länger",Lektionen[[#This Row],[Bearbeitungsdauer_abgewichen]]&lt;-0.3,"kürzer",TRUE,"keine Abweichung")</f>
        <v>keine Abweichung</v>
      </c>
      <c r="I963">
        <v>2</v>
      </c>
    </row>
    <row r="964" spans="1:9" hidden="1" x14ac:dyDescent="0.3">
      <c r="A964" s="13">
        <v>144</v>
      </c>
      <c r="B964" s="4">
        <v>3</v>
      </c>
      <c r="C964" t="s">
        <v>552</v>
      </c>
      <c r="D964" t="s">
        <v>530</v>
      </c>
      <c r="E964">
        <v>30</v>
      </c>
      <c r="F964">
        <v>29</v>
      </c>
      <c r="G964" s="8">
        <f>Lektionen[[#This Row],[Bearbeitungsdauer_real]]/Lektionen[[#This Row],[Bearbeitungsdauer_geschätzt]]-1</f>
        <v>-3.3333333333333326E-2</v>
      </c>
      <c r="H964" s="8" t="str" cm="1">
        <f t="array" ref="H964">_xlfn.IFS(Lektionen[[#This Row],[Bearbeitungsdauer_abgewichen]]&gt;0.6,"viel länger",Lektionen[[#This Row],[Bearbeitungsdauer_abgewichen]]&gt;0.3,"länger",Lektionen[[#This Row],[Bearbeitungsdauer_abgewichen]]&lt;-0.3,"kürzer",TRUE,"keine Abweichung")</f>
        <v>keine Abweichung</v>
      </c>
      <c r="I964">
        <v>2</v>
      </c>
    </row>
    <row r="965" spans="1:9" hidden="1" x14ac:dyDescent="0.3">
      <c r="A965" s="13">
        <v>144</v>
      </c>
      <c r="B965" s="4">
        <v>4</v>
      </c>
      <c r="C965" t="s">
        <v>531</v>
      </c>
      <c r="D965" t="s">
        <v>530</v>
      </c>
      <c r="E965">
        <v>30</v>
      </c>
      <c r="F965">
        <v>23</v>
      </c>
      <c r="G965" s="8">
        <f>Lektionen[[#This Row],[Bearbeitungsdauer_real]]/Lektionen[[#This Row],[Bearbeitungsdauer_geschätzt]]-1</f>
        <v>-0.23333333333333328</v>
      </c>
      <c r="H965" s="8" t="str" cm="1">
        <f t="array" ref="H965">_xlfn.IFS(Lektionen[[#This Row],[Bearbeitungsdauer_abgewichen]]&gt;0.6,"viel länger",Lektionen[[#This Row],[Bearbeitungsdauer_abgewichen]]&gt;0.3,"länger",Lektionen[[#This Row],[Bearbeitungsdauer_abgewichen]]&lt;-0.3,"kürzer",TRUE,"keine Abweichung")</f>
        <v>keine Abweichung</v>
      </c>
      <c r="I965">
        <v>3</v>
      </c>
    </row>
    <row r="966" spans="1:9" x14ac:dyDescent="0.3">
      <c r="A966" s="13">
        <v>144</v>
      </c>
      <c r="B966" s="4">
        <v>5</v>
      </c>
      <c r="C966" t="s">
        <v>532</v>
      </c>
      <c r="D966" t="s">
        <v>530</v>
      </c>
      <c r="E966">
        <v>30</v>
      </c>
      <c r="F966">
        <v>53</v>
      </c>
      <c r="G966" s="8">
        <f>Lektionen[[#This Row],[Bearbeitungsdauer_real]]/Lektionen[[#This Row],[Bearbeitungsdauer_geschätzt]]-1</f>
        <v>0.76666666666666661</v>
      </c>
      <c r="H966" s="8" t="str" cm="1">
        <f t="array" ref="H966">_xlfn.IFS(Lektionen[[#This Row],[Bearbeitungsdauer_abgewichen]]&gt;0.6,"viel länger",Lektionen[[#This Row],[Bearbeitungsdauer_abgewichen]]&gt;0.3,"länger",Lektionen[[#This Row],[Bearbeitungsdauer_abgewichen]]&lt;-0.3,"kürzer",TRUE,"keine Abweichung")</f>
        <v>viel länger</v>
      </c>
      <c r="I966">
        <v>4</v>
      </c>
    </row>
    <row r="967" spans="1:9" hidden="1" x14ac:dyDescent="0.3">
      <c r="A967" s="13">
        <v>144</v>
      </c>
      <c r="B967" s="4">
        <v>6</v>
      </c>
      <c r="C967" t="s">
        <v>533</v>
      </c>
      <c r="D967" t="s">
        <v>534</v>
      </c>
      <c r="E967">
        <v>5</v>
      </c>
      <c r="F967">
        <v>1</v>
      </c>
      <c r="G967" s="8">
        <f>Lektionen[[#This Row],[Bearbeitungsdauer_real]]/Lektionen[[#This Row],[Bearbeitungsdauer_geschätzt]]-1</f>
        <v>-0.8</v>
      </c>
      <c r="H967" s="8" t="str" cm="1">
        <f t="array" ref="H967">_xlfn.IFS(Lektionen[[#This Row],[Bearbeitungsdauer_abgewichen]]&gt;0.6,"viel länger",Lektionen[[#This Row],[Bearbeitungsdauer_abgewichen]]&gt;0.3,"länger",Lektionen[[#This Row],[Bearbeitungsdauer_abgewichen]]&lt;-0.3,"kürzer",TRUE,"keine Abweichung")</f>
        <v>kürzer</v>
      </c>
      <c r="I967">
        <v>2</v>
      </c>
    </row>
    <row r="968" spans="1:9" hidden="1" x14ac:dyDescent="0.3">
      <c r="A968" s="13">
        <v>144</v>
      </c>
      <c r="B968" s="4">
        <v>7</v>
      </c>
      <c r="C968" t="s">
        <v>535</v>
      </c>
      <c r="D968" t="s">
        <v>536</v>
      </c>
      <c r="E968">
        <v>10</v>
      </c>
      <c r="F968">
        <v>8</v>
      </c>
      <c r="G968" s="8">
        <f>Lektionen[[#This Row],[Bearbeitungsdauer_real]]/Lektionen[[#This Row],[Bearbeitungsdauer_geschätzt]]-1</f>
        <v>-0.19999999999999996</v>
      </c>
      <c r="H968" s="8" t="str" cm="1">
        <f t="array" ref="H968">_xlfn.IFS(Lektionen[[#This Row],[Bearbeitungsdauer_abgewichen]]&gt;0.6,"viel länger",Lektionen[[#This Row],[Bearbeitungsdauer_abgewichen]]&gt;0.3,"länger",Lektionen[[#This Row],[Bearbeitungsdauer_abgewichen]]&lt;-0.3,"kürzer",TRUE,"keine Abweichung")</f>
        <v>keine Abweichung</v>
      </c>
      <c r="I968">
        <v>3</v>
      </c>
    </row>
    <row r="969" spans="1:9" hidden="1" x14ac:dyDescent="0.3">
      <c r="A969" s="13">
        <v>144</v>
      </c>
      <c r="B969" s="4">
        <v>8</v>
      </c>
      <c r="C969" t="s">
        <v>537</v>
      </c>
      <c r="D969" t="s">
        <v>527</v>
      </c>
      <c r="E969">
        <v>5</v>
      </c>
      <c r="F969">
        <v>8</v>
      </c>
      <c r="G969" s="8">
        <f>Lektionen[[#This Row],[Bearbeitungsdauer_real]]/Lektionen[[#This Row],[Bearbeitungsdauer_geschätzt]]-1</f>
        <v>0.60000000000000009</v>
      </c>
      <c r="H969" s="8" t="str" cm="1">
        <f t="array" ref="H969">_xlfn.IFS(Lektionen[[#This Row],[Bearbeitungsdauer_abgewichen]]&gt;0.6,"viel länger",Lektionen[[#This Row],[Bearbeitungsdauer_abgewichen]]&gt;0.3,"länger",Lektionen[[#This Row],[Bearbeitungsdauer_abgewichen]]&lt;-0.3,"kürzer",TRUE,"keine Abweichung")</f>
        <v>länger</v>
      </c>
      <c r="I969">
        <v>1</v>
      </c>
    </row>
    <row r="970" spans="1:9" hidden="1" x14ac:dyDescent="0.3">
      <c r="A970" s="13">
        <v>145</v>
      </c>
      <c r="B970" s="4">
        <v>1</v>
      </c>
      <c r="C970" t="s">
        <v>526</v>
      </c>
      <c r="D970" t="s">
        <v>527</v>
      </c>
      <c r="E970">
        <v>4</v>
      </c>
      <c r="F970">
        <v>4</v>
      </c>
      <c r="G970" s="8">
        <f>Lektionen[[#This Row],[Bearbeitungsdauer_real]]/Lektionen[[#This Row],[Bearbeitungsdauer_geschätzt]]-1</f>
        <v>0</v>
      </c>
      <c r="H970" s="8" t="str" cm="1">
        <f t="array" ref="H970">_xlfn.IFS(Lektionen[[#This Row],[Bearbeitungsdauer_abgewichen]]&gt;0.6,"viel länger",Lektionen[[#This Row],[Bearbeitungsdauer_abgewichen]]&gt;0.3,"länger",Lektionen[[#This Row],[Bearbeitungsdauer_abgewichen]]&lt;-0.3,"kürzer",TRUE,"keine Abweichung")</f>
        <v>keine Abweichung</v>
      </c>
      <c r="I970">
        <v>1</v>
      </c>
    </row>
    <row r="971" spans="1:9" hidden="1" x14ac:dyDescent="0.3">
      <c r="A971" s="13">
        <v>145</v>
      </c>
      <c r="B971" s="4">
        <v>2</v>
      </c>
      <c r="C971" t="s">
        <v>528</v>
      </c>
      <c r="D971" t="s">
        <v>529</v>
      </c>
      <c r="E971">
        <v>15</v>
      </c>
      <c r="F971">
        <v>18</v>
      </c>
      <c r="G971" s="8">
        <f>Lektionen[[#This Row],[Bearbeitungsdauer_real]]/Lektionen[[#This Row],[Bearbeitungsdauer_geschätzt]]-1</f>
        <v>0.19999999999999996</v>
      </c>
      <c r="H971" s="8" t="str" cm="1">
        <f t="array" ref="H971">_xlfn.IFS(Lektionen[[#This Row],[Bearbeitungsdauer_abgewichen]]&gt;0.6,"viel länger",Lektionen[[#This Row],[Bearbeitungsdauer_abgewichen]]&gt;0.3,"länger",Lektionen[[#This Row],[Bearbeitungsdauer_abgewichen]]&lt;-0.3,"kürzer",TRUE,"keine Abweichung")</f>
        <v>keine Abweichung</v>
      </c>
      <c r="I971">
        <v>1</v>
      </c>
    </row>
    <row r="972" spans="1:9" hidden="1" x14ac:dyDescent="0.3">
      <c r="A972" s="13">
        <v>145</v>
      </c>
      <c r="B972" s="4">
        <v>3</v>
      </c>
      <c r="C972" t="s">
        <v>552</v>
      </c>
      <c r="D972" t="s">
        <v>530</v>
      </c>
      <c r="E972">
        <v>30</v>
      </c>
      <c r="F972">
        <v>29</v>
      </c>
      <c r="G972" s="8">
        <f>Lektionen[[#This Row],[Bearbeitungsdauer_real]]/Lektionen[[#This Row],[Bearbeitungsdauer_geschätzt]]-1</f>
        <v>-3.3333333333333326E-2</v>
      </c>
      <c r="H972" s="8" t="str" cm="1">
        <f t="array" ref="H972">_xlfn.IFS(Lektionen[[#This Row],[Bearbeitungsdauer_abgewichen]]&gt;0.6,"viel länger",Lektionen[[#This Row],[Bearbeitungsdauer_abgewichen]]&gt;0.3,"länger",Lektionen[[#This Row],[Bearbeitungsdauer_abgewichen]]&lt;-0.3,"kürzer",TRUE,"keine Abweichung")</f>
        <v>keine Abweichung</v>
      </c>
      <c r="I972">
        <v>3</v>
      </c>
    </row>
    <row r="973" spans="1:9" hidden="1" x14ac:dyDescent="0.3">
      <c r="A973" s="13">
        <v>145</v>
      </c>
      <c r="B973" s="4">
        <v>4</v>
      </c>
      <c r="C973" t="s">
        <v>531</v>
      </c>
      <c r="D973" t="s">
        <v>530</v>
      </c>
      <c r="E973">
        <v>30</v>
      </c>
      <c r="F973">
        <v>32</v>
      </c>
      <c r="G973" s="8">
        <f>Lektionen[[#This Row],[Bearbeitungsdauer_real]]/Lektionen[[#This Row],[Bearbeitungsdauer_geschätzt]]-1</f>
        <v>6.6666666666666652E-2</v>
      </c>
      <c r="H973" s="8" t="str" cm="1">
        <f t="array" ref="H973">_xlfn.IFS(Lektionen[[#This Row],[Bearbeitungsdauer_abgewichen]]&gt;0.6,"viel länger",Lektionen[[#This Row],[Bearbeitungsdauer_abgewichen]]&gt;0.3,"länger",Lektionen[[#This Row],[Bearbeitungsdauer_abgewichen]]&lt;-0.3,"kürzer",TRUE,"keine Abweichung")</f>
        <v>keine Abweichung</v>
      </c>
      <c r="I973">
        <v>3</v>
      </c>
    </row>
    <row r="974" spans="1:9" x14ac:dyDescent="0.3">
      <c r="A974" s="13">
        <v>145</v>
      </c>
      <c r="B974" s="4">
        <v>5</v>
      </c>
      <c r="C974" t="s">
        <v>532</v>
      </c>
      <c r="D974" t="s">
        <v>530</v>
      </c>
      <c r="E974">
        <v>30</v>
      </c>
      <c r="F974">
        <v>43</v>
      </c>
      <c r="G974" s="8">
        <f>Lektionen[[#This Row],[Bearbeitungsdauer_real]]/Lektionen[[#This Row],[Bearbeitungsdauer_geschätzt]]-1</f>
        <v>0.43333333333333335</v>
      </c>
      <c r="H974" s="8" t="str" cm="1">
        <f t="array" ref="H974">_xlfn.IFS(Lektionen[[#This Row],[Bearbeitungsdauer_abgewichen]]&gt;0.6,"viel länger",Lektionen[[#This Row],[Bearbeitungsdauer_abgewichen]]&gt;0.3,"länger",Lektionen[[#This Row],[Bearbeitungsdauer_abgewichen]]&lt;-0.3,"kürzer",TRUE,"keine Abweichung")</f>
        <v>länger</v>
      </c>
      <c r="I974">
        <v>4</v>
      </c>
    </row>
    <row r="975" spans="1:9" hidden="1" x14ac:dyDescent="0.3">
      <c r="A975" s="13">
        <v>145</v>
      </c>
      <c r="B975" s="4">
        <v>6</v>
      </c>
      <c r="C975" t="s">
        <v>533</v>
      </c>
      <c r="D975" t="s">
        <v>534</v>
      </c>
      <c r="E975">
        <v>5</v>
      </c>
      <c r="F975">
        <v>2</v>
      </c>
      <c r="G975" s="8">
        <f>Lektionen[[#This Row],[Bearbeitungsdauer_real]]/Lektionen[[#This Row],[Bearbeitungsdauer_geschätzt]]-1</f>
        <v>-0.6</v>
      </c>
      <c r="H975" s="8" t="str" cm="1">
        <f t="array" ref="H975">_xlfn.IFS(Lektionen[[#This Row],[Bearbeitungsdauer_abgewichen]]&gt;0.6,"viel länger",Lektionen[[#This Row],[Bearbeitungsdauer_abgewichen]]&gt;0.3,"länger",Lektionen[[#This Row],[Bearbeitungsdauer_abgewichen]]&lt;-0.3,"kürzer",TRUE,"keine Abweichung")</f>
        <v>kürzer</v>
      </c>
      <c r="I975">
        <v>2</v>
      </c>
    </row>
    <row r="976" spans="1:9" hidden="1" x14ac:dyDescent="0.3">
      <c r="A976" s="13">
        <v>145</v>
      </c>
      <c r="B976" s="4">
        <v>7</v>
      </c>
      <c r="C976" t="s">
        <v>535</v>
      </c>
      <c r="D976" t="s">
        <v>536</v>
      </c>
      <c r="E976">
        <v>10</v>
      </c>
      <c r="F976">
        <v>10</v>
      </c>
      <c r="G976" s="8">
        <f>Lektionen[[#This Row],[Bearbeitungsdauer_real]]/Lektionen[[#This Row],[Bearbeitungsdauer_geschätzt]]-1</f>
        <v>0</v>
      </c>
      <c r="H976" s="8" t="str" cm="1">
        <f t="array" ref="H976">_xlfn.IFS(Lektionen[[#This Row],[Bearbeitungsdauer_abgewichen]]&gt;0.6,"viel länger",Lektionen[[#This Row],[Bearbeitungsdauer_abgewichen]]&gt;0.3,"länger",Lektionen[[#This Row],[Bearbeitungsdauer_abgewichen]]&lt;-0.3,"kürzer",TRUE,"keine Abweichung")</f>
        <v>keine Abweichung</v>
      </c>
      <c r="I976">
        <v>4</v>
      </c>
    </row>
    <row r="977" spans="1:9" hidden="1" x14ac:dyDescent="0.3">
      <c r="A977" s="13">
        <v>145</v>
      </c>
      <c r="B977" s="4">
        <v>8</v>
      </c>
      <c r="C977" t="s">
        <v>537</v>
      </c>
      <c r="D977" t="s">
        <v>527</v>
      </c>
      <c r="E977">
        <v>5</v>
      </c>
      <c r="F977">
        <v>5</v>
      </c>
      <c r="G977" s="8">
        <f>Lektionen[[#This Row],[Bearbeitungsdauer_real]]/Lektionen[[#This Row],[Bearbeitungsdauer_geschätzt]]-1</f>
        <v>0</v>
      </c>
      <c r="H977" s="8" t="str" cm="1">
        <f t="array" ref="H977">_xlfn.IFS(Lektionen[[#This Row],[Bearbeitungsdauer_abgewichen]]&gt;0.6,"viel länger",Lektionen[[#This Row],[Bearbeitungsdauer_abgewichen]]&gt;0.3,"länger",Lektionen[[#This Row],[Bearbeitungsdauer_abgewichen]]&lt;-0.3,"kürzer",TRUE,"keine Abweichung")</f>
        <v>keine Abweichung</v>
      </c>
      <c r="I977">
        <v>1</v>
      </c>
    </row>
    <row r="978" spans="1:9" hidden="1" x14ac:dyDescent="0.3">
      <c r="A978" s="13">
        <v>146</v>
      </c>
      <c r="B978" s="4">
        <v>1</v>
      </c>
      <c r="C978" t="s">
        <v>526</v>
      </c>
      <c r="D978" t="s">
        <v>527</v>
      </c>
      <c r="E978">
        <v>4</v>
      </c>
      <c r="F978">
        <v>4</v>
      </c>
      <c r="G978" s="8">
        <f>Lektionen[[#This Row],[Bearbeitungsdauer_real]]/Lektionen[[#This Row],[Bearbeitungsdauer_geschätzt]]-1</f>
        <v>0</v>
      </c>
      <c r="H978" s="8" t="str" cm="1">
        <f t="array" ref="H978">_xlfn.IFS(Lektionen[[#This Row],[Bearbeitungsdauer_abgewichen]]&gt;0.6,"viel länger",Lektionen[[#This Row],[Bearbeitungsdauer_abgewichen]]&gt;0.3,"länger",Lektionen[[#This Row],[Bearbeitungsdauer_abgewichen]]&lt;-0.3,"kürzer",TRUE,"keine Abweichung")</f>
        <v>keine Abweichung</v>
      </c>
      <c r="I978">
        <v>1</v>
      </c>
    </row>
    <row r="979" spans="1:9" hidden="1" x14ac:dyDescent="0.3">
      <c r="A979" s="13">
        <v>146</v>
      </c>
      <c r="B979" s="4">
        <v>2</v>
      </c>
      <c r="C979" t="s">
        <v>528</v>
      </c>
      <c r="D979" t="s">
        <v>529</v>
      </c>
      <c r="E979">
        <v>15</v>
      </c>
      <c r="F979">
        <v>17</v>
      </c>
      <c r="G979" s="8">
        <f>Lektionen[[#This Row],[Bearbeitungsdauer_real]]/Lektionen[[#This Row],[Bearbeitungsdauer_geschätzt]]-1</f>
        <v>0.1333333333333333</v>
      </c>
      <c r="H979" s="8" t="str" cm="1">
        <f t="array" ref="H979">_xlfn.IFS(Lektionen[[#This Row],[Bearbeitungsdauer_abgewichen]]&gt;0.6,"viel länger",Lektionen[[#This Row],[Bearbeitungsdauer_abgewichen]]&gt;0.3,"länger",Lektionen[[#This Row],[Bearbeitungsdauer_abgewichen]]&lt;-0.3,"kürzer",TRUE,"keine Abweichung")</f>
        <v>keine Abweichung</v>
      </c>
      <c r="I979">
        <v>2</v>
      </c>
    </row>
    <row r="980" spans="1:9" hidden="1" x14ac:dyDescent="0.3">
      <c r="A980" s="13">
        <v>146</v>
      </c>
      <c r="B980" s="4">
        <v>3</v>
      </c>
      <c r="C980" t="s">
        <v>552</v>
      </c>
      <c r="D980" t="s">
        <v>530</v>
      </c>
      <c r="E980">
        <v>30</v>
      </c>
      <c r="F980">
        <v>28</v>
      </c>
      <c r="G980" s="8">
        <f>Lektionen[[#This Row],[Bearbeitungsdauer_real]]/Lektionen[[#This Row],[Bearbeitungsdauer_geschätzt]]-1</f>
        <v>-6.6666666666666652E-2</v>
      </c>
      <c r="H980" s="8" t="str" cm="1">
        <f t="array" ref="H980">_xlfn.IFS(Lektionen[[#This Row],[Bearbeitungsdauer_abgewichen]]&gt;0.6,"viel länger",Lektionen[[#This Row],[Bearbeitungsdauer_abgewichen]]&gt;0.3,"länger",Lektionen[[#This Row],[Bearbeitungsdauer_abgewichen]]&lt;-0.3,"kürzer",TRUE,"keine Abweichung")</f>
        <v>keine Abweichung</v>
      </c>
      <c r="I980">
        <v>2</v>
      </c>
    </row>
    <row r="981" spans="1:9" hidden="1" x14ac:dyDescent="0.3">
      <c r="A981" s="13">
        <v>146</v>
      </c>
      <c r="B981" s="4">
        <v>4</v>
      </c>
      <c r="C981" t="s">
        <v>531</v>
      </c>
      <c r="D981" t="s">
        <v>530</v>
      </c>
      <c r="E981">
        <v>30</v>
      </c>
      <c r="F981">
        <v>28</v>
      </c>
      <c r="G981" s="8">
        <f>Lektionen[[#This Row],[Bearbeitungsdauer_real]]/Lektionen[[#This Row],[Bearbeitungsdauer_geschätzt]]-1</f>
        <v>-6.6666666666666652E-2</v>
      </c>
      <c r="H981" s="8" t="str" cm="1">
        <f t="array" ref="H981">_xlfn.IFS(Lektionen[[#This Row],[Bearbeitungsdauer_abgewichen]]&gt;0.6,"viel länger",Lektionen[[#This Row],[Bearbeitungsdauer_abgewichen]]&gt;0.3,"länger",Lektionen[[#This Row],[Bearbeitungsdauer_abgewichen]]&lt;-0.3,"kürzer",TRUE,"keine Abweichung")</f>
        <v>keine Abweichung</v>
      </c>
      <c r="I981">
        <v>3</v>
      </c>
    </row>
    <row r="982" spans="1:9" x14ac:dyDescent="0.3">
      <c r="A982" s="13">
        <v>146</v>
      </c>
      <c r="B982" s="4">
        <v>5</v>
      </c>
      <c r="C982" t="s">
        <v>532</v>
      </c>
      <c r="D982" t="s">
        <v>530</v>
      </c>
      <c r="E982">
        <v>30</v>
      </c>
      <c r="F982">
        <v>45</v>
      </c>
      <c r="G982" s="8">
        <f>Lektionen[[#This Row],[Bearbeitungsdauer_real]]/Lektionen[[#This Row],[Bearbeitungsdauer_geschätzt]]-1</f>
        <v>0.5</v>
      </c>
      <c r="H982" s="8" t="str" cm="1">
        <f t="array" ref="H982">_xlfn.IFS(Lektionen[[#This Row],[Bearbeitungsdauer_abgewichen]]&gt;0.6,"viel länger",Lektionen[[#This Row],[Bearbeitungsdauer_abgewichen]]&gt;0.3,"länger",Lektionen[[#This Row],[Bearbeitungsdauer_abgewichen]]&lt;-0.3,"kürzer",TRUE,"keine Abweichung")</f>
        <v>länger</v>
      </c>
      <c r="I982">
        <v>3</v>
      </c>
    </row>
    <row r="983" spans="1:9" hidden="1" x14ac:dyDescent="0.3">
      <c r="A983" s="13">
        <v>146</v>
      </c>
      <c r="B983" s="4">
        <v>6</v>
      </c>
      <c r="C983" t="s">
        <v>533</v>
      </c>
      <c r="D983" t="s">
        <v>534</v>
      </c>
      <c r="E983">
        <v>5</v>
      </c>
      <c r="F983">
        <v>2</v>
      </c>
      <c r="G983" s="8">
        <f>Lektionen[[#This Row],[Bearbeitungsdauer_real]]/Lektionen[[#This Row],[Bearbeitungsdauer_geschätzt]]-1</f>
        <v>-0.6</v>
      </c>
      <c r="H983" s="8" t="str" cm="1">
        <f t="array" ref="H983">_xlfn.IFS(Lektionen[[#This Row],[Bearbeitungsdauer_abgewichen]]&gt;0.6,"viel länger",Lektionen[[#This Row],[Bearbeitungsdauer_abgewichen]]&gt;0.3,"länger",Lektionen[[#This Row],[Bearbeitungsdauer_abgewichen]]&lt;-0.3,"kürzer",TRUE,"keine Abweichung")</f>
        <v>kürzer</v>
      </c>
      <c r="I983">
        <v>2</v>
      </c>
    </row>
    <row r="984" spans="1:9" hidden="1" x14ac:dyDescent="0.3">
      <c r="A984" s="13">
        <v>146</v>
      </c>
      <c r="B984" s="4">
        <v>7</v>
      </c>
      <c r="C984" t="s">
        <v>535</v>
      </c>
      <c r="D984" t="s">
        <v>536</v>
      </c>
      <c r="E984">
        <v>10</v>
      </c>
      <c r="F984">
        <v>11</v>
      </c>
      <c r="G984" s="8">
        <f>Lektionen[[#This Row],[Bearbeitungsdauer_real]]/Lektionen[[#This Row],[Bearbeitungsdauer_geschätzt]]-1</f>
        <v>0.10000000000000009</v>
      </c>
      <c r="H984" s="8" t="str" cm="1">
        <f t="array" ref="H984">_xlfn.IFS(Lektionen[[#This Row],[Bearbeitungsdauer_abgewichen]]&gt;0.6,"viel länger",Lektionen[[#This Row],[Bearbeitungsdauer_abgewichen]]&gt;0.3,"länger",Lektionen[[#This Row],[Bearbeitungsdauer_abgewichen]]&lt;-0.3,"kürzer",TRUE,"keine Abweichung")</f>
        <v>keine Abweichung</v>
      </c>
      <c r="I984">
        <v>4</v>
      </c>
    </row>
    <row r="985" spans="1:9" hidden="1" x14ac:dyDescent="0.3">
      <c r="A985" s="13">
        <v>146</v>
      </c>
      <c r="B985" s="4">
        <v>8</v>
      </c>
      <c r="C985" t="s">
        <v>537</v>
      </c>
      <c r="D985" t="s">
        <v>527</v>
      </c>
      <c r="E985">
        <v>5</v>
      </c>
      <c r="F985">
        <v>5</v>
      </c>
      <c r="G985" s="8">
        <f>Lektionen[[#This Row],[Bearbeitungsdauer_real]]/Lektionen[[#This Row],[Bearbeitungsdauer_geschätzt]]-1</f>
        <v>0</v>
      </c>
      <c r="H985" s="8" t="str" cm="1">
        <f t="array" ref="H985">_xlfn.IFS(Lektionen[[#This Row],[Bearbeitungsdauer_abgewichen]]&gt;0.6,"viel länger",Lektionen[[#This Row],[Bearbeitungsdauer_abgewichen]]&gt;0.3,"länger",Lektionen[[#This Row],[Bearbeitungsdauer_abgewichen]]&lt;-0.3,"kürzer",TRUE,"keine Abweichung")</f>
        <v>keine Abweichung</v>
      </c>
      <c r="I985">
        <v>1</v>
      </c>
    </row>
    <row r="986" spans="1:9" hidden="1" x14ac:dyDescent="0.3">
      <c r="A986" s="13">
        <v>147</v>
      </c>
      <c r="B986" s="4">
        <v>1</v>
      </c>
      <c r="C986" t="s">
        <v>526</v>
      </c>
      <c r="D986" t="s">
        <v>527</v>
      </c>
      <c r="E986">
        <v>4</v>
      </c>
      <c r="F986">
        <v>4</v>
      </c>
      <c r="G986" s="8">
        <f>Lektionen[[#This Row],[Bearbeitungsdauer_real]]/Lektionen[[#This Row],[Bearbeitungsdauer_geschätzt]]-1</f>
        <v>0</v>
      </c>
      <c r="H986" s="8" t="str" cm="1">
        <f t="array" ref="H986">_xlfn.IFS(Lektionen[[#This Row],[Bearbeitungsdauer_abgewichen]]&gt;0.6,"viel länger",Lektionen[[#This Row],[Bearbeitungsdauer_abgewichen]]&gt;0.3,"länger",Lektionen[[#This Row],[Bearbeitungsdauer_abgewichen]]&lt;-0.3,"kürzer",TRUE,"keine Abweichung")</f>
        <v>keine Abweichung</v>
      </c>
      <c r="I986">
        <v>1</v>
      </c>
    </row>
    <row r="987" spans="1:9" hidden="1" x14ac:dyDescent="0.3">
      <c r="A987" s="13">
        <v>147</v>
      </c>
      <c r="B987" s="4">
        <v>2</v>
      </c>
      <c r="C987" t="s">
        <v>528</v>
      </c>
      <c r="D987" t="s">
        <v>529</v>
      </c>
      <c r="E987">
        <v>15</v>
      </c>
      <c r="F987">
        <v>17</v>
      </c>
      <c r="G987" s="8">
        <f>Lektionen[[#This Row],[Bearbeitungsdauer_real]]/Lektionen[[#This Row],[Bearbeitungsdauer_geschätzt]]-1</f>
        <v>0.1333333333333333</v>
      </c>
      <c r="H987" s="8" t="str" cm="1">
        <f t="array" ref="H987">_xlfn.IFS(Lektionen[[#This Row],[Bearbeitungsdauer_abgewichen]]&gt;0.6,"viel länger",Lektionen[[#This Row],[Bearbeitungsdauer_abgewichen]]&gt;0.3,"länger",Lektionen[[#This Row],[Bearbeitungsdauer_abgewichen]]&lt;-0.3,"kürzer",TRUE,"keine Abweichung")</f>
        <v>keine Abweichung</v>
      </c>
      <c r="I987">
        <v>2</v>
      </c>
    </row>
    <row r="988" spans="1:9" hidden="1" x14ac:dyDescent="0.3">
      <c r="A988" s="13">
        <v>147</v>
      </c>
      <c r="B988" s="4">
        <v>3</v>
      </c>
      <c r="C988" t="s">
        <v>552</v>
      </c>
      <c r="D988" t="s">
        <v>530</v>
      </c>
      <c r="E988">
        <v>30</v>
      </c>
      <c r="F988">
        <v>29</v>
      </c>
      <c r="G988" s="8">
        <f>Lektionen[[#This Row],[Bearbeitungsdauer_real]]/Lektionen[[#This Row],[Bearbeitungsdauer_geschätzt]]-1</f>
        <v>-3.3333333333333326E-2</v>
      </c>
      <c r="H988" s="8" t="str" cm="1">
        <f t="array" ref="H988">_xlfn.IFS(Lektionen[[#This Row],[Bearbeitungsdauer_abgewichen]]&gt;0.6,"viel länger",Lektionen[[#This Row],[Bearbeitungsdauer_abgewichen]]&gt;0.3,"länger",Lektionen[[#This Row],[Bearbeitungsdauer_abgewichen]]&lt;-0.3,"kürzer",TRUE,"keine Abweichung")</f>
        <v>keine Abweichung</v>
      </c>
      <c r="I988">
        <v>3</v>
      </c>
    </row>
    <row r="989" spans="1:9" hidden="1" x14ac:dyDescent="0.3">
      <c r="A989" s="13">
        <v>147</v>
      </c>
      <c r="B989" s="4">
        <v>4</v>
      </c>
      <c r="C989" t="s">
        <v>531</v>
      </c>
      <c r="D989" t="s">
        <v>530</v>
      </c>
      <c r="E989">
        <v>30</v>
      </c>
      <c r="F989">
        <v>28</v>
      </c>
      <c r="G989" s="8">
        <f>Lektionen[[#This Row],[Bearbeitungsdauer_real]]/Lektionen[[#This Row],[Bearbeitungsdauer_geschätzt]]-1</f>
        <v>-6.6666666666666652E-2</v>
      </c>
      <c r="H989" s="8" t="str" cm="1">
        <f t="array" ref="H989">_xlfn.IFS(Lektionen[[#This Row],[Bearbeitungsdauer_abgewichen]]&gt;0.6,"viel länger",Lektionen[[#This Row],[Bearbeitungsdauer_abgewichen]]&gt;0.3,"länger",Lektionen[[#This Row],[Bearbeitungsdauer_abgewichen]]&lt;-0.3,"kürzer",TRUE,"keine Abweichung")</f>
        <v>keine Abweichung</v>
      </c>
      <c r="I989">
        <v>4</v>
      </c>
    </row>
    <row r="990" spans="1:9" x14ac:dyDescent="0.3">
      <c r="A990" s="13">
        <v>147</v>
      </c>
      <c r="B990" s="4">
        <v>5</v>
      </c>
      <c r="C990" t="s">
        <v>532</v>
      </c>
      <c r="D990" t="s">
        <v>530</v>
      </c>
      <c r="E990">
        <v>30</v>
      </c>
      <c r="F990">
        <v>35</v>
      </c>
      <c r="G990" s="8">
        <f>Lektionen[[#This Row],[Bearbeitungsdauer_real]]/Lektionen[[#This Row],[Bearbeitungsdauer_geschätzt]]-1</f>
        <v>0.16666666666666674</v>
      </c>
      <c r="H990" s="8" t="str" cm="1">
        <f t="array" ref="H990">_xlfn.IFS(Lektionen[[#This Row],[Bearbeitungsdauer_abgewichen]]&gt;0.6,"viel länger",Lektionen[[#This Row],[Bearbeitungsdauer_abgewichen]]&gt;0.3,"länger",Lektionen[[#This Row],[Bearbeitungsdauer_abgewichen]]&lt;-0.3,"kürzer",TRUE,"keine Abweichung")</f>
        <v>keine Abweichung</v>
      </c>
      <c r="I990">
        <v>4</v>
      </c>
    </row>
    <row r="991" spans="1:9" hidden="1" x14ac:dyDescent="0.3">
      <c r="A991" s="13">
        <v>147</v>
      </c>
      <c r="B991" s="4">
        <v>6</v>
      </c>
      <c r="C991" t="s">
        <v>533</v>
      </c>
      <c r="D991" t="s">
        <v>534</v>
      </c>
      <c r="E991">
        <v>5</v>
      </c>
      <c r="F991">
        <v>2</v>
      </c>
      <c r="G991" s="8">
        <f>Lektionen[[#This Row],[Bearbeitungsdauer_real]]/Lektionen[[#This Row],[Bearbeitungsdauer_geschätzt]]-1</f>
        <v>-0.6</v>
      </c>
      <c r="H991" s="8" t="str" cm="1">
        <f t="array" ref="H991">_xlfn.IFS(Lektionen[[#This Row],[Bearbeitungsdauer_abgewichen]]&gt;0.6,"viel länger",Lektionen[[#This Row],[Bearbeitungsdauer_abgewichen]]&gt;0.3,"länger",Lektionen[[#This Row],[Bearbeitungsdauer_abgewichen]]&lt;-0.3,"kürzer",TRUE,"keine Abweichung")</f>
        <v>kürzer</v>
      </c>
      <c r="I991">
        <v>3</v>
      </c>
    </row>
    <row r="992" spans="1:9" hidden="1" x14ac:dyDescent="0.3">
      <c r="A992" s="13">
        <v>147</v>
      </c>
      <c r="B992" s="4">
        <v>7</v>
      </c>
      <c r="C992" t="s">
        <v>535</v>
      </c>
      <c r="D992" t="s">
        <v>536</v>
      </c>
      <c r="E992">
        <v>10</v>
      </c>
      <c r="F992">
        <v>10</v>
      </c>
      <c r="G992" s="8">
        <f>Lektionen[[#This Row],[Bearbeitungsdauer_real]]/Lektionen[[#This Row],[Bearbeitungsdauer_geschätzt]]-1</f>
        <v>0</v>
      </c>
      <c r="H992" s="8" t="str" cm="1">
        <f t="array" ref="H992">_xlfn.IFS(Lektionen[[#This Row],[Bearbeitungsdauer_abgewichen]]&gt;0.6,"viel länger",Lektionen[[#This Row],[Bearbeitungsdauer_abgewichen]]&gt;0.3,"länger",Lektionen[[#This Row],[Bearbeitungsdauer_abgewichen]]&lt;-0.3,"kürzer",TRUE,"keine Abweichung")</f>
        <v>keine Abweichung</v>
      </c>
      <c r="I992">
        <v>3</v>
      </c>
    </row>
    <row r="993" spans="1:9" hidden="1" x14ac:dyDescent="0.3">
      <c r="A993" s="13">
        <v>147</v>
      </c>
      <c r="B993" s="4">
        <v>8</v>
      </c>
      <c r="C993" t="s">
        <v>537</v>
      </c>
      <c r="D993" t="s">
        <v>527</v>
      </c>
      <c r="E993">
        <v>5</v>
      </c>
      <c r="F993">
        <v>5</v>
      </c>
      <c r="G993" s="8">
        <f>Lektionen[[#This Row],[Bearbeitungsdauer_real]]/Lektionen[[#This Row],[Bearbeitungsdauer_geschätzt]]-1</f>
        <v>0</v>
      </c>
      <c r="H993" s="8" t="str" cm="1">
        <f t="array" ref="H993">_xlfn.IFS(Lektionen[[#This Row],[Bearbeitungsdauer_abgewichen]]&gt;0.6,"viel länger",Lektionen[[#This Row],[Bearbeitungsdauer_abgewichen]]&gt;0.3,"länger",Lektionen[[#This Row],[Bearbeitungsdauer_abgewichen]]&lt;-0.3,"kürzer",TRUE,"keine Abweichung")</f>
        <v>keine Abweichung</v>
      </c>
      <c r="I993">
        <v>1</v>
      </c>
    </row>
    <row r="994" spans="1:9" hidden="1" x14ac:dyDescent="0.3">
      <c r="A994" s="13">
        <v>149</v>
      </c>
      <c r="B994" s="4">
        <v>1</v>
      </c>
      <c r="C994" t="s">
        <v>526</v>
      </c>
      <c r="D994" t="s">
        <v>527</v>
      </c>
      <c r="E994">
        <v>4</v>
      </c>
      <c r="F994">
        <v>4</v>
      </c>
      <c r="G994" s="8">
        <f>Lektionen[[#This Row],[Bearbeitungsdauer_real]]/Lektionen[[#This Row],[Bearbeitungsdauer_geschätzt]]-1</f>
        <v>0</v>
      </c>
      <c r="H994" s="8" t="str" cm="1">
        <f t="array" ref="H994">_xlfn.IFS(Lektionen[[#This Row],[Bearbeitungsdauer_abgewichen]]&gt;0.6,"viel länger",Lektionen[[#This Row],[Bearbeitungsdauer_abgewichen]]&gt;0.3,"länger",Lektionen[[#This Row],[Bearbeitungsdauer_abgewichen]]&lt;-0.3,"kürzer",TRUE,"keine Abweichung")</f>
        <v>keine Abweichung</v>
      </c>
      <c r="I994">
        <v>1</v>
      </c>
    </row>
    <row r="995" spans="1:9" hidden="1" x14ac:dyDescent="0.3">
      <c r="A995" s="13">
        <v>149</v>
      </c>
      <c r="B995" s="4">
        <v>2</v>
      </c>
      <c r="C995" t="s">
        <v>528</v>
      </c>
      <c r="D995" t="s">
        <v>529</v>
      </c>
      <c r="E995">
        <v>15</v>
      </c>
      <c r="F995">
        <v>16</v>
      </c>
      <c r="G995" s="8">
        <f>Lektionen[[#This Row],[Bearbeitungsdauer_real]]/Lektionen[[#This Row],[Bearbeitungsdauer_geschätzt]]-1</f>
        <v>6.6666666666666652E-2</v>
      </c>
      <c r="H995" s="8" t="str" cm="1">
        <f t="array" ref="H995">_xlfn.IFS(Lektionen[[#This Row],[Bearbeitungsdauer_abgewichen]]&gt;0.6,"viel länger",Lektionen[[#This Row],[Bearbeitungsdauer_abgewichen]]&gt;0.3,"länger",Lektionen[[#This Row],[Bearbeitungsdauer_abgewichen]]&lt;-0.3,"kürzer",TRUE,"keine Abweichung")</f>
        <v>keine Abweichung</v>
      </c>
      <c r="I995">
        <v>1</v>
      </c>
    </row>
    <row r="996" spans="1:9" hidden="1" x14ac:dyDescent="0.3">
      <c r="A996" s="13">
        <v>149</v>
      </c>
      <c r="B996" s="4">
        <v>3</v>
      </c>
      <c r="C996" t="s">
        <v>552</v>
      </c>
      <c r="D996" t="s">
        <v>530</v>
      </c>
      <c r="E996">
        <v>30</v>
      </c>
      <c r="F996">
        <v>28</v>
      </c>
      <c r="G996" s="8">
        <f>Lektionen[[#This Row],[Bearbeitungsdauer_real]]/Lektionen[[#This Row],[Bearbeitungsdauer_geschätzt]]-1</f>
        <v>-6.6666666666666652E-2</v>
      </c>
      <c r="H996" s="8" t="str" cm="1">
        <f t="array" ref="H996">_xlfn.IFS(Lektionen[[#This Row],[Bearbeitungsdauer_abgewichen]]&gt;0.6,"viel länger",Lektionen[[#This Row],[Bearbeitungsdauer_abgewichen]]&gt;0.3,"länger",Lektionen[[#This Row],[Bearbeitungsdauer_abgewichen]]&lt;-0.3,"kürzer",TRUE,"keine Abweichung")</f>
        <v>keine Abweichung</v>
      </c>
      <c r="I996">
        <v>2</v>
      </c>
    </row>
    <row r="997" spans="1:9" hidden="1" x14ac:dyDescent="0.3">
      <c r="A997" s="13">
        <v>149</v>
      </c>
      <c r="B997" s="4">
        <v>4</v>
      </c>
      <c r="C997" t="s">
        <v>531</v>
      </c>
      <c r="D997" t="s">
        <v>530</v>
      </c>
      <c r="E997">
        <v>30</v>
      </c>
      <c r="F997">
        <v>20</v>
      </c>
      <c r="G997" s="8">
        <f>Lektionen[[#This Row],[Bearbeitungsdauer_real]]/Lektionen[[#This Row],[Bearbeitungsdauer_geschätzt]]-1</f>
        <v>-0.33333333333333337</v>
      </c>
      <c r="H997" s="8" t="str" cm="1">
        <f t="array" ref="H997">_xlfn.IFS(Lektionen[[#This Row],[Bearbeitungsdauer_abgewichen]]&gt;0.6,"viel länger",Lektionen[[#This Row],[Bearbeitungsdauer_abgewichen]]&gt;0.3,"länger",Lektionen[[#This Row],[Bearbeitungsdauer_abgewichen]]&lt;-0.3,"kürzer",TRUE,"keine Abweichung")</f>
        <v>kürzer</v>
      </c>
      <c r="I997">
        <v>3</v>
      </c>
    </row>
    <row r="998" spans="1:9" x14ac:dyDescent="0.3">
      <c r="A998" s="13">
        <v>149</v>
      </c>
      <c r="B998" s="4">
        <v>5</v>
      </c>
      <c r="C998" t="s">
        <v>532</v>
      </c>
      <c r="D998" t="s">
        <v>530</v>
      </c>
      <c r="E998">
        <v>30</v>
      </c>
      <c r="F998">
        <v>37</v>
      </c>
      <c r="G998" s="8">
        <f>Lektionen[[#This Row],[Bearbeitungsdauer_real]]/Lektionen[[#This Row],[Bearbeitungsdauer_geschätzt]]-1</f>
        <v>0.23333333333333339</v>
      </c>
      <c r="H998" s="8" t="str" cm="1">
        <f t="array" ref="H998">_xlfn.IFS(Lektionen[[#This Row],[Bearbeitungsdauer_abgewichen]]&gt;0.6,"viel länger",Lektionen[[#This Row],[Bearbeitungsdauer_abgewichen]]&gt;0.3,"länger",Lektionen[[#This Row],[Bearbeitungsdauer_abgewichen]]&lt;-0.3,"kürzer",TRUE,"keine Abweichung")</f>
        <v>keine Abweichung</v>
      </c>
      <c r="I998">
        <v>4</v>
      </c>
    </row>
    <row r="999" spans="1:9" hidden="1" x14ac:dyDescent="0.3">
      <c r="A999" s="13">
        <v>149</v>
      </c>
      <c r="B999" s="4">
        <v>6</v>
      </c>
      <c r="C999" t="s">
        <v>533</v>
      </c>
      <c r="D999" t="s">
        <v>534</v>
      </c>
      <c r="E999">
        <v>5</v>
      </c>
      <c r="F999">
        <v>2</v>
      </c>
      <c r="G999" s="8">
        <f>Lektionen[[#This Row],[Bearbeitungsdauer_real]]/Lektionen[[#This Row],[Bearbeitungsdauer_geschätzt]]-1</f>
        <v>-0.6</v>
      </c>
      <c r="H999" s="8" t="str" cm="1">
        <f t="array" ref="H999">_xlfn.IFS(Lektionen[[#This Row],[Bearbeitungsdauer_abgewichen]]&gt;0.6,"viel länger",Lektionen[[#This Row],[Bearbeitungsdauer_abgewichen]]&gt;0.3,"länger",Lektionen[[#This Row],[Bearbeitungsdauer_abgewichen]]&lt;-0.3,"kürzer",TRUE,"keine Abweichung")</f>
        <v>kürzer</v>
      </c>
      <c r="I999">
        <v>1</v>
      </c>
    </row>
    <row r="1000" spans="1:9" hidden="1" x14ac:dyDescent="0.3">
      <c r="A1000" s="13">
        <v>149</v>
      </c>
      <c r="B1000" s="4">
        <v>7</v>
      </c>
      <c r="C1000" t="s">
        <v>535</v>
      </c>
      <c r="D1000" t="s">
        <v>536</v>
      </c>
      <c r="E1000">
        <v>10</v>
      </c>
      <c r="F1000">
        <v>8</v>
      </c>
      <c r="G1000" s="8">
        <f>Lektionen[[#This Row],[Bearbeitungsdauer_real]]/Lektionen[[#This Row],[Bearbeitungsdauer_geschätzt]]-1</f>
        <v>-0.19999999999999996</v>
      </c>
      <c r="H1000" s="8" t="str" cm="1">
        <f t="array" ref="H1000">_xlfn.IFS(Lektionen[[#This Row],[Bearbeitungsdauer_abgewichen]]&gt;0.6,"viel länger",Lektionen[[#This Row],[Bearbeitungsdauer_abgewichen]]&gt;0.3,"länger",Lektionen[[#This Row],[Bearbeitungsdauer_abgewichen]]&lt;-0.3,"kürzer",TRUE,"keine Abweichung")</f>
        <v>keine Abweichung</v>
      </c>
      <c r="I1000">
        <v>3</v>
      </c>
    </row>
    <row r="1001" spans="1:9" hidden="1" x14ac:dyDescent="0.3">
      <c r="A1001" s="13">
        <v>149</v>
      </c>
      <c r="B1001" s="4">
        <v>8</v>
      </c>
      <c r="C1001" t="s">
        <v>537</v>
      </c>
      <c r="D1001" t="s">
        <v>527</v>
      </c>
      <c r="E1001">
        <v>5</v>
      </c>
      <c r="F1001">
        <v>5</v>
      </c>
      <c r="G1001" s="8">
        <f>Lektionen[[#This Row],[Bearbeitungsdauer_real]]/Lektionen[[#This Row],[Bearbeitungsdauer_geschätzt]]-1</f>
        <v>0</v>
      </c>
      <c r="H1001" s="8" t="str" cm="1">
        <f t="array" ref="H1001">_xlfn.IFS(Lektionen[[#This Row],[Bearbeitungsdauer_abgewichen]]&gt;0.6,"viel länger",Lektionen[[#This Row],[Bearbeitungsdauer_abgewichen]]&gt;0.3,"länger",Lektionen[[#This Row],[Bearbeitungsdauer_abgewichen]]&lt;-0.3,"kürzer",TRUE,"keine Abweichung")</f>
        <v>keine Abweichung</v>
      </c>
      <c r="I1001">
        <v>1</v>
      </c>
    </row>
    <row r="1002" spans="1:9" hidden="1" x14ac:dyDescent="0.3">
      <c r="A1002" s="13">
        <v>151</v>
      </c>
      <c r="B1002" s="4">
        <v>1</v>
      </c>
      <c r="C1002" t="s">
        <v>526</v>
      </c>
      <c r="D1002" t="s">
        <v>527</v>
      </c>
      <c r="E1002">
        <v>4</v>
      </c>
      <c r="F1002">
        <v>4</v>
      </c>
      <c r="G1002" s="8">
        <f>Lektionen[[#This Row],[Bearbeitungsdauer_real]]/Lektionen[[#This Row],[Bearbeitungsdauer_geschätzt]]-1</f>
        <v>0</v>
      </c>
      <c r="H1002" s="8" t="str" cm="1">
        <f t="array" ref="H1002">_xlfn.IFS(Lektionen[[#This Row],[Bearbeitungsdauer_abgewichen]]&gt;0.6,"viel länger",Lektionen[[#This Row],[Bearbeitungsdauer_abgewichen]]&gt;0.3,"länger",Lektionen[[#This Row],[Bearbeitungsdauer_abgewichen]]&lt;-0.3,"kürzer",TRUE,"keine Abweichung")</f>
        <v>keine Abweichung</v>
      </c>
      <c r="I1002">
        <v>1</v>
      </c>
    </row>
    <row r="1003" spans="1:9" hidden="1" x14ac:dyDescent="0.3">
      <c r="A1003" s="13">
        <v>151</v>
      </c>
      <c r="B1003" s="4">
        <v>2</v>
      </c>
      <c r="C1003" t="s">
        <v>528</v>
      </c>
      <c r="D1003" t="s">
        <v>529</v>
      </c>
      <c r="E1003">
        <v>15</v>
      </c>
      <c r="F1003">
        <v>20</v>
      </c>
      <c r="G1003" s="8">
        <f>Lektionen[[#This Row],[Bearbeitungsdauer_real]]/Lektionen[[#This Row],[Bearbeitungsdauer_geschätzt]]-1</f>
        <v>0.33333333333333326</v>
      </c>
      <c r="H1003" s="8" t="str" cm="1">
        <f t="array" ref="H1003">_xlfn.IFS(Lektionen[[#This Row],[Bearbeitungsdauer_abgewichen]]&gt;0.6,"viel länger",Lektionen[[#This Row],[Bearbeitungsdauer_abgewichen]]&gt;0.3,"länger",Lektionen[[#This Row],[Bearbeitungsdauer_abgewichen]]&lt;-0.3,"kürzer",TRUE,"keine Abweichung")</f>
        <v>länger</v>
      </c>
      <c r="I1003">
        <v>1</v>
      </c>
    </row>
    <row r="1004" spans="1:9" hidden="1" x14ac:dyDescent="0.3">
      <c r="A1004" s="13">
        <v>151</v>
      </c>
      <c r="B1004" s="4">
        <v>3</v>
      </c>
      <c r="C1004" t="s">
        <v>552</v>
      </c>
      <c r="D1004" t="s">
        <v>530</v>
      </c>
      <c r="E1004">
        <v>30</v>
      </c>
      <c r="F1004">
        <v>30</v>
      </c>
      <c r="G1004" s="8">
        <f>Lektionen[[#This Row],[Bearbeitungsdauer_real]]/Lektionen[[#This Row],[Bearbeitungsdauer_geschätzt]]-1</f>
        <v>0</v>
      </c>
      <c r="H1004" s="8" t="str" cm="1">
        <f t="array" ref="H1004">_xlfn.IFS(Lektionen[[#This Row],[Bearbeitungsdauer_abgewichen]]&gt;0.6,"viel länger",Lektionen[[#This Row],[Bearbeitungsdauer_abgewichen]]&gt;0.3,"länger",Lektionen[[#This Row],[Bearbeitungsdauer_abgewichen]]&lt;-0.3,"kürzer",TRUE,"keine Abweichung")</f>
        <v>keine Abweichung</v>
      </c>
      <c r="I1004">
        <v>2</v>
      </c>
    </row>
    <row r="1005" spans="1:9" hidden="1" x14ac:dyDescent="0.3">
      <c r="A1005" s="13">
        <v>151</v>
      </c>
      <c r="B1005" s="4">
        <v>4</v>
      </c>
      <c r="C1005" t="s">
        <v>531</v>
      </c>
      <c r="D1005" t="s">
        <v>530</v>
      </c>
      <c r="E1005">
        <v>30</v>
      </c>
      <c r="F1005">
        <v>18</v>
      </c>
      <c r="G1005" s="8">
        <f>Lektionen[[#This Row],[Bearbeitungsdauer_real]]/Lektionen[[#This Row],[Bearbeitungsdauer_geschätzt]]-1</f>
        <v>-0.4</v>
      </c>
      <c r="H1005" s="8" t="str" cm="1">
        <f t="array" ref="H1005">_xlfn.IFS(Lektionen[[#This Row],[Bearbeitungsdauer_abgewichen]]&gt;0.6,"viel länger",Lektionen[[#This Row],[Bearbeitungsdauer_abgewichen]]&gt;0.3,"länger",Lektionen[[#This Row],[Bearbeitungsdauer_abgewichen]]&lt;-0.3,"kürzer",TRUE,"keine Abweichung")</f>
        <v>kürzer</v>
      </c>
      <c r="I1005">
        <v>3</v>
      </c>
    </row>
    <row r="1006" spans="1:9" x14ac:dyDescent="0.3">
      <c r="A1006" s="13">
        <v>151</v>
      </c>
      <c r="B1006" s="4">
        <v>5</v>
      </c>
      <c r="C1006" t="s">
        <v>532</v>
      </c>
      <c r="D1006" t="s">
        <v>530</v>
      </c>
      <c r="E1006">
        <v>30</v>
      </c>
      <c r="F1006">
        <v>44</v>
      </c>
      <c r="G1006" s="8">
        <f>Lektionen[[#This Row],[Bearbeitungsdauer_real]]/Lektionen[[#This Row],[Bearbeitungsdauer_geschätzt]]-1</f>
        <v>0.46666666666666656</v>
      </c>
      <c r="H1006" s="8" t="str" cm="1">
        <f t="array" ref="H1006">_xlfn.IFS(Lektionen[[#This Row],[Bearbeitungsdauer_abgewichen]]&gt;0.6,"viel länger",Lektionen[[#This Row],[Bearbeitungsdauer_abgewichen]]&gt;0.3,"länger",Lektionen[[#This Row],[Bearbeitungsdauer_abgewichen]]&lt;-0.3,"kürzer",TRUE,"keine Abweichung")</f>
        <v>länger</v>
      </c>
      <c r="I1006">
        <v>4</v>
      </c>
    </row>
    <row r="1007" spans="1:9" hidden="1" x14ac:dyDescent="0.3">
      <c r="A1007" s="13">
        <v>151</v>
      </c>
      <c r="B1007" s="4">
        <v>6</v>
      </c>
      <c r="C1007" t="s">
        <v>533</v>
      </c>
      <c r="D1007" t="s">
        <v>534</v>
      </c>
      <c r="E1007">
        <v>5</v>
      </c>
      <c r="F1007">
        <v>2</v>
      </c>
      <c r="G1007" s="8">
        <f>Lektionen[[#This Row],[Bearbeitungsdauer_real]]/Lektionen[[#This Row],[Bearbeitungsdauer_geschätzt]]-1</f>
        <v>-0.6</v>
      </c>
      <c r="H1007" s="8" t="str" cm="1">
        <f t="array" ref="H1007">_xlfn.IFS(Lektionen[[#This Row],[Bearbeitungsdauer_abgewichen]]&gt;0.6,"viel länger",Lektionen[[#This Row],[Bearbeitungsdauer_abgewichen]]&gt;0.3,"länger",Lektionen[[#This Row],[Bearbeitungsdauer_abgewichen]]&lt;-0.3,"kürzer",TRUE,"keine Abweichung")</f>
        <v>kürzer</v>
      </c>
      <c r="I1007">
        <v>2</v>
      </c>
    </row>
    <row r="1008" spans="1:9" hidden="1" x14ac:dyDescent="0.3">
      <c r="A1008" s="13">
        <v>151</v>
      </c>
      <c r="B1008" s="4">
        <v>7</v>
      </c>
      <c r="C1008" t="s">
        <v>535</v>
      </c>
      <c r="D1008" t="s">
        <v>536</v>
      </c>
      <c r="E1008">
        <v>10</v>
      </c>
      <c r="F1008">
        <v>10</v>
      </c>
      <c r="G1008" s="8">
        <f>Lektionen[[#This Row],[Bearbeitungsdauer_real]]/Lektionen[[#This Row],[Bearbeitungsdauer_geschätzt]]-1</f>
        <v>0</v>
      </c>
      <c r="H1008" s="8" t="str" cm="1">
        <f t="array" ref="H1008">_xlfn.IFS(Lektionen[[#This Row],[Bearbeitungsdauer_abgewichen]]&gt;0.6,"viel länger",Lektionen[[#This Row],[Bearbeitungsdauer_abgewichen]]&gt;0.3,"länger",Lektionen[[#This Row],[Bearbeitungsdauer_abgewichen]]&lt;-0.3,"kürzer",TRUE,"keine Abweichung")</f>
        <v>keine Abweichung</v>
      </c>
      <c r="I1008">
        <v>3</v>
      </c>
    </row>
    <row r="1009" spans="1:9" hidden="1" x14ac:dyDescent="0.3">
      <c r="A1009" s="13">
        <v>151</v>
      </c>
      <c r="B1009" s="4">
        <v>8</v>
      </c>
      <c r="C1009" t="s">
        <v>537</v>
      </c>
      <c r="D1009" t="s">
        <v>527</v>
      </c>
      <c r="E1009">
        <v>5</v>
      </c>
      <c r="F1009">
        <v>5</v>
      </c>
      <c r="G1009" s="8">
        <f>Lektionen[[#This Row],[Bearbeitungsdauer_real]]/Lektionen[[#This Row],[Bearbeitungsdauer_geschätzt]]-1</f>
        <v>0</v>
      </c>
      <c r="H1009" s="8" t="str" cm="1">
        <f t="array" ref="H1009">_xlfn.IFS(Lektionen[[#This Row],[Bearbeitungsdauer_abgewichen]]&gt;0.6,"viel länger",Lektionen[[#This Row],[Bearbeitungsdauer_abgewichen]]&gt;0.3,"länger",Lektionen[[#This Row],[Bearbeitungsdauer_abgewichen]]&lt;-0.3,"kürzer",TRUE,"keine Abweichung")</f>
        <v>keine Abweichung</v>
      </c>
      <c r="I1009">
        <v>1</v>
      </c>
    </row>
    <row r="1010" spans="1:9" hidden="1" x14ac:dyDescent="0.3">
      <c r="A1010" s="13">
        <v>152</v>
      </c>
      <c r="B1010" s="4">
        <v>1</v>
      </c>
      <c r="C1010" t="s">
        <v>526</v>
      </c>
      <c r="D1010" t="s">
        <v>527</v>
      </c>
      <c r="E1010">
        <v>4</v>
      </c>
      <c r="F1010">
        <v>4</v>
      </c>
      <c r="G1010" s="8">
        <f>Lektionen[[#This Row],[Bearbeitungsdauer_real]]/Lektionen[[#This Row],[Bearbeitungsdauer_geschätzt]]-1</f>
        <v>0</v>
      </c>
      <c r="H1010" s="8" t="str" cm="1">
        <f t="array" ref="H1010">_xlfn.IFS(Lektionen[[#This Row],[Bearbeitungsdauer_abgewichen]]&gt;0.6,"viel länger",Lektionen[[#This Row],[Bearbeitungsdauer_abgewichen]]&gt;0.3,"länger",Lektionen[[#This Row],[Bearbeitungsdauer_abgewichen]]&lt;-0.3,"kürzer",TRUE,"keine Abweichung")</f>
        <v>keine Abweichung</v>
      </c>
      <c r="I1010">
        <v>1</v>
      </c>
    </row>
    <row r="1011" spans="1:9" hidden="1" x14ac:dyDescent="0.3">
      <c r="A1011" s="13">
        <v>152</v>
      </c>
      <c r="B1011" s="4">
        <v>2</v>
      </c>
      <c r="C1011" t="s">
        <v>528</v>
      </c>
      <c r="D1011" t="s">
        <v>529</v>
      </c>
      <c r="E1011">
        <v>15</v>
      </c>
      <c r="F1011">
        <v>19</v>
      </c>
      <c r="G1011" s="8">
        <f>Lektionen[[#This Row],[Bearbeitungsdauer_real]]/Lektionen[[#This Row],[Bearbeitungsdauer_geschätzt]]-1</f>
        <v>0.26666666666666661</v>
      </c>
      <c r="H1011" s="8" t="str" cm="1">
        <f t="array" ref="H1011">_xlfn.IFS(Lektionen[[#This Row],[Bearbeitungsdauer_abgewichen]]&gt;0.6,"viel länger",Lektionen[[#This Row],[Bearbeitungsdauer_abgewichen]]&gt;0.3,"länger",Lektionen[[#This Row],[Bearbeitungsdauer_abgewichen]]&lt;-0.3,"kürzer",TRUE,"keine Abweichung")</f>
        <v>keine Abweichung</v>
      </c>
      <c r="I1011">
        <v>1</v>
      </c>
    </row>
    <row r="1012" spans="1:9" hidden="1" x14ac:dyDescent="0.3">
      <c r="A1012" s="13">
        <v>152</v>
      </c>
      <c r="B1012" s="4">
        <v>3</v>
      </c>
      <c r="C1012" t="s">
        <v>552</v>
      </c>
      <c r="D1012" t="s">
        <v>530</v>
      </c>
      <c r="E1012">
        <v>30</v>
      </c>
      <c r="F1012">
        <v>28</v>
      </c>
      <c r="G1012" s="8">
        <f>Lektionen[[#This Row],[Bearbeitungsdauer_real]]/Lektionen[[#This Row],[Bearbeitungsdauer_geschätzt]]-1</f>
        <v>-6.6666666666666652E-2</v>
      </c>
      <c r="H1012" s="8" t="str" cm="1">
        <f t="array" ref="H1012">_xlfn.IFS(Lektionen[[#This Row],[Bearbeitungsdauer_abgewichen]]&gt;0.6,"viel länger",Lektionen[[#This Row],[Bearbeitungsdauer_abgewichen]]&gt;0.3,"länger",Lektionen[[#This Row],[Bearbeitungsdauer_abgewichen]]&lt;-0.3,"kürzer",TRUE,"keine Abweichung")</f>
        <v>keine Abweichung</v>
      </c>
      <c r="I1012">
        <v>2</v>
      </c>
    </row>
    <row r="1013" spans="1:9" hidden="1" x14ac:dyDescent="0.3">
      <c r="A1013" s="13">
        <v>152</v>
      </c>
      <c r="B1013" s="4">
        <v>4</v>
      </c>
      <c r="C1013" t="s">
        <v>531</v>
      </c>
      <c r="D1013" t="s">
        <v>530</v>
      </c>
      <c r="E1013">
        <v>30</v>
      </c>
      <c r="F1013">
        <v>22</v>
      </c>
      <c r="G1013" s="8">
        <f>Lektionen[[#This Row],[Bearbeitungsdauer_real]]/Lektionen[[#This Row],[Bearbeitungsdauer_geschätzt]]-1</f>
        <v>-0.26666666666666672</v>
      </c>
      <c r="H1013" s="8" t="str" cm="1">
        <f t="array" ref="H1013">_xlfn.IFS(Lektionen[[#This Row],[Bearbeitungsdauer_abgewichen]]&gt;0.6,"viel länger",Lektionen[[#This Row],[Bearbeitungsdauer_abgewichen]]&gt;0.3,"länger",Lektionen[[#This Row],[Bearbeitungsdauer_abgewichen]]&lt;-0.3,"kürzer",TRUE,"keine Abweichung")</f>
        <v>keine Abweichung</v>
      </c>
      <c r="I1013">
        <v>4</v>
      </c>
    </row>
    <row r="1014" spans="1:9" x14ac:dyDescent="0.3">
      <c r="A1014" s="13">
        <v>152</v>
      </c>
      <c r="B1014" s="4">
        <v>5</v>
      </c>
      <c r="C1014" t="s">
        <v>532</v>
      </c>
      <c r="D1014" t="s">
        <v>530</v>
      </c>
      <c r="E1014">
        <v>30</v>
      </c>
      <c r="F1014">
        <v>53</v>
      </c>
      <c r="G1014" s="8">
        <f>Lektionen[[#This Row],[Bearbeitungsdauer_real]]/Lektionen[[#This Row],[Bearbeitungsdauer_geschätzt]]-1</f>
        <v>0.76666666666666661</v>
      </c>
      <c r="H1014" s="8" t="str" cm="1">
        <f t="array" ref="H1014">_xlfn.IFS(Lektionen[[#This Row],[Bearbeitungsdauer_abgewichen]]&gt;0.6,"viel länger",Lektionen[[#This Row],[Bearbeitungsdauer_abgewichen]]&gt;0.3,"länger",Lektionen[[#This Row],[Bearbeitungsdauer_abgewichen]]&lt;-0.3,"kürzer",TRUE,"keine Abweichung")</f>
        <v>viel länger</v>
      </c>
      <c r="I1014">
        <v>4</v>
      </c>
    </row>
    <row r="1015" spans="1:9" hidden="1" x14ac:dyDescent="0.3">
      <c r="A1015" s="13">
        <v>152</v>
      </c>
      <c r="B1015" s="4">
        <v>6</v>
      </c>
      <c r="C1015" t="s">
        <v>533</v>
      </c>
      <c r="D1015" t="s">
        <v>534</v>
      </c>
      <c r="E1015">
        <v>5</v>
      </c>
      <c r="F1015">
        <v>1</v>
      </c>
      <c r="G1015" s="8">
        <f>Lektionen[[#This Row],[Bearbeitungsdauer_real]]/Lektionen[[#This Row],[Bearbeitungsdauer_geschätzt]]-1</f>
        <v>-0.8</v>
      </c>
      <c r="H1015" s="8" t="str" cm="1">
        <f t="array" ref="H1015">_xlfn.IFS(Lektionen[[#This Row],[Bearbeitungsdauer_abgewichen]]&gt;0.6,"viel länger",Lektionen[[#This Row],[Bearbeitungsdauer_abgewichen]]&gt;0.3,"länger",Lektionen[[#This Row],[Bearbeitungsdauer_abgewichen]]&lt;-0.3,"kürzer",TRUE,"keine Abweichung")</f>
        <v>kürzer</v>
      </c>
      <c r="I1015">
        <v>1</v>
      </c>
    </row>
    <row r="1016" spans="1:9" hidden="1" x14ac:dyDescent="0.3">
      <c r="A1016" s="13">
        <v>152</v>
      </c>
      <c r="B1016" s="4">
        <v>7</v>
      </c>
      <c r="C1016" t="s">
        <v>535</v>
      </c>
      <c r="D1016" t="s">
        <v>536</v>
      </c>
      <c r="E1016">
        <v>10</v>
      </c>
      <c r="F1016">
        <v>8</v>
      </c>
      <c r="G1016" s="8">
        <f>Lektionen[[#This Row],[Bearbeitungsdauer_real]]/Lektionen[[#This Row],[Bearbeitungsdauer_geschätzt]]-1</f>
        <v>-0.19999999999999996</v>
      </c>
      <c r="H1016" s="8" t="str" cm="1">
        <f t="array" ref="H1016">_xlfn.IFS(Lektionen[[#This Row],[Bearbeitungsdauer_abgewichen]]&gt;0.6,"viel länger",Lektionen[[#This Row],[Bearbeitungsdauer_abgewichen]]&gt;0.3,"länger",Lektionen[[#This Row],[Bearbeitungsdauer_abgewichen]]&lt;-0.3,"kürzer",TRUE,"keine Abweichung")</f>
        <v>keine Abweichung</v>
      </c>
      <c r="I1016">
        <v>4</v>
      </c>
    </row>
    <row r="1017" spans="1:9" hidden="1" x14ac:dyDescent="0.3">
      <c r="A1017" s="13">
        <v>152</v>
      </c>
      <c r="B1017" s="4">
        <v>8</v>
      </c>
      <c r="C1017" t="s">
        <v>537</v>
      </c>
      <c r="D1017" t="s">
        <v>527</v>
      </c>
      <c r="E1017">
        <v>5</v>
      </c>
      <c r="F1017">
        <v>7</v>
      </c>
      <c r="G1017" s="8">
        <f>Lektionen[[#This Row],[Bearbeitungsdauer_real]]/Lektionen[[#This Row],[Bearbeitungsdauer_geschätzt]]-1</f>
        <v>0.39999999999999991</v>
      </c>
      <c r="H1017" s="8" t="str" cm="1">
        <f t="array" ref="H1017">_xlfn.IFS(Lektionen[[#This Row],[Bearbeitungsdauer_abgewichen]]&gt;0.6,"viel länger",Lektionen[[#This Row],[Bearbeitungsdauer_abgewichen]]&gt;0.3,"länger",Lektionen[[#This Row],[Bearbeitungsdauer_abgewichen]]&lt;-0.3,"kürzer",TRUE,"keine Abweichung")</f>
        <v>länger</v>
      </c>
      <c r="I1017">
        <v>1</v>
      </c>
    </row>
    <row r="1018" spans="1:9" hidden="1" x14ac:dyDescent="0.3">
      <c r="A1018" s="13">
        <v>153</v>
      </c>
      <c r="B1018" s="4">
        <v>1</v>
      </c>
      <c r="C1018" t="s">
        <v>526</v>
      </c>
      <c r="D1018" t="s">
        <v>527</v>
      </c>
      <c r="E1018">
        <v>4</v>
      </c>
      <c r="F1018">
        <v>5</v>
      </c>
      <c r="G1018" s="8">
        <f>Lektionen[[#This Row],[Bearbeitungsdauer_real]]/Lektionen[[#This Row],[Bearbeitungsdauer_geschätzt]]-1</f>
        <v>0.25</v>
      </c>
      <c r="H1018" s="8" t="str" cm="1">
        <f t="array" ref="H1018">_xlfn.IFS(Lektionen[[#This Row],[Bearbeitungsdauer_abgewichen]]&gt;0.6,"viel länger",Lektionen[[#This Row],[Bearbeitungsdauer_abgewichen]]&gt;0.3,"länger",Lektionen[[#This Row],[Bearbeitungsdauer_abgewichen]]&lt;-0.3,"kürzer",TRUE,"keine Abweichung")</f>
        <v>keine Abweichung</v>
      </c>
      <c r="I1018">
        <v>1</v>
      </c>
    </row>
    <row r="1019" spans="1:9" hidden="1" x14ac:dyDescent="0.3">
      <c r="A1019" s="13">
        <v>153</v>
      </c>
      <c r="B1019" s="4">
        <v>2</v>
      </c>
      <c r="C1019" t="s">
        <v>528</v>
      </c>
      <c r="D1019" t="s">
        <v>529</v>
      </c>
      <c r="E1019">
        <v>15</v>
      </c>
      <c r="F1019">
        <v>18</v>
      </c>
      <c r="G1019" s="8">
        <f>Lektionen[[#This Row],[Bearbeitungsdauer_real]]/Lektionen[[#This Row],[Bearbeitungsdauer_geschätzt]]-1</f>
        <v>0.19999999999999996</v>
      </c>
      <c r="H1019" s="8" t="str" cm="1">
        <f t="array" ref="H1019">_xlfn.IFS(Lektionen[[#This Row],[Bearbeitungsdauer_abgewichen]]&gt;0.6,"viel länger",Lektionen[[#This Row],[Bearbeitungsdauer_abgewichen]]&gt;0.3,"länger",Lektionen[[#This Row],[Bearbeitungsdauer_abgewichen]]&lt;-0.3,"kürzer",TRUE,"keine Abweichung")</f>
        <v>keine Abweichung</v>
      </c>
      <c r="I1019">
        <v>1</v>
      </c>
    </row>
    <row r="1020" spans="1:9" hidden="1" x14ac:dyDescent="0.3">
      <c r="A1020" s="13">
        <v>153</v>
      </c>
      <c r="B1020" s="4">
        <v>3</v>
      </c>
      <c r="C1020" t="s">
        <v>552</v>
      </c>
      <c r="D1020" t="s">
        <v>530</v>
      </c>
      <c r="E1020">
        <v>30</v>
      </c>
      <c r="F1020">
        <v>28</v>
      </c>
      <c r="G1020" s="8">
        <f>Lektionen[[#This Row],[Bearbeitungsdauer_real]]/Lektionen[[#This Row],[Bearbeitungsdauer_geschätzt]]-1</f>
        <v>-6.6666666666666652E-2</v>
      </c>
      <c r="H1020" s="8" t="str" cm="1">
        <f t="array" ref="H1020">_xlfn.IFS(Lektionen[[#This Row],[Bearbeitungsdauer_abgewichen]]&gt;0.6,"viel länger",Lektionen[[#This Row],[Bearbeitungsdauer_abgewichen]]&gt;0.3,"länger",Lektionen[[#This Row],[Bearbeitungsdauer_abgewichen]]&lt;-0.3,"kürzer",TRUE,"keine Abweichung")</f>
        <v>keine Abweichung</v>
      </c>
      <c r="I1020">
        <v>3</v>
      </c>
    </row>
    <row r="1021" spans="1:9" hidden="1" x14ac:dyDescent="0.3">
      <c r="A1021" s="13">
        <v>153</v>
      </c>
      <c r="B1021" s="4">
        <v>4</v>
      </c>
      <c r="C1021" t="s">
        <v>531</v>
      </c>
      <c r="D1021" t="s">
        <v>530</v>
      </c>
      <c r="E1021">
        <v>30</v>
      </c>
      <c r="F1021">
        <v>27</v>
      </c>
      <c r="G1021" s="8">
        <f>Lektionen[[#This Row],[Bearbeitungsdauer_real]]/Lektionen[[#This Row],[Bearbeitungsdauer_geschätzt]]-1</f>
        <v>-9.9999999999999978E-2</v>
      </c>
      <c r="H1021" s="8" t="str" cm="1">
        <f t="array" ref="H1021">_xlfn.IFS(Lektionen[[#This Row],[Bearbeitungsdauer_abgewichen]]&gt;0.6,"viel länger",Lektionen[[#This Row],[Bearbeitungsdauer_abgewichen]]&gt;0.3,"länger",Lektionen[[#This Row],[Bearbeitungsdauer_abgewichen]]&lt;-0.3,"kürzer",TRUE,"keine Abweichung")</f>
        <v>keine Abweichung</v>
      </c>
      <c r="I1021">
        <v>3</v>
      </c>
    </row>
    <row r="1022" spans="1:9" x14ac:dyDescent="0.3">
      <c r="A1022" s="13">
        <v>153</v>
      </c>
      <c r="B1022" s="4">
        <v>5</v>
      </c>
      <c r="C1022" t="s">
        <v>532</v>
      </c>
      <c r="D1022" t="s">
        <v>530</v>
      </c>
      <c r="E1022">
        <v>30</v>
      </c>
      <c r="F1022">
        <v>48</v>
      </c>
      <c r="G1022" s="8">
        <f>Lektionen[[#This Row],[Bearbeitungsdauer_real]]/Lektionen[[#This Row],[Bearbeitungsdauer_geschätzt]]-1</f>
        <v>0.60000000000000009</v>
      </c>
      <c r="H1022" s="8" t="str" cm="1">
        <f t="array" ref="H1022">_xlfn.IFS(Lektionen[[#This Row],[Bearbeitungsdauer_abgewichen]]&gt;0.6,"viel länger",Lektionen[[#This Row],[Bearbeitungsdauer_abgewichen]]&gt;0.3,"länger",Lektionen[[#This Row],[Bearbeitungsdauer_abgewichen]]&lt;-0.3,"kürzer",TRUE,"keine Abweichung")</f>
        <v>länger</v>
      </c>
      <c r="I1022">
        <v>4</v>
      </c>
    </row>
    <row r="1023" spans="1:9" hidden="1" x14ac:dyDescent="0.3">
      <c r="A1023" s="13">
        <v>153</v>
      </c>
      <c r="B1023" s="4">
        <v>6</v>
      </c>
      <c r="C1023" t="s">
        <v>533</v>
      </c>
      <c r="D1023" t="s">
        <v>534</v>
      </c>
      <c r="E1023">
        <v>5</v>
      </c>
      <c r="F1023">
        <v>1</v>
      </c>
      <c r="G1023" s="8">
        <f>Lektionen[[#This Row],[Bearbeitungsdauer_real]]/Lektionen[[#This Row],[Bearbeitungsdauer_geschätzt]]-1</f>
        <v>-0.8</v>
      </c>
      <c r="H1023" s="8" t="str" cm="1">
        <f t="array" ref="H1023">_xlfn.IFS(Lektionen[[#This Row],[Bearbeitungsdauer_abgewichen]]&gt;0.6,"viel länger",Lektionen[[#This Row],[Bearbeitungsdauer_abgewichen]]&gt;0.3,"länger",Lektionen[[#This Row],[Bearbeitungsdauer_abgewichen]]&lt;-0.3,"kürzer",TRUE,"keine Abweichung")</f>
        <v>kürzer</v>
      </c>
      <c r="I1023">
        <v>2</v>
      </c>
    </row>
    <row r="1024" spans="1:9" hidden="1" x14ac:dyDescent="0.3">
      <c r="A1024" s="13">
        <v>153</v>
      </c>
      <c r="B1024" s="4">
        <v>7</v>
      </c>
      <c r="C1024" t="s">
        <v>535</v>
      </c>
      <c r="D1024" t="s">
        <v>536</v>
      </c>
      <c r="E1024">
        <v>10</v>
      </c>
      <c r="F1024">
        <v>9</v>
      </c>
      <c r="G1024" s="8">
        <f>Lektionen[[#This Row],[Bearbeitungsdauer_real]]/Lektionen[[#This Row],[Bearbeitungsdauer_geschätzt]]-1</f>
        <v>-9.9999999999999978E-2</v>
      </c>
      <c r="H1024" s="8" t="str" cm="1">
        <f t="array" ref="H1024">_xlfn.IFS(Lektionen[[#This Row],[Bearbeitungsdauer_abgewichen]]&gt;0.6,"viel länger",Lektionen[[#This Row],[Bearbeitungsdauer_abgewichen]]&gt;0.3,"länger",Lektionen[[#This Row],[Bearbeitungsdauer_abgewichen]]&lt;-0.3,"kürzer",TRUE,"keine Abweichung")</f>
        <v>keine Abweichung</v>
      </c>
      <c r="I1024">
        <v>3</v>
      </c>
    </row>
    <row r="1025" spans="1:9" hidden="1" x14ac:dyDescent="0.3">
      <c r="A1025" s="13">
        <v>153</v>
      </c>
      <c r="B1025" s="4">
        <v>8</v>
      </c>
      <c r="C1025" t="s">
        <v>537</v>
      </c>
      <c r="D1025" t="s">
        <v>527</v>
      </c>
      <c r="E1025">
        <v>5</v>
      </c>
      <c r="F1025">
        <v>5</v>
      </c>
      <c r="G1025" s="8">
        <f>Lektionen[[#This Row],[Bearbeitungsdauer_real]]/Lektionen[[#This Row],[Bearbeitungsdauer_geschätzt]]-1</f>
        <v>0</v>
      </c>
      <c r="H1025" s="8" t="str" cm="1">
        <f t="array" ref="H1025">_xlfn.IFS(Lektionen[[#This Row],[Bearbeitungsdauer_abgewichen]]&gt;0.6,"viel länger",Lektionen[[#This Row],[Bearbeitungsdauer_abgewichen]]&gt;0.3,"länger",Lektionen[[#This Row],[Bearbeitungsdauer_abgewichen]]&lt;-0.3,"kürzer",TRUE,"keine Abweichung")</f>
        <v>keine Abweichung</v>
      </c>
      <c r="I1025">
        <v>1</v>
      </c>
    </row>
    <row r="1026" spans="1:9" hidden="1" x14ac:dyDescent="0.3">
      <c r="A1026" s="13">
        <v>154</v>
      </c>
      <c r="B1026" s="4">
        <v>1</v>
      </c>
      <c r="C1026" t="s">
        <v>526</v>
      </c>
      <c r="D1026" t="s">
        <v>527</v>
      </c>
      <c r="E1026">
        <v>4</v>
      </c>
      <c r="F1026">
        <v>4</v>
      </c>
      <c r="G1026" s="8">
        <f>Lektionen[[#This Row],[Bearbeitungsdauer_real]]/Lektionen[[#This Row],[Bearbeitungsdauer_geschätzt]]-1</f>
        <v>0</v>
      </c>
      <c r="H1026" s="8" t="str" cm="1">
        <f t="array" ref="H1026">_xlfn.IFS(Lektionen[[#This Row],[Bearbeitungsdauer_abgewichen]]&gt;0.6,"viel länger",Lektionen[[#This Row],[Bearbeitungsdauer_abgewichen]]&gt;0.3,"länger",Lektionen[[#This Row],[Bearbeitungsdauer_abgewichen]]&lt;-0.3,"kürzer",TRUE,"keine Abweichung")</f>
        <v>keine Abweichung</v>
      </c>
      <c r="I1026">
        <v>1</v>
      </c>
    </row>
    <row r="1027" spans="1:9" hidden="1" x14ac:dyDescent="0.3">
      <c r="A1027" s="13">
        <v>154</v>
      </c>
      <c r="B1027" s="4">
        <v>2</v>
      </c>
      <c r="C1027" t="s">
        <v>528</v>
      </c>
      <c r="D1027" t="s">
        <v>529</v>
      </c>
      <c r="E1027">
        <v>15</v>
      </c>
      <c r="F1027">
        <v>18</v>
      </c>
      <c r="G1027" s="8">
        <f>Lektionen[[#This Row],[Bearbeitungsdauer_real]]/Lektionen[[#This Row],[Bearbeitungsdauer_geschätzt]]-1</f>
        <v>0.19999999999999996</v>
      </c>
      <c r="H1027" s="8" t="str" cm="1">
        <f t="array" ref="H1027">_xlfn.IFS(Lektionen[[#This Row],[Bearbeitungsdauer_abgewichen]]&gt;0.6,"viel länger",Lektionen[[#This Row],[Bearbeitungsdauer_abgewichen]]&gt;0.3,"länger",Lektionen[[#This Row],[Bearbeitungsdauer_abgewichen]]&lt;-0.3,"kürzer",TRUE,"keine Abweichung")</f>
        <v>keine Abweichung</v>
      </c>
      <c r="I1027">
        <v>2</v>
      </c>
    </row>
    <row r="1028" spans="1:9" hidden="1" x14ac:dyDescent="0.3">
      <c r="A1028" s="13">
        <v>154</v>
      </c>
      <c r="B1028" s="4">
        <v>3</v>
      </c>
      <c r="C1028" t="s">
        <v>552</v>
      </c>
      <c r="D1028" t="s">
        <v>530</v>
      </c>
      <c r="E1028">
        <v>30</v>
      </c>
      <c r="F1028">
        <v>29</v>
      </c>
      <c r="G1028" s="8">
        <f>Lektionen[[#This Row],[Bearbeitungsdauer_real]]/Lektionen[[#This Row],[Bearbeitungsdauer_geschätzt]]-1</f>
        <v>-3.3333333333333326E-2</v>
      </c>
      <c r="H1028" s="8" t="str" cm="1">
        <f t="array" ref="H1028">_xlfn.IFS(Lektionen[[#This Row],[Bearbeitungsdauer_abgewichen]]&gt;0.6,"viel länger",Lektionen[[#This Row],[Bearbeitungsdauer_abgewichen]]&gt;0.3,"länger",Lektionen[[#This Row],[Bearbeitungsdauer_abgewichen]]&lt;-0.3,"kürzer",TRUE,"keine Abweichung")</f>
        <v>keine Abweichung</v>
      </c>
      <c r="I1028">
        <v>3</v>
      </c>
    </row>
    <row r="1029" spans="1:9" hidden="1" x14ac:dyDescent="0.3">
      <c r="A1029" s="13">
        <v>154</v>
      </c>
      <c r="B1029" s="4">
        <v>4</v>
      </c>
      <c r="C1029" t="s">
        <v>531</v>
      </c>
      <c r="D1029" t="s">
        <v>530</v>
      </c>
      <c r="E1029">
        <v>30</v>
      </c>
      <c r="F1029">
        <v>31</v>
      </c>
      <c r="G1029" s="8">
        <f>Lektionen[[#This Row],[Bearbeitungsdauer_real]]/Lektionen[[#This Row],[Bearbeitungsdauer_geschätzt]]-1</f>
        <v>3.3333333333333437E-2</v>
      </c>
      <c r="H1029" s="8" t="str" cm="1">
        <f t="array" ref="H1029">_xlfn.IFS(Lektionen[[#This Row],[Bearbeitungsdauer_abgewichen]]&gt;0.6,"viel länger",Lektionen[[#This Row],[Bearbeitungsdauer_abgewichen]]&gt;0.3,"länger",Lektionen[[#This Row],[Bearbeitungsdauer_abgewichen]]&lt;-0.3,"kürzer",TRUE,"keine Abweichung")</f>
        <v>keine Abweichung</v>
      </c>
      <c r="I1029">
        <v>3</v>
      </c>
    </row>
    <row r="1030" spans="1:9" x14ac:dyDescent="0.3">
      <c r="A1030" s="13">
        <v>154</v>
      </c>
      <c r="B1030" s="4">
        <v>5</v>
      </c>
      <c r="C1030" t="s">
        <v>532</v>
      </c>
      <c r="D1030" t="s">
        <v>530</v>
      </c>
      <c r="E1030">
        <v>30</v>
      </c>
      <c r="F1030">
        <v>45</v>
      </c>
      <c r="G1030" s="8">
        <f>Lektionen[[#This Row],[Bearbeitungsdauer_real]]/Lektionen[[#This Row],[Bearbeitungsdauer_geschätzt]]-1</f>
        <v>0.5</v>
      </c>
      <c r="H1030" s="8" t="str" cm="1">
        <f t="array" ref="H1030">_xlfn.IFS(Lektionen[[#This Row],[Bearbeitungsdauer_abgewichen]]&gt;0.6,"viel länger",Lektionen[[#This Row],[Bearbeitungsdauer_abgewichen]]&gt;0.3,"länger",Lektionen[[#This Row],[Bearbeitungsdauer_abgewichen]]&lt;-0.3,"kürzer",TRUE,"keine Abweichung")</f>
        <v>länger</v>
      </c>
      <c r="I1030">
        <v>4</v>
      </c>
    </row>
    <row r="1031" spans="1:9" hidden="1" x14ac:dyDescent="0.3">
      <c r="A1031" s="13">
        <v>154</v>
      </c>
      <c r="B1031" s="4">
        <v>6</v>
      </c>
      <c r="C1031" t="s">
        <v>533</v>
      </c>
      <c r="D1031" t="s">
        <v>534</v>
      </c>
      <c r="E1031">
        <v>5</v>
      </c>
      <c r="F1031">
        <v>1</v>
      </c>
      <c r="G1031" s="8">
        <f>Lektionen[[#This Row],[Bearbeitungsdauer_real]]/Lektionen[[#This Row],[Bearbeitungsdauer_geschätzt]]-1</f>
        <v>-0.8</v>
      </c>
      <c r="H1031" s="8" t="str" cm="1">
        <f t="array" ref="H1031">_xlfn.IFS(Lektionen[[#This Row],[Bearbeitungsdauer_abgewichen]]&gt;0.6,"viel länger",Lektionen[[#This Row],[Bearbeitungsdauer_abgewichen]]&gt;0.3,"länger",Lektionen[[#This Row],[Bearbeitungsdauer_abgewichen]]&lt;-0.3,"kürzer",TRUE,"keine Abweichung")</f>
        <v>kürzer</v>
      </c>
      <c r="I1031">
        <v>2</v>
      </c>
    </row>
    <row r="1032" spans="1:9" hidden="1" x14ac:dyDescent="0.3">
      <c r="A1032" s="13">
        <v>154</v>
      </c>
      <c r="B1032" s="4">
        <v>7</v>
      </c>
      <c r="C1032" t="s">
        <v>535</v>
      </c>
      <c r="D1032" t="s">
        <v>536</v>
      </c>
      <c r="E1032">
        <v>10</v>
      </c>
      <c r="F1032">
        <v>9</v>
      </c>
      <c r="G1032" s="8">
        <f>Lektionen[[#This Row],[Bearbeitungsdauer_real]]/Lektionen[[#This Row],[Bearbeitungsdauer_geschätzt]]-1</f>
        <v>-9.9999999999999978E-2</v>
      </c>
      <c r="H1032" s="8" t="str" cm="1">
        <f t="array" ref="H1032">_xlfn.IFS(Lektionen[[#This Row],[Bearbeitungsdauer_abgewichen]]&gt;0.6,"viel länger",Lektionen[[#This Row],[Bearbeitungsdauer_abgewichen]]&gt;0.3,"länger",Lektionen[[#This Row],[Bearbeitungsdauer_abgewichen]]&lt;-0.3,"kürzer",TRUE,"keine Abweichung")</f>
        <v>keine Abweichung</v>
      </c>
      <c r="I1032">
        <v>4</v>
      </c>
    </row>
    <row r="1033" spans="1:9" hidden="1" x14ac:dyDescent="0.3">
      <c r="A1033" s="13">
        <v>154</v>
      </c>
      <c r="B1033" s="4">
        <v>8</v>
      </c>
      <c r="C1033" t="s">
        <v>537</v>
      </c>
      <c r="D1033" t="s">
        <v>527</v>
      </c>
      <c r="E1033">
        <v>5</v>
      </c>
      <c r="F1033">
        <v>5</v>
      </c>
      <c r="G1033" s="8">
        <f>Lektionen[[#This Row],[Bearbeitungsdauer_real]]/Lektionen[[#This Row],[Bearbeitungsdauer_geschätzt]]-1</f>
        <v>0</v>
      </c>
      <c r="H1033" s="8" t="str" cm="1">
        <f t="array" ref="H1033">_xlfn.IFS(Lektionen[[#This Row],[Bearbeitungsdauer_abgewichen]]&gt;0.6,"viel länger",Lektionen[[#This Row],[Bearbeitungsdauer_abgewichen]]&gt;0.3,"länger",Lektionen[[#This Row],[Bearbeitungsdauer_abgewichen]]&lt;-0.3,"kürzer",TRUE,"keine Abweichung")</f>
        <v>keine Abweichung</v>
      </c>
      <c r="I1033">
        <v>1</v>
      </c>
    </row>
    <row r="1034" spans="1:9" hidden="1" x14ac:dyDescent="0.3">
      <c r="A1034" s="13">
        <v>157</v>
      </c>
      <c r="B1034" s="4">
        <v>1</v>
      </c>
      <c r="C1034" t="s">
        <v>526</v>
      </c>
      <c r="D1034" t="s">
        <v>527</v>
      </c>
      <c r="E1034">
        <v>4</v>
      </c>
      <c r="F1034">
        <v>4</v>
      </c>
      <c r="G1034" s="8">
        <f>Lektionen[[#This Row],[Bearbeitungsdauer_real]]/Lektionen[[#This Row],[Bearbeitungsdauer_geschätzt]]-1</f>
        <v>0</v>
      </c>
      <c r="H1034" s="8" t="str" cm="1">
        <f t="array" ref="H1034">_xlfn.IFS(Lektionen[[#This Row],[Bearbeitungsdauer_abgewichen]]&gt;0.6,"viel länger",Lektionen[[#This Row],[Bearbeitungsdauer_abgewichen]]&gt;0.3,"länger",Lektionen[[#This Row],[Bearbeitungsdauer_abgewichen]]&lt;-0.3,"kürzer",TRUE,"keine Abweichung")</f>
        <v>keine Abweichung</v>
      </c>
      <c r="I1034">
        <v>2</v>
      </c>
    </row>
    <row r="1035" spans="1:9" hidden="1" x14ac:dyDescent="0.3">
      <c r="A1035" s="13">
        <v>157</v>
      </c>
      <c r="B1035" s="4">
        <v>2</v>
      </c>
      <c r="C1035" t="s">
        <v>528</v>
      </c>
      <c r="D1035" t="s">
        <v>529</v>
      </c>
      <c r="E1035">
        <v>15</v>
      </c>
      <c r="F1035">
        <v>19</v>
      </c>
      <c r="G1035" s="8">
        <f>Lektionen[[#This Row],[Bearbeitungsdauer_real]]/Lektionen[[#This Row],[Bearbeitungsdauer_geschätzt]]-1</f>
        <v>0.26666666666666661</v>
      </c>
      <c r="H1035" s="8" t="str" cm="1">
        <f t="array" ref="H1035">_xlfn.IFS(Lektionen[[#This Row],[Bearbeitungsdauer_abgewichen]]&gt;0.6,"viel länger",Lektionen[[#This Row],[Bearbeitungsdauer_abgewichen]]&gt;0.3,"länger",Lektionen[[#This Row],[Bearbeitungsdauer_abgewichen]]&lt;-0.3,"kürzer",TRUE,"keine Abweichung")</f>
        <v>keine Abweichung</v>
      </c>
      <c r="I1035">
        <v>2</v>
      </c>
    </row>
    <row r="1036" spans="1:9" hidden="1" x14ac:dyDescent="0.3">
      <c r="A1036" s="13">
        <v>157</v>
      </c>
      <c r="B1036" s="4">
        <v>3</v>
      </c>
      <c r="C1036" t="s">
        <v>552</v>
      </c>
      <c r="D1036" t="s">
        <v>530</v>
      </c>
      <c r="E1036">
        <v>30</v>
      </c>
      <c r="F1036">
        <v>27</v>
      </c>
      <c r="G1036" s="8">
        <f>Lektionen[[#This Row],[Bearbeitungsdauer_real]]/Lektionen[[#This Row],[Bearbeitungsdauer_geschätzt]]-1</f>
        <v>-9.9999999999999978E-2</v>
      </c>
      <c r="H1036" s="8" t="str" cm="1">
        <f t="array" ref="H1036">_xlfn.IFS(Lektionen[[#This Row],[Bearbeitungsdauer_abgewichen]]&gt;0.6,"viel länger",Lektionen[[#This Row],[Bearbeitungsdauer_abgewichen]]&gt;0.3,"länger",Lektionen[[#This Row],[Bearbeitungsdauer_abgewichen]]&lt;-0.3,"kürzer",TRUE,"keine Abweichung")</f>
        <v>keine Abweichung</v>
      </c>
      <c r="I1036">
        <v>3</v>
      </c>
    </row>
    <row r="1037" spans="1:9" hidden="1" x14ac:dyDescent="0.3">
      <c r="A1037" s="13">
        <v>157</v>
      </c>
      <c r="B1037" s="4">
        <v>4</v>
      </c>
      <c r="C1037" t="s">
        <v>531</v>
      </c>
      <c r="D1037" t="s">
        <v>530</v>
      </c>
      <c r="E1037">
        <v>30</v>
      </c>
      <c r="F1037">
        <v>23</v>
      </c>
      <c r="G1037" s="8">
        <f>Lektionen[[#This Row],[Bearbeitungsdauer_real]]/Lektionen[[#This Row],[Bearbeitungsdauer_geschätzt]]-1</f>
        <v>-0.23333333333333328</v>
      </c>
      <c r="H1037" s="8" t="str" cm="1">
        <f t="array" ref="H1037">_xlfn.IFS(Lektionen[[#This Row],[Bearbeitungsdauer_abgewichen]]&gt;0.6,"viel länger",Lektionen[[#This Row],[Bearbeitungsdauer_abgewichen]]&gt;0.3,"länger",Lektionen[[#This Row],[Bearbeitungsdauer_abgewichen]]&lt;-0.3,"kürzer",TRUE,"keine Abweichung")</f>
        <v>keine Abweichung</v>
      </c>
      <c r="I1037">
        <v>3</v>
      </c>
    </row>
    <row r="1038" spans="1:9" x14ac:dyDescent="0.3">
      <c r="A1038" s="13">
        <v>157</v>
      </c>
      <c r="B1038" s="4">
        <v>5</v>
      </c>
      <c r="C1038" t="s">
        <v>532</v>
      </c>
      <c r="D1038" t="s">
        <v>530</v>
      </c>
      <c r="E1038">
        <v>30</v>
      </c>
      <c r="F1038">
        <v>41</v>
      </c>
      <c r="G1038" s="8">
        <f>Lektionen[[#This Row],[Bearbeitungsdauer_real]]/Lektionen[[#This Row],[Bearbeitungsdauer_geschätzt]]-1</f>
        <v>0.3666666666666667</v>
      </c>
      <c r="H1038" s="8" t="str" cm="1">
        <f t="array" ref="H1038">_xlfn.IFS(Lektionen[[#This Row],[Bearbeitungsdauer_abgewichen]]&gt;0.6,"viel länger",Lektionen[[#This Row],[Bearbeitungsdauer_abgewichen]]&gt;0.3,"länger",Lektionen[[#This Row],[Bearbeitungsdauer_abgewichen]]&lt;-0.3,"kürzer",TRUE,"keine Abweichung")</f>
        <v>länger</v>
      </c>
      <c r="I1038">
        <v>3</v>
      </c>
    </row>
    <row r="1039" spans="1:9" hidden="1" x14ac:dyDescent="0.3">
      <c r="A1039" s="13">
        <v>157</v>
      </c>
      <c r="B1039" s="4">
        <v>6</v>
      </c>
      <c r="C1039" t="s">
        <v>533</v>
      </c>
      <c r="D1039" t="s">
        <v>534</v>
      </c>
      <c r="E1039">
        <v>5</v>
      </c>
      <c r="F1039">
        <v>1</v>
      </c>
      <c r="G1039" s="8">
        <f>Lektionen[[#This Row],[Bearbeitungsdauer_real]]/Lektionen[[#This Row],[Bearbeitungsdauer_geschätzt]]-1</f>
        <v>-0.8</v>
      </c>
      <c r="H1039" s="8" t="str" cm="1">
        <f t="array" ref="H1039">_xlfn.IFS(Lektionen[[#This Row],[Bearbeitungsdauer_abgewichen]]&gt;0.6,"viel länger",Lektionen[[#This Row],[Bearbeitungsdauer_abgewichen]]&gt;0.3,"länger",Lektionen[[#This Row],[Bearbeitungsdauer_abgewichen]]&lt;-0.3,"kürzer",TRUE,"keine Abweichung")</f>
        <v>kürzer</v>
      </c>
      <c r="I1039">
        <v>3</v>
      </c>
    </row>
    <row r="1040" spans="1:9" hidden="1" x14ac:dyDescent="0.3">
      <c r="A1040" s="13">
        <v>157</v>
      </c>
      <c r="B1040" s="4">
        <v>7</v>
      </c>
      <c r="C1040" t="s">
        <v>535</v>
      </c>
      <c r="D1040" t="s">
        <v>536</v>
      </c>
      <c r="E1040">
        <v>10</v>
      </c>
      <c r="F1040">
        <v>8</v>
      </c>
      <c r="G1040" s="8">
        <f>Lektionen[[#This Row],[Bearbeitungsdauer_real]]/Lektionen[[#This Row],[Bearbeitungsdauer_geschätzt]]-1</f>
        <v>-0.19999999999999996</v>
      </c>
      <c r="H1040" s="8" t="str" cm="1">
        <f t="array" ref="H1040">_xlfn.IFS(Lektionen[[#This Row],[Bearbeitungsdauer_abgewichen]]&gt;0.6,"viel länger",Lektionen[[#This Row],[Bearbeitungsdauer_abgewichen]]&gt;0.3,"länger",Lektionen[[#This Row],[Bearbeitungsdauer_abgewichen]]&lt;-0.3,"kürzer",TRUE,"keine Abweichung")</f>
        <v>keine Abweichung</v>
      </c>
      <c r="I1040">
        <v>3</v>
      </c>
    </row>
    <row r="1041" spans="1:9" hidden="1" x14ac:dyDescent="0.3">
      <c r="A1041" s="13">
        <v>157</v>
      </c>
      <c r="B1041" s="4">
        <v>8</v>
      </c>
      <c r="C1041" t="s">
        <v>537</v>
      </c>
      <c r="D1041" t="s">
        <v>527</v>
      </c>
      <c r="E1041">
        <v>5</v>
      </c>
      <c r="F1041">
        <v>5</v>
      </c>
      <c r="G1041" s="8">
        <f>Lektionen[[#This Row],[Bearbeitungsdauer_real]]/Lektionen[[#This Row],[Bearbeitungsdauer_geschätzt]]-1</f>
        <v>0</v>
      </c>
      <c r="H1041" s="8" t="str" cm="1">
        <f t="array" ref="H1041">_xlfn.IFS(Lektionen[[#This Row],[Bearbeitungsdauer_abgewichen]]&gt;0.6,"viel länger",Lektionen[[#This Row],[Bearbeitungsdauer_abgewichen]]&gt;0.3,"länger",Lektionen[[#This Row],[Bearbeitungsdauer_abgewichen]]&lt;-0.3,"kürzer",TRUE,"keine Abweichung")</f>
        <v>keine Abweichung</v>
      </c>
      <c r="I1041">
        <v>2</v>
      </c>
    </row>
    <row r="1042" spans="1:9" hidden="1" x14ac:dyDescent="0.3">
      <c r="A1042" s="13">
        <v>159</v>
      </c>
      <c r="B1042" s="4">
        <v>1</v>
      </c>
      <c r="C1042" t="s">
        <v>526</v>
      </c>
      <c r="D1042" t="s">
        <v>527</v>
      </c>
      <c r="E1042">
        <v>4</v>
      </c>
      <c r="F1042">
        <v>4</v>
      </c>
      <c r="G1042" s="8">
        <f>Lektionen[[#This Row],[Bearbeitungsdauer_real]]/Lektionen[[#This Row],[Bearbeitungsdauer_geschätzt]]-1</f>
        <v>0</v>
      </c>
      <c r="H1042" s="8" t="str" cm="1">
        <f t="array" ref="H1042">_xlfn.IFS(Lektionen[[#This Row],[Bearbeitungsdauer_abgewichen]]&gt;0.6,"viel länger",Lektionen[[#This Row],[Bearbeitungsdauer_abgewichen]]&gt;0.3,"länger",Lektionen[[#This Row],[Bearbeitungsdauer_abgewichen]]&lt;-0.3,"kürzer",TRUE,"keine Abweichung")</f>
        <v>keine Abweichung</v>
      </c>
      <c r="I1042">
        <v>1</v>
      </c>
    </row>
    <row r="1043" spans="1:9" hidden="1" x14ac:dyDescent="0.3">
      <c r="A1043" s="13">
        <v>159</v>
      </c>
      <c r="B1043" s="4">
        <v>2</v>
      </c>
      <c r="C1043" t="s">
        <v>528</v>
      </c>
      <c r="D1043" t="s">
        <v>529</v>
      </c>
      <c r="E1043">
        <v>15</v>
      </c>
      <c r="F1043">
        <v>22</v>
      </c>
      <c r="G1043" s="8">
        <f>Lektionen[[#This Row],[Bearbeitungsdauer_real]]/Lektionen[[#This Row],[Bearbeitungsdauer_geschätzt]]-1</f>
        <v>0.46666666666666656</v>
      </c>
      <c r="H1043" s="8" t="str" cm="1">
        <f t="array" ref="H1043">_xlfn.IFS(Lektionen[[#This Row],[Bearbeitungsdauer_abgewichen]]&gt;0.6,"viel länger",Lektionen[[#This Row],[Bearbeitungsdauer_abgewichen]]&gt;0.3,"länger",Lektionen[[#This Row],[Bearbeitungsdauer_abgewichen]]&lt;-0.3,"kürzer",TRUE,"keine Abweichung")</f>
        <v>länger</v>
      </c>
      <c r="I1043">
        <v>2</v>
      </c>
    </row>
    <row r="1044" spans="1:9" hidden="1" x14ac:dyDescent="0.3">
      <c r="A1044" s="13">
        <v>159</v>
      </c>
      <c r="B1044" s="4">
        <v>3</v>
      </c>
      <c r="C1044" t="s">
        <v>552</v>
      </c>
      <c r="D1044" t="s">
        <v>530</v>
      </c>
      <c r="E1044">
        <v>30</v>
      </c>
      <c r="F1044">
        <v>30</v>
      </c>
      <c r="G1044" s="8">
        <f>Lektionen[[#This Row],[Bearbeitungsdauer_real]]/Lektionen[[#This Row],[Bearbeitungsdauer_geschätzt]]-1</f>
        <v>0</v>
      </c>
      <c r="H1044" s="8" t="str" cm="1">
        <f t="array" ref="H1044">_xlfn.IFS(Lektionen[[#This Row],[Bearbeitungsdauer_abgewichen]]&gt;0.6,"viel länger",Lektionen[[#This Row],[Bearbeitungsdauer_abgewichen]]&gt;0.3,"länger",Lektionen[[#This Row],[Bearbeitungsdauer_abgewichen]]&lt;-0.3,"kürzer",TRUE,"keine Abweichung")</f>
        <v>keine Abweichung</v>
      </c>
      <c r="I1044">
        <v>2</v>
      </c>
    </row>
    <row r="1045" spans="1:9" hidden="1" x14ac:dyDescent="0.3">
      <c r="A1045" s="13">
        <v>159</v>
      </c>
      <c r="B1045" s="4">
        <v>4</v>
      </c>
      <c r="C1045" t="s">
        <v>531</v>
      </c>
      <c r="D1045" t="s">
        <v>530</v>
      </c>
      <c r="E1045">
        <v>30</v>
      </c>
      <c r="F1045">
        <v>19</v>
      </c>
      <c r="G1045" s="8">
        <f>Lektionen[[#This Row],[Bearbeitungsdauer_real]]/Lektionen[[#This Row],[Bearbeitungsdauer_geschätzt]]-1</f>
        <v>-0.3666666666666667</v>
      </c>
      <c r="H1045" s="8" t="str" cm="1">
        <f t="array" ref="H1045">_xlfn.IFS(Lektionen[[#This Row],[Bearbeitungsdauer_abgewichen]]&gt;0.6,"viel länger",Lektionen[[#This Row],[Bearbeitungsdauer_abgewichen]]&gt;0.3,"länger",Lektionen[[#This Row],[Bearbeitungsdauer_abgewichen]]&lt;-0.3,"kürzer",TRUE,"keine Abweichung")</f>
        <v>kürzer</v>
      </c>
      <c r="I1045">
        <v>3</v>
      </c>
    </row>
    <row r="1046" spans="1:9" x14ac:dyDescent="0.3">
      <c r="A1046" s="13">
        <v>159</v>
      </c>
      <c r="B1046" s="4">
        <v>5</v>
      </c>
      <c r="C1046" t="s">
        <v>532</v>
      </c>
      <c r="D1046" t="s">
        <v>530</v>
      </c>
      <c r="E1046">
        <v>30</v>
      </c>
      <c r="F1046">
        <v>49</v>
      </c>
      <c r="G1046" s="8">
        <f>Lektionen[[#This Row],[Bearbeitungsdauer_real]]/Lektionen[[#This Row],[Bearbeitungsdauer_geschätzt]]-1</f>
        <v>0.6333333333333333</v>
      </c>
      <c r="H1046" s="8" t="str" cm="1">
        <f t="array" ref="H1046">_xlfn.IFS(Lektionen[[#This Row],[Bearbeitungsdauer_abgewichen]]&gt;0.6,"viel länger",Lektionen[[#This Row],[Bearbeitungsdauer_abgewichen]]&gt;0.3,"länger",Lektionen[[#This Row],[Bearbeitungsdauer_abgewichen]]&lt;-0.3,"kürzer",TRUE,"keine Abweichung")</f>
        <v>viel länger</v>
      </c>
      <c r="I1046">
        <v>3</v>
      </c>
    </row>
    <row r="1047" spans="1:9" hidden="1" x14ac:dyDescent="0.3">
      <c r="A1047" s="13">
        <v>159</v>
      </c>
      <c r="B1047" s="4">
        <v>6</v>
      </c>
      <c r="C1047" t="s">
        <v>533</v>
      </c>
      <c r="D1047" t="s">
        <v>534</v>
      </c>
      <c r="E1047">
        <v>5</v>
      </c>
      <c r="F1047">
        <v>1</v>
      </c>
      <c r="G1047" s="8">
        <f>Lektionen[[#This Row],[Bearbeitungsdauer_real]]/Lektionen[[#This Row],[Bearbeitungsdauer_geschätzt]]-1</f>
        <v>-0.8</v>
      </c>
      <c r="H1047" s="8" t="str" cm="1">
        <f t="array" ref="H1047">_xlfn.IFS(Lektionen[[#This Row],[Bearbeitungsdauer_abgewichen]]&gt;0.6,"viel länger",Lektionen[[#This Row],[Bearbeitungsdauer_abgewichen]]&gt;0.3,"länger",Lektionen[[#This Row],[Bearbeitungsdauer_abgewichen]]&lt;-0.3,"kürzer",TRUE,"keine Abweichung")</f>
        <v>kürzer</v>
      </c>
      <c r="I1047">
        <v>2</v>
      </c>
    </row>
    <row r="1048" spans="1:9" hidden="1" x14ac:dyDescent="0.3">
      <c r="A1048" s="13">
        <v>159</v>
      </c>
      <c r="B1048" s="4">
        <v>7</v>
      </c>
      <c r="C1048" t="s">
        <v>535</v>
      </c>
      <c r="D1048" t="s">
        <v>536</v>
      </c>
      <c r="E1048">
        <v>10</v>
      </c>
      <c r="F1048">
        <v>10</v>
      </c>
      <c r="G1048" s="8">
        <f>Lektionen[[#This Row],[Bearbeitungsdauer_real]]/Lektionen[[#This Row],[Bearbeitungsdauer_geschätzt]]-1</f>
        <v>0</v>
      </c>
      <c r="H1048" s="8" t="str" cm="1">
        <f t="array" ref="H1048">_xlfn.IFS(Lektionen[[#This Row],[Bearbeitungsdauer_abgewichen]]&gt;0.6,"viel länger",Lektionen[[#This Row],[Bearbeitungsdauer_abgewichen]]&gt;0.3,"länger",Lektionen[[#This Row],[Bearbeitungsdauer_abgewichen]]&lt;-0.3,"kürzer",TRUE,"keine Abweichung")</f>
        <v>keine Abweichung</v>
      </c>
      <c r="I1048">
        <v>3</v>
      </c>
    </row>
    <row r="1049" spans="1:9" hidden="1" x14ac:dyDescent="0.3">
      <c r="A1049" s="13">
        <v>159</v>
      </c>
      <c r="B1049" s="4">
        <v>8</v>
      </c>
      <c r="C1049" t="s">
        <v>537</v>
      </c>
      <c r="D1049" t="s">
        <v>527</v>
      </c>
      <c r="E1049">
        <v>5</v>
      </c>
      <c r="F1049">
        <v>5</v>
      </c>
      <c r="G1049" s="8">
        <f>Lektionen[[#This Row],[Bearbeitungsdauer_real]]/Lektionen[[#This Row],[Bearbeitungsdauer_geschätzt]]-1</f>
        <v>0</v>
      </c>
      <c r="H1049" s="8" t="str" cm="1">
        <f t="array" ref="H1049">_xlfn.IFS(Lektionen[[#This Row],[Bearbeitungsdauer_abgewichen]]&gt;0.6,"viel länger",Lektionen[[#This Row],[Bearbeitungsdauer_abgewichen]]&gt;0.3,"länger",Lektionen[[#This Row],[Bearbeitungsdauer_abgewichen]]&lt;-0.3,"kürzer",TRUE,"keine Abweichung")</f>
        <v>keine Abweichung</v>
      </c>
      <c r="I1049">
        <v>1</v>
      </c>
    </row>
    <row r="1050" spans="1:9" hidden="1" x14ac:dyDescent="0.3">
      <c r="A1050" s="13">
        <v>163</v>
      </c>
      <c r="B1050" s="4">
        <v>1</v>
      </c>
      <c r="C1050" t="s">
        <v>526</v>
      </c>
      <c r="D1050" t="s">
        <v>527</v>
      </c>
      <c r="E1050">
        <v>4</v>
      </c>
      <c r="F1050">
        <v>4</v>
      </c>
      <c r="G1050" s="8">
        <f>Lektionen[[#This Row],[Bearbeitungsdauer_real]]/Lektionen[[#This Row],[Bearbeitungsdauer_geschätzt]]-1</f>
        <v>0</v>
      </c>
      <c r="H1050" s="8" t="str" cm="1">
        <f t="array" ref="H1050">_xlfn.IFS(Lektionen[[#This Row],[Bearbeitungsdauer_abgewichen]]&gt;0.6,"viel länger",Lektionen[[#This Row],[Bearbeitungsdauer_abgewichen]]&gt;0.3,"länger",Lektionen[[#This Row],[Bearbeitungsdauer_abgewichen]]&lt;-0.3,"kürzer",TRUE,"keine Abweichung")</f>
        <v>keine Abweichung</v>
      </c>
      <c r="I1050">
        <v>1</v>
      </c>
    </row>
    <row r="1051" spans="1:9" hidden="1" x14ac:dyDescent="0.3">
      <c r="A1051" s="13">
        <v>163</v>
      </c>
      <c r="B1051" s="4">
        <v>2</v>
      </c>
      <c r="C1051" t="s">
        <v>528</v>
      </c>
      <c r="D1051" t="s">
        <v>529</v>
      </c>
      <c r="E1051">
        <v>15</v>
      </c>
      <c r="F1051">
        <v>17</v>
      </c>
      <c r="G1051" s="8">
        <f>Lektionen[[#This Row],[Bearbeitungsdauer_real]]/Lektionen[[#This Row],[Bearbeitungsdauer_geschätzt]]-1</f>
        <v>0.1333333333333333</v>
      </c>
      <c r="H1051" s="8" t="str" cm="1">
        <f t="array" ref="H1051">_xlfn.IFS(Lektionen[[#This Row],[Bearbeitungsdauer_abgewichen]]&gt;0.6,"viel länger",Lektionen[[#This Row],[Bearbeitungsdauer_abgewichen]]&gt;0.3,"länger",Lektionen[[#This Row],[Bearbeitungsdauer_abgewichen]]&lt;-0.3,"kürzer",TRUE,"keine Abweichung")</f>
        <v>keine Abweichung</v>
      </c>
      <c r="I1051">
        <v>1</v>
      </c>
    </row>
    <row r="1052" spans="1:9" hidden="1" x14ac:dyDescent="0.3">
      <c r="A1052" s="13">
        <v>163</v>
      </c>
      <c r="B1052" s="4">
        <v>3</v>
      </c>
      <c r="C1052" t="s">
        <v>552</v>
      </c>
      <c r="D1052" t="s">
        <v>530</v>
      </c>
      <c r="E1052">
        <v>30</v>
      </c>
      <c r="F1052">
        <v>29</v>
      </c>
      <c r="G1052" s="8">
        <f>Lektionen[[#This Row],[Bearbeitungsdauer_real]]/Lektionen[[#This Row],[Bearbeitungsdauer_geschätzt]]-1</f>
        <v>-3.3333333333333326E-2</v>
      </c>
      <c r="H1052" s="8" t="str" cm="1">
        <f t="array" ref="H1052">_xlfn.IFS(Lektionen[[#This Row],[Bearbeitungsdauer_abgewichen]]&gt;0.6,"viel länger",Lektionen[[#This Row],[Bearbeitungsdauer_abgewichen]]&gt;0.3,"länger",Lektionen[[#This Row],[Bearbeitungsdauer_abgewichen]]&lt;-0.3,"kürzer",TRUE,"keine Abweichung")</f>
        <v>keine Abweichung</v>
      </c>
      <c r="I1052">
        <v>2</v>
      </c>
    </row>
    <row r="1053" spans="1:9" hidden="1" x14ac:dyDescent="0.3">
      <c r="A1053" s="13">
        <v>163</v>
      </c>
      <c r="B1053" s="4">
        <v>4</v>
      </c>
      <c r="C1053" t="s">
        <v>531</v>
      </c>
      <c r="D1053" t="s">
        <v>530</v>
      </c>
      <c r="E1053">
        <v>30</v>
      </c>
      <c r="F1053">
        <v>17</v>
      </c>
      <c r="G1053" s="8">
        <f>Lektionen[[#This Row],[Bearbeitungsdauer_real]]/Lektionen[[#This Row],[Bearbeitungsdauer_geschätzt]]-1</f>
        <v>-0.43333333333333335</v>
      </c>
      <c r="H1053" s="8" t="str" cm="1">
        <f t="array" ref="H1053">_xlfn.IFS(Lektionen[[#This Row],[Bearbeitungsdauer_abgewichen]]&gt;0.6,"viel länger",Lektionen[[#This Row],[Bearbeitungsdauer_abgewichen]]&gt;0.3,"länger",Lektionen[[#This Row],[Bearbeitungsdauer_abgewichen]]&lt;-0.3,"kürzer",TRUE,"keine Abweichung")</f>
        <v>kürzer</v>
      </c>
      <c r="I1053">
        <v>3</v>
      </c>
    </row>
    <row r="1054" spans="1:9" x14ac:dyDescent="0.3">
      <c r="A1054" s="13">
        <v>163</v>
      </c>
      <c r="B1054" s="4">
        <v>5</v>
      </c>
      <c r="C1054" t="s">
        <v>532</v>
      </c>
      <c r="D1054" t="s">
        <v>530</v>
      </c>
      <c r="E1054">
        <v>30</v>
      </c>
      <c r="F1054">
        <v>48</v>
      </c>
      <c r="G1054" s="8">
        <f>Lektionen[[#This Row],[Bearbeitungsdauer_real]]/Lektionen[[#This Row],[Bearbeitungsdauer_geschätzt]]-1</f>
        <v>0.60000000000000009</v>
      </c>
      <c r="H1054" s="8" t="str" cm="1">
        <f t="array" ref="H1054">_xlfn.IFS(Lektionen[[#This Row],[Bearbeitungsdauer_abgewichen]]&gt;0.6,"viel länger",Lektionen[[#This Row],[Bearbeitungsdauer_abgewichen]]&gt;0.3,"länger",Lektionen[[#This Row],[Bearbeitungsdauer_abgewichen]]&lt;-0.3,"kürzer",TRUE,"keine Abweichung")</f>
        <v>länger</v>
      </c>
      <c r="I1054">
        <v>3</v>
      </c>
    </row>
    <row r="1055" spans="1:9" hidden="1" x14ac:dyDescent="0.3">
      <c r="A1055" s="13">
        <v>163</v>
      </c>
      <c r="B1055" s="4">
        <v>6</v>
      </c>
      <c r="C1055" t="s">
        <v>533</v>
      </c>
      <c r="D1055" t="s">
        <v>534</v>
      </c>
      <c r="E1055">
        <v>5</v>
      </c>
      <c r="F1055">
        <v>2</v>
      </c>
      <c r="G1055" s="8">
        <f>Lektionen[[#This Row],[Bearbeitungsdauer_real]]/Lektionen[[#This Row],[Bearbeitungsdauer_geschätzt]]-1</f>
        <v>-0.6</v>
      </c>
      <c r="H1055" s="8" t="str" cm="1">
        <f t="array" ref="H1055">_xlfn.IFS(Lektionen[[#This Row],[Bearbeitungsdauer_abgewichen]]&gt;0.6,"viel länger",Lektionen[[#This Row],[Bearbeitungsdauer_abgewichen]]&gt;0.3,"länger",Lektionen[[#This Row],[Bearbeitungsdauer_abgewichen]]&lt;-0.3,"kürzer",TRUE,"keine Abweichung")</f>
        <v>kürzer</v>
      </c>
      <c r="I1055">
        <v>2</v>
      </c>
    </row>
    <row r="1056" spans="1:9" hidden="1" x14ac:dyDescent="0.3">
      <c r="A1056" s="13">
        <v>163</v>
      </c>
      <c r="B1056" s="4">
        <v>7</v>
      </c>
      <c r="C1056" t="s">
        <v>535</v>
      </c>
      <c r="D1056" t="s">
        <v>536</v>
      </c>
      <c r="E1056">
        <v>10</v>
      </c>
      <c r="F1056">
        <v>10</v>
      </c>
      <c r="G1056" s="8">
        <f>Lektionen[[#This Row],[Bearbeitungsdauer_real]]/Lektionen[[#This Row],[Bearbeitungsdauer_geschätzt]]-1</f>
        <v>0</v>
      </c>
      <c r="H1056" s="8" t="str" cm="1">
        <f t="array" ref="H1056">_xlfn.IFS(Lektionen[[#This Row],[Bearbeitungsdauer_abgewichen]]&gt;0.6,"viel länger",Lektionen[[#This Row],[Bearbeitungsdauer_abgewichen]]&gt;0.3,"länger",Lektionen[[#This Row],[Bearbeitungsdauer_abgewichen]]&lt;-0.3,"kürzer",TRUE,"keine Abweichung")</f>
        <v>keine Abweichung</v>
      </c>
      <c r="I1056">
        <v>3</v>
      </c>
    </row>
    <row r="1057" spans="1:9" hidden="1" x14ac:dyDescent="0.3">
      <c r="A1057" s="13">
        <v>163</v>
      </c>
      <c r="B1057" s="4">
        <v>8</v>
      </c>
      <c r="C1057" t="s">
        <v>537</v>
      </c>
      <c r="D1057" t="s">
        <v>527</v>
      </c>
      <c r="E1057">
        <v>5</v>
      </c>
      <c r="F1057">
        <v>5</v>
      </c>
      <c r="G1057" s="8">
        <f>Lektionen[[#This Row],[Bearbeitungsdauer_real]]/Lektionen[[#This Row],[Bearbeitungsdauer_geschätzt]]-1</f>
        <v>0</v>
      </c>
      <c r="H1057" s="8" t="str" cm="1">
        <f t="array" ref="H1057">_xlfn.IFS(Lektionen[[#This Row],[Bearbeitungsdauer_abgewichen]]&gt;0.6,"viel länger",Lektionen[[#This Row],[Bearbeitungsdauer_abgewichen]]&gt;0.3,"länger",Lektionen[[#This Row],[Bearbeitungsdauer_abgewichen]]&lt;-0.3,"kürzer",TRUE,"keine Abweichung")</f>
        <v>keine Abweichung</v>
      </c>
      <c r="I1057">
        <v>1</v>
      </c>
    </row>
    <row r="1058" spans="1:9" hidden="1" x14ac:dyDescent="0.3">
      <c r="A1058" s="13">
        <v>165</v>
      </c>
      <c r="B1058" s="4">
        <v>1</v>
      </c>
      <c r="C1058" t="s">
        <v>526</v>
      </c>
      <c r="D1058" t="s">
        <v>527</v>
      </c>
      <c r="E1058">
        <v>4</v>
      </c>
      <c r="F1058">
        <v>4</v>
      </c>
      <c r="G1058" s="8">
        <f>Lektionen[[#This Row],[Bearbeitungsdauer_real]]/Lektionen[[#This Row],[Bearbeitungsdauer_geschätzt]]-1</f>
        <v>0</v>
      </c>
      <c r="H1058" s="8" t="str" cm="1">
        <f t="array" ref="H1058">_xlfn.IFS(Lektionen[[#This Row],[Bearbeitungsdauer_abgewichen]]&gt;0.6,"viel länger",Lektionen[[#This Row],[Bearbeitungsdauer_abgewichen]]&gt;0.3,"länger",Lektionen[[#This Row],[Bearbeitungsdauer_abgewichen]]&lt;-0.3,"kürzer",TRUE,"keine Abweichung")</f>
        <v>keine Abweichung</v>
      </c>
      <c r="I1058">
        <v>1</v>
      </c>
    </row>
    <row r="1059" spans="1:9" hidden="1" x14ac:dyDescent="0.3">
      <c r="A1059" s="13">
        <v>165</v>
      </c>
      <c r="B1059" s="4">
        <v>2</v>
      </c>
      <c r="C1059" t="s">
        <v>528</v>
      </c>
      <c r="D1059" t="s">
        <v>529</v>
      </c>
      <c r="E1059">
        <v>15</v>
      </c>
      <c r="F1059">
        <v>20</v>
      </c>
      <c r="G1059" s="8">
        <f>Lektionen[[#This Row],[Bearbeitungsdauer_real]]/Lektionen[[#This Row],[Bearbeitungsdauer_geschätzt]]-1</f>
        <v>0.33333333333333326</v>
      </c>
      <c r="H1059" s="8" t="str" cm="1">
        <f t="array" ref="H1059">_xlfn.IFS(Lektionen[[#This Row],[Bearbeitungsdauer_abgewichen]]&gt;0.6,"viel länger",Lektionen[[#This Row],[Bearbeitungsdauer_abgewichen]]&gt;0.3,"länger",Lektionen[[#This Row],[Bearbeitungsdauer_abgewichen]]&lt;-0.3,"kürzer",TRUE,"keine Abweichung")</f>
        <v>länger</v>
      </c>
      <c r="I1059">
        <v>1</v>
      </c>
    </row>
    <row r="1060" spans="1:9" hidden="1" x14ac:dyDescent="0.3">
      <c r="A1060" s="13">
        <v>165</v>
      </c>
      <c r="B1060" s="4">
        <v>3</v>
      </c>
      <c r="C1060" t="s">
        <v>552</v>
      </c>
      <c r="D1060" t="s">
        <v>530</v>
      </c>
      <c r="E1060">
        <v>30</v>
      </c>
      <c r="F1060">
        <v>41</v>
      </c>
      <c r="G1060" s="8">
        <f>Lektionen[[#This Row],[Bearbeitungsdauer_real]]/Lektionen[[#This Row],[Bearbeitungsdauer_geschätzt]]-1</f>
        <v>0.3666666666666667</v>
      </c>
      <c r="H1060" s="8" t="str" cm="1">
        <f t="array" ref="H1060">_xlfn.IFS(Lektionen[[#This Row],[Bearbeitungsdauer_abgewichen]]&gt;0.6,"viel länger",Lektionen[[#This Row],[Bearbeitungsdauer_abgewichen]]&gt;0.3,"länger",Lektionen[[#This Row],[Bearbeitungsdauer_abgewichen]]&lt;-0.3,"kürzer",TRUE,"keine Abweichung")</f>
        <v>länger</v>
      </c>
      <c r="I1060">
        <v>3</v>
      </c>
    </row>
    <row r="1061" spans="1:9" hidden="1" x14ac:dyDescent="0.3">
      <c r="A1061" s="13">
        <v>165</v>
      </c>
      <c r="B1061" s="4">
        <v>4</v>
      </c>
      <c r="C1061" t="s">
        <v>531</v>
      </c>
      <c r="D1061" t="s">
        <v>530</v>
      </c>
      <c r="E1061">
        <v>30</v>
      </c>
      <c r="F1061">
        <v>29</v>
      </c>
      <c r="G1061" s="8">
        <f>Lektionen[[#This Row],[Bearbeitungsdauer_real]]/Lektionen[[#This Row],[Bearbeitungsdauer_geschätzt]]-1</f>
        <v>-3.3333333333333326E-2</v>
      </c>
      <c r="H1061" s="8" t="str" cm="1">
        <f t="array" ref="H1061">_xlfn.IFS(Lektionen[[#This Row],[Bearbeitungsdauer_abgewichen]]&gt;0.6,"viel länger",Lektionen[[#This Row],[Bearbeitungsdauer_abgewichen]]&gt;0.3,"länger",Lektionen[[#This Row],[Bearbeitungsdauer_abgewichen]]&lt;-0.3,"kürzer",TRUE,"keine Abweichung")</f>
        <v>keine Abweichung</v>
      </c>
      <c r="I1061">
        <v>4</v>
      </c>
    </row>
    <row r="1062" spans="1:9" x14ac:dyDescent="0.3">
      <c r="A1062" s="13">
        <v>165</v>
      </c>
      <c r="B1062" s="4">
        <v>5</v>
      </c>
      <c r="C1062" t="s">
        <v>532</v>
      </c>
      <c r="D1062" t="s">
        <v>530</v>
      </c>
      <c r="E1062">
        <v>30</v>
      </c>
      <c r="F1062">
        <v>45</v>
      </c>
      <c r="G1062" s="8">
        <f>Lektionen[[#This Row],[Bearbeitungsdauer_real]]/Lektionen[[#This Row],[Bearbeitungsdauer_geschätzt]]-1</f>
        <v>0.5</v>
      </c>
      <c r="H1062" s="8" t="str" cm="1">
        <f t="array" ref="H1062">_xlfn.IFS(Lektionen[[#This Row],[Bearbeitungsdauer_abgewichen]]&gt;0.6,"viel länger",Lektionen[[#This Row],[Bearbeitungsdauer_abgewichen]]&gt;0.3,"länger",Lektionen[[#This Row],[Bearbeitungsdauer_abgewichen]]&lt;-0.3,"kürzer",TRUE,"keine Abweichung")</f>
        <v>länger</v>
      </c>
      <c r="I1062">
        <v>4</v>
      </c>
    </row>
    <row r="1063" spans="1:9" hidden="1" x14ac:dyDescent="0.3">
      <c r="A1063" s="13">
        <v>165</v>
      </c>
      <c r="B1063" s="4">
        <v>6</v>
      </c>
      <c r="C1063" t="s">
        <v>533</v>
      </c>
      <c r="D1063" t="s">
        <v>534</v>
      </c>
      <c r="E1063">
        <v>5</v>
      </c>
      <c r="F1063">
        <v>1</v>
      </c>
      <c r="G1063" s="8">
        <f>Lektionen[[#This Row],[Bearbeitungsdauer_real]]/Lektionen[[#This Row],[Bearbeitungsdauer_geschätzt]]-1</f>
        <v>-0.8</v>
      </c>
      <c r="H1063" s="8" t="str" cm="1">
        <f t="array" ref="H1063">_xlfn.IFS(Lektionen[[#This Row],[Bearbeitungsdauer_abgewichen]]&gt;0.6,"viel länger",Lektionen[[#This Row],[Bearbeitungsdauer_abgewichen]]&gt;0.3,"länger",Lektionen[[#This Row],[Bearbeitungsdauer_abgewichen]]&lt;-0.3,"kürzer",TRUE,"keine Abweichung")</f>
        <v>kürzer</v>
      </c>
      <c r="I1063">
        <v>2</v>
      </c>
    </row>
    <row r="1064" spans="1:9" hidden="1" x14ac:dyDescent="0.3">
      <c r="A1064" s="13">
        <v>165</v>
      </c>
      <c r="B1064" s="4">
        <v>7</v>
      </c>
      <c r="C1064" t="s">
        <v>535</v>
      </c>
      <c r="D1064" t="s">
        <v>536</v>
      </c>
      <c r="E1064">
        <v>10</v>
      </c>
      <c r="F1064">
        <v>9</v>
      </c>
      <c r="G1064" s="8">
        <f>Lektionen[[#This Row],[Bearbeitungsdauer_real]]/Lektionen[[#This Row],[Bearbeitungsdauer_geschätzt]]-1</f>
        <v>-9.9999999999999978E-2</v>
      </c>
      <c r="H1064" s="8" t="str" cm="1">
        <f t="array" ref="H1064">_xlfn.IFS(Lektionen[[#This Row],[Bearbeitungsdauer_abgewichen]]&gt;0.6,"viel länger",Lektionen[[#This Row],[Bearbeitungsdauer_abgewichen]]&gt;0.3,"länger",Lektionen[[#This Row],[Bearbeitungsdauer_abgewichen]]&lt;-0.3,"kürzer",TRUE,"keine Abweichung")</f>
        <v>keine Abweichung</v>
      </c>
      <c r="I1064">
        <v>4</v>
      </c>
    </row>
    <row r="1065" spans="1:9" hidden="1" x14ac:dyDescent="0.3">
      <c r="A1065" s="13">
        <v>165</v>
      </c>
      <c r="B1065" s="4">
        <v>8</v>
      </c>
      <c r="C1065" t="s">
        <v>537</v>
      </c>
      <c r="D1065" t="s">
        <v>527</v>
      </c>
      <c r="E1065">
        <v>5</v>
      </c>
      <c r="F1065">
        <v>5</v>
      </c>
      <c r="G1065" s="8">
        <f>Lektionen[[#This Row],[Bearbeitungsdauer_real]]/Lektionen[[#This Row],[Bearbeitungsdauer_geschätzt]]-1</f>
        <v>0</v>
      </c>
      <c r="H1065" s="8" t="str" cm="1">
        <f t="array" ref="H1065">_xlfn.IFS(Lektionen[[#This Row],[Bearbeitungsdauer_abgewichen]]&gt;0.6,"viel länger",Lektionen[[#This Row],[Bearbeitungsdauer_abgewichen]]&gt;0.3,"länger",Lektionen[[#This Row],[Bearbeitungsdauer_abgewichen]]&lt;-0.3,"kürzer",TRUE,"keine Abweichung")</f>
        <v>keine Abweichung</v>
      </c>
      <c r="I1065">
        <v>1</v>
      </c>
    </row>
    <row r="1066" spans="1:9" hidden="1" x14ac:dyDescent="0.3">
      <c r="A1066" s="13">
        <v>166</v>
      </c>
      <c r="B1066" s="4">
        <v>1</v>
      </c>
      <c r="C1066" t="s">
        <v>526</v>
      </c>
      <c r="D1066" t="s">
        <v>527</v>
      </c>
      <c r="E1066">
        <v>4</v>
      </c>
      <c r="F1066">
        <v>4</v>
      </c>
      <c r="G1066" s="8">
        <f>Lektionen[[#This Row],[Bearbeitungsdauer_real]]/Lektionen[[#This Row],[Bearbeitungsdauer_geschätzt]]-1</f>
        <v>0</v>
      </c>
      <c r="H1066" s="8" t="str" cm="1">
        <f t="array" ref="H1066">_xlfn.IFS(Lektionen[[#This Row],[Bearbeitungsdauer_abgewichen]]&gt;0.6,"viel länger",Lektionen[[#This Row],[Bearbeitungsdauer_abgewichen]]&gt;0.3,"länger",Lektionen[[#This Row],[Bearbeitungsdauer_abgewichen]]&lt;-0.3,"kürzer",TRUE,"keine Abweichung")</f>
        <v>keine Abweichung</v>
      </c>
      <c r="I1066">
        <v>1</v>
      </c>
    </row>
    <row r="1067" spans="1:9" hidden="1" x14ac:dyDescent="0.3">
      <c r="A1067" s="13">
        <v>166</v>
      </c>
      <c r="B1067" s="4">
        <v>2</v>
      </c>
      <c r="C1067" t="s">
        <v>528</v>
      </c>
      <c r="D1067" t="s">
        <v>529</v>
      </c>
      <c r="E1067">
        <v>15</v>
      </c>
      <c r="F1067">
        <v>17</v>
      </c>
      <c r="G1067" s="8">
        <f>Lektionen[[#This Row],[Bearbeitungsdauer_real]]/Lektionen[[#This Row],[Bearbeitungsdauer_geschätzt]]-1</f>
        <v>0.1333333333333333</v>
      </c>
      <c r="H1067" s="8" t="str" cm="1">
        <f t="array" ref="H1067">_xlfn.IFS(Lektionen[[#This Row],[Bearbeitungsdauer_abgewichen]]&gt;0.6,"viel länger",Lektionen[[#This Row],[Bearbeitungsdauer_abgewichen]]&gt;0.3,"länger",Lektionen[[#This Row],[Bearbeitungsdauer_abgewichen]]&lt;-0.3,"kürzer",TRUE,"keine Abweichung")</f>
        <v>keine Abweichung</v>
      </c>
      <c r="I1067">
        <v>1</v>
      </c>
    </row>
    <row r="1068" spans="1:9" hidden="1" x14ac:dyDescent="0.3">
      <c r="A1068" s="13">
        <v>166</v>
      </c>
      <c r="B1068" s="4">
        <v>3</v>
      </c>
      <c r="C1068" t="s">
        <v>552</v>
      </c>
      <c r="D1068" t="s">
        <v>530</v>
      </c>
      <c r="E1068">
        <v>30</v>
      </c>
      <c r="F1068">
        <v>30</v>
      </c>
      <c r="G1068" s="8">
        <f>Lektionen[[#This Row],[Bearbeitungsdauer_real]]/Lektionen[[#This Row],[Bearbeitungsdauer_geschätzt]]-1</f>
        <v>0</v>
      </c>
      <c r="H1068" s="8" t="str" cm="1">
        <f t="array" ref="H1068">_xlfn.IFS(Lektionen[[#This Row],[Bearbeitungsdauer_abgewichen]]&gt;0.6,"viel länger",Lektionen[[#This Row],[Bearbeitungsdauer_abgewichen]]&gt;0.3,"länger",Lektionen[[#This Row],[Bearbeitungsdauer_abgewichen]]&lt;-0.3,"kürzer",TRUE,"keine Abweichung")</f>
        <v>keine Abweichung</v>
      </c>
      <c r="I1068">
        <v>3</v>
      </c>
    </row>
    <row r="1069" spans="1:9" hidden="1" x14ac:dyDescent="0.3">
      <c r="A1069" s="13">
        <v>166</v>
      </c>
      <c r="B1069" s="4">
        <v>4</v>
      </c>
      <c r="C1069" t="s">
        <v>531</v>
      </c>
      <c r="D1069" t="s">
        <v>530</v>
      </c>
      <c r="E1069">
        <v>30</v>
      </c>
      <c r="F1069">
        <v>19</v>
      </c>
      <c r="G1069" s="8">
        <f>Lektionen[[#This Row],[Bearbeitungsdauer_real]]/Lektionen[[#This Row],[Bearbeitungsdauer_geschätzt]]-1</f>
        <v>-0.3666666666666667</v>
      </c>
      <c r="H1069" s="8" t="str" cm="1">
        <f t="array" ref="H1069">_xlfn.IFS(Lektionen[[#This Row],[Bearbeitungsdauer_abgewichen]]&gt;0.6,"viel länger",Lektionen[[#This Row],[Bearbeitungsdauer_abgewichen]]&gt;0.3,"länger",Lektionen[[#This Row],[Bearbeitungsdauer_abgewichen]]&lt;-0.3,"kürzer",TRUE,"keine Abweichung")</f>
        <v>kürzer</v>
      </c>
      <c r="I1069">
        <v>3</v>
      </c>
    </row>
    <row r="1070" spans="1:9" x14ac:dyDescent="0.3">
      <c r="A1070" s="13">
        <v>166</v>
      </c>
      <c r="B1070" s="4">
        <v>5</v>
      </c>
      <c r="C1070" t="s">
        <v>532</v>
      </c>
      <c r="D1070" t="s">
        <v>530</v>
      </c>
      <c r="E1070">
        <v>30</v>
      </c>
      <c r="F1070">
        <v>48</v>
      </c>
      <c r="G1070" s="8">
        <f>Lektionen[[#This Row],[Bearbeitungsdauer_real]]/Lektionen[[#This Row],[Bearbeitungsdauer_geschätzt]]-1</f>
        <v>0.60000000000000009</v>
      </c>
      <c r="H1070" s="8" t="str" cm="1">
        <f t="array" ref="H1070">_xlfn.IFS(Lektionen[[#This Row],[Bearbeitungsdauer_abgewichen]]&gt;0.6,"viel länger",Lektionen[[#This Row],[Bearbeitungsdauer_abgewichen]]&gt;0.3,"länger",Lektionen[[#This Row],[Bearbeitungsdauer_abgewichen]]&lt;-0.3,"kürzer",TRUE,"keine Abweichung")</f>
        <v>länger</v>
      </c>
      <c r="I1070">
        <v>3</v>
      </c>
    </row>
    <row r="1071" spans="1:9" hidden="1" x14ac:dyDescent="0.3">
      <c r="A1071" s="13">
        <v>166</v>
      </c>
      <c r="B1071" s="4">
        <v>6</v>
      </c>
      <c r="C1071" t="s">
        <v>533</v>
      </c>
      <c r="D1071" t="s">
        <v>534</v>
      </c>
      <c r="E1071">
        <v>5</v>
      </c>
      <c r="F1071">
        <v>2</v>
      </c>
      <c r="G1071" s="8">
        <f>Lektionen[[#This Row],[Bearbeitungsdauer_real]]/Lektionen[[#This Row],[Bearbeitungsdauer_geschätzt]]-1</f>
        <v>-0.6</v>
      </c>
      <c r="H1071" s="8" t="str" cm="1">
        <f t="array" ref="H1071">_xlfn.IFS(Lektionen[[#This Row],[Bearbeitungsdauer_abgewichen]]&gt;0.6,"viel länger",Lektionen[[#This Row],[Bearbeitungsdauer_abgewichen]]&gt;0.3,"länger",Lektionen[[#This Row],[Bearbeitungsdauer_abgewichen]]&lt;-0.3,"kürzer",TRUE,"keine Abweichung")</f>
        <v>kürzer</v>
      </c>
      <c r="I1071">
        <v>3</v>
      </c>
    </row>
    <row r="1072" spans="1:9" hidden="1" x14ac:dyDescent="0.3">
      <c r="A1072" s="13">
        <v>166</v>
      </c>
      <c r="B1072" s="4">
        <v>7</v>
      </c>
      <c r="C1072" t="s">
        <v>535</v>
      </c>
      <c r="D1072" t="s">
        <v>536</v>
      </c>
      <c r="E1072">
        <v>10</v>
      </c>
      <c r="F1072">
        <v>11</v>
      </c>
      <c r="G1072" s="8">
        <f>Lektionen[[#This Row],[Bearbeitungsdauer_real]]/Lektionen[[#This Row],[Bearbeitungsdauer_geschätzt]]-1</f>
        <v>0.10000000000000009</v>
      </c>
      <c r="H1072" s="8" t="str" cm="1">
        <f t="array" ref="H1072">_xlfn.IFS(Lektionen[[#This Row],[Bearbeitungsdauer_abgewichen]]&gt;0.6,"viel länger",Lektionen[[#This Row],[Bearbeitungsdauer_abgewichen]]&gt;0.3,"länger",Lektionen[[#This Row],[Bearbeitungsdauer_abgewichen]]&lt;-0.3,"kürzer",TRUE,"keine Abweichung")</f>
        <v>keine Abweichung</v>
      </c>
      <c r="I1072">
        <v>4</v>
      </c>
    </row>
    <row r="1073" spans="1:9" hidden="1" x14ac:dyDescent="0.3">
      <c r="A1073" s="13">
        <v>166</v>
      </c>
      <c r="B1073" s="4">
        <v>8</v>
      </c>
      <c r="C1073" t="s">
        <v>537</v>
      </c>
      <c r="D1073" t="s">
        <v>527</v>
      </c>
      <c r="E1073">
        <v>5</v>
      </c>
      <c r="F1073">
        <v>5</v>
      </c>
      <c r="G1073" s="8">
        <f>Lektionen[[#This Row],[Bearbeitungsdauer_real]]/Lektionen[[#This Row],[Bearbeitungsdauer_geschätzt]]-1</f>
        <v>0</v>
      </c>
      <c r="H1073" s="8" t="str" cm="1">
        <f t="array" ref="H1073">_xlfn.IFS(Lektionen[[#This Row],[Bearbeitungsdauer_abgewichen]]&gt;0.6,"viel länger",Lektionen[[#This Row],[Bearbeitungsdauer_abgewichen]]&gt;0.3,"länger",Lektionen[[#This Row],[Bearbeitungsdauer_abgewichen]]&lt;-0.3,"kürzer",TRUE,"keine Abweichung")</f>
        <v>keine Abweichung</v>
      </c>
      <c r="I1073">
        <v>1</v>
      </c>
    </row>
    <row r="1074" spans="1:9" hidden="1" x14ac:dyDescent="0.3">
      <c r="A1074" s="13">
        <v>167</v>
      </c>
      <c r="B1074" s="4">
        <v>1</v>
      </c>
      <c r="C1074" t="s">
        <v>526</v>
      </c>
      <c r="D1074" t="s">
        <v>527</v>
      </c>
      <c r="E1074">
        <v>4</v>
      </c>
      <c r="F1074">
        <v>5</v>
      </c>
      <c r="G1074" s="8">
        <f>Lektionen[[#This Row],[Bearbeitungsdauer_real]]/Lektionen[[#This Row],[Bearbeitungsdauer_geschätzt]]-1</f>
        <v>0.25</v>
      </c>
      <c r="H1074" s="8" t="str" cm="1">
        <f t="array" ref="H1074">_xlfn.IFS(Lektionen[[#This Row],[Bearbeitungsdauer_abgewichen]]&gt;0.6,"viel länger",Lektionen[[#This Row],[Bearbeitungsdauer_abgewichen]]&gt;0.3,"länger",Lektionen[[#This Row],[Bearbeitungsdauer_abgewichen]]&lt;-0.3,"kürzer",TRUE,"keine Abweichung")</f>
        <v>keine Abweichung</v>
      </c>
      <c r="I1074">
        <v>1</v>
      </c>
    </row>
    <row r="1075" spans="1:9" hidden="1" x14ac:dyDescent="0.3">
      <c r="A1075" s="13">
        <v>167</v>
      </c>
      <c r="B1075" s="4">
        <v>2</v>
      </c>
      <c r="C1075" t="s">
        <v>528</v>
      </c>
      <c r="D1075" t="s">
        <v>529</v>
      </c>
      <c r="E1075">
        <v>15</v>
      </c>
      <c r="F1075">
        <v>17</v>
      </c>
      <c r="G1075" s="8">
        <f>Lektionen[[#This Row],[Bearbeitungsdauer_real]]/Lektionen[[#This Row],[Bearbeitungsdauer_geschätzt]]-1</f>
        <v>0.1333333333333333</v>
      </c>
      <c r="H1075" s="8" t="str" cm="1">
        <f t="array" ref="H1075">_xlfn.IFS(Lektionen[[#This Row],[Bearbeitungsdauer_abgewichen]]&gt;0.6,"viel länger",Lektionen[[#This Row],[Bearbeitungsdauer_abgewichen]]&gt;0.3,"länger",Lektionen[[#This Row],[Bearbeitungsdauer_abgewichen]]&lt;-0.3,"kürzer",TRUE,"keine Abweichung")</f>
        <v>keine Abweichung</v>
      </c>
      <c r="I1075">
        <v>1</v>
      </c>
    </row>
    <row r="1076" spans="1:9" hidden="1" x14ac:dyDescent="0.3">
      <c r="A1076" s="13">
        <v>167</v>
      </c>
      <c r="B1076" s="4">
        <v>3</v>
      </c>
      <c r="C1076" t="s">
        <v>552</v>
      </c>
      <c r="D1076" t="s">
        <v>530</v>
      </c>
      <c r="E1076">
        <v>30</v>
      </c>
      <c r="F1076">
        <v>28</v>
      </c>
      <c r="G1076" s="8">
        <f>Lektionen[[#This Row],[Bearbeitungsdauer_real]]/Lektionen[[#This Row],[Bearbeitungsdauer_geschätzt]]-1</f>
        <v>-6.6666666666666652E-2</v>
      </c>
      <c r="H1076" s="8" t="str" cm="1">
        <f t="array" ref="H1076">_xlfn.IFS(Lektionen[[#This Row],[Bearbeitungsdauer_abgewichen]]&gt;0.6,"viel länger",Lektionen[[#This Row],[Bearbeitungsdauer_abgewichen]]&gt;0.3,"länger",Lektionen[[#This Row],[Bearbeitungsdauer_abgewichen]]&lt;-0.3,"kürzer",TRUE,"keine Abweichung")</f>
        <v>keine Abweichung</v>
      </c>
      <c r="I1076">
        <v>2</v>
      </c>
    </row>
    <row r="1077" spans="1:9" hidden="1" x14ac:dyDescent="0.3">
      <c r="A1077" s="13">
        <v>167</v>
      </c>
      <c r="B1077" s="4">
        <v>4</v>
      </c>
      <c r="C1077" t="s">
        <v>531</v>
      </c>
      <c r="D1077" t="s">
        <v>530</v>
      </c>
      <c r="E1077">
        <v>30</v>
      </c>
      <c r="F1077">
        <v>18</v>
      </c>
      <c r="G1077" s="8">
        <f>Lektionen[[#This Row],[Bearbeitungsdauer_real]]/Lektionen[[#This Row],[Bearbeitungsdauer_geschätzt]]-1</f>
        <v>-0.4</v>
      </c>
      <c r="H1077" s="8" t="str" cm="1">
        <f t="array" ref="H1077">_xlfn.IFS(Lektionen[[#This Row],[Bearbeitungsdauer_abgewichen]]&gt;0.6,"viel länger",Lektionen[[#This Row],[Bearbeitungsdauer_abgewichen]]&gt;0.3,"länger",Lektionen[[#This Row],[Bearbeitungsdauer_abgewichen]]&lt;-0.3,"kürzer",TRUE,"keine Abweichung")</f>
        <v>kürzer</v>
      </c>
      <c r="I1077">
        <v>3</v>
      </c>
    </row>
    <row r="1078" spans="1:9" x14ac:dyDescent="0.3">
      <c r="A1078" s="13">
        <v>167</v>
      </c>
      <c r="B1078" s="4">
        <v>5</v>
      </c>
      <c r="C1078" t="s">
        <v>532</v>
      </c>
      <c r="D1078" t="s">
        <v>530</v>
      </c>
      <c r="E1078">
        <v>30</v>
      </c>
      <c r="F1078">
        <v>49</v>
      </c>
      <c r="G1078" s="8">
        <f>Lektionen[[#This Row],[Bearbeitungsdauer_real]]/Lektionen[[#This Row],[Bearbeitungsdauer_geschätzt]]-1</f>
        <v>0.6333333333333333</v>
      </c>
      <c r="H1078" s="8" t="str" cm="1">
        <f t="array" ref="H1078">_xlfn.IFS(Lektionen[[#This Row],[Bearbeitungsdauer_abgewichen]]&gt;0.6,"viel länger",Lektionen[[#This Row],[Bearbeitungsdauer_abgewichen]]&gt;0.3,"länger",Lektionen[[#This Row],[Bearbeitungsdauer_abgewichen]]&lt;-0.3,"kürzer",TRUE,"keine Abweichung")</f>
        <v>viel länger</v>
      </c>
      <c r="I1078">
        <v>4</v>
      </c>
    </row>
    <row r="1079" spans="1:9" hidden="1" x14ac:dyDescent="0.3">
      <c r="A1079" s="13">
        <v>167</v>
      </c>
      <c r="B1079" s="4">
        <v>6</v>
      </c>
      <c r="C1079" t="s">
        <v>533</v>
      </c>
      <c r="D1079" t="s">
        <v>534</v>
      </c>
      <c r="E1079">
        <v>5</v>
      </c>
      <c r="F1079">
        <v>3</v>
      </c>
      <c r="G1079" s="8">
        <f>Lektionen[[#This Row],[Bearbeitungsdauer_real]]/Lektionen[[#This Row],[Bearbeitungsdauer_geschätzt]]-1</f>
        <v>-0.4</v>
      </c>
      <c r="H1079" s="8" t="str" cm="1">
        <f t="array" ref="H1079">_xlfn.IFS(Lektionen[[#This Row],[Bearbeitungsdauer_abgewichen]]&gt;0.6,"viel länger",Lektionen[[#This Row],[Bearbeitungsdauer_abgewichen]]&gt;0.3,"länger",Lektionen[[#This Row],[Bearbeitungsdauer_abgewichen]]&lt;-0.3,"kürzer",TRUE,"keine Abweichung")</f>
        <v>kürzer</v>
      </c>
      <c r="I1079">
        <v>2</v>
      </c>
    </row>
    <row r="1080" spans="1:9" hidden="1" x14ac:dyDescent="0.3">
      <c r="A1080" s="13">
        <v>167</v>
      </c>
      <c r="B1080" s="4">
        <v>7</v>
      </c>
      <c r="C1080" t="s">
        <v>535</v>
      </c>
      <c r="D1080" t="s">
        <v>536</v>
      </c>
      <c r="E1080">
        <v>10</v>
      </c>
      <c r="F1080">
        <v>9</v>
      </c>
      <c r="G1080" s="8">
        <f>Lektionen[[#This Row],[Bearbeitungsdauer_real]]/Lektionen[[#This Row],[Bearbeitungsdauer_geschätzt]]-1</f>
        <v>-9.9999999999999978E-2</v>
      </c>
      <c r="H1080" s="8" t="str" cm="1">
        <f t="array" ref="H1080">_xlfn.IFS(Lektionen[[#This Row],[Bearbeitungsdauer_abgewichen]]&gt;0.6,"viel länger",Lektionen[[#This Row],[Bearbeitungsdauer_abgewichen]]&gt;0.3,"länger",Lektionen[[#This Row],[Bearbeitungsdauer_abgewichen]]&lt;-0.3,"kürzer",TRUE,"keine Abweichung")</f>
        <v>keine Abweichung</v>
      </c>
      <c r="I1080">
        <v>3</v>
      </c>
    </row>
    <row r="1081" spans="1:9" hidden="1" x14ac:dyDescent="0.3">
      <c r="A1081" s="13">
        <v>167</v>
      </c>
      <c r="B1081" s="4">
        <v>8</v>
      </c>
      <c r="C1081" t="s">
        <v>537</v>
      </c>
      <c r="D1081" t="s">
        <v>527</v>
      </c>
      <c r="E1081">
        <v>5</v>
      </c>
      <c r="F1081">
        <v>5</v>
      </c>
      <c r="G1081" s="8">
        <f>Lektionen[[#This Row],[Bearbeitungsdauer_real]]/Lektionen[[#This Row],[Bearbeitungsdauer_geschätzt]]-1</f>
        <v>0</v>
      </c>
      <c r="H1081" s="8" t="str" cm="1">
        <f t="array" ref="H1081">_xlfn.IFS(Lektionen[[#This Row],[Bearbeitungsdauer_abgewichen]]&gt;0.6,"viel länger",Lektionen[[#This Row],[Bearbeitungsdauer_abgewichen]]&gt;0.3,"länger",Lektionen[[#This Row],[Bearbeitungsdauer_abgewichen]]&lt;-0.3,"kürzer",TRUE,"keine Abweichung")</f>
        <v>keine Abweichung</v>
      </c>
      <c r="I1081">
        <v>2</v>
      </c>
    </row>
    <row r="1082" spans="1:9" hidden="1" x14ac:dyDescent="0.3">
      <c r="A1082" s="13">
        <v>169</v>
      </c>
      <c r="B1082" s="4">
        <v>1</v>
      </c>
      <c r="C1082" t="s">
        <v>526</v>
      </c>
      <c r="D1082" t="s">
        <v>527</v>
      </c>
      <c r="E1082">
        <v>4</v>
      </c>
      <c r="F1082">
        <v>4</v>
      </c>
      <c r="G1082" s="8">
        <f>Lektionen[[#This Row],[Bearbeitungsdauer_real]]/Lektionen[[#This Row],[Bearbeitungsdauer_geschätzt]]-1</f>
        <v>0</v>
      </c>
      <c r="H1082" s="8" t="str" cm="1">
        <f t="array" ref="H1082">_xlfn.IFS(Lektionen[[#This Row],[Bearbeitungsdauer_abgewichen]]&gt;0.6,"viel länger",Lektionen[[#This Row],[Bearbeitungsdauer_abgewichen]]&gt;0.3,"länger",Lektionen[[#This Row],[Bearbeitungsdauer_abgewichen]]&lt;-0.3,"kürzer",TRUE,"keine Abweichung")</f>
        <v>keine Abweichung</v>
      </c>
      <c r="I1082">
        <v>1</v>
      </c>
    </row>
    <row r="1083" spans="1:9" hidden="1" x14ac:dyDescent="0.3">
      <c r="A1083" s="13">
        <v>169</v>
      </c>
      <c r="B1083" s="4">
        <v>2</v>
      </c>
      <c r="C1083" t="s">
        <v>528</v>
      </c>
      <c r="D1083" t="s">
        <v>529</v>
      </c>
      <c r="E1083">
        <v>15</v>
      </c>
      <c r="F1083">
        <v>18</v>
      </c>
      <c r="G1083" s="8">
        <f>Lektionen[[#This Row],[Bearbeitungsdauer_real]]/Lektionen[[#This Row],[Bearbeitungsdauer_geschätzt]]-1</f>
        <v>0.19999999999999996</v>
      </c>
      <c r="H1083" s="8" t="str" cm="1">
        <f t="array" ref="H1083">_xlfn.IFS(Lektionen[[#This Row],[Bearbeitungsdauer_abgewichen]]&gt;0.6,"viel länger",Lektionen[[#This Row],[Bearbeitungsdauer_abgewichen]]&gt;0.3,"länger",Lektionen[[#This Row],[Bearbeitungsdauer_abgewichen]]&lt;-0.3,"kürzer",TRUE,"keine Abweichung")</f>
        <v>keine Abweichung</v>
      </c>
      <c r="I1083">
        <v>1</v>
      </c>
    </row>
    <row r="1084" spans="1:9" hidden="1" x14ac:dyDescent="0.3">
      <c r="A1084" s="13">
        <v>169</v>
      </c>
      <c r="B1084" s="4">
        <v>3</v>
      </c>
      <c r="C1084" t="s">
        <v>552</v>
      </c>
      <c r="D1084" t="s">
        <v>530</v>
      </c>
      <c r="E1084">
        <v>30</v>
      </c>
      <c r="F1084">
        <v>32</v>
      </c>
      <c r="G1084" s="8">
        <f>Lektionen[[#This Row],[Bearbeitungsdauer_real]]/Lektionen[[#This Row],[Bearbeitungsdauer_geschätzt]]-1</f>
        <v>6.6666666666666652E-2</v>
      </c>
      <c r="H1084" s="8" t="str" cm="1">
        <f t="array" ref="H1084">_xlfn.IFS(Lektionen[[#This Row],[Bearbeitungsdauer_abgewichen]]&gt;0.6,"viel länger",Lektionen[[#This Row],[Bearbeitungsdauer_abgewichen]]&gt;0.3,"länger",Lektionen[[#This Row],[Bearbeitungsdauer_abgewichen]]&lt;-0.3,"kürzer",TRUE,"keine Abweichung")</f>
        <v>keine Abweichung</v>
      </c>
      <c r="I1084">
        <v>2</v>
      </c>
    </row>
    <row r="1085" spans="1:9" hidden="1" x14ac:dyDescent="0.3">
      <c r="A1085" s="13">
        <v>169</v>
      </c>
      <c r="B1085" s="4">
        <v>4</v>
      </c>
      <c r="C1085" t="s">
        <v>531</v>
      </c>
      <c r="D1085" t="s">
        <v>530</v>
      </c>
      <c r="E1085">
        <v>30</v>
      </c>
      <c r="F1085">
        <v>16</v>
      </c>
      <c r="G1085" s="8">
        <f>Lektionen[[#This Row],[Bearbeitungsdauer_real]]/Lektionen[[#This Row],[Bearbeitungsdauer_geschätzt]]-1</f>
        <v>-0.46666666666666667</v>
      </c>
      <c r="H1085" s="8" t="str" cm="1">
        <f t="array" ref="H1085">_xlfn.IFS(Lektionen[[#This Row],[Bearbeitungsdauer_abgewichen]]&gt;0.6,"viel länger",Lektionen[[#This Row],[Bearbeitungsdauer_abgewichen]]&gt;0.3,"länger",Lektionen[[#This Row],[Bearbeitungsdauer_abgewichen]]&lt;-0.3,"kürzer",TRUE,"keine Abweichung")</f>
        <v>kürzer</v>
      </c>
      <c r="I1085">
        <v>4</v>
      </c>
    </row>
    <row r="1086" spans="1:9" x14ac:dyDescent="0.3">
      <c r="A1086" s="13">
        <v>169</v>
      </c>
      <c r="B1086" s="4">
        <v>5</v>
      </c>
      <c r="C1086" t="s">
        <v>532</v>
      </c>
      <c r="D1086" t="s">
        <v>530</v>
      </c>
      <c r="E1086">
        <v>30</v>
      </c>
      <c r="F1086">
        <v>50</v>
      </c>
      <c r="G1086" s="8">
        <f>Lektionen[[#This Row],[Bearbeitungsdauer_real]]/Lektionen[[#This Row],[Bearbeitungsdauer_geschätzt]]-1</f>
        <v>0.66666666666666674</v>
      </c>
      <c r="H1086" s="8" t="str" cm="1">
        <f t="array" ref="H1086">_xlfn.IFS(Lektionen[[#This Row],[Bearbeitungsdauer_abgewichen]]&gt;0.6,"viel länger",Lektionen[[#This Row],[Bearbeitungsdauer_abgewichen]]&gt;0.3,"länger",Lektionen[[#This Row],[Bearbeitungsdauer_abgewichen]]&lt;-0.3,"kürzer",TRUE,"keine Abweichung")</f>
        <v>viel länger</v>
      </c>
      <c r="I1086">
        <v>4</v>
      </c>
    </row>
    <row r="1087" spans="1:9" hidden="1" x14ac:dyDescent="0.3">
      <c r="A1087" s="13">
        <v>169</v>
      </c>
      <c r="B1087" s="4">
        <v>6</v>
      </c>
      <c r="C1087" t="s">
        <v>533</v>
      </c>
      <c r="D1087" t="s">
        <v>534</v>
      </c>
      <c r="E1087">
        <v>5</v>
      </c>
      <c r="F1087">
        <v>2</v>
      </c>
      <c r="G1087" s="8">
        <f>Lektionen[[#This Row],[Bearbeitungsdauer_real]]/Lektionen[[#This Row],[Bearbeitungsdauer_geschätzt]]-1</f>
        <v>-0.6</v>
      </c>
      <c r="H1087" s="8" t="str" cm="1">
        <f t="array" ref="H1087">_xlfn.IFS(Lektionen[[#This Row],[Bearbeitungsdauer_abgewichen]]&gt;0.6,"viel länger",Lektionen[[#This Row],[Bearbeitungsdauer_abgewichen]]&gt;0.3,"länger",Lektionen[[#This Row],[Bearbeitungsdauer_abgewichen]]&lt;-0.3,"kürzer",TRUE,"keine Abweichung")</f>
        <v>kürzer</v>
      </c>
      <c r="I1087">
        <v>2</v>
      </c>
    </row>
    <row r="1088" spans="1:9" hidden="1" x14ac:dyDescent="0.3">
      <c r="A1088" s="13">
        <v>169</v>
      </c>
      <c r="B1088" s="4">
        <v>7</v>
      </c>
      <c r="C1088" t="s">
        <v>535</v>
      </c>
      <c r="D1088" t="s">
        <v>536</v>
      </c>
      <c r="E1088">
        <v>10</v>
      </c>
      <c r="F1088">
        <v>10</v>
      </c>
      <c r="G1088" s="8">
        <f>Lektionen[[#This Row],[Bearbeitungsdauer_real]]/Lektionen[[#This Row],[Bearbeitungsdauer_geschätzt]]-1</f>
        <v>0</v>
      </c>
      <c r="H1088" s="8" t="str" cm="1">
        <f t="array" ref="H1088">_xlfn.IFS(Lektionen[[#This Row],[Bearbeitungsdauer_abgewichen]]&gt;0.6,"viel länger",Lektionen[[#This Row],[Bearbeitungsdauer_abgewichen]]&gt;0.3,"länger",Lektionen[[#This Row],[Bearbeitungsdauer_abgewichen]]&lt;-0.3,"kürzer",TRUE,"keine Abweichung")</f>
        <v>keine Abweichung</v>
      </c>
      <c r="I1088">
        <v>3</v>
      </c>
    </row>
    <row r="1089" spans="1:9" hidden="1" x14ac:dyDescent="0.3">
      <c r="A1089" s="13">
        <v>169</v>
      </c>
      <c r="B1089" s="4">
        <v>8</v>
      </c>
      <c r="C1089" t="s">
        <v>537</v>
      </c>
      <c r="D1089" t="s">
        <v>527</v>
      </c>
      <c r="E1089">
        <v>5</v>
      </c>
      <c r="F1089">
        <v>5</v>
      </c>
      <c r="G1089" s="8">
        <f>Lektionen[[#This Row],[Bearbeitungsdauer_real]]/Lektionen[[#This Row],[Bearbeitungsdauer_geschätzt]]-1</f>
        <v>0</v>
      </c>
      <c r="H1089" s="8" t="str" cm="1">
        <f t="array" ref="H1089">_xlfn.IFS(Lektionen[[#This Row],[Bearbeitungsdauer_abgewichen]]&gt;0.6,"viel länger",Lektionen[[#This Row],[Bearbeitungsdauer_abgewichen]]&gt;0.3,"länger",Lektionen[[#This Row],[Bearbeitungsdauer_abgewichen]]&lt;-0.3,"kürzer",TRUE,"keine Abweichung")</f>
        <v>keine Abweichung</v>
      </c>
      <c r="I1089">
        <v>1</v>
      </c>
    </row>
    <row r="1090" spans="1:9" hidden="1" x14ac:dyDescent="0.3">
      <c r="A1090" s="13">
        <v>170</v>
      </c>
      <c r="B1090" s="4">
        <v>1</v>
      </c>
      <c r="C1090" t="s">
        <v>526</v>
      </c>
      <c r="D1090" t="s">
        <v>527</v>
      </c>
      <c r="E1090">
        <v>4</v>
      </c>
      <c r="F1090">
        <v>4</v>
      </c>
      <c r="G1090" s="8">
        <f>Lektionen[[#This Row],[Bearbeitungsdauer_real]]/Lektionen[[#This Row],[Bearbeitungsdauer_geschätzt]]-1</f>
        <v>0</v>
      </c>
      <c r="H1090" s="8" t="str" cm="1">
        <f t="array" ref="H1090">_xlfn.IFS(Lektionen[[#This Row],[Bearbeitungsdauer_abgewichen]]&gt;0.6,"viel länger",Lektionen[[#This Row],[Bearbeitungsdauer_abgewichen]]&gt;0.3,"länger",Lektionen[[#This Row],[Bearbeitungsdauer_abgewichen]]&lt;-0.3,"kürzer",TRUE,"keine Abweichung")</f>
        <v>keine Abweichung</v>
      </c>
      <c r="I1090">
        <v>1</v>
      </c>
    </row>
    <row r="1091" spans="1:9" hidden="1" x14ac:dyDescent="0.3">
      <c r="A1091" s="13">
        <v>170</v>
      </c>
      <c r="B1091" s="4">
        <v>2</v>
      </c>
      <c r="C1091" t="s">
        <v>528</v>
      </c>
      <c r="D1091" t="s">
        <v>529</v>
      </c>
      <c r="E1091">
        <v>15</v>
      </c>
      <c r="F1091">
        <v>17</v>
      </c>
      <c r="G1091" s="8">
        <f>Lektionen[[#This Row],[Bearbeitungsdauer_real]]/Lektionen[[#This Row],[Bearbeitungsdauer_geschätzt]]-1</f>
        <v>0.1333333333333333</v>
      </c>
      <c r="H1091" s="8" t="str" cm="1">
        <f t="array" ref="H1091">_xlfn.IFS(Lektionen[[#This Row],[Bearbeitungsdauer_abgewichen]]&gt;0.6,"viel länger",Lektionen[[#This Row],[Bearbeitungsdauer_abgewichen]]&gt;0.3,"länger",Lektionen[[#This Row],[Bearbeitungsdauer_abgewichen]]&lt;-0.3,"kürzer",TRUE,"keine Abweichung")</f>
        <v>keine Abweichung</v>
      </c>
      <c r="I1091">
        <v>1</v>
      </c>
    </row>
    <row r="1092" spans="1:9" hidden="1" x14ac:dyDescent="0.3">
      <c r="A1092" s="13">
        <v>170</v>
      </c>
      <c r="B1092" s="4">
        <v>3</v>
      </c>
      <c r="C1092" t="s">
        <v>552</v>
      </c>
      <c r="D1092" t="s">
        <v>530</v>
      </c>
      <c r="E1092">
        <v>30</v>
      </c>
      <c r="F1092">
        <v>29</v>
      </c>
      <c r="G1092" s="8">
        <f>Lektionen[[#This Row],[Bearbeitungsdauer_real]]/Lektionen[[#This Row],[Bearbeitungsdauer_geschätzt]]-1</f>
        <v>-3.3333333333333326E-2</v>
      </c>
      <c r="H1092" s="8" t="str" cm="1">
        <f t="array" ref="H1092">_xlfn.IFS(Lektionen[[#This Row],[Bearbeitungsdauer_abgewichen]]&gt;0.6,"viel länger",Lektionen[[#This Row],[Bearbeitungsdauer_abgewichen]]&gt;0.3,"länger",Lektionen[[#This Row],[Bearbeitungsdauer_abgewichen]]&lt;-0.3,"kürzer",TRUE,"keine Abweichung")</f>
        <v>keine Abweichung</v>
      </c>
      <c r="I1092">
        <v>2</v>
      </c>
    </row>
    <row r="1093" spans="1:9" hidden="1" x14ac:dyDescent="0.3">
      <c r="A1093" s="13">
        <v>170</v>
      </c>
      <c r="B1093" s="4">
        <v>4</v>
      </c>
      <c r="C1093" t="s">
        <v>531</v>
      </c>
      <c r="D1093" t="s">
        <v>530</v>
      </c>
      <c r="E1093">
        <v>30</v>
      </c>
      <c r="F1093">
        <v>27</v>
      </c>
      <c r="G1093" s="8">
        <f>Lektionen[[#This Row],[Bearbeitungsdauer_real]]/Lektionen[[#This Row],[Bearbeitungsdauer_geschätzt]]-1</f>
        <v>-9.9999999999999978E-2</v>
      </c>
      <c r="H1093" s="8" t="str" cm="1">
        <f t="array" ref="H1093">_xlfn.IFS(Lektionen[[#This Row],[Bearbeitungsdauer_abgewichen]]&gt;0.6,"viel länger",Lektionen[[#This Row],[Bearbeitungsdauer_abgewichen]]&gt;0.3,"länger",Lektionen[[#This Row],[Bearbeitungsdauer_abgewichen]]&lt;-0.3,"kürzer",TRUE,"keine Abweichung")</f>
        <v>keine Abweichung</v>
      </c>
      <c r="I1093">
        <v>4</v>
      </c>
    </row>
    <row r="1094" spans="1:9" x14ac:dyDescent="0.3">
      <c r="A1094" s="13">
        <v>170</v>
      </c>
      <c r="B1094" s="4">
        <v>5</v>
      </c>
      <c r="C1094" t="s">
        <v>532</v>
      </c>
      <c r="D1094" t="s">
        <v>530</v>
      </c>
      <c r="E1094">
        <v>30</v>
      </c>
      <c r="F1094">
        <v>51</v>
      </c>
      <c r="G1094" s="8">
        <f>Lektionen[[#This Row],[Bearbeitungsdauer_real]]/Lektionen[[#This Row],[Bearbeitungsdauer_geschätzt]]-1</f>
        <v>0.7</v>
      </c>
      <c r="H1094" s="8" t="str" cm="1">
        <f t="array" ref="H1094">_xlfn.IFS(Lektionen[[#This Row],[Bearbeitungsdauer_abgewichen]]&gt;0.6,"viel länger",Lektionen[[#This Row],[Bearbeitungsdauer_abgewichen]]&gt;0.3,"länger",Lektionen[[#This Row],[Bearbeitungsdauer_abgewichen]]&lt;-0.3,"kürzer",TRUE,"keine Abweichung")</f>
        <v>viel länger</v>
      </c>
      <c r="I1094">
        <v>4</v>
      </c>
    </row>
    <row r="1095" spans="1:9" hidden="1" x14ac:dyDescent="0.3">
      <c r="A1095" s="13">
        <v>170</v>
      </c>
      <c r="B1095" s="4">
        <v>6</v>
      </c>
      <c r="C1095" t="s">
        <v>533</v>
      </c>
      <c r="D1095" t="s">
        <v>534</v>
      </c>
      <c r="E1095">
        <v>5</v>
      </c>
      <c r="F1095">
        <v>1</v>
      </c>
      <c r="G1095" s="8">
        <f>Lektionen[[#This Row],[Bearbeitungsdauer_real]]/Lektionen[[#This Row],[Bearbeitungsdauer_geschätzt]]-1</f>
        <v>-0.8</v>
      </c>
      <c r="H1095" s="8" t="str" cm="1">
        <f t="array" ref="H1095">_xlfn.IFS(Lektionen[[#This Row],[Bearbeitungsdauer_abgewichen]]&gt;0.6,"viel länger",Lektionen[[#This Row],[Bearbeitungsdauer_abgewichen]]&gt;0.3,"länger",Lektionen[[#This Row],[Bearbeitungsdauer_abgewichen]]&lt;-0.3,"kürzer",TRUE,"keine Abweichung")</f>
        <v>kürzer</v>
      </c>
      <c r="I1095">
        <v>2</v>
      </c>
    </row>
    <row r="1096" spans="1:9" hidden="1" x14ac:dyDescent="0.3">
      <c r="A1096" s="13">
        <v>170</v>
      </c>
      <c r="B1096" s="4">
        <v>7</v>
      </c>
      <c r="C1096" t="s">
        <v>535</v>
      </c>
      <c r="D1096" t="s">
        <v>536</v>
      </c>
      <c r="E1096">
        <v>10</v>
      </c>
      <c r="F1096">
        <v>10</v>
      </c>
      <c r="G1096" s="8">
        <f>Lektionen[[#This Row],[Bearbeitungsdauer_real]]/Lektionen[[#This Row],[Bearbeitungsdauer_geschätzt]]-1</f>
        <v>0</v>
      </c>
      <c r="H1096" s="8" t="str" cm="1">
        <f t="array" ref="H1096">_xlfn.IFS(Lektionen[[#This Row],[Bearbeitungsdauer_abgewichen]]&gt;0.6,"viel länger",Lektionen[[#This Row],[Bearbeitungsdauer_abgewichen]]&gt;0.3,"länger",Lektionen[[#This Row],[Bearbeitungsdauer_abgewichen]]&lt;-0.3,"kürzer",TRUE,"keine Abweichung")</f>
        <v>keine Abweichung</v>
      </c>
      <c r="I1096">
        <v>4</v>
      </c>
    </row>
    <row r="1097" spans="1:9" hidden="1" x14ac:dyDescent="0.3">
      <c r="A1097" s="13">
        <v>170</v>
      </c>
      <c r="B1097" s="4">
        <v>8</v>
      </c>
      <c r="C1097" t="s">
        <v>537</v>
      </c>
      <c r="D1097" t="s">
        <v>527</v>
      </c>
      <c r="E1097">
        <v>5</v>
      </c>
      <c r="F1097">
        <v>5</v>
      </c>
      <c r="G1097" s="8">
        <f>Lektionen[[#This Row],[Bearbeitungsdauer_real]]/Lektionen[[#This Row],[Bearbeitungsdauer_geschätzt]]-1</f>
        <v>0</v>
      </c>
      <c r="H1097" s="8" t="str" cm="1">
        <f t="array" ref="H1097">_xlfn.IFS(Lektionen[[#This Row],[Bearbeitungsdauer_abgewichen]]&gt;0.6,"viel länger",Lektionen[[#This Row],[Bearbeitungsdauer_abgewichen]]&gt;0.3,"länger",Lektionen[[#This Row],[Bearbeitungsdauer_abgewichen]]&lt;-0.3,"kürzer",TRUE,"keine Abweichung")</f>
        <v>keine Abweichung</v>
      </c>
      <c r="I1097">
        <v>1</v>
      </c>
    </row>
    <row r="1098" spans="1:9" hidden="1" x14ac:dyDescent="0.3">
      <c r="A1098" s="13">
        <v>173</v>
      </c>
      <c r="B1098" s="4">
        <v>1</v>
      </c>
      <c r="C1098" t="s">
        <v>526</v>
      </c>
      <c r="D1098" t="s">
        <v>527</v>
      </c>
      <c r="E1098">
        <v>4</v>
      </c>
      <c r="F1098">
        <v>4</v>
      </c>
      <c r="G1098" s="8">
        <f>Lektionen[[#This Row],[Bearbeitungsdauer_real]]/Lektionen[[#This Row],[Bearbeitungsdauer_geschätzt]]-1</f>
        <v>0</v>
      </c>
      <c r="H1098" s="8" t="str" cm="1">
        <f t="array" ref="H1098">_xlfn.IFS(Lektionen[[#This Row],[Bearbeitungsdauer_abgewichen]]&gt;0.6,"viel länger",Lektionen[[#This Row],[Bearbeitungsdauer_abgewichen]]&gt;0.3,"länger",Lektionen[[#This Row],[Bearbeitungsdauer_abgewichen]]&lt;-0.3,"kürzer",TRUE,"keine Abweichung")</f>
        <v>keine Abweichung</v>
      </c>
      <c r="I1098">
        <v>1</v>
      </c>
    </row>
    <row r="1099" spans="1:9" hidden="1" x14ac:dyDescent="0.3">
      <c r="A1099" s="13">
        <v>173</v>
      </c>
      <c r="B1099" s="4">
        <v>2</v>
      </c>
      <c r="C1099" t="s">
        <v>528</v>
      </c>
      <c r="D1099" t="s">
        <v>529</v>
      </c>
      <c r="E1099">
        <v>15</v>
      </c>
      <c r="F1099">
        <v>16</v>
      </c>
      <c r="G1099" s="8">
        <f>Lektionen[[#This Row],[Bearbeitungsdauer_real]]/Lektionen[[#This Row],[Bearbeitungsdauer_geschätzt]]-1</f>
        <v>6.6666666666666652E-2</v>
      </c>
      <c r="H1099" s="8" t="str" cm="1">
        <f t="array" ref="H1099">_xlfn.IFS(Lektionen[[#This Row],[Bearbeitungsdauer_abgewichen]]&gt;0.6,"viel länger",Lektionen[[#This Row],[Bearbeitungsdauer_abgewichen]]&gt;0.3,"länger",Lektionen[[#This Row],[Bearbeitungsdauer_abgewichen]]&lt;-0.3,"kürzer",TRUE,"keine Abweichung")</f>
        <v>keine Abweichung</v>
      </c>
      <c r="I1099">
        <v>2</v>
      </c>
    </row>
    <row r="1100" spans="1:9" hidden="1" x14ac:dyDescent="0.3">
      <c r="A1100" s="13">
        <v>173</v>
      </c>
      <c r="B1100" s="4">
        <v>3</v>
      </c>
      <c r="C1100" t="s">
        <v>552</v>
      </c>
      <c r="D1100" t="s">
        <v>530</v>
      </c>
      <c r="E1100">
        <v>30</v>
      </c>
      <c r="F1100">
        <v>30</v>
      </c>
      <c r="G1100" s="8">
        <f>Lektionen[[#This Row],[Bearbeitungsdauer_real]]/Lektionen[[#This Row],[Bearbeitungsdauer_geschätzt]]-1</f>
        <v>0</v>
      </c>
      <c r="H1100" s="8" t="str" cm="1">
        <f t="array" ref="H1100">_xlfn.IFS(Lektionen[[#This Row],[Bearbeitungsdauer_abgewichen]]&gt;0.6,"viel länger",Lektionen[[#This Row],[Bearbeitungsdauer_abgewichen]]&gt;0.3,"länger",Lektionen[[#This Row],[Bearbeitungsdauer_abgewichen]]&lt;-0.3,"kürzer",TRUE,"keine Abweichung")</f>
        <v>keine Abweichung</v>
      </c>
      <c r="I1100">
        <v>3</v>
      </c>
    </row>
    <row r="1101" spans="1:9" hidden="1" x14ac:dyDescent="0.3">
      <c r="A1101" s="13">
        <v>173</v>
      </c>
      <c r="B1101" s="4">
        <v>4</v>
      </c>
      <c r="C1101" t="s">
        <v>531</v>
      </c>
      <c r="D1101" t="s">
        <v>530</v>
      </c>
      <c r="E1101">
        <v>30</v>
      </c>
      <c r="F1101">
        <v>32</v>
      </c>
      <c r="G1101" s="8">
        <f>Lektionen[[#This Row],[Bearbeitungsdauer_real]]/Lektionen[[#This Row],[Bearbeitungsdauer_geschätzt]]-1</f>
        <v>6.6666666666666652E-2</v>
      </c>
      <c r="H1101" s="8" t="str" cm="1">
        <f t="array" ref="H1101">_xlfn.IFS(Lektionen[[#This Row],[Bearbeitungsdauer_abgewichen]]&gt;0.6,"viel länger",Lektionen[[#This Row],[Bearbeitungsdauer_abgewichen]]&gt;0.3,"länger",Lektionen[[#This Row],[Bearbeitungsdauer_abgewichen]]&lt;-0.3,"kürzer",TRUE,"keine Abweichung")</f>
        <v>keine Abweichung</v>
      </c>
      <c r="I1101">
        <v>5</v>
      </c>
    </row>
    <row r="1102" spans="1:9" x14ac:dyDescent="0.3">
      <c r="A1102" s="13">
        <v>173</v>
      </c>
      <c r="B1102" s="4">
        <v>5</v>
      </c>
      <c r="C1102" t="s">
        <v>532</v>
      </c>
      <c r="D1102" t="s">
        <v>530</v>
      </c>
      <c r="E1102">
        <v>30</v>
      </c>
      <c r="F1102">
        <v>45</v>
      </c>
      <c r="G1102" s="8">
        <f>Lektionen[[#This Row],[Bearbeitungsdauer_real]]/Lektionen[[#This Row],[Bearbeitungsdauer_geschätzt]]-1</f>
        <v>0.5</v>
      </c>
      <c r="H1102" s="8" t="str" cm="1">
        <f t="array" ref="H1102">_xlfn.IFS(Lektionen[[#This Row],[Bearbeitungsdauer_abgewichen]]&gt;0.6,"viel länger",Lektionen[[#This Row],[Bearbeitungsdauer_abgewichen]]&gt;0.3,"länger",Lektionen[[#This Row],[Bearbeitungsdauer_abgewichen]]&lt;-0.3,"kürzer",TRUE,"keine Abweichung")</f>
        <v>länger</v>
      </c>
      <c r="I1102">
        <v>3</v>
      </c>
    </row>
    <row r="1103" spans="1:9" hidden="1" x14ac:dyDescent="0.3">
      <c r="A1103" s="13">
        <v>173</v>
      </c>
      <c r="B1103" s="4">
        <v>6</v>
      </c>
      <c r="C1103" t="s">
        <v>533</v>
      </c>
      <c r="D1103" t="s">
        <v>534</v>
      </c>
      <c r="E1103">
        <v>5</v>
      </c>
      <c r="F1103">
        <v>2</v>
      </c>
      <c r="G1103" s="8">
        <f>Lektionen[[#This Row],[Bearbeitungsdauer_real]]/Lektionen[[#This Row],[Bearbeitungsdauer_geschätzt]]-1</f>
        <v>-0.6</v>
      </c>
      <c r="H1103" s="8" t="str" cm="1">
        <f t="array" ref="H1103">_xlfn.IFS(Lektionen[[#This Row],[Bearbeitungsdauer_abgewichen]]&gt;0.6,"viel länger",Lektionen[[#This Row],[Bearbeitungsdauer_abgewichen]]&gt;0.3,"länger",Lektionen[[#This Row],[Bearbeitungsdauer_abgewichen]]&lt;-0.3,"kürzer",TRUE,"keine Abweichung")</f>
        <v>kürzer</v>
      </c>
      <c r="I1103">
        <v>2</v>
      </c>
    </row>
    <row r="1104" spans="1:9" hidden="1" x14ac:dyDescent="0.3">
      <c r="A1104" s="13">
        <v>173</v>
      </c>
      <c r="B1104" s="4">
        <v>7</v>
      </c>
      <c r="C1104" t="s">
        <v>535</v>
      </c>
      <c r="D1104" t="s">
        <v>536</v>
      </c>
      <c r="E1104">
        <v>10</v>
      </c>
      <c r="F1104">
        <v>9</v>
      </c>
      <c r="G1104" s="8">
        <f>Lektionen[[#This Row],[Bearbeitungsdauer_real]]/Lektionen[[#This Row],[Bearbeitungsdauer_geschätzt]]-1</f>
        <v>-9.9999999999999978E-2</v>
      </c>
      <c r="H1104" s="8" t="str" cm="1">
        <f t="array" ref="H1104">_xlfn.IFS(Lektionen[[#This Row],[Bearbeitungsdauer_abgewichen]]&gt;0.6,"viel länger",Lektionen[[#This Row],[Bearbeitungsdauer_abgewichen]]&gt;0.3,"länger",Lektionen[[#This Row],[Bearbeitungsdauer_abgewichen]]&lt;-0.3,"kürzer",TRUE,"keine Abweichung")</f>
        <v>keine Abweichung</v>
      </c>
      <c r="I1104">
        <v>3</v>
      </c>
    </row>
    <row r="1105" spans="1:9" hidden="1" x14ac:dyDescent="0.3">
      <c r="A1105" s="13">
        <v>173</v>
      </c>
      <c r="B1105" s="4">
        <v>8</v>
      </c>
      <c r="C1105" t="s">
        <v>537</v>
      </c>
      <c r="D1105" t="s">
        <v>527</v>
      </c>
      <c r="E1105">
        <v>5</v>
      </c>
      <c r="F1105">
        <v>5</v>
      </c>
      <c r="G1105" s="8">
        <f>Lektionen[[#This Row],[Bearbeitungsdauer_real]]/Lektionen[[#This Row],[Bearbeitungsdauer_geschätzt]]-1</f>
        <v>0</v>
      </c>
      <c r="H1105" s="8" t="str" cm="1">
        <f t="array" ref="H1105">_xlfn.IFS(Lektionen[[#This Row],[Bearbeitungsdauer_abgewichen]]&gt;0.6,"viel länger",Lektionen[[#This Row],[Bearbeitungsdauer_abgewichen]]&gt;0.3,"länger",Lektionen[[#This Row],[Bearbeitungsdauer_abgewichen]]&lt;-0.3,"kürzer",TRUE,"keine Abweichung")</f>
        <v>keine Abweichung</v>
      </c>
      <c r="I1105">
        <v>1</v>
      </c>
    </row>
    <row r="1106" spans="1:9" hidden="1" x14ac:dyDescent="0.3">
      <c r="A1106" s="13">
        <v>174</v>
      </c>
      <c r="B1106" s="4">
        <v>1</v>
      </c>
      <c r="C1106" t="s">
        <v>526</v>
      </c>
      <c r="D1106" t="s">
        <v>527</v>
      </c>
      <c r="E1106">
        <v>4</v>
      </c>
      <c r="F1106">
        <v>4</v>
      </c>
      <c r="G1106" s="8">
        <f>Lektionen[[#This Row],[Bearbeitungsdauer_real]]/Lektionen[[#This Row],[Bearbeitungsdauer_geschätzt]]-1</f>
        <v>0</v>
      </c>
      <c r="H1106" s="8" t="str" cm="1">
        <f t="array" ref="H1106">_xlfn.IFS(Lektionen[[#This Row],[Bearbeitungsdauer_abgewichen]]&gt;0.6,"viel länger",Lektionen[[#This Row],[Bearbeitungsdauer_abgewichen]]&gt;0.3,"länger",Lektionen[[#This Row],[Bearbeitungsdauer_abgewichen]]&lt;-0.3,"kürzer",TRUE,"keine Abweichung")</f>
        <v>keine Abweichung</v>
      </c>
      <c r="I1106">
        <v>1</v>
      </c>
    </row>
    <row r="1107" spans="1:9" hidden="1" x14ac:dyDescent="0.3">
      <c r="A1107" s="13">
        <v>174</v>
      </c>
      <c r="B1107" s="4">
        <v>2</v>
      </c>
      <c r="C1107" t="s">
        <v>528</v>
      </c>
      <c r="D1107" t="s">
        <v>529</v>
      </c>
      <c r="E1107">
        <v>15</v>
      </c>
      <c r="F1107">
        <v>20</v>
      </c>
      <c r="G1107" s="8">
        <f>Lektionen[[#This Row],[Bearbeitungsdauer_real]]/Lektionen[[#This Row],[Bearbeitungsdauer_geschätzt]]-1</f>
        <v>0.33333333333333326</v>
      </c>
      <c r="H1107" s="8" t="str" cm="1">
        <f t="array" ref="H1107">_xlfn.IFS(Lektionen[[#This Row],[Bearbeitungsdauer_abgewichen]]&gt;0.6,"viel länger",Lektionen[[#This Row],[Bearbeitungsdauer_abgewichen]]&gt;0.3,"länger",Lektionen[[#This Row],[Bearbeitungsdauer_abgewichen]]&lt;-0.3,"kürzer",TRUE,"keine Abweichung")</f>
        <v>länger</v>
      </c>
      <c r="I1107">
        <v>1</v>
      </c>
    </row>
    <row r="1108" spans="1:9" hidden="1" x14ac:dyDescent="0.3">
      <c r="A1108" s="13">
        <v>174</v>
      </c>
      <c r="B1108" s="4">
        <v>3</v>
      </c>
      <c r="C1108" t="s">
        <v>552</v>
      </c>
      <c r="D1108" t="s">
        <v>530</v>
      </c>
      <c r="E1108">
        <v>30</v>
      </c>
      <c r="F1108">
        <v>29</v>
      </c>
      <c r="G1108" s="8">
        <f>Lektionen[[#This Row],[Bearbeitungsdauer_real]]/Lektionen[[#This Row],[Bearbeitungsdauer_geschätzt]]-1</f>
        <v>-3.3333333333333326E-2</v>
      </c>
      <c r="H1108" s="8" t="str" cm="1">
        <f t="array" ref="H1108">_xlfn.IFS(Lektionen[[#This Row],[Bearbeitungsdauer_abgewichen]]&gt;0.6,"viel länger",Lektionen[[#This Row],[Bearbeitungsdauer_abgewichen]]&gt;0.3,"länger",Lektionen[[#This Row],[Bearbeitungsdauer_abgewichen]]&lt;-0.3,"kürzer",TRUE,"keine Abweichung")</f>
        <v>keine Abweichung</v>
      </c>
      <c r="I1108">
        <v>3</v>
      </c>
    </row>
    <row r="1109" spans="1:9" hidden="1" x14ac:dyDescent="0.3">
      <c r="A1109" s="13">
        <v>174</v>
      </c>
      <c r="B1109" s="4">
        <v>4</v>
      </c>
      <c r="C1109" t="s">
        <v>531</v>
      </c>
      <c r="D1109" t="s">
        <v>530</v>
      </c>
      <c r="E1109">
        <v>30</v>
      </c>
      <c r="F1109">
        <v>28</v>
      </c>
      <c r="G1109" s="8">
        <f>Lektionen[[#This Row],[Bearbeitungsdauer_real]]/Lektionen[[#This Row],[Bearbeitungsdauer_geschätzt]]-1</f>
        <v>-6.6666666666666652E-2</v>
      </c>
      <c r="H1109" s="8" t="str" cm="1">
        <f t="array" ref="H1109">_xlfn.IFS(Lektionen[[#This Row],[Bearbeitungsdauer_abgewichen]]&gt;0.6,"viel länger",Lektionen[[#This Row],[Bearbeitungsdauer_abgewichen]]&gt;0.3,"länger",Lektionen[[#This Row],[Bearbeitungsdauer_abgewichen]]&lt;-0.3,"kürzer",TRUE,"keine Abweichung")</f>
        <v>keine Abweichung</v>
      </c>
      <c r="I1109">
        <v>3</v>
      </c>
    </row>
    <row r="1110" spans="1:9" x14ac:dyDescent="0.3">
      <c r="A1110" s="13">
        <v>174</v>
      </c>
      <c r="B1110" s="4">
        <v>5</v>
      </c>
      <c r="C1110" t="s">
        <v>532</v>
      </c>
      <c r="D1110" t="s">
        <v>530</v>
      </c>
      <c r="E1110">
        <v>30</v>
      </c>
      <c r="F1110">
        <v>53</v>
      </c>
      <c r="G1110" s="8">
        <f>Lektionen[[#This Row],[Bearbeitungsdauer_real]]/Lektionen[[#This Row],[Bearbeitungsdauer_geschätzt]]-1</f>
        <v>0.76666666666666661</v>
      </c>
      <c r="H1110" s="8" t="str" cm="1">
        <f t="array" ref="H1110">_xlfn.IFS(Lektionen[[#This Row],[Bearbeitungsdauer_abgewichen]]&gt;0.6,"viel länger",Lektionen[[#This Row],[Bearbeitungsdauer_abgewichen]]&gt;0.3,"länger",Lektionen[[#This Row],[Bearbeitungsdauer_abgewichen]]&lt;-0.3,"kürzer",TRUE,"keine Abweichung")</f>
        <v>viel länger</v>
      </c>
      <c r="I1110">
        <v>4</v>
      </c>
    </row>
    <row r="1111" spans="1:9" hidden="1" x14ac:dyDescent="0.3">
      <c r="A1111" s="13">
        <v>174</v>
      </c>
      <c r="B1111" s="4">
        <v>6</v>
      </c>
      <c r="C1111" t="s">
        <v>533</v>
      </c>
      <c r="D1111" t="s">
        <v>534</v>
      </c>
      <c r="E1111">
        <v>5</v>
      </c>
      <c r="F1111">
        <v>1</v>
      </c>
      <c r="G1111" s="8">
        <f>Lektionen[[#This Row],[Bearbeitungsdauer_real]]/Lektionen[[#This Row],[Bearbeitungsdauer_geschätzt]]-1</f>
        <v>-0.8</v>
      </c>
      <c r="H1111" s="8" t="str" cm="1">
        <f t="array" ref="H1111">_xlfn.IFS(Lektionen[[#This Row],[Bearbeitungsdauer_abgewichen]]&gt;0.6,"viel länger",Lektionen[[#This Row],[Bearbeitungsdauer_abgewichen]]&gt;0.3,"länger",Lektionen[[#This Row],[Bearbeitungsdauer_abgewichen]]&lt;-0.3,"kürzer",TRUE,"keine Abweichung")</f>
        <v>kürzer</v>
      </c>
      <c r="I1111">
        <v>2</v>
      </c>
    </row>
    <row r="1112" spans="1:9" hidden="1" x14ac:dyDescent="0.3">
      <c r="A1112" s="13">
        <v>174</v>
      </c>
      <c r="B1112" s="4">
        <v>7</v>
      </c>
      <c r="C1112" t="s">
        <v>535</v>
      </c>
      <c r="D1112" t="s">
        <v>536</v>
      </c>
      <c r="E1112">
        <v>10</v>
      </c>
      <c r="F1112">
        <v>11</v>
      </c>
      <c r="G1112" s="8">
        <f>Lektionen[[#This Row],[Bearbeitungsdauer_real]]/Lektionen[[#This Row],[Bearbeitungsdauer_geschätzt]]-1</f>
        <v>0.10000000000000009</v>
      </c>
      <c r="H1112" s="8" t="str" cm="1">
        <f t="array" ref="H1112">_xlfn.IFS(Lektionen[[#This Row],[Bearbeitungsdauer_abgewichen]]&gt;0.6,"viel länger",Lektionen[[#This Row],[Bearbeitungsdauer_abgewichen]]&gt;0.3,"länger",Lektionen[[#This Row],[Bearbeitungsdauer_abgewichen]]&lt;-0.3,"kürzer",TRUE,"keine Abweichung")</f>
        <v>keine Abweichung</v>
      </c>
      <c r="I1112">
        <v>3</v>
      </c>
    </row>
    <row r="1113" spans="1:9" hidden="1" x14ac:dyDescent="0.3">
      <c r="A1113" s="13">
        <v>174</v>
      </c>
      <c r="B1113" s="4">
        <v>8</v>
      </c>
      <c r="C1113" t="s">
        <v>537</v>
      </c>
      <c r="D1113" t="s">
        <v>527</v>
      </c>
      <c r="E1113">
        <v>5</v>
      </c>
      <c r="F1113">
        <v>5</v>
      </c>
      <c r="G1113" s="8">
        <f>Lektionen[[#This Row],[Bearbeitungsdauer_real]]/Lektionen[[#This Row],[Bearbeitungsdauer_geschätzt]]-1</f>
        <v>0</v>
      </c>
      <c r="H1113" s="8" t="str" cm="1">
        <f t="array" ref="H1113">_xlfn.IFS(Lektionen[[#This Row],[Bearbeitungsdauer_abgewichen]]&gt;0.6,"viel länger",Lektionen[[#This Row],[Bearbeitungsdauer_abgewichen]]&gt;0.3,"länger",Lektionen[[#This Row],[Bearbeitungsdauer_abgewichen]]&lt;-0.3,"kürzer",TRUE,"keine Abweichung")</f>
        <v>keine Abweichung</v>
      </c>
      <c r="I1113">
        <v>1</v>
      </c>
    </row>
    <row r="1114" spans="1:9" hidden="1" x14ac:dyDescent="0.3">
      <c r="A1114" s="13">
        <v>175</v>
      </c>
      <c r="B1114" s="4">
        <v>1</v>
      </c>
      <c r="C1114" t="s">
        <v>526</v>
      </c>
      <c r="D1114" t="s">
        <v>527</v>
      </c>
      <c r="E1114">
        <v>4</v>
      </c>
      <c r="F1114">
        <v>4</v>
      </c>
      <c r="G1114" s="8">
        <f>Lektionen[[#This Row],[Bearbeitungsdauer_real]]/Lektionen[[#This Row],[Bearbeitungsdauer_geschätzt]]-1</f>
        <v>0</v>
      </c>
      <c r="H1114" s="8" t="str" cm="1">
        <f t="array" ref="H1114">_xlfn.IFS(Lektionen[[#This Row],[Bearbeitungsdauer_abgewichen]]&gt;0.6,"viel länger",Lektionen[[#This Row],[Bearbeitungsdauer_abgewichen]]&gt;0.3,"länger",Lektionen[[#This Row],[Bearbeitungsdauer_abgewichen]]&lt;-0.3,"kürzer",TRUE,"keine Abweichung")</f>
        <v>keine Abweichung</v>
      </c>
      <c r="I1114">
        <v>1</v>
      </c>
    </row>
    <row r="1115" spans="1:9" hidden="1" x14ac:dyDescent="0.3">
      <c r="A1115" s="13">
        <v>175</v>
      </c>
      <c r="B1115" s="4">
        <v>2</v>
      </c>
      <c r="C1115" t="s">
        <v>528</v>
      </c>
      <c r="D1115" t="s">
        <v>529</v>
      </c>
      <c r="E1115">
        <v>15</v>
      </c>
      <c r="F1115">
        <v>17</v>
      </c>
      <c r="G1115" s="8">
        <f>Lektionen[[#This Row],[Bearbeitungsdauer_real]]/Lektionen[[#This Row],[Bearbeitungsdauer_geschätzt]]-1</f>
        <v>0.1333333333333333</v>
      </c>
      <c r="H1115" s="8" t="str" cm="1">
        <f t="array" ref="H1115">_xlfn.IFS(Lektionen[[#This Row],[Bearbeitungsdauer_abgewichen]]&gt;0.6,"viel länger",Lektionen[[#This Row],[Bearbeitungsdauer_abgewichen]]&gt;0.3,"länger",Lektionen[[#This Row],[Bearbeitungsdauer_abgewichen]]&lt;-0.3,"kürzer",TRUE,"keine Abweichung")</f>
        <v>keine Abweichung</v>
      </c>
      <c r="I1115">
        <v>2</v>
      </c>
    </row>
    <row r="1116" spans="1:9" hidden="1" x14ac:dyDescent="0.3">
      <c r="A1116" s="13">
        <v>175</v>
      </c>
      <c r="B1116" s="4">
        <v>3</v>
      </c>
      <c r="C1116" t="s">
        <v>552</v>
      </c>
      <c r="D1116" t="s">
        <v>530</v>
      </c>
      <c r="E1116">
        <v>30</v>
      </c>
      <c r="F1116">
        <v>28</v>
      </c>
      <c r="G1116" s="8">
        <f>Lektionen[[#This Row],[Bearbeitungsdauer_real]]/Lektionen[[#This Row],[Bearbeitungsdauer_geschätzt]]-1</f>
        <v>-6.6666666666666652E-2</v>
      </c>
      <c r="H1116" s="8" t="str" cm="1">
        <f t="array" ref="H1116">_xlfn.IFS(Lektionen[[#This Row],[Bearbeitungsdauer_abgewichen]]&gt;0.6,"viel länger",Lektionen[[#This Row],[Bearbeitungsdauer_abgewichen]]&gt;0.3,"länger",Lektionen[[#This Row],[Bearbeitungsdauer_abgewichen]]&lt;-0.3,"kürzer",TRUE,"keine Abweichung")</f>
        <v>keine Abweichung</v>
      </c>
      <c r="I1116">
        <v>3</v>
      </c>
    </row>
    <row r="1117" spans="1:9" hidden="1" x14ac:dyDescent="0.3">
      <c r="A1117" s="13">
        <v>175</v>
      </c>
      <c r="B1117" s="4">
        <v>4</v>
      </c>
      <c r="C1117" t="s">
        <v>531</v>
      </c>
      <c r="D1117" t="s">
        <v>530</v>
      </c>
      <c r="E1117">
        <v>30</v>
      </c>
      <c r="F1117">
        <v>15</v>
      </c>
      <c r="G1117" s="8">
        <f>Lektionen[[#This Row],[Bearbeitungsdauer_real]]/Lektionen[[#This Row],[Bearbeitungsdauer_geschätzt]]-1</f>
        <v>-0.5</v>
      </c>
      <c r="H1117" s="8" t="str" cm="1">
        <f t="array" ref="H1117">_xlfn.IFS(Lektionen[[#This Row],[Bearbeitungsdauer_abgewichen]]&gt;0.6,"viel länger",Lektionen[[#This Row],[Bearbeitungsdauer_abgewichen]]&gt;0.3,"länger",Lektionen[[#This Row],[Bearbeitungsdauer_abgewichen]]&lt;-0.3,"kürzer",TRUE,"keine Abweichung")</f>
        <v>kürzer</v>
      </c>
      <c r="I1117">
        <v>3</v>
      </c>
    </row>
    <row r="1118" spans="1:9" x14ac:dyDescent="0.3">
      <c r="A1118" s="13">
        <v>175</v>
      </c>
      <c r="B1118" s="4">
        <v>5</v>
      </c>
      <c r="C1118" t="s">
        <v>532</v>
      </c>
      <c r="D1118" t="s">
        <v>530</v>
      </c>
      <c r="E1118">
        <v>30</v>
      </c>
      <c r="F1118">
        <v>53</v>
      </c>
      <c r="G1118" s="8">
        <f>Lektionen[[#This Row],[Bearbeitungsdauer_real]]/Lektionen[[#This Row],[Bearbeitungsdauer_geschätzt]]-1</f>
        <v>0.76666666666666661</v>
      </c>
      <c r="H1118" s="8" t="str" cm="1">
        <f t="array" ref="H1118">_xlfn.IFS(Lektionen[[#This Row],[Bearbeitungsdauer_abgewichen]]&gt;0.6,"viel länger",Lektionen[[#This Row],[Bearbeitungsdauer_abgewichen]]&gt;0.3,"länger",Lektionen[[#This Row],[Bearbeitungsdauer_abgewichen]]&lt;-0.3,"kürzer",TRUE,"keine Abweichung")</f>
        <v>viel länger</v>
      </c>
      <c r="I1118">
        <v>4</v>
      </c>
    </row>
    <row r="1119" spans="1:9" hidden="1" x14ac:dyDescent="0.3">
      <c r="A1119" s="13">
        <v>175</v>
      </c>
      <c r="B1119" s="4">
        <v>6</v>
      </c>
      <c r="C1119" t="s">
        <v>533</v>
      </c>
      <c r="D1119" t="s">
        <v>534</v>
      </c>
      <c r="E1119">
        <v>5</v>
      </c>
      <c r="F1119">
        <v>1</v>
      </c>
      <c r="G1119" s="8">
        <f>Lektionen[[#This Row],[Bearbeitungsdauer_real]]/Lektionen[[#This Row],[Bearbeitungsdauer_geschätzt]]-1</f>
        <v>-0.8</v>
      </c>
      <c r="H1119" s="8" t="str" cm="1">
        <f t="array" ref="H1119">_xlfn.IFS(Lektionen[[#This Row],[Bearbeitungsdauer_abgewichen]]&gt;0.6,"viel länger",Lektionen[[#This Row],[Bearbeitungsdauer_abgewichen]]&gt;0.3,"länger",Lektionen[[#This Row],[Bearbeitungsdauer_abgewichen]]&lt;-0.3,"kürzer",TRUE,"keine Abweichung")</f>
        <v>kürzer</v>
      </c>
      <c r="I1119">
        <v>2</v>
      </c>
    </row>
    <row r="1120" spans="1:9" hidden="1" x14ac:dyDescent="0.3">
      <c r="A1120" s="13">
        <v>175</v>
      </c>
      <c r="B1120" s="4">
        <v>7</v>
      </c>
      <c r="C1120" t="s">
        <v>535</v>
      </c>
      <c r="D1120" t="s">
        <v>536</v>
      </c>
      <c r="E1120">
        <v>10</v>
      </c>
      <c r="F1120">
        <v>8</v>
      </c>
      <c r="G1120" s="8">
        <f>Lektionen[[#This Row],[Bearbeitungsdauer_real]]/Lektionen[[#This Row],[Bearbeitungsdauer_geschätzt]]-1</f>
        <v>-0.19999999999999996</v>
      </c>
      <c r="H1120" s="8" t="str" cm="1">
        <f t="array" ref="H1120">_xlfn.IFS(Lektionen[[#This Row],[Bearbeitungsdauer_abgewichen]]&gt;0.6,"viel länger",Lektionen[[#This Row],[Bearbeitungsdauer_abgewichen]]&gt;0.3,"länger",Lektionen[[#This Row],[Bearbeitungsdauer_abgewichen]]&lt;-0.3,"kürzer",TRUE,"keine Abweichung")</f>
        <v>keine Abweichung</v>
      </c>
      <c r="I1120">
        <v>3</v>
      </c>
    </row>
    <row r="1121" spans="1:9" hidden="1" x14ac:dyDescent="0.3">
      <c r="A1121" s="13">
        <v>175</v>
      </c>
      <c r="B1121" s="4">
        <v>8</v>
      </c>
      <c r="C1121" t="s">
        <v>537</v>
      </c>
      <c r="D1121" t="s">
        <v>527</v>
      </c>
      <c r="E1121">
        <v>5</v>
      </c>
      <c r="F1121">
        <v>5</v>
      </c>
      <c r="G1121" s="8">
        <f>Lektionen[[#This Row],[Bearbeitungsdauer_real]]/Lektionen[[#This Row],[Bearbeitungsdauer_geschätzt]]-1</f>
        <v>0</v>
      </c>
      <c r="H1121" s="8" t="str" cm="1">
        <f t="array" ref="H1121">_xlfn.IFS(Lektionen[[#This Row],[Bearbeitungsdauer_abgewichen]]&gt;0.6,"viel länger",Lektionen[[#This Row],[Bearbeitungsdauer_abgewichen]]&gt;0.3,"länger",Lektionen[[#This Row],[Bearbeitungsdauer_abgewichen]]&lt;-0.3,"kürzer",TRUE,"keine Abweichung")</f>
        <v>keine Abweichung</v>
      </c>
      <c r="I1121">
        <v>1</v>
      </c>
    </row>
    <row r="1122" spans="1:9" hidden="1" x14ac:dyDescent="0.3">
      <c r="A1122" s="13">
        <v>176</v>
      </c>
      <c r="B1122" s="4">
        <v>1</v>
      </c>
      <c r="C1122" t="s">
        <v>526</v>
      </c>
      <c r="D1122" t="s">
        <v>527</v>
      </c>
      <c r="E1122">
        <v>4</v>
      </c>
      <c r="F1122">
        <v>6</v>
      </c>
      <c r="G1122" s="8">
        <f>Lektionen[[#This Row],[Bearbeitungsdauer_real]]/Lektionen[[#This Row],[Bearbeitungsdauer_geschätzt]]-1</f>
        <v>0.5</v>
      </c>
      <c r="H1122" s="8" t="str" cm="1">
        <f t="array" ref="H1122">_xlfn.IFS(Lektionen[[#This Row],[Bearbeitungsdauer_abgewichen]]&gt;0.6,"viel länger",Lektionen[[#This Row],[Bearbeitungsdauer_abgewichen]]&gt;0.3,"länger",Lektionen[[#This Row],[Bearbeitungsdauer_abgewichen]]&lt;-0.3,"kürzer",TRUE,"keine Abweichung")</f>
        <v>länger</v>
      </c>
      <c r="I1122">
        <v>2</v>
      </c>
    </row>
    <row r="1123" spans="1:9" hidden="1" x14ac:dyDescent="0.3">
      <c r="A1123" s="13">
        <v>176</v>
      </c>
      <c r="B1123" s="4">
        <v>2</v>
      </c>
      <c r="C1123" t="s">
        <v>528</v>
      </c>
      <c r="D1123" t="s">
        <v>529</v>
      </c>
      <c r="E1123">
        <v>15</v>
      </c>
      <c r="F1123">
        <v>17</v>
      </c>
      <c r="G1123" s="8">
        <f>Lektionen[[#This Row],[Bearbeitungsdauer_real]]/Lektionen[[#This Row],[Bearbeitungsdauer_geschätzt]]-1</f>
        <v>0.1333333333333333</v>
      </c>
      <c r="H1123" s="8" t="str" cm="1">
        <f t="array" ref="H1123">_xlfn.IFS(Lektionen[[#This Row],[Bearbeitungsdauer_abgewichen]]&gt;0.6,"viel länger",Lektionen[[#This Row],[Bearbeitungsdauer_abgewichen]]&gt;0.3,"länger",Lektionen[[#This Row],[Bearbeitungsdauer_abgewichen]]&lt;-0.3,"kürzer",TRUE,"keine Abweichung")</f>
        <v>keine Abweichung</v>
      </c>
      <c r="I1123">
        <v>1</v>
      </c>
    </row>
    <row r="1124" spans="1:9" hidden="1" x14ac:dyDescent="0.3">
      <c r="A1124" s="13">
        <v>176</v>
      </c>
      <c r="B1124" s="4">
        <v>3</v>
      </c>
      <c r="C1124" t="s">
        <v>552</v>
      </c>
      <c r="D1124" t="s">
        <v>530</v>
      </c>
      <c r="E1124">
        <v>30</v>
      </c>
      <c r="F1124">
        <v>29</v>
      </c>
      <c r="G1124" s="8">
        <f>Lektionen[[#This Row],[Bearbeitungsdauer_real]]/Lektionen[[#This Row],[Bearbeitungsdauer_geschätzt]]-1</f>
        <v>-3.3333333333333326E-2</v>
      </c>
      <c r="H1124" s="8" t="str" cm="1">
        <f t="array" ref="H1124">_xlfn.IFS(Lektionen[[#This Row],[Bearbeitungsdauer_abgewichen]]&gt;0.6,"viel länger",Lektionen[[#This Row],[Bearbeitungsdauer_abgewichen]]&gt;0.3,"länger",Lektionen[[#This Row],[Bearbeitungsdauer_abgewichen]]&lt;-0.3,"kürzer",TRUE,"keine Abweichung")</f>
        <v>keine Abweichung</v>
      </c>
      <c r="I1124">
        <v>3</v>
      </c>
    </row>
    <row r="1125" spans="1:9" hidden="1" x14ac:dyDescent="0.3">
      <c r="A1125" s="13">
        <v>176</v>
      </c>
      <c r="B1125" s="4">
        <v>4</v>
      </c>
      <c r="C1125" t="s">
        <v>531</v>
      </c>
      <c r="D1125" t="s">
        <v>530</v>
      </c>
      <c r="E1125">
        <v>30</v>
      </c>
      <c r="F1125">
        <v>26</v>
      </c>
      <c r="G1125" s="8">
        <f>Lektionen[[#This Row],[Bearbeitungsdauer_real]]/Lektionen[[#This Row],[Bearbeitungsdauer_geschätzt]]-1</f>
        <v>-0.1333333333333333</v>
      </c>
      <c r="H1125" s="8" t="str" cm="1">
        <f t="array" ref="H1125">_xlfn.IFS(Lektionen[[#This Row],[Bearbeitungsdauer_abgewichen]]&gt;0.6,"viel länger",Lektionen[[#This Row],[Bearbeitungsdauer_abgewichen]]&gt;0.3,"länger",Lektionen[[#This Row],[Bearbeitungsdauer_abgewichen]]&lt;-0.3,"kürzer",TRUE,"keine Abweichung")</f>
        <v>keine Abweichung</v>
      </c>
      <c r="I1125">
        <v>3</v>
      </c>
    </row>
    <row r="1126" spans="1:9" x14ac:dyDescent="0.3">
      <c r="A1126" s="13">
        <v>176</v>
      </c>
      <c r="B1126" s="4">
        <v>5</v>
      </c>
      <c r="C1126" t="s">
        <v>532</v>
      </c>
      <c r="D1126" t="s">
        <v>530</v>
      </c>
      <c r="E1126">
        <v>30</v>
      </c>
      <c r="F1126">
        <v>46</v>
      </c>
      <c r="G1126" s="8">
        <f>Lektionen[[#This Row],[Bearbeitungsdauer_real]]/Lektionen[[#This Row],[Bearbeitungsdauer_geschätzt]]-1</f>
        <v>0.53333333333333344</v>
      </c>
      <c r="H1126" s="8" t="str" cm="1">
        <f t="array" ref="H1126">_xlfn.IFS(Lektionen[[#This Row],[Bearbeitungsdauer_abgewichen]]&gt;0.6,"viel länger",Lektionen[[#This Row],[Bearbeitungsdauer_abgewichen]]&gt;0.3,"länger",Lektionen[[#This Row],[Bearbeitungsdauer_abgewichen]]&lt;-0.3,"kürzer",TRUE,"keine Abweichung")</f>
        <v>länger</v>
      </c>
      <c r="I1126">
        <v>4</v>
      </c>
    </row>
    <row r="1127" spans="1:9" hidden="1" x14ac:dyDescent="0.3">
      <c r="A1127" s="13">
        <v>176</v>
      </c>
      <c r="B1127" s="4">
        <v>6</v>
      </c>
      <c r="C1127" t="s">
        <v>533</v>
      </c>
      <c r="D1127" t="s">
        <v>534</v>
      </c>
      <c r="E1127">
        <v>5</v>
      </c>
      <c r="F1127">
        <v>1</v>
      </c>
      <c r="G1127" s="8">
        <f>Lektionen[[#This Row],[Bearbeitungsdauer_real]]/Lektionen[[#This Row],[Bearbeitungsdauer_geschätzt]]-1</f>
        <v>-0.8</v>
      </c>
      <c r="H1127" s="8" t="str" cm="1">
        <f t="array" ref="H1127">_xlfn.IFS(Lektionen[[#This Row],[Bearbeitungsdauer_abgewichen]]&gt;0.6,"viel länger",Lektionen[[#This Row],[Bearbeitungsdauer_abgewichen]]&gt;0.3,"länger",Lektionen[[#This Row],[Bearbeitungsdauer_abgewichen]]&lt;-0.3,"kürzer",TRUE,"keine Abweichung")</f>
        <v>kürzer</v>
      </c>
      <c r="I1127">
        <v>2</v>
      </c>
    </row>
    <row r="1128" spans="1:9" hidden="1" x14ac:dyDescent="0.3">
      <c r="A1128" s="13">
        <v>176</v>
      </c>
      <c r="B1128" s="4">
        <v>7</v>
      </c>
      <c r="C1128" t="s">
        <v>535</v>
      </c>
      <c r="D1128" t="s">
        <v>536</v>
      </c>
      <c r="E1128">
        <v>10</v>
      </c>
      <c r="F1128">
        <v>10</v>
      </c>
      <c r="G1128" s="8">
        <f>Lektionen[[#This Row],[Bearbeitungsdauer_real]]/Lektionen[[#This Row],[Bearbeitungsdauer_geschätzt]]-1</f>
        <v>0</v>
      </c>
      <c r="H1128" s="8" t="str" cm="1">
        <f t="array" ref="H1128">_xlfn.IFS(Lektionen[[#This Row],[Bearbeitungsdauer_abgewichen]]&gt;0.6,"viel länger",Lektionen[[#This Row],[Bearbeitungsdauer_abgewichen]]&gt;0.3,"länger",Lektionen[[#This Row],[Bearbeitungsdauer_abgewichen]]&lt;-0.3,"kürzer",TRUE,"keine Abweichung")</f>
        <v>keine Abweichung</v>
      </c>
      <c r="I1128">
        <v>3</v>
      </c>
    </row>
    <row r="1129" spans="1:9" hidden="1" x14ac:dyDescent="0.3">
      <c r="A1129" s="13">
        <v>176</v>
      </c>
      <c r="B1129" s="4">
        <v>8</v>
      </c>
      <c r="C1129" t="s">
        <v>537</v>
      </c>
      <c r="D1129" t="s">
        <v>527</v>
      </c>
      <c r="E1129">
        <v>5</v>
      </c>
      <c r="F1129">
        <v>5</v>
      </c>
      <c r="G1129" s="8">
        <f>Lektionen[[#This Row],[Bearbeitungsdauer_real]]/Lektionen[[#This Row],[Bearbeitungsdauer_geschätzt]]-1</f>
        <v>0</v>
      </c>
      <c r="H1129" s="8" t="str" cm="1">
        <f t="array" ref="H1129">_xlfn.IFS(Lektionen[[#This Row],[Bearbeitungsdauer_abgewichen]]&gt;0.6,"viel länger",Lektionen[[#This Row],[Bearbeitungsdauer_abgewichen]]&gt;0.3,"länger",Lektionen[[#This Row],[Bearbeitungsdauer_abgewichen]]&lt;-0.3,"kürzer",TRUE,"keine Abweichung")</f>
        <v>keine Abweichung</v>
      </c>
      <c r="I1129">
        <v>1</v>
      </c>
    </row>
    <row r="1130" spans="1:9" hidden="1" x14ac:dyDescent="0.3">
      <c r="A1130" s="13">
        <v>177</v>
      </c>
      <c r="B1130" s="4">
        <v>1</v>
      </c>
      <c r="C1130" t="s">
        <v>526</v>
      </c>
      <c r="D1130" t="s">
        <v>527</v>
      </c>
      <c r="E1130">
        <v>4</v>
      </c>
      <c r="F1130">
        <v>4</v>
      </c>
      <c r="G1130" s="8">
        <f>Lektionen[[#This Row],[Bearbeitungsdauer_real]]/Lektionen[[#This Row],[Bearbeitungsdauer_geschätzt]]-1</f>
        <v>0</v>
      </c>
      <c r="H1130" s="8" t="str" cm="1">
        <f t="array" ref="H1130">_xlfn.IFS(Lektionen[[#This Row],[Bearbeitungsdauer_abgewichen]]&gt;0.6,"viel länger",Lektionen[[#This Row],[Bearbeitungsdauer_abgewichen]]&gt;0.3,"länger",Lektionen[[#This Row],[Bearbeitungsdauer_abgewichen]]&lt;-0.3,"kürzer",TRUE,"keine Abweichung")</f>
        <v>keine Abweichung</v>
      </c>
      <c r="I1130">
        <v>1</v>
      </c>
    </row>
    <row r="1131" spans="1:9" hidden="1" x14ac:dyDescent="0.3">
      <c r="A1131" s="13">
        <v>177</v>
      </c>
      <c r="B1131" s="4">
        <v>2</v>
      </c>
      <c r="C1131" t="s">
        <v>528</v>
      </c>
      <c r="D1131" t="s">
        <v>529</v>
      </c>
      <c r="E1131">
        <v>15</v>
      </c>
      <c r="F1131">
        <v>19</v>
      </c>
      <c r="G1131" s="8">
        <f>Lektionen[[#This Row],[Bearbeitungsdauer_real]]/Lektionen[[#This Row],[Bearbeitungsdauer_geschätzt]]-1</f>
        <v>0.26666666666666661</v>
      </c>
      <c r="H1131" s="8" t="str" cm="1">
        <f t="array" ref="H1131">_xlfn.IFS(Lektionen[[#This Row],[Bearbeitungsdauer_abgewichen]]&gt;0.6,"viel länger",Lektionen[[#This Row],[Bearbeitungsdauer_abgewichen]]&gt;0.3,"länger",Lektionen[[#This Row],[Bearbeitungsdauer_abgewichen]]&lt;-0.3,"kürzer",TRUE,"keine Abweichung")</f>
        <v>keine Abweichung</v>
      </c>
      <c r="I1131">
        <v>2</v>
      </c>
    </row>
    <row r="1132" spans="1:9" hidden="1" x14ac:dyDescent="0.3">
      <c r="A1132" s="13">
        <v>177</v>
      </c>
      <c r="B1132" s="4">
        <v>3</v>
      </c>
      <c r="C1132" t="s">
        <v>552</v>
      </c>
      <c r="D1132" t="s">
        <v>530</v>
      </c>
      <c r="E1132">
        <v>30</v>
      </c>
      <c r="F1132">
        <v>27</v>
      </c>
      <c r="G1132" s="8">
        <f>Lektionen[[#This Row],[Bearbeitungsdauer_real]]/Lektionen[[#This Row],[Bearbeitungsdauer_geschätzt]]-1</f>
        <v>-9.9999999999999978E-2</v>
      </c>
      <c r="H1132" s="8" t="str" cm="1">
        <f t="array" ref="H1132">_xlfn.IFS(Lektionen[[#This Row],[Bearbeitungsdauer_abgewichen]]&gt;0.6,"viel länger",Lektionen[[#This Row],[Bearbeitungsdauer_abgewichen]]&gt;0.3,"länger",Lektionen[[#This Row],[Bearbeitungsdauer_abgewichen]]&lt;-0.3,"kürzer",TRUE,"keine Abweichung")</f>
        <v>keine Abweichung</v>
      </c>
      <c r="I1132">
        <v>2</v>
      </c>
    </row>
    <row r="1133" spans="1:9" hidden="1" x14ac:dyDescent="0.3">
      <c r="A1133" s="13">
        <v>177</v>
      </c>
      <c r="B1133" s="4">
        <v>4</v>
      </c>
      <c r="C1133" t="s">
        <v>531</v>
      </c>
      <c r="D1133" t="s">
        <v>530</v>
      </c>
      <c r="E1133">
        <v>30</v>
      </c>
      <c r="F1133">
        <v>28</v>
      </c>
      <c r="G1133" s="8">
        <f>Lektionen[[#This Row],[Bearbeitungsdauer_real]]/Lektionen[[#This Row],[Bearbeitungsdauer_geschätzt]]-1</f>
        <v>-6.6666666666666652E-2</v>
      </c>
      <c r="H1133" s="8" t="str" cm="1">
        <f t="array" ref="H1133">_xlfn.IFS(Lektionen[[#This Row],[Bearbeitungsdauer_abgewichen]]&gt;0.6,"viel länger",Lektionen[[#This Row],[Bearbeitungsdauer_abgewichen]]&gt;0.3,"länger",Lektionen[[#This Row],[Bearbeitungsdauer_abgewichen]]&lt;-0.3,"kürzer",TRUE,"keine Abweichung")</f>
        <v>keine Abweichung</v>
      </c>
      <c r="I1133">
        <v>2</v>
      </c>
    </row>
    <row r="1134" spans="1:9" x14ac:dyDescent="0.3">
      <c r="A1134" s="13">
        <v>177</v>
      </c>
      <c r="B1134" s="4">
        <v>5</v>
      </c>
      <c r="C1134" t="s">
        <v>532</v>
      </c>
      <c r="D1134" t="s">
        <v>530</v>
      </c>
      <c r="E1134">
        <v>30</v>
      </c>
      <c r="F1134">
        <v>45</v>
      </c>
      <c r="G1134" s="8">
        <f>Lektionen[[#This Row],[Bearbeitungsdauer_real]]/Lektionen[[#This Row],[Bearbeitungsdauer_geschätzt]]-1</f>
        <v>0.5</v>
      </c>
      <c r="H1134" s="8" t="str" cm="1">
        <f t="array" ref="H1134">_xlfn.IFS(Lektionen[[#This Row],[Bearbeitungsdauer_abgewichen]]&gt;0.6,"viel länger",Lektionen[[#This Row],[Bearbeitungsdauer_abgewichen]]&gt;0.3,"länger",Lektionen[[#This Row],[Bearbeitungsdauer_abgewichen]]&lt;-0.3,"kürzer",TRUE,"keine Abweichung")</f>
        <v>länger</v>
      </c>
      <c r="I1134">
        <v>4</v>
      </c>
    </row>
    <row r="1135" spans="1:9" hidden="1" x14ac:dyDescent="0.3">
      <c r="A1135" s="13">
        <v>177</v>
      </c>
      <c r="B1135" s="4">
        <v>6</v>
      </c>
      <c r="C1135" t="s">
        <v>533</v>
      </c>
      <c r="D1135" t="s">
        <v>534</v>
      </c>
      <c r="E1135">
        <v>5</v>
      </c>
      <c r="F1135">
        <v>2</v>
      </c>
      <c r="G1135" s="8">
        <f>Lektionen[[#This Row],[Bearbeitungsdauer_real]]/Lektionen[[#This Row],[Bearbeitungsdauer_geschätzt]]-1</f>
        <v>-0.6</v>
      </c>
      <c r="H1135" s="8" t="str" cm="1">
        <f t="array" ref="H1135">_xlfn.IFS(Lektionen[[#This Row],[Bearbeitungsdauer_abgewichen]]&gt;0.6,"viel länger",Lektionen[[#This Row],[Bearbeitungsdauer_abgewichen]]&gt;0.3,"länger",Lektionen[[#This Row],[Bearbeitungsdauer_abgewichen]]&lt;-0.3,"kürzer",TRUE,"keine Abweichung")</f>
        <v>kürzer</v>
      </c>
      <c r="I1135">
        <v>2</v>
      </c>
    </row>
    <row r="1136" spans="1:9" hidden="1" x14ac:dyDescent="0.3">
      <c r="A1136" s="13">
        <v>177</v>
      </c>
      <c r="B1136" s="4">
        <v>7</v>
      </c>
      <c r="C1136" t="s">
        <v>535</v>
      </c>
      <c r="D1136" t="s">
        <v>536</v>
      </c>
      <c r="E1136">
        <v>10</v>
      </c>
      <c r="F1136">
        <v>12</v>
      </c>
      <c r="G1136" s="8">
        <f>Lektionen[[#This Row],[Bearbeitungsdauer_real]]/Lektionen[[#This Row],[Bearbeitungsdauer_geschätzt]]-1</f>
        <v>0.19999999999999996</v>
      </c>
      <c r="H1136" s="8" t="str" cm="1">
        <f t="array" ref="H1136">_xlfn.IFS(Lektionen[[#This Row],[Bearbeitungsdauer_abgewichen]]&gt;0.6,"viel länger",Lektionen[[#This Row],[Bearbeitungsdauer_abgewichen]]&gt;0.3,"länger",Lektionen[[#This Row],[Bearbeitungsdauer_abgewichen]]&lt;-0.3,"kürzer",TRUE,"keine Abweichung")</f>
        <v>keine Abweichung</v>
      </c>
      <c r="I1136">
        <v>3</v>
      </c>
    </row>
    <row r="1137" spans="1:9" hidden="1" x14ac:dyDescent="0.3">
      <c r="A1137" s="13">
        <v>177</v>
      </c>
      <c r="B1137" s="4">
        <v>8</v>
      </c>
      <c r="C1137" t="s">
        <v>537</v>
      </c>
      <c r="D1137" t="s">
        <v>527</v>
      </c>
      <c r="E1137">
        <v>5</v>
      </c>
      <c r="F1137">
        <v>8</v>
      </c>
      <c r="G1137" s="8">
        <f>Lektionen[[#This Row],[Bearbeitungsdauer_real]]/Lektionen[[#This Row],[Bearbeitungsdauer_geschätzt]]-1</f>
        <v>0.60000000000000009</v>
      </c>
      <c r="H1137" s="8" t="str" cm="1">
        <f t="array" ref="H1137">_xlfn.IFS(Lektionen[[#This Row],[Bearbeitungsdauer_abgewichen]]&gt;0.6,"viel länger",Lektionen[[#This Row],[Bearbeitungsdauer_abgewichen]]&gt;0.3,"länger",Lektionen[[#This Row],[Bearbeitungsdauer_abgewichen]]&lt;-0.3,"kürzer",TRUE,"keine Abweichung")</f>
        <v>länger</v>
      </c>
      <c r="I1137">
        <v>1</v>
      </c>
    </row>
    <row r="1138" spans="1:9" hidden="1" x14ac:dyDescent="0.3">
      <c r="A1138" s="13">
        <v>178</v>
      </c>
      <c r="B1138" s="4">
        <v>1</v>
      </c>
      <c r="C1138" t="s">
        <v>526</v>
      </c>
      <c r="D1138" t="s">
        <v>527</v>
      </c>
      <c r="E1138">
        <v>4</v>
      </c>
      <c r="F1138">
        <v>4</v>
      </c>
      <c r="G1138" s="8">
        <f>Lektionen[[#This Row],[Bearbeitungsdauer_real]]/Lektionen[[#This Row],[Bearbeitungsdauer_geschätzt]]-1</f>
        <v>0</v>
      </c>
      <c r="H1138" s="8" t="str" cm="1">
        <f t="array" ref="H1138">_xlfn.IFS(Lektionen[[#This Row],[Bearbeitungsdauer_abgewichen]]&gt;0.6,"viel länger",Lektionen[[#This Row],[Bearbeitungsdauer_abgewichen]]&gt;0.3,"länger",Lektionen[[#This Row],[Bearbeitungsdauer_abgewichen]]&lt;-0.3,"kürzer",TRUE,"keine Abweichung")</f>
        <v>keine Abweichung</v>
      </c>
      <c r="I1138">
        <v>1</v>
      </c>
    </row>
    <row r="1139" spans="1:9" hidden="1" x14ac:dyDescent="0.3">
      <c r="A1139" s="13">
        <v>178</v>
      </c>
      <c r="B1139" s="4">
        <v>2</v>
      </c>
      <c r="C1139" t="s">
        <v>528</v>
      </c>
      <c r="D1139" t="s">
        <v>529</v>
      </c>
      <c r="E1139">
        <v>15</v>
      </c>
      <c r="F1139">
        <v>19</v>
      </c>
      <c r="G1139" s="8">
        <f>Lektionen[[#This Row],[Bearbeitungsdauer_real]]/Lektionen[[#This Row],[Bearbeitungsdauer_geschätzt]]-1</f>
        <v>0.26666666666666661</v>
      </c>
      <c r="H1139" s="8" t="str" cm="1">
        <f t="array" ref="H1139">_xlfn.IFS(Lektionen[[#This Row],[Bearbeitungsdauer_abgewichen]]&gt;0.6,"viel länger",Lektionen[[#This Row],[Bearbeitungsdauer_abgewichen]]&gt;0.3,"länger",Lektionen[[#This Row],[Bearbeitungsdauer_abgewichen]]&lt;-0.3,"kürzer",TRUE,"keine Abweichung")</f>
        <v>keine Abweichung</v>
      </c>
      <c r="I1139">
        <v>1</v>
      </c>
    </row>
    <row r="1140" spans="1:9" hidden="1" x14ac:dyDescent="0.3">
      <c r="A1140" s="13">
        <v>178</v>
      </c>
      <c r="B1140" s="4">
        <v>3</v>
      </c>
      <c r="C1140" t="s">
        <v>552</v>
      </c>
      <c r="D1140" t="s">
        <v>530</v>
      </c>
      <c r="E1140">
        <v>30</v>
      </c>
      <c r="F1140">
        <v>29</v>
      </c>
      <c r="G1140" s="8">
        <f>Lektionen[[#This Row],[Bearbeitungsdauer_real]]/Lektionen[[#This Row],[Bearbeitungsdauer_geschätzt]]-1</f>
        <v>-3.3333333333333326E-2</v>
      </c>
      <c r="H1140" s="8" t="str" cm="1">
        <f t="array" ref="H1140">_xlfn.IFS(Lektionen[[#This Row],[Bearbeitungsdauer_abgewichen]]&gt;0.6,"viel länger",Lektionen[[#This Row],[Bearbeitungsdauer_abgewichen]]&gt;0.3,"länger",Lektionen[[#This Row],[Bearbeitungsdauer_abgewichen]]&lt;-0.3,"kürzer",TRUE,"keine Abweichung")</f>
        <v>keine Abweichung</v>
      </c>
      <c r="I1140">
        <v>3</v>
      </c>
    </row>
    <row r="1141" spans="1:9" hidden="1" x14ac:dyDescent="0.3">
      <c r="A1141" s="13">
        <v>178</v>
      </c>
      <c r="B1141" s="4">
        <v>4</v>
      </c>
      <c r="C1141" t="s">
        <v>531</v>
      </c>
      <c r="D1141" t="s">
        <v>530</v>
      </c>
      <c r="E1141">
        <v>30</v>
      </c>
      <c r="F1141">
        <v>26</v>
      </c>
      <c r="G1141" s="8">
        <f>Lektionen[[#This Row],[Bearbeitungsdauer_real]]/Lektionen[[#This Row],[Bearbeitungsdauer_geschätzt]]-1</f>
        <v>-0.1333333333333333</v>
      </c>
      <c r="H1141" s="8" t="str" cm="1">
        <f t="array" ref="H1141">_xlfn.IFS(Lektionen[[#This Row],[Bearbeitungsdauer_abgewichen]]&gt;0.6,"viel länger",Lektionen[[#This Row],[Bearbeitungsdauer_abgewichen]]&gt;0.3,"länger",Lektionen[[#This Row],[Bearbeitungsdauer_abgewichen]]&lt;-0.3,"kürzer",TRUE,"keine Abweichung")</f>
        <v>keine Abweichung</v>
      </c>
      <c r="I1141">
        <v>3</v>
      </c>
    </row>
    <row r="1142" spans="1:9" x14ac:dyDescent="0.3">
      <c r="A1142" s="13">
        <v>178</v>
      </c>
      <c r="B1142" s="4">
        <v>5</v>
      </c>
      <c r="C1142" t="s">
        <v>532</v>
      </c>
      <c r="D1142" t="s">
        <v>530</v>
      </c>
      <c r="E1142">
        <v>30</v>
      </c>
      <c r="F1142">
        <v>46</v>
      </c>
      <c r="G1142" s="8">
        <f>Lektionen[[#This Row],[Bearbeitungsdauer_real]]/Lektionen[[#This Row],[Bearbeitungsdauer_geschätzt]]-1</f>
        <v>0.53333333333333344</v>
      </c>
      <c r="H1142" s="8" t="str" cm="1">
        <f t="array" ref="H1142">_xlfn.IFS(Lektionen[[#This Row],[Bearbeitungsdauer_abgewichen]]&gt;0.6,"viel länger",Lektionen[[#This Row],[Bearbeitungsdauer_abgewichen]]&gt;0.3,"länger",Lektionen[[#This Row],[Bearbeitungsdauer_abgewichen]]&lt;-0.3,"kürzer",TRUE,"keine Abweichung")</f>
        <v>länger</v>
      </c>
      <c r="I1142">
        <v>4</v>
      </c>
    </row>
    <row r="1143" spans="1:9" hidden="1" x14ac:dyDescent="0.3">
      <c r="A1143" s="13">
        <v>178</v>
      </c>
      <c r="B1143" s="4">
        <v>6</v>
      </c>
      <c r="C1143" t="s">
        <v>533</v>
      </c>
      <c r="D1143" t="s">
        <v>534</v>
      </c>
      <c r="E1143">
        <v>5</v>
      </c>
      <c r="F1143">
        <v>1</v>
      </c>
      <c r="G1143" s="8">
        <f>Lektionen[[#This Row],[Bearbeitungsdauer_real]]/Lektionen[[#This Row],[Bearbeitungsdauer_geschätzt]]-1</f>
        <v>-0.8</v>
      </c>
      <c r="H1143" s="8" t="str" cm="1">
        <f t="array" ref="H1143">_xlfn.IFS(Lektionen[[#This Row],[Bearbeitungsdauer_abgewichen]]&gt;0.6,"viel länger",Lektionen[[#This Row],[Bearbeitungsdauer_abgewichen]]&gt;0.3,"länger",Lektionen[[#This Row],[Bearbeitungsdauer_abgewichen]]&lt;-0.3,"kürzer",TRUE,"keine Abweichung")</f>
        <v>kürzer</v>
      </c>
      <c r="I1143">
        <v>2</v>
      </c>
    </row>
    <row r="1144" spans="1:9" hidden="1" x14ac:dyDescent="0.3">
      <c r="A1144" s="13">
        <v>178</v>
      </c>
      <c r="B1144" s="4">
        <v>7</v>
      </c>
      <c r="C1144" t="s">
        <v>535</v>
      </c>
      <c r="D1144" t="s">
        <v>536</v>
      </c>
      <c r="E1144">
        <v>10</v>
      </c>
      <c r="F1144">
        <v>9</v>
      </c>
      <c r="G1144" s="8">
        <f>Lektionen[[#This Row],[Bearbeitungsdauer_real]]/Lektionen[[#This Row],[Bearbeitungsdauer_geschätzt]]-1</f>
        <v>-9.9999999999999978E-2</v>
      </c>
      <c r="H1144" s="8" t="str" cm="1">
        <f t="array" ref="H1144">_xlfn.IFS(Lektionen[[#This Row],[Bearbeitungsdauer_abgewichen]]&gt;0.6,"viel länger",Lektionen[[#This Row],[Bearbeitungsdauer_abgewichen]]&gt;0.3,"länger",Lektionen[[#This Row],[Bearbeitungsdauer_abgewichen]]&lt;-0.3,"kürzer",TRUE,"keine Abweichung")</f>
        <v>keine Abweichung</v>
      </c>
      <c r="I1144">
        <v>4</v>
      </c>
    </row>
    <row r="1145" spans="1:9" hidden="1" x14ac:dyDescent="0.3">
      <c r="A1145" s="13">
        <v>178</v>
      </c>
      <c r="B1145" s="4">
        <v>8</v>
      </c>
      <c r="C1145" t="s">
        <v>537</v>
      </c>
      <c r="D1145" t="s">
        <v>527</v>
      </c>
      <c r="E1145">
        <v>5</v>
      </c>
      <c r="F1145">
        <v>5</v>
      </c>
      <c r="G1145" s="8">
        <f>Lektionen[[#This Row],[Bearbeitungsdauer_real]]/Lektionen[[#This Row],[Bearbeitungsdauer_geschätzt]]-1</f>
        <v>0</v>
      </c>
      <c r="H1145" s="8" t="str" cm="1">
        <f t="array" ref="H1145">_xlfn.IFS(Lektionen[[#This Row],[Bearbeitungsdauer_abgewichen]]&gt;0.6,"viel länger",Lektionen[[#This Row],[Bearbeitungsdauer_abgewichen]]&gt;0.3,"länger",Lektionen[[#This Row],[Bearbeitungsdauer_abgewichen]]&lt;-0.3,"kürzer",TRUE,"keine Abweichung")</f>
        <v>keine Abweichung</v>
      </c>
      <c r="I1145">
        <v>2</v>
      </c>
    </row>
    <row r="1146" spans="1:9" hidden="1" x14ac:dyDescent="0.3">
      <c r="A1146" s="13">
        <v>180</v>
      </c>
      <c r="B1146" s="4">
        <v>1</v>
      </c>
      <c r="C1146" t="s">
        <v>526</v>
      </c>
      <c r="D1146" t="s">
        <v>527</v>
      </c>
      <c r="E1146">
        <v>4</v>
      </c>
      <c r="F1146">
        <v>4</v>
      </c>
      <c r="G1146" s="8">
        <f>Lektionen[[#This Row],[Bearbeitungsdauer_real]]/Lektionen[[#This Row],[Bearbeitungsdauer_geschätzt]]-1</f>
        <v>0</v>
      </c>
      <c r="H1146" s="8" t="str" cm="1">
        <f t="array" ref="H1146">_xlfn.IFS(Lektionen[[#This Row],[Bearbeitungsdauer_abgewichen]]&gt;0.6,"viel länger",Lektionen[[#This Row],[Bearbeitungsdauer_abgewichen]]&gt;0.3,"länger",Lektionen[[#This Row],[Bearbeitungsdauer_abgewichen]]&lt;-0.3,"kürzer",TRUE,"keine Abweichung")</f>
        <v>keine Abweichung</v>
      </c>
      <c r="I1146">
        <v>1</v>
      </c>
    </row>
    <row r="1147" spans="1:9" hidden="1" x14ac:dyDescent="0.3">
      <c r="A1147" s="13">
        <v>180</v>
      </c>
      <c r="B1147" s="4">
        <v>2</v>
      </c>
      <c r="C1147" t="s">
        <v>528</v>
      </c>
      <c r="D1147" t="s">
        <v>529</v>
      </c>
      <c r="E1147">
        <v>15</v>
      </c>
      <c r="F1147">
        <v>20</v>
      </c>
      <c r="G1147" s="8">
        <f>Lektionen[[#This Row],[Bearbeitungsdauer_real]]/Lektionen[[#This Row],[Bearbeitungsdauer_geschätzt]]-1</f>
        <v>0.33333333333333326</v>
      </c>
      <c r="H1147" s="8" t="str" cm="1">
        <f t="array" ref="H1147">_xlfn.IFS(Lektionen[[#This Row],[Bearbeitungsdauer_abgewichen]]&gt;0.6,"viel länger",Lektionen[[#This Row],[Bearbeitungsdauer_abgewichen]]&gt;0.3,"länger",Lektionen[[#This Row],[Bearbeitungsdauer_abgewichen]]&lt;-0.3,"kürzer",TRUE,"keine Abweichung")</f>
        <v>länger</v>
      </c>
      <c r="I1147">
        <v>2</v>
      </c>
    </row>
    <row r="1148" spans="1:9" hidden="1" x14ac:dyDescent="0.3">
      <c r="A1148" s="13">
        <v>180</v>
      </c>
      <c r="B1148" s="4">
        <v>3</v>
      </c>
      <c r="C1148" t="s">
        <v>552</v>
      </c>
      <c r="D1148" t="s">
        <v>530</v>
      </c>
      <c r="E1148">
        <v>30</v>
      </c>
      <c r="F1148">
        <v>29</v>
      </c>
      <c r="G1148" s="8">
        <f>Lektionen[[#This Row],[Bearbeitungsdauer_real]]/Lektionen[[#This Row],[Bearbeitungsdauer_geschätzt]]-1</f>
        <v>-3.3333333333333326E-2</v>
      </c>
      <c r="H1148" s="8" t="str" cm="1">
        <f t="array" ref="H1148">_xlfn.IFS(Lektionen[[#This Row],[Bearbeitungsdauer_abgewichen]]&gt;0.6,"viel länger",Lektionen[[#This Row],[Bearbeitungsdauer_abgewichen]]&gt;0.3,"länger",Lektionen[[#This Row],[Bearbeitungsdauer_abgewichen]]&lt;-0.3,"kürzer",TRUE,"keine Abweichung")</f>
        <v>keine Abweichung</v>
      </c>
      <c r="I1148">
        <v>3</v>
      </c>
    </row>
    <row r="1149" spans="1:9" hidden="1" x14ac:dyDescent="0.3">
      <c r="A1149" s="13">
        <v>180</v>
      </c>
      <c r="B1149" s="4">
        <v>4</v>
      </c>
      <c r="C1149" t="s">
        <v>531</v>
      </c>
      <c r="D1149" t="s">
        <v>530</v>
      </c>
      <c r="E1149">
        <v>30</v>
      </c>
      <c r="F1149">
        <v>15</v>
      </c>
      <c r="G1149" s="8">
        <f>Lektionen[[#This Row],[Bearbeitungsdauer_real]]/Lektionen[[#This Row],[Bearbeitungsdauer_geschätzt]]-1</f>
        <v>-0.5</v>
      </c>
      <c r="H1149" s="8" t="str" cm="1">
        <f t="array" ref="H1149">_xlfn.IFS(Lektionen[[#This Row],[Bearbeitungsdauer_abgewichen]]&gt;0.6,"viel länger",Lektionen[[#This Row],[Bearbeitungsdauer_abgewichen]]&gt;0.3,"länger",Lektionen[[#This Row],[Bearbeitungsdauer_abgewichen]]&lt;-0.3,"kürzer",TRUE,"keine Abweichung")</f>
        <v>kürzer</v>
      </c>
      <c r="I1149">
        <v>3</v>
      </c>
    </row>
    <row r="1150" spans="1:9" x14ac:dyDescent="0.3">
      <c r="A1150" s="13">
        <v>180</v>
      </c>
      <c r="B1150" s="4">
        <v>5</v>
      </c>
      <c r="C1150" t="s">
        <v>532</v>
      </c>
      <c r="D1150" t="s">
        <v>530</v>
      </c>
      <c r="E1150">
        <v>30</v>
      </c>
      <c r="F1150">
        <v>44</v>
      </c>
      <c r="G1150" s="8">
        <f>Lektionen[[#This Row],[Bearbeitungsdauer_real]]/Lektionen[[#This Row],[Bearbeitungsdauer_geschätzt]]-1</f>
        <v>0.46666666666666656</v>
      </c>
      <c r="H1150" s="8" t="str" cm="1">
        <f t="array" ref="H1150">_xlfn.IFS(Lektionen[[#This Row],[Bearbeitungsdauer_abgewichen]]&gt;0.6,"viel länger",Lektionen[[#This Row],[Bearbeitungsdauer_abgewichen]]&gt;0.3,"länger",Lektionen[[#This Row],[Bearbeitungsdauer_abgewichen]]&lt;-0.3,"kürzer",TRUE,"keine Abweichung")</f>
        <v>länger</v>
      </c>
      <c r="I1150">
        <v>3</v>
      </c>
    </row>
    <row r="1151" spans="1:9" hidden="1" x14ac:dyDescent="0.3">
      <c r="A1151" s="13">
        <v>180</v>
      </c>
      <c r="B1151" s="4">
        <v>6</v>
      </c>
      <c r="C1151" t="s">
        <v>533</v>
      </c>
      <c r="D1151" t="s">
        <v>534</v>
      </c>
      <c r="E1151">
        <v>5</v>
      </c>
      <c r="F1151">
        <v>2</v>
      </c>
      <c r="G1151" s="8">
        <f>Lektionen[[#This Row],[Bearbeitungsdauer_real]]/Lektionen[[#This Row],[Bearbeitungsdauer_geschätzt]]-1</f>
        <v>-0.6</v>
      </c>
      <c r="H1151" s="8" t="str" cm="1">
        <f t="array" ref="H1151">_xlfn.IFS(Lektionen[[#This Row],[Bearbeitungsdauer_abgewichen]]&gt;0.6,"viel länger",Lektionen[[#This Row],[Bearbeitungsdauer_abgewichen]]&gt;0.3,"länger",Lektionen[[#This Row],[Bearbeitungsdauer_abgewichen]]&lt;-0.3,"kürzer",TRUE,"keine Abweichung")</f>
        <v>kürzer</v>
      </c>
      <c r="I1151">
        <v>2</v>
      </c>
    </row>
    <row r="1152" spans="1:9" hidden="1" x14ac:dyDescent="0.3">
      <c r="A1152" s="13">
        <v>180</v>
      </c>
      <c r="B1152" s="4">
        <v>7</v>
      </c>
      <c r="C1152" t="s">
        <v>535</v>
      </c>
      <c r="D1152" t="s">
        <v>536</v>
      </c>
      <c r="E1152">
        <v>10</v>
      </c>
      <c r="F1152">
        <v>9</v>
      </c>
      <c r="G1152" s="8">
        <f>Lektionen[[#This Row],[Bearbeitungsdauer_real]]/Lektionen[[#This Row],[Bearbeitungsdauer_geschätzt]]-1</f>
        <v>-9.9999999999999978E-2</v>
      </c>
      <c r="H1152" s="8" t="str" cm="1">
        <f t="array" ref="H1152">_xlfn.IFS(Lektionen[[#This Row],[Bearbeitungsdauer_abgewichen]]&gt;0.6,"viel länger",Lektionen[[#This Row],[Bearbeitungsdauer_abgewichen]]&gt;0.3,"länger",Lektionen[[#This Row],[Bearbeitungsdauer_abgewichen]]&lt;-0.3,"kürzer",TRUE,"keine Abweichung")</f>
        <v>keine Abweichung</v>
      </c>
      <c r="I1152">
        <v>4</v>
      </c>
    </row>
    <row r="1153" spans="1:9" hidden="1" x14ac:dyDescent="0.3">
      <c r="A1153" s="13">
        <v>180</v>
      </c>
      <c r="B1153" s="4">
        <v>8</v>
      </c>
      <c r="C1153" t="s">
        <v>537</v>
      </c>
      <c r="D1153" t="s">
        <v>527</v>
      </c>
      <c r="E1153">
        <v>5</v>
      </c>
      <c r="F1153">
        <v>9</v>
      </c>
      <c r="G1153" s="8">
        <f>Lektionen[[#This Row],[Bearbeitungsdauer_real]]/Lektionen[[#This Row],[Bearbeitungsdauer_geschätzt]]-1</f>
        <v>0.8</v>
      </c>
      <c r="H1153" s="8" t="str" cm="1">
        <f t="array" ref="H1153">_xlfn.IFS(Lektionen[[#This Row],[Bearbeitungsdauer_abgewichen]]&gt;0.6,"viel länger",Lektionen[[#This Row],[Bearbeitungsdauer_abgewichen]]&gt;0.3,"länger",Lektionen[[#This Row],[Bearbeitungsdauer_abgewichen]]&lt;-0.3,"kürzer",TRUE,"keine Abweichung")</f>
        <v>viel länger</v>
      </c>
      <c r="I1153">
        <v>1</v>
      </c>
    </row>
    <row r="1154" spans="1:9" hidden="1" x14ac:dyDescent="0.3">
      <c r="A1154" s="13">
        <v>182</v>
      </c>
      <c r="B1154" s="4">
        <v>1</v>
      </c>
      <c r="C1154" t="s">
        <v>526</v>
      </c>
      <c r="D1154" t="s">
        <v>527</v>
      </c>
      <c r="E1154">
        <v>4</v>
      </c>
      <c r="F1154">
        <v>4</v>
      </c>
      <c r="G1154" s="8">
        <f>Lektionen[[#This Row],[Bearbeitungsdauer_real]]/Lektionen[[#This Row],[Bearbeitungsdauer_geschätzt]]-1</f>
        <v>0</v>
      </c>
      <c r="H1154" s="8" t="str" cm="1">
        <f t="array" ref="H1154">_xlfn.IFS(Lektionen[[#This Row],[Bearbeitungsdauer_abgewichen]]&gt;0.6,"viel länger",Lektionen[[#This Row],[Bearbeitungsdauer_abgewichen]]&gt;0.3,"länger",Lektionen[[#This Row],[Bearbeitungsdauer_abgewichen]]&lt;-0.3,"kürzer",TRUE,"keine Abweichung")</f>
        <v>keine Abweichung</v>
      </c>
      <c r="I1154">
        <v>1</v>
      </c>
    </row>
    <row r="1155" spans="1:9" hidden="1" x14ac:dyDescent="0.3">
      <c r="A1155" s="13">
        <v>182</v>
      </c>
      <c r="B1155" s="4">
        <v>2</v>
      </c>
      <c r="C1155" t="s">
        <v>528</v>
      </c>
      <c r="D1155" t="s">
        <v>529</v>
      </c>
      <c r="E1155">
        <v>15</v>
      </c>
      <c r="F1155">
        <v>15</v>
      </c>
      <c r="G1155" s="8">
        <f>Lektionen[[#This Row],[Bearbeitungsdauer_real]]/Lektionen[[#This Row],[Bearbeitungsdauer_geschätzt]]-1</f>
        <v>0</v>
      </c>
      <c r="H1155" s="8" t="str" cm="1">
        <f t="array" ref="H1155">_xlfn.IFS(Lektionen[[#This Row],[Bearbeitungsdauer_abgewichen]]&gt;0.6,"viel länger",Lektionen[[#This Row],[Bearbeitungsdauer_abgewichen]]&gt;0.3,"länger",Lektionen[[#This Row],[Bearbeitungsdauer_abgewichen]]&lt;-0.3,"kürzer",TRUE,"keine Abweichung")</f>
        <v>keine Abweichung</v>
      </c>
      <c r="I1155">
        <v>1</v>
      </c>
    </row>
    <row r="1156" spans="1:9" hidden="1" x14ac:dyDescent="0.3">
      <c r="A1156" s="13">
        <v>182</v>
      </c>
      <c r="B1156" s="4">
        <v>3</v>
      </c>
      <c r="C1156" t="s">
        <v>552</v>
      </c>
      <c r="D1156" t="s">
        <v>530</v>
      </c>
      <c r="E1156">
        <v>30</v>
      </c>
      <c r="F1156">
        <v>29</v>
      </c>
      <c r="G1156" s="8">
        <f>Lektionen[[#This Row],[Bearbeitungsdauer_real]]/Lektionen[[#This Row],[Bearbeitungsdauer_geschätzt]]-1</f>
        <v>-3.3333333333333326E-2</v>
      </c>
      <c r="H1156" s="8" t="str" cm="1">
        <f t="array" ref="H1156">_xlfn.IFS(Lektionen[[#This Row],[Bearbeitungsdauer_abgewichen]]&gt;0.6,"viel länger",Lektionen[[#This Row],[Bearbeitungsdauer_abgewichen]]&gt;0.3,"länger",Lektionen[[#This Row],[Bearbeitungsdauer_abgewichen]]&lt;-0.3,"kürzer",TRUE,"keine Abweichung")</f>
        <v>keine Abweichung</v>
      </c>
      <c r="I1156">
        <v>2</v>
      </c>
    </row>
    <row r="1157" spans="1:9" hidden="1" x14ac:dyDescent="0.3">
      <c r="A1157" s="13">
        <v>182</v>
      </c>
      <c r="B1157" s="4">
        <v>4</v>
      </c>
      <c r="C1157" t="s">
        <v>531</v>
      </c>
      <c r="D1157" t="s">
        <v>530</v>
      </c>
      <c r="E1157">
        <v>30</v>
      </c>
      <c r="F1157">
        <v>35</v>
      </c>
      <c r="G1157" s="8">
        <f>Lektionen[[#This Row],[Bearbeitungsdauer_real]]/Lektionen[[#This Row],[Bearbeitungsdauer_geschätzt]]-1</f>
        <v>0.16666666666666674</v>
      </c>
      <c r="H1157" s="8" t="str" cm="1">
        <f t="array" ref="H1157">_xlfn.IFS(Lektionen[[#This Row],[Bearbeitungsdauer_abgewichen]]&gt;0.6,"viel länger",Lektionen[[#This Row],[Bearbeitungsdauer_abgewichen]]&gt;0.3,"länger",Lektionen[[#This Row],[Bearbeitungsdauer_abgewichen]]&lt;-0.3,"kürzer",TRUE,"keine Abweichung")</f>
        <v>keine Abweichung</v>
      </c>
      <c r="I1157">
        <v>2</v>
      </c>
    </row>
    <row r="1158" spans="1:9" x14ac:dyDescent="0.3">
      <c r="A1158" s="13">
        <v>182</v>
      </c>
      <c r="B1158" s="4">
        <v>5</v>
      </c>
      <c r="C1158" t="s">
        <v>532</v>
      </c>
      <c r="D1158" t="s">
        <v>530</v>
      </c>
      <c r="E1158">
        <v>30</v>
      </c>
      <c r="F1158">
        <v>51</v>
      </c>
      <c r="G1158" s="8">
        <f>Lektionen[[#This Row],[Bearbeitungsdauer_real]]/Lektionen[[#This Row],[Bearbeitungsdauer_geschätzt]]-1</f>
        <v>0.7</v>
      </c>
      <c r="H1158" s="8" t="str" cm="1">
        <f t="array" ref="H1158">_xlfn.IFS(Lektionen[[#This Row],[Bearbeitungsdauer_abgewichen]]&gt;0.6,"viel länger",Lektionen[[#This Row],[Bearbeitungsdauer_abgewichen]]&gt;0.3,"länger",Lektionen[[#This Row],[Bearbeitungsdauer_abgewichen]]&lt;-0.3,"kürzer",TRUE,"keine Abweichung")</f>
        <v>viel länger</v>
      </c>
      <c r="I1158">
        <v>3</v>
      </c>
    </row>
    <row r="1159" spans="1:9" hidden="1" x14ac:dyDescent="0.3">
      <c r="A1159" s="13">
        <v>182</v>
      </c>
      <c r="B1159" s="4">
        <v>6</v>
      </c>
      <c r="C1159" t="s">
        <v>533</v>
      </c>
      <c r="D1159" t="s">
        <v>534</v>
      </c>
      <c r="E1159">
        <v>5</v>
      </c>
      <c r="F1159">
        <v>1</v>
      </c>
      <c r="G1159" s="8">
        <f>Lektionen[[#This Row],[Bearbeitungsdauer_real]]/Lektionen[[#This Row],[Bearbeitungsdauer_geschätzt]]-1</f>
        <v>-0.8</v>
      </c>
      <c r="H1159" s="8" t="str" cm="1">
        <f t="array" ref="H1159">_xlfn.IFS(Lektionen[[#This Row],[Bearbeitungsdauer_abgewichen]]&gt;0.6,"viel länger",Lektionen[[#This Row],[Bearbeitungsdauer_abgewichen]]&gt;0.3,"länger",Lektionen[[#This Row],[Bearbeitungsdauer_abgewichen]]&lt;-0.3,"kürzer",TRUE,"keine Abweichung")</f>
        <v>kürzer</v>
      </c>
      <c r="I1159">
        <v>2</v>
      </c>
    </row>
    <row r="1160" spans="1:9" hidden="1" x14ac:dyDescent="0.3">
      <c r="A1160" s="13">
        <v>182</v>
      </c>
      <c r="B1160" s="4">
        <v>7</v>
      </c>
      <c r="C1160" t="s">
        <v>535</v>
      </c>
      <c r="D1160" t="s">
        <v>536</v>
      </c>
      <c r="E1160">
        <v>10</v>
      </c>
      <c r="F1160">
        <v>11</v>
      </c>
      <c r="G1160" s="8">
        <f>Lektionen[[#This Row],[Bearbeitungsdauer_real]]/Lektionen[[#This Row],[Bearbeitungsdauer_geschätzt]]-1</f>
        <v>0.10000000000000009</v>
      </c>
      <c r="H1160" s="8" t="str" cm="1">
        <f t="array" ref="H1160">_xlfn.IFS(Lektionen[[#This Row],[Bearbeitungsdauer_abgewichen]]&gt;0.6,"viel länger",Lektionen[[#This Row],[Bearbeitungsdauer_abgewichen]]&gt;0.3,"länger",Lektionen[[#This Row],[Bearbeitungsdauer_abgewichen]]&lt;-0.3,"kürzer",TRUE,"keine Abweichung")</f>
        <v>keine Abweichung</v>
      </c>
      <c r="I1160">
        <v>3</v>
      </c>
    </row>
    <row r="1161" spans="1:9" hidden="1" x14ac:dyDescent="0.3">
      <c r="A1161" s="13">
        <v>182</v>
      </c>
      <c r="B1161" s="4">
        <v>8</v>
      </c>
      <c r="C1161" t="s">
        <v>537</v>
      </c>
      <c r="D1161" t="s">
        <v>527</v>
      </c>
      <c r="E1161">
        <v>5</v>
      </c>
      <c r="F1161">
        <v>5</v>
      </c>
      <c r="G1161" s="8">
        <f>Lektionen[[#This Row],[Bearbeitungsdauer_real]]/Lektionen[[#This Row],[Bearbeitungsdauer_geschätzt]]-1</f>
        <v>0</v>
      </c>
      <c r="H1161" s="8" t="str" cm="1">
        <f t="array" ref="H1161">_xlfn.IFS(Lektionen[[#This Row],[Bearbeitungsdauer_abgewichen]]&gt;0.6,"viel länger",Lektionen[[#This Row],[Bearbeitungsdauer_abgewichen]]&gt;0.3,"länger",Lektionen[[#This Row],[Bearbeitungsdauer_abgewichen]]&lt;-0.3,"kürzer",TRUE,"keine Abweichung")</f>
        <v>keine Abweichung</v>
      </c>
      <c r="I1161">
        <v>1</v>
      </c>
    </row>
    <row r="1162" spans="1:9" hidden="1" x14ac:dyDescent="0.3">
      <c r="A1162" s="13">
        <v>183</v>
      </c>
      <c r="B1162" s="4">
        <v>1</v>
      </c>
      <c r="C1162" t="s">
        <v>526</v>
      </c>
      <c r="D1162" t="s">
        <v>527</v>
      </c>
      <c r="E1162">
        <v>4</v>
      </c>
      <c r="F1162">
        <v>4</v>
      </c>
      <c r="G1162" s="8">
        <f>Lektionen[[#This Row],[Bearbeitungsdauer_real]]/Lektionen[[#This Row],[Bearbeitungsdauer_geschätzt]]-1</f>
        <v>0</v>
      </c>
      <c r="H1162" s="8" t="str" cm="1">
        <f t="array" ref="H1162">_xlfn.IFS(Lektionen[[#This Row],[Bearbeitungsdauer_abgewichen]]&gt;0.6,"viel länger",Lektionen[[#This Row],[Bearbeitungsdauer_abgewichen]]&gt;0.3,"länger",Lektionen[[#This Row],[Bearbeitungsdauer_abgewichen]]&lt;-0.3,"kürzer",TRUE,"keine Abweichung")</f>
        <v>keine Abweichung</v>
      </c>
      <c r="I1162">
        <v>1</v>
      </c>
    </row>
    <row r="1163" spans="1:9" hidden="1" x14ac:dyDescent="0.3">
      <c r="A1163" s="13">
        <v>183</v>
      </c>
      <c r="B1163" s="4">
        <v>2</v>
      </c>
      <c r="C1163" t="s">
        <v>528</v>
      </c>
      <c r="D1163" t="s">
        <v>529</v>
      </c>
      <c r="E1163">
        <v>15</v>
      </c>
      <c r="F1163">
        <v>19</v>
      </c>
      <c r="G1163" s="8">
        <f>Lektionen[[#This Row],[Bearbeitungsdauer_real]]/Lektionen[[#This Row],[Bearbeitungsdauer_geschätzt]]-1</f>
        <v>0.26666666666666661</v>
      </c>
      <c r="H1163" s="8" t="str" cm="1">
        <f t="array" ref="H1163">_xlfn.IFS(Lektionen[[#This Row],[Bearbeitungsdauer_abgewichen]]&gt;0.6,"viel länger",Lektionen[[#This Row],[Bearbeitungsdauer_abgewichen]]&gt;0.3,"länger",Lektionen[[#This Row],[Bearbeitungsdauer_abgewichen]]&lt;-0.3,"kürzer",TRUE,"keine Abweichung")</f>
        <v>keine Abweichung</v>
      </c>
      <c r="I1163">
        <v>2</v>
      </c>
    </row>
    <row r="1164" spans="1:9" hidden="1" x14ac:dyDescent="0.3">
      <c r="A1164" s="13">
        <v>183</v>
      </c>
      <c r="B1164" s="4">
        <v>3</v>
      </c>
      <c r="C1164" t="s">
        <v>552</v>
      </c>
      <c r="D1164" t="s">
        <v>530</v>
      </c>
      <c r="E1164">
        <v>30</v>
      </c>
      <c r="F1164">
        <v>28</v>
      </c>
      <c r="G1164" s="8">
        <f>Lektionen[[#This Row],[Bearbeitungsdauer_real]]/Lektionen[[#This Row],[Bearbeitungsdauer_geschätzt]]-1</f>
        <v>-6.6666666666666652E-2</v>
      </c>
      <c r="H1164" s="8" t="str" cm="1">
        <f t="array" ref="H1164">_xlfn.IFS(Lektionen[[#This Row],[Bearbeitungsdauer_abgewichen]]&gt;0.6,"viel länger",Lektionen[[#This Row],[Bearbeitungsdauer_abgewichen]]&gt;0.3,"länger",Lektionen[[#This Row],[Bearbeitungsdauer_abgewichen]]&lt;-0.3,"kürzer",TRUE,"keine Abweichung")</f>
        <v>keine Abweichung</v>
      </c>
      <c r="I1164">
        <v>3</v>
      </c>
    </row>
    <row r="1165" spans="1:9" hidden="1" x14ac:dyDescent="0.3">
      <c r="A1165" s="13">
        <v>183</v>
      </c>
      <c r="B1165" s="4">
        <v>4</v>
      </c>
      <c r="C1165" t="s">
        <v>531</v>
      </c>
      <c r="D1165" t="s">
        <v>530</v>
      </c>
      <c r="E1165">
        <v>30</v>
      </c>
      <c r="F1165">
        <v>22</v>
      </c>
      <c r="G1165" s="8">
        <f>Lektionen[[#This Row],[Bearbeitungsdauer_real]]/Lektionen[[#This Row],[Bearbeitungsdauer_geschätzt]]-1</f>
        <v>-0.26666666666666672</v>
      </c>
      <c r="H1165" s="8" t="str" cm="1">
        <f t="array" ref="H1165">_xlfn.IFS(Lektionen[[#This Row],[Bearbeitungsdauer_abgewichen]]&gt;0.6,"viel länger",Lektionen[[#This Row],[Bearbeitungsdauer_abgewichen]]&gt;0.3,"länger",Lektionen[[#This Row],[Bearbeitungsdauer_abgewichen]]&lt;-0.3,"kürzer",TRUE,"keine Abweichung")</f>
        <v>keine Abweichung</v>
      </c>
      <c r="I1165">
        <v>3</v>
      </c>
    </row>
    <row r="1166" spans="1:9" x14ac:dyDescent="0.3">
      <c r="A1166" s="13">
        <v>183</v>
      </c>
      <c r="B1166" s="4">
        <v>5</v>
      </c>
      <c r="C1166" t="s">
        <v>532</v>
      </c>
      <c r="D1166" t="s">
        <v>530</v>
      </c>
      <c r="E1166">
        <v>30</v>
      </c>
      <c r="F1166">
        <v>54</v>
      </c>
      <c r="G1166" s="8">
        <f>Lektionen[[#This Row],[Bearbeitungsdauer_real]]/Lektionen[[#This Row],[Bearbeitungsdauer_geschätzt]]-1</f>
        <v>0.8</v>
      </c>
      <c r="H1166" s="8" t="str" cm="1">
        <f t="array" ref="H1166">_xlfn.IFS(Lektionen[[#This Row],[Bearbeitungsdauer_abgewichen]]&gt;0.6,"viel länger",Lektionen[[#This Row],[Bearbeitungsdauer_abgewichen]]&gt;0.3,"länger",Lektionen[[#This Row],[Bearbeitungsdauer_abgewichen]]&lt;-0.3,"kürzer",TRUE,"keine Abweichung")</f>
        <v>viel länger</v>
      </c>
      <c r="I1166">
        <v>5</v>
      </c>
    </row>
    <row r="1167" spans="1:9" hidden="1" x14ac:dyDescent="0.3">
      <c r="A1167" s="13">
        <v>183</v>
      </c>
      <c r="B1167" s="4">
        <v>6</v>
      </c>
      <c r="C1167" t="s">
        <v>533</v>
      </c>
      <c r="D1167" t="s">
        <v>534</v>
      </c>
      <c r="E1167">
        <v>5</v>
      </c>
      <c r="F1167">
        <v>3</v>
      </c>
      <c r="G1167" s="8">
        <f>Lektionen[[#This Row],[Bearbeitungsdauer_real]]/Lektionen[[#This Row],[Bearbeitungsdauer_geschätzt]]-1</f>
        <v>-0.4</v>
      </c>
      <c r="H1167" s="8" t="str" cm="1">
        <f t="array" ref="H1167">_xlfn.IFS(Lektionen[[#This Row],[Bearbeitungsdauer_abgewichen]]&gt;0.6,"viel länger",Lektionen[[#This Row],[Bearbeitungsdauer_abgewichen]]&gt;0.3,"länger",Lektionen[[#This Row],[Bearbeitungsdauer_abgewichen]]&lt;-0.3,"kürzer",TRUE,"keine Abweichung")</f>
        <v>kürzer</v>
      </c>
      <c r="I1167">
        <v>2</v>
      </c>
    </row>
    <row r="1168" spans="1:9" hidden="1" x14ac:dyDescent="0.3">
      <c r="A1168" s="13">
        <v>183</v>
      </c>
      <c r="B1168" s="4">
        <v>7</v>
      </c>
      <c r="C1168" t="s">
        <v>535</v>
      </c>
      <c r="D1168" t="s">
        <v>536</v>
      </c>
      <c r="E1168">
        <v>10</v>
      </c>
      <c r="F1168">
        <v>9</v>
      </c>
      <c r="G1168" s="8">
        <f>Lektionen[[#This Row],[Bearbeitungsdauer_real]]/Lektionen[[#This Row],[Bearbeitungsdauer_geschätzt]]-1</f>
        <v>-9.9999999999999978E-2</v>
      </c>
      <c r="H1168" s="8" t="str" cm="1">
        <f t="array" ref="H1168">_xlfn.IFS(Lektionen[[#This Row],[Bearbeitungsdauer_abgewichen]]&gt;0.6,"viel länger",Lektionen[[#This Row],[Bearbeitungsdauer_abgewichen]]&gt;0.3,"länger",Lektionen[[#This Row],[Bearbeitungsdauer_abgewichen]]&lt;-0.3,"kürzer",TRUE,"keine Abweichung")</f>
        <v>keine Abweichung</v>
      </c>
      <c r="I1168">
        <v>3</v>
      </c>
    </row>
    <row r="1169" spans="1:9" hidden="1" x14ac:dyDescent="0.3">
      <c r="A1169" s="13">
        <v>183</v>
      </c>
      <c r="B1169" s="4">
        <v>8</v>
      </c>
      <c r="C1169" t="s">
        <v>537</v>
      </c>
      <c r="D1169" t="s">
        <v>527</v>
      </c>
      <c r="E1169">
        <v>5</v>
      </c>
      <c r="F1169">
        <v>5</v>
      </c>
      <c r="G1169" s="8">
        <f>Lektionen[[#This Row],[Bearbeitungsdauer_real]]/Lektionen[[#This Row],[Bearbeitungsdauer_geschätzt]]-1</f>
        <v>0</v>
      </c>
      <c r="H1169" s="8" t="str" cm="1">
        <f t="array" ref="H1169">_xlfn.IFS(Lektionen[[#This Row],[Bearbeitungsdauer_abgewichen]]&gt;0.6,"viel länger",Lektionen[[#This Row],[Bearbeitungsdauer_abgewichen]]&gt;0.3,"länger",Lektionen[[#This Row],[Bearbeitungsdauer_abgewichen]]&lt;-0.3,"kürzer",TRUE,"keine Abweichung")</f>
        <v>keine Abweichung</v>
      </c>
      <c r="I1169">
        <v>1</v>
      </c>
    </row>
    <row r="1170" spans="1:9" hidden="1" x14ac:dyDescent="0.3">
      <c r="A1170" s="13">
        <v>184</v>
      </c>
      <c r="B1170" s="4">
        <v>1</v>
      </c>
      <c r="C1170" t="s">
        <v>526</v>
      </c>
      <c r="D1170" t="s">
        <v>527</v>
      </c>
      <c r="E1170">
        <v>4</v>
      </c>
      <c r="F1170">
        <v>4</v>
      </c>
      <c r="G1170" s="8">
        <f>Lektionen[[#This Row],[Bearbeitungsdauer_real]]/Lektionen[[#This Row],[Bearbeitungsdauer_geschätzt]]-1</f>
        <v>0</v>
      </c>
      <c r="H1170" s="8" t="str" cm="1">
        <f t="array" ref="H1170">_xlfn.IFS(Lektionen[[#This Row],[Bearbeitungsdauer_abgewichen]]&gt;0.6,"viel länger",Lektionen[[#This Row],[Bearbeitungsdauer_abgewichen]]&gt;0.3,"länger",Lektionen[[#This Row],[Bearbeitungsdauer_abgewichen]]&lt;-0.3,"kürzer",TRUE,"keine Abweichung")</f>
        <v>keine Abweichung</v>
      </c>
      <c r="I1170">
        <v>2</v>
      </c>
    </row>
    <row r="1171" spans="1:9" hidden="1" x14ac:dyDescent="0.3">
      <c r="A1171" s="13">
        <v>184</v>
      </c>
      <c r="B1171" s="4">
        <v>2</v>
      </c>
      <c r="C1171" t="s">
        <v>528</v>
      </c>
      <c r="D1171" t="s">
        <v>529</v>
      </c>
      <c r="E1171">
        <v>15</v>
      </c>
      <c r="F1171">
        <v>16</v>
      </c>
      <c r="G1171" s="8">
        <f>Lektionen[[#This Row],[Bearbeitungsdauer_real]]/Lektionen[[#This Row],[Bearbeitungsdauer_geschätzt]]-1</f>
        <v>6.6666666666666652E-2</v>
      </c>
      <c r="H1171" s="8" t="str" cm="1">
        <f t="array" ref="H1171">_xlfn.IFS(Lektionen[[#This Row],[Bearbeitungsdauer_abgewichen]]&gt;0.6,"viel länger",Lektionen[[#This Row],[Bearbeitungsdauer_abgewichen]]&gt;0.3,"länger",Lektionen[[#This Row],[Bearbeitungsdauer_abgewichen]]&lt;-0.3,"kürzer",TRUE,"keine Abweichung")</f>
        <v>keine Abweichung</v>
      </c>
      <c r="I1171">
        <v>3</v>
      </c>
    </row>
    <row r="1172" spans="1:9" hidden="1" x14ac:dyDescent="0.3">
      <c r="A1172" s="13">
        <v>184</v>
      </c>
      <c r="B1172" s="4">
        <v>3</v>
      </c>
      <c r="C1172" t="s">
        <v>552</v>
      </c>
      <c r="D1172" t="s">
        <v>530</v>
      </c>
      <c r="E1172">
        <v>30</v>
      </c>
      <c r="F1172">
        <v>27</v>
      </c>
      <c r="G1172" s="8">
        <f>Lektionen[[#This Row],[Bearbeitungsdauer_real]]/Lektionen[[#This Row],[Bearbeitungsdauer_geschätzt]]-1</f>
        <v>-9.9999999999999978E-2</v>
      </c>
      <c r="H1172" s="8" t="str" cm="1">
        <f t="array" ref="H1172">_xlfn.IFS(Lektionen[[#This Row],[Bearbeitungsdauer_abgewichen]]&gt;0.6,"viel länger",Lektionen[[#This Row],[Bearbeitungsdauer_abgewichen]]&gt;0.3,"länger",Lektionen[[#This Row],[Bearbeitungsdauer_abgewichen]]&lt;-0.3,"kürzer",TRUE,"keine Abweichung")</f>
        <v>keine Abweichung</v>
      </c>
      <c r="I1172">
        <v>2</v>
      </c>
    </row>
    <row r="1173" spans="1:9" hidden="1" x14ac:dyDescent="0.3">
      <c r="A1173" s="13">
        <v>184</v>
      </c>
      <c r="B1173" s="4">
        <v>4</v>
      </c>
      <c r="C1173" t="s">
        <v>531</v>
      </c>
      <c r="D1173" t="s">
        <v>530</v>
      </c>
      <c r="E1173">
        <v>30</v>
      </c>
      <c r="F1173">
        <v>21</v>
      </c>
      <c r="G1173" s="8">
        <f>Lektionen[[#This Row],[Bearbeitungsdauer_real]]/Lektionen[[#This Row],[Bearbeitungsdauer_geschätzt]]-1</f>
        <v>-0.30000000000000004</v>
      </c>
      <c r="H1173" s="8" t="str" cm="1">
        <f t="array" ref="H1173">_xlfn.IFS(Lektionen[[#This Row],[Bearbeitungsdauer_abgewichen]]&gt;0.6,"viel länger",Lektionen[[#This Row],[Bearbeitungsdauer_abgewichen]]&gt;0.3,"länger",Lektionen[[#This Row],[Bearbeitungsdauer_abgewichen]]&lt;-0.3,"kürzer",TRUE,"keine Abweichung")</f>
        <v>keine Abweichung</v>
      </c>
      <c r="I1173">
        <v>4</v>
      </c>
    </row>
    <row r="1174" spans="1:9" x14ac:dyDescent="0.3">
      <c r="A1174" s="13">
        <v>184</v>
      </c>
      <c r="B1174" s="4">
        <v>5</v>
      </c>
      <c r="C1174" t="s">
        <v>532</v>
      </c>
      <c r="D1174" t="s">
        <v>530</v>
      </c>
      <c r="E1174">
        <v>30</v>
      </c>
      <c r="F1174">
        <v>37</v>
      </c>
      <c r="G1174" s="8">
        <f>Lektionen[[#This Row],[Bearbeitungsdauer_real]]/Lektionen[[#This Row],[Bearbeitungsdauer_geschätzt]]-1</f>
        <v>0.23333333333333339</v>
      </c>
      <c r="H1174" s="8" t="str" cm="1">
        <f t="array" ref="H1174">_xlfn.IFS(Lektionen[[#This Row],[Bearbeitungsdauer_abgewichen]]&gt;0.6,"viel länger",Lektionen[[#This Row],[Bearbeitungsdauer_abgewichen]]&gt;0.3,"länger",Lektionen[[#This Row],[Bearbeitungsdauer_abgewichen]]&lt;-0.3,"kürzer",TRUE,"keine Abweichung")</f>
        <v>keine Abweichung</v>
      </c>
      <c r="I1174">
        <v>5</v>
      </c>
    </row>
    <row r="1175" spans="1:9" hidden="1" x14ac:dyDescent="0.3">
      <c r="A1175" s="13">
        <v>184</v>
      </c>
      <c r="B1175" s="4">
        <v>6</v>
      </c>
      <c r="C1175" t="s">
        <v>533</v>
      </c>
      <c r="D1175" t="s">
        <v>534</v>
      </c>
      <c r="E1175">
        <v>5</v>
      </c>
      <c r="F1175">
        <v>3</v>
      </c>
      <c r="G1175" s="8">
        <f>Lektionen[[#This Row],[Bearbeitungsdauer_real]]/Lektionen[[#This Row],[Bearbeitungsdauer_geschätzt]]-1</f>
        <v>-0.4</v>
      </c>
      <c r="H1175" s="8" t="str" cm="1">
        <f t="array" ref="H1175">_xlfn.IFS(Lektionen[[#This Row],[Bearbeitungsdauer_abgewichen]]&gt;0.6,"viel länger",Lektionen[[#This Row],[Bearbeitungsdauer_abgewichen]]&gt;0.3,"länger",Lektionen[[#This Row],[Bearbeitungsdauer_abgewichen]]&lt;-0.3,"kürzer",TRUE,"keine Abweichung")</f>
        <v>kürzer</v>
      </c>
      <c r="I1175">
        <v>2</v>
      </c>
    </row>
    <row r="1176" spans="1:9" hidden="1" x14ac:dyDescent="0.3">
      <c r="A1176" s="13">
        <v>184</v>
      </c>
      <c r="B1176" s="4">
        <v>7</v>
      </c>
      <c r="C1176" t="s">
        <v>535</v>
      </c>
      <c r="D1176" t="s">
        <v>536</v>
      </c>
      <c r="E1176">
        <v>10</v>
      </c>
      <c r="F1176">
        <v>11</v>
      </c>
      <c r="G1176" s="8">
        <f>Lektionen[[#This Row],[Bearbeitungsdauer_real]]/Lektionen[[#This Row],[Bearbeitungsdauer_geschätzt]]-1</f>
        <v>0.10000000000000009</v>
      </c>
      <c r="H1176" s="8" t="str" cm="1">
        <f t="array" ref="H1176">_xlfn.IFS(Lektionen[[#This Row],[Bearbeitungsdauer_abgewichen]]&gt;0.6,"viel länger",Lektionen[[#This Row],[Bearbeitungsdauer_abgewichen]]&gt;0.3,"länger",Lektionen[[#This Row],[Bearbeitungsdauer_abgewichen]]&lt;-0.3,"kürzer",TRUE,"keine Abweichung")</f>
        <v>keine Abweichung</v>
      </c>
      <c r="I1176">
        <v>4</v>
      </c>
    </row>
    <row r="1177" spans="1:9" hidden="1" x14ac:dyDescent="0.3">
      <c r="A1177" s="13">
        <v>184</v>
      </c>
      <c r="B1177" s="4">
        <v>8</v>
      </c>
      <c r="C1177" t="s">
        <v>537</v>
      </c>
      <c r="D1177" t="s">
        <v>527</v>
      </c>
      <c r="E1177">
        <v>5</v>
      </c>
      <c r="F1177">
        <v>6</v>
      </c>
      <c r="G1177" s="8">
        <f>Lektionen[[#This Row],[Bearbeitungsdauer_real]]/Lektionen[[#This Row],[Bearbeitungsdauer_geschätzt]]-1</f>
        <v>0.19999999999999996</v>
      </c>
      <c r="H1177" s="8" t="str" cm="1">
        <f t="array" ref="H1177">_xlfn.IFS(Lektionen[[#This Row],[Bearbeitungsdauer_abgewichen]]&gt;0.6,"viel länger",Lektionen[[#This Row],[Bearbeitungsdauer_abgewichen]]&gt;0.3,"länger",Lektionen[[#This Row],[Bearbeitungsdauer_abgewichen]]&lt;-0.3,"kürzer",TRUE,"keine Abweichung")</f>
        <v>keine Abweichung</v>
      </c>
      <c r="I1177">
        <v>1</v>
      </c>
    </row>
    <row r="1178" spans="1:9" hidden="1" x14ac:dyDescent="0.3">
      <c r="A1178" s="13">
        <v>187</v>
      </c>
      <c r="B1178" s="4">
        <v>1</v>
      </c>
      <c r="C1178" t="s">
        <v>526</v>
      </c>
      <c r="D1178" t="s">
        <v>527</v>
      </c>
      <c r="E1178">
        <v>4</v>
      </c>
      <c r="F1178">
        <v>6</v>
      </c>
      <c r="G1178" s="8">
        <f>Lektionen[[#This Row],[Bearbeitungsdauer_real]]/Lektionen[[#This Row],[Bearbeitungsdauer_geschätzt]]-1</f>
        <v>0.5</v>
      </c>
      <c r="H1178" s="8" t="str" cm="1">
        <f t="array" ref="H1178">_xlfn.IFS(Lektionen[[#This Row],[Bearbeitungsdauer_abgewichen]]&gt;0.6,"viel länger",Lektionen[[#This Row],[Bearbeitungsdauer_abgewichen]]&gt;0.3,"länger",Lektionen[[#This Row],[Bearbeitungsdauer_abgewichen]]&lt;-0.3,"kürzer",TRUE,"keine Abweichung")</f>
        <v>länger</v>
      </c>
      <c r="I1178">
        <v>1</v>
      </c>
    </row>
    <row r="1179" spans="1:9" hidden="1" x14ac:dyDescent="0.3">
      <c r="A1179" s="13">
        <v>187</v>
      </c>
      <c r="B1179" s="4">
        <v>2</v>
      </c>
      <c r="C1179" t="s">
        <v>528</v>
      </c>
      <c r="D1179" t="s">
        <v>529</v>
      </c>
      <c r="E1179">
        <v>15</v>
      </c>
      <c r="F1179">
        <v>17</v>
      </c>
      <c r="G1179" s="8">
        <f>Lektionen[[#This Row],[Bearbeitungsdauer_real]]/Lektionen[[#This Row],[Bearbeitungsdauer_geschätzt]]-1</f>
        <v>0.1333333333333333</v>
      </c>
      <c r="H1179" s="8" t="str" cm="1">
        <f t="array" ref="H1179">_xlfn.IFS(Lektionen[[#This Row],[Bearbeitungsdauer_abgewichen]]&gt;0.6,"viel länger",Lektionen[[#This Row],[Bearbeitungsdauer_abgewichen]]&gt;0.3,"länger",Lektionen[[#This Row],[Bearbeitungsdauer_abgewichen]]&lt;-0.3,"kürzer",TRUE,"keine Abweichung")</f>
        <v>keine Abweichung</v>
      </c>
      <c r="I1179">
        <v>1</v>
      </c>
    </row>
    <row r="1180" spans="1:9" hidden="1" x14ac:dyDescent="0.3">
      <c r="A1180" s="13">
        <v>187</v>
      </c>
      <c r="B1180" s="4">
        <v>3</v>
      </c>
      <c r="C1180" t="s">
        <v>552</v>
      </c>
      <c r="D1180" t="s">
        <v>530</v>
      </c>
      <c r="E1180">
        <v>30</v>
      </c>
      <c r="F1180">
        <v>27</v>
      </c>
      <c r="G1180" s="8">
        <f>Lektionen[[#This Row],[Bearbeitungsdauer_real]]/Lektionen[[#This Row],[Bearbeitungsdauer_geschätzt]]-1</f>
        <v>-9.9999999999999978E-2</v>
      </c>
      <c r="H1180" s="8" t="str" cm="1">
        <f t="array" ref="H1180">_xlfn.IFS(Lektionen[[#This Row],[Bearbeitungsdauer_abgewichen]]&gt;0.6,"viel länger",Lektionen[[#This Row],[Bearbeitungsdauer_abgewichen]]&gt;0.3,"länger",Lektionen[[#This Row],[Bearbeitungsdauer_abgewichen]]&lt;-0.3,"kürzer",TRUE,"keine Abweichung")</f>
        <v>keine Abweichung</v>
      </c>
      <c r="I1180">
        <v>2</v>
      </c>
    </row>
    <row r="1181" spans="1:9" hidden="1" x14ac:dyDescent="0.3">
      <c r="A1181" s="13">
        <v>187</v>
      </c>
      <c r="B1181" s="4">
        <v>4</v>
      </c>
      <c r="C1181" t="s">
        <v>531</v>
      </c>
      <c r="D1181" t="s">
        <v>530</v>
      </c>
      <c r="E1181">
        <v>30</v>
      </c>
      <c r="F1181">
        <v>26</v>
      </c>
      <c r="G1181" s="8">
        <f>Lektionen[[#This Row],[Bearbeitungsdauer_real]]/Lektionen[[#This Row],[Bearbeitungsdauer_geschätzt]]-1</f>
        <v>-0.1333333333333333</v>
      </c>
      <c r="H1181" s="8" t="str" cm="1">
        <f t="array" ref="H1181">_xlfn.IFS(Lektionen[[#This Row],[Bearbeitungsdauer_abgewichen]]&gt;0.6,"viel länger",Lektionen[[#This Row],[Bearbeitungsdauer_abgewichen]]&gt;0.3,"länger",Lektionen[[#This Row],[Bearbeitungsdauer_abgewichen]]&lt;-0.3,"kürzer",TRUE,"keine Abweichung")</f>
        <v>keine Abweichung</v>
      </c>
      <c r="I1181">
        <v>2</v>
      </c>
    </row>
    <row r="1182" spans="1:9" x14ac:dyDescent="0.3">
      <c r="A1182" s="13">
        <v>187</v>
      </c>
      <c r="B1182" s="4">
        <v>5</v>
      </c>
      <c r="C1182" t="s">
        <v>532</v>
      </c>
      <c r="D1182" t="s">
        <v>530</v>
      </c>
      <c r="E1182">
        <v>30</v>
      </c>
      <c r="F1182">
        <v>46</v>
      </c>
      <c r="G1182" s="8">
        <f>Lektionen[[#This Row],[Bearbeitungsdauer_real]]/Lektionen[[#This Row],[Bearbeitungsdauer_geschätzt]]-1</f>
        <v>0.53333333333333344</v>
      </c>
      <c r="H1182" s="8" t="str" cm="1">
        <f t="array" ref="H1182">_xlfn.IFS(Lektionen[[#This Row],[Bearbeitungsdauer_abgewichen]]&gt;0.6,"viel länger",Lektionen[[#This Row],[Bearbeitungsdauer_abgewichen]]&gt;0.3,"länger",Lektionen[[#This Row],[Bearbeitungsdauer_abgewichen]]&lt;-0.3,"kürzer",TRUE,"keine Abweichung")</f>
        <v>länger</v>
      </c>
      <c r="I1182">
        <v>3</v>
      </c>
    </row>
    <row r="1183" spans="1:9" hidden="1" x14ac:dyDescent="0.3">
      <c r="A1183" s="13">
        <v>187</v>
      </c>
      <c r="B1183" s="4">
        <v>6</v>
      </c>
      <c r="C1183" t="s">
        <v>533</v>
      </c>
      <c r="D1183" t="s">
        <v>534</v>
      </c>
      <c r="E1183">
        <v>5</v>
      </c>
      <c r="F1183">
        <v>2</v>
      </c>
      <c r="G1183" s="8">
        <f>Lektionen[[#This Row],[Bearbeitungsdauer_real]]/Lektionen[[#This Row],[Bearbeitungsdauer_geschätzt]]-1</f>
        <v>-0.6</v>
      </c>
      <c r="H1183" s="8" t="str" cm="1">
        <f t="array" ref="H1183">_xlfn.IFS(Lektionen[[#This Row],[Bearbeitungsdauer_abgewichen]]&gt;0.6,"viel länger",Lektionen[[#This Row],[Bearbeitungsdauer_abgewichen]]&gt;0.3,"länger",Lektionen[[#This Row],[Bearbeitungsdauer_abgewichen]]&lt;-0.3,"kürzer",TRUE,"keine Abweichung")</f>
        <v>kürzer</v>
      </c>
      <c r="I1183">
        <v>1</v>
      </c>
    </row>
    <row r="1184" spans="1:9" hidden="1" x14ac:dyDescent="0.3">
      <c r="A1184" s="13">
        <v>187</v>
      </c>
      <c r="B1184" s="4">
        <v>7</v>
      </c>
      <c r="C1184" t="s">
        <v>535</v>
      </c>
      <c r="D1184" t="s">
        <v>536</v>
      </c>
      <c r="E1184">
        <v>10</v>
      </c>
      <c r="F1184">
        <v>10</v>
      </c>
      <c r="G1184" s="8">
        <f>Lektionen[[#This Row],[Bearbeitungsdauer_real]]/Lektionen[[#This Row],[Bearbeitungsdauer_geschätzt]]-1</f>
        <v>0</v>
      </c>
      <c r="H1184" s="8" t="str" cm="1">
        <f t="array" ref="H1184">_xlfn.IFS(Lektionen[[#This Row],[Bearbeitungsdauer_abgewichen]]&gt;0.6,"viel länger",Lektionen[[#This Row],[Bearbeitungsdauer_abgewichen]]&gt;0.3,"länger",Lektionen[[#This Row],[Bearbeitungsdauer_abgewichen]]&lt;-0.3,"kürzer",TRUE,"keine Abweichung")</f>
        <v>keine Abweichung</v>
      </c>
      <c r="I1184">
        <v>3</v>
      </c>
    </row>
    <row r="1185" spans="1:9" hidden="1" x14ac:dyDescent="0.3">
      <c r="A1185" s="13">
        <v>187</v>
      </c>
      <c r="B1185" s="4">
        <v>8</v>
      </c>
      <c r="C1185" t="s">
        <v>537</v>
      </c>
      <c r="D1185" t="s">
        <v>527</v>
      </c>
      <c r="E1185">
        <v>5</v>
      </c>
      <c r="F1185">
        <v>5</v>
      </c>
      <c r="G1185" s="8">
        <f>Lektionen[[#This Row],[Bearbeitungsdauer_real]]/Lektionen[[#This Row],[Bearbeitungsdauer_geschätzt]]-1</f>
        <v>0</v>
      </c>
      <c r="H1185" s="8" t="str" cm="1">
        <f t="array" ref="H1185">_xlfn.IFS(Lektionen[[#This Row],[Bearbeitungsdauer_abgewichen]]&gt;0.6,"viel länger",Lektionen[[#This Row],[Bearbeitungsdauer_abgewichen]]&gt;0.3,"länger",Lektionen[[#This Row],[Bearbeitungsdauer_abgewichen]]&lt;-0.3,"kürzer",TRUE,"keine Abweichung")</f>
        <v>keine Abweichung</v>
      </c>
      <c r="I1185">
        <v>1</v>
      </c>
    </row>
    <row r="1186" spans="1:9" hidden="1" x14ac:dyDescent="0.3">
      <c r="A1186" s="13">
        <v>188</v>
      </c>
      <c r="B1186" s="4">
        <v>1</v>
      </c>
      <c r="C1186" t="s">
        <v>526</v>
      </c>
      <c r="D1186" t="s">
        <v>527</v>
      </c>
      <c r="E1186">
        <v>4</v>
      </c>
      <c r="F1186">
        <v>4</v>
      </c>
      <c r="G1186" s="8">
        <f>Lektionen[[#This Row],[Bearbeitungsdauer_real]]/Lektionen[[#This Row],[Bearbeitungsdauer_geschätzt]]-1</f>
        <v>0</v>
      </c>
      <c r="H1186" s="8" t="str" cm="1">
        <f t="array" ref="H1186">_xlfn.IFS(Lektionen[[#This Row],[Bearbeitungsdauer_abgewichen]]&gt;0.6,"viel länger",Lektionen[[#This Row],[Bearbeitungsdauer_abgewichen]]&gt;0.3,"länger",Lektionen[[#This Row],[Bearbeitungsdauer_abgewichen]]&lt;-0.3,"kürzer",TRUE,"keine Abweichung")</f>
        <v>keine Abweichung</v>
      </c>
      <c r="I1186">
        <v>1</v>
      </c>
    </row>
    <row r="1187" spans="1:9" hidden="1" x14ac:dyDescent="0.3">
      <c r="A1187" s="13">
        <v>188</v>
      </c>
      <c r="B1187" s="4">
        <v>2</v>
      </c>
      <c r="C1187" t="s">
        <v>528</v>
      </c>
      <c r="D1187" t="s">
        <v>529</v>
      </c>
      <c r="E1187">
        <v>15</v>
      </c>
      <c r="F1187">
        <v>17</v>
      </c>
      <c r="G1187" s="8">
        <f>Lektionen[[#This Row],[Bearbeitungsdauer_real]]/Lektionen[[#This Row],[Bearbeitungsdauer_geschätzt]]-1</f>
        <v>0.1333333333333333</v>
      </c>
      <c r="H1187" s="8" t="str" cm="1">
        <f t="array" ref="H1187">_xlfn.IFS(Lektionen[[#This Row],[Bearbeitungsdauer_abgewichen]]&gt;0.6,"viel länger",Lektionen[[#This Row],[Bearbeitungsdauer_abgewichen]]&gt;0.3,"länger",Lektionen[[#This Row],[Bearbeitungsdauer_abgewichen]]&lt;-0.3,"kürzer",TRUE,"keine Abweichung")</f>
        <v>keine Abweichung</v>
      </c>
      <c r="I1187">
        <v>1</v>
      </c>
    </row>
    <row r="1188" spans="1:9" hidden="1" x14ac:dyDescent="0.3">
      <c r="A1188" s="13">
        <v>188</v>
      </c>
      <c r="B1188" s="4">
        <v>3</v>
      </c>
      <c r="C1188" t="s">
        <v>552</v>
      </c>
      <c r="D1188" t="s">
        <v>530</v>
      </c>
      <c r="E1188">
        <v>30</v>
      </c>
      <c r="F1188">
        <v>28</v>
      </c>
      <c r="G1188" s="8">
        <f>Lektionen[[#This Row],[Bearbeitungsdauer_real]]/Lektionen[[#This Row],[Bearbeitungsdauer_geschätzt]]-1</f>
        <v>-6.6666666666666652E-2</v>
      </c>
      <c r="H1188" s="8" t="str" cm="1">
        <f t="array" ref="H1188">_xlfn.IFS(Lektionen[[#This Row],[Bearbeitungsdauer_abgewichen]]&gt;0.6,"viel länger",Lektionen[[#This Row],[Bearbeitungsdauer_abgewichen]]&gt;0.3,"länger",Lektionen[[#This Row],[Bearbeitungsdauer_abgewichen]]&lt;-0.3,"kürzer",TRUE,"keine Abweichung")</f>
        <v>keine Abweichung</v>
      </c>
      <c r="I1188">
        <v>2</v>
      </c>
    </row>
    <row r="1189" spans="1:9" hidden="1" x14ac:dyDescent="0.3">
      <c r="A1189" s="13">
        <v>188</v>
      </c>
      <c r="B1189" s="4">
        <v>4</v>
      </c>
      <c r="C1189" t="s">
        <v>531</v>
      </c>
      <c r="D1189" t="s">
        <v>530</v>
      </c>
      <c r="E1189">
        <v>30</v>
      </c>
      <c r="F1189">
        <v>26</v>
      </c>
      <c r="G1189" s="8">
        <f>Lektionen[[#This Row],[Bearbeitungsdauer_real]]/Lektionen[[#This Row],[Bearbeitungsdauer_geschätzt]]-1</f>
        <v>-0.1333333333333333</v>
      </c>
      <c r="H1189" s="8" t="str" cm="1">
        <f t="array" ref="H1189">_xlfn.IFS(Lektionen[[#This Row],[Bearbeitungsdauer_abgewichen]]&gt;0.6,"viel länger",Lektionen[[#This Row],[Bearbeitungsdauer_abgewichen]]&gt;0.3,"länger",Lektionen[[#This Row],[Bearbeitungsdauer_abgewichen]]&lt;-0.3,"kürzer",TRUE,"keine Abweichung")</f>
        <v>keine Abweichung</v>
      </c>
      <c r="I1189">
        <v>4</v>
      </c>
    </row>
    <row r="1190" spans="1:9" x14ac:dyDescent="0.3">
      <c r="A1190" s="13">
        <v>188</v>
      </c>
      <c r="B1190" s="4">
        <v>5</v>
      </c>
      <c r="C1190" t="s">
        <v>532</v>
      </c>
      <c r="D1190" t="s">
        <v>530</v>
      </c>
      <c r="E1190">
        <v>30</v>
      </c>
      <c r="F1190">
        <v>42</v>
      </c>
      <c r="G1190" s="8">
        <f>Lektionen[[#This Row],[Bearbeitungsdauer_real]]/Lektionen[[#This Row],[Bearbeitungsdauer_geschätzt]]-1</f>
        <v>0.39999999999999991</v>
      </c>
      <c r="H1190" s="8" t="str" cm="1">
        <f t="array" ref="H1190">_xlfn.IFS(Lektionen[[#This Row],[Bearbeitungsdauer_abgewichen]]&gt;0.6,"viel länger",Lektionen[[#This Row],[Bearbeitungsdauer_abgewichen]]&gt;0.3,"länger",Lektionen[[#This Row],[Bearbeitungsdauer_abgewichen]]&lt;-0.3,"kürzer",TRUE,"keine Abweichung")</f>
        <v>länger</v>
      </c>
      <c r="I1190">
        <v>3</v>
      </c>
    </row>
    <row r="1191" spans="1:9" hidden="1" x14ac:dyDescent="0.3">
      <c r="A1191" s="13">
        <v>188</v>
      </c>
      <c r="B1191" s="4">
        <v>6</v>
      </c>
      <c r="C1191" t="s">
        <v>533</v>
      </c>
      <c r="D1191" t="s">
        <v>534</v>
      </c>
      <c r="E1191">
        <v>5</v>
      </c>
      <c r="F1191">
        <v>2</v>
      </c>
      <c r="G1191" s="8">
        <f>Lektionen[[#This Row],[Bearbeitungsdauer_real]]/Lektionen[[#This Row],[Bearbeitungsdauer_geschätzt]]-1</f>
        <v>-0.6</v>
      </c>
      <c r="H1191" s="8" t="str" cm="1">
        <f t="array" ref="H1191">_xlfn.IFS(Lektionen[[#This Row],[Bearbeitungsdauer_abgewichen]]&gt;0.6,"viel länger",Lektionen[[#This Row],[Bearbeitungsdauer_abgewichen]]&gt;0.3,"länger",Lektionen[[#This Row],[Bearbeitungsdauer_abgewichen]]&lt;-0.3,"kürzer",TRUE,"keine Abweichung")</f>
        <v>kürzer</v>
      </c>
      <c r="I1191">
        <v>3</v>
      </c>
    </row>
    <row r="1192" spans="1:9" hidden="1" x14ac:dyDescent="0.3">
      <c r="A1192" s="13">
        <v>188</v>
      </c>
      <c r="B1192" s="4">
        <v>7</v>
      </c>
      <c r="C1192" t="s">
        <v>535</v>
      </c>
      <c r="D1192" t="s">
        <v>536</v>
      </c>
      <c r="E1192">
        <v>10</v>
      </c>
      <c r="F1192">
        <v>8</v>
      </c>
      <c r="G1192" s="8">
        <f>Lektionen[[#This Row],[Bearbeitungsdauer_real]]/Lektionen[[#This Row],[Bearbeitungsdauer_geschätzt]]-1</f>
        <v>-0.19999999999999996</v>
      </c>
      <c r="H1192" s="8" t="str" cm="1">
        <f t="array" ref="H1192">_xlfn.IFS(Lektionen[[#This Row],[Bearbeitungsdauer_abgewichen]]&gt;0.6,"viel länger",Lektionen[[#This Row],[Bearbeitungsdauer_abgewichen]]&gt;0.3,"länger",Lektionen[[#This Row],[Bearbeitungsdauer_abgewichen]]&lt;-0.3,"kürzer",TRUE,"keine Abweichung")</f>
        <v>keine Abweichung</v>
      </c>
      <c r="I1192">
        <v>3</v>
      </c>
    </row>
    <row r="1193" spans="1:9" hidden="1" x14ac:dyDescent="0.3">
      <c r="A1193" s="13">
        <v>188</v>
      </c>
      <c r="B1193" s="4">
        <v>8</v>
      </c>
      <c r="C1193" t="s">
        <v>537</v>
      </c>
      <c r="D1193" t="s">
        <v>527</v>
      </c>
      <c r="E1193">
        <v>5</v>
      </c>
      <c r="F1193">
        <v>5</v>
      </c>
      <c r="G1193" s="8">
        <f>Lektionen[[#This Row],[Bearbeitungsdauer_real]]/Lektionen[[#This Row],[Bearbeitungsdauer_geschätzt]]-1</f>
        <v>0</v>
      </c>
      <c r="H1193" s="8" t="str" cm="1">
        <f t="array" ref="H1193">_xlfn.IFS(Lektionen[[#This Row],[Bearbeitungsdauer_abgewichen]]&gt;0.6,"viel länger",Lektionen[[#This Row],[Bearbeitungsdauer_abgewichen]]&gt;0.3,"länger",Lektionen[[#This Row],[Bearbeitungsdauer_abgewichen]]&lt;-0.3,"kürzer",TRUE,"keine Abweichung")</f>
        <v>keine Abweichung</v>
      </c>
      <c r="I1193">
        <v>1</v>
      </c>
    </row>
    <row r="1194" spans="1:9" hidden="1" x14ac:dyDescent="0.3">
      <c r="A1194" s="13">
        <v>190</v>
      </c>
      <c r="B1194" s="4">
        <v>1</v>
      </c>
      <c r="C1194" t="s">
        <v>526</v>
      </c>
      <c r="D1194" t="s">
        <v>527</v>
      </c>
      <c r="E1194">
        <v>4</v>
      </c>
      <c r="F1194">
        <v>4</v>
      </c>
      <c r="G1194" s="8">
        <f>Lektionen[[#This Row],[Bearbeitungsdauer_real]]/Lektionen[[#This Row],[Bearbeitungsdauer_geschätzt]]-1</f>
        <v>0</v>
      </c>
      <c r="H1194" s="8" t="str" cm="1">
        <f t="array" ref="H1194">_xlfn.IFS(Lektionen[[#This Row],[Bearbeitungsdauer_abgewichen]]&gt;0.6,"viel länger",Lektionen[[#This Row],[Bearbeitungsdauer_abgewichen]]&gt;0.3,"länger",Lektionen[[#This Row],[Bearbeitungsdauer_abgewichen]]&lt;-0.3,"kürzer",TRUE,"keine Abweichung")</f>
        <v>keine Abweichung</v>
      </c>
      <c r="I1194">
        <v>1</v>
      </c>
    </row>
    <row r="1195" spans="1:9" hidden="1" x14ac:dyDescent="0.3">
      <c r="A1195" s="13">
        <v>190</v>
      </c>
      <c r="B1195" s="4">
        <v>2</v>
      </c>
      <c r="C1195" t="s">
        <v>528</v>
      </c>
      <c r="D1195" t="s">
        <v>529</v>
      </c>
      <c r="E1195">
        <v>15</v>
      </c>
      <c r="F1195">
        <v>16</v>
      </c>
      <c r="G1195" s="8">
        <f>Lektionen[[#This Row],[Bearbeitungsdauer_real]]/Lektionen[[#This Row],[Bearbeitungsdauer_geschätzt]]-1</f>
        <v>6.6666666666666652E-2</v>
      </c>
      <c r="H1195" s="8" t="str" cm="1">
        <f t="array" ref="H1195">_xlfn.IFS(Lektionen[[#This Row],[Bearbeitungsdauer_abgewichen]]&gt;0.6,"viel länger",Lektionen[[#This Row],[Bearbeitungsdauer_abgewichen]]&gt;0.3,"länger",Lektionen[[#This Row],[Bearbeitungsdauer_abgewichen]]&lt;-0.3,"kürzer",TRUE,"keine Abweichung")</f>
        <v>keine Abweichung</v>
      </c>
      <c r="I1195">
        <v>1</v>
      </c>
    </row>
    <row r="1196" spans="1:9" hidden="1" x14ac:dyDescent="0.3">
      <c r="A1196" s="13">
        <v>190</v>
      </c>
      <c r="B1196" s="4">
        <v>3</v>
      </c>
      <c r="C1196" t="s">
        <v>552</v>
      </c>
      <c r="D1196" t="s">
        <v>530</v>
      </c>
      <c r="E1196">
        <v>30</v>
      </c>
      <c r="F1196">
        <v>28</v>
      </c>
      <c r="G1196" s="8">
        <f>Lektionen[[#This Row],[Bearbeitungsdauer_real]]/Lektionen[[#This Row],[Bearbeitungsdauer_geschätzt]]-1</f>
        <v>-6.6666666666666652E-2</v>
      </c>
      <c r="H1196" s="8" t="str" cm="1">
        <f t="array" ref="H1196">_xlfn.IFS(Lektionen[[#This Row],[Bearbeitungsdauer_abgewichen]]&gt;0.6,"viel länger",Lektionen[[#This Row],[Bearbeitungsdauer_abgewichen]]&gt;0.3,"länger",Lektionen[[#This Row],[Bearbeitungsdauer_abgewichen]]&lt;-0.3,"kürzer",TRUE,"keine Abweichung")</f>
        <v>keine Abweichung</v>
      </c>
      <c r="I1196">
        <v>2</v>
      </c>
    </row>
    <row r="1197" spans="1:9" hidden="1" x14ac:dyDescent="0.3">
      <c r="A1197" s="13">
        <v>190</v>
      </c>
      <c r="B1197" s="4">
        <v>4</v>
      </c>
      <c r="C1197" t="s">
        <v>531</v>
      </c>
      <c r="D1197" t="s">
        <v>530</v>
      </c>
      <c r="E1197">
        <v>30</v>
      </c>
      <c r="F1197">
        <v>27</v>
      </c>
      <c r="G1197" s="8">
        <f>Lektionen[[#This Row],[Bearbeitungsdauer_real]]/Lektionen[[#This Row],[Bearbeitungsdauer_geschätzt]]-1</f>
        <v>-9.9999999999999978E-2</v>
      </c>
      <c r="H1197" s="8" t="str" cm="1">
        <f t="array" ref="H1197">_xlfn.IFS(Lektionen[[#This Row],[Bearbeitungsdauer_abgewichen]]&gt;0.6,"viel länger",Lektionen[[#This Row],[Bearbeitungsdauer_abgewichen]]&gt;0.3,"länger",Lektionen[[#This Row],[Bearbeitungsdauer_abgewichen]]&lt;-0.3,"kürzer",TRUE,"keine Abweichung")</f>
        <v>keine Abweichung</v>
      </c>
      <c r="I1197">
        <v>3</v>
      </c>
    </row>
    <row r="1198" spans="1:9" x14ac:dyDescent="0.3">
      <c r="A1198" s="13">
        <v>190</v>
      </c>
      <c r="B1198" s="4">
        <v>5</v>
      </c>
      <c r="C1198" t="s">
        <v>532</v>
      </c>
      <c r="D1198" t="s">
        <v>530</v>
      </c>
      <c r="E1198">
        <v>30</v>
      </c>
      <c r="F1198">
        <v>44</v>
      </c>
      <c r="G1198" s="8">
        <f>Lektionen[[#This Row],[Bearbeitungsdauer_real]]/Lektionen[[#This Row],[Bearbeitungsdauer_geschätzt]]-1</f>
        <v>0.46666666666666656</v>
      </c>
      <c r="H1198" s="8" t="str" cm="1">
        <f t="array" ref="H1198">_xlfn.IFS(Lektionen[[#This Row],[Bearbeitungsdauer_abgewichen]]&gt;0.6,"viel länger",Lektionen[[#This Row],[Bearbeitungsdauer_abgewichen]]&gt;0.3,"länger",Lektionen[[#This Row],[Bearbeitungsdauer_abgewichen]]&lt;-0.3,"kürzer",TRUE,"keine Abweichung")</f>
        <v>länger</v>
      </c>
      <c r="I1198">
        <v>3</v>
      </c>
    </row>
    <row r="1199" spans="1:9" hidden="1" x14ac:dyDescent="0.3">
      <c r="A1199" s="13">
        <v>190</v>
      </c>
      <c r="B1199" s="4">
        <v>6</v>
      </c>
      <c r="C1199" t="s">
        <v>533</v>
      </c>
      <c r="D1199" t="s">
        <v>534</v>
      </c>
      <c r="E1199">
        <v>5</v>
      </c>
      <c r="F1199">
        <v>1</v>
      </c>
      <c r="G1199" s="8">
        <f>Lektionen[[#This Row],[Bearbeitungsdauer_real]]/Lektionen[[#This Row],[Bearbeitungsdauer_geschätzt]]-1</f>
        <v>-0.8</v>
      </c>
      <c r="H1199" s="8" t="str" cm="1">
        <f t="array" ref="H1199">_xlfn.IFS(Lektionen[[#This Row],[Bearbeitungsdauer_abgewichen]]&gt;0.6,"viel länger",Lektionen[[#This Row],[Bearbeitungsdauer_abgewichen]]&gt;0.3,"länger",Lektionen[[#This Row],[Bearbeitungsdauer_abgewichen]]&lt;-0.3,"kürzer",TRUE,"keine Abweichung")</f>
        <v>kürzer</v>
      </c>
      <c r="I1199">
        <v>2</v>
      </c>
    </row>
    <row r="1200" spans="1:9" hidden="1" x14ac:dyDescent="0.3">
      <c r="A1200" s="13">
        <v>190</v>
      </c>
      <c r="B1200" s="4">
        <v>7</v>
      </c>
      <c r="C1200" t="s">
        <v>535</v>
      </c>
      <c r="D1200" t="s">
        <v>536</v>
      </c>
      <c r="E1200">
        <v>10</v>
      </c>
      <c r="F1200">
        <v>8</v>
      </c>
      <c r="G1200" s="8">
        <f>Lektionen[[#This Row],[Bearbeitungsdauer_real]]/Lektionen[[#This Row],[Bearbeitungsdauer_geschätzt]]-1</f>
        <v>-0.19999999999999996</v>
      </c>
      <c r="H1200" s="8" t="str" cm="1">
        <f t="array" ref="H1200">_xlfn.IFS(Lektionen[[#This Row],[Bearbeitungsdauer_abgewichen]]&gt;0.6,"viel länger",Lektionen[[#This Row],[Bearbeitungsdauer_abgewichen]]&gt;0.3,"länger",Lektionen[[#This Row],[Bearbeitungsdauer_abgewichen]]&lt;-0.3,"kürzer",TRUE,"keine Abweichung")</f>
        <v>keine Abweichung</v>
      </c>
      <c r="I1200">
        <v>4</v>
      </c>
    </row>
    <row r="1201" spans="1:9" hidden="1" x14ac:dyDescent="0.3">
      <c r="A1201" s="13">
        <v>190</v>
      </c>
      <c r="B1201" s="4">
        <v>8</v>
      </c>
      <c r="C1201" t="s">
        <v>537</v>
      </c>
      <c r="D1201" t="s">
        <v>527</v>
      </c>
      <c r="E1201">
        <v>5</v>
      </c>
      <c r="F1201">
        <v>5</v>
      </c>
      <c r="G1201" s="8">
        <f>Lektionen[[#This Row],[Bearbeitungsdauer_real]]/Lektionen[[#This Row],[Bearbeitungsdauer_geschätzt]]-1</f>
        <v>0</v>
      </c>
      <c r="H1201" s="8" t="str" cm="1">
        <f t="array" ref="H1201">_xlfn.IFS(Lektionen[[#This Row],[Bearbeitungsdauer_abgewichen]]&gt;0.6,"viel länger",Lektionen[[#This Row],[Bearbeitungsdauer_abgewichen]]&gt;0.3,"länger",Lektionen[[#This Row],[Bearbeitungsdauer_abgewichen]]&lt;-0.3,"kürzer",TRUE,"keine Abweichung")</f>
        <v>keine Abweichung</v>
      </c>
      <c r="I1201">
        <v>1</v>
      </c>
    </row>
    <row r="1202" spans="1:9" hidden="1" x14ac:dyDescent="0.3">
      <c r="A1202" s="13">
        <v>191</v>
      </c>
      <c r="B1202" s="4">
        <v>1</v>
      </c>
      <c r="C1202" t="s">
        <v>526</v>
      </c>
      <c r="D1202" t="s">
        <v>527</v>
      </c>
      <c r="E1202">
        <v>4</v>
      </c>
      <c r="F1202">
        <v>4</v>
      </c>
      <c r="G1202" s="8">
        <f>Lektionen[[#This Row],[Bearbeitungsdauer_real]]/Lektionen[[#This Row],[Bearbeitungsdauer_geschätzt]]-1</f>
        <v>0</v>
      </c>
      <c r="H1202" s="8" t="str" cm="1">
        <f t="array" ref="H1202">_xlfn.IFS(Lektionen[[#This Row],[Bearbeitungsdauer_abgewichen]]&gt;0.6,"viel länger",Lektionen[[#This Row],[Bearbeitungsdauer_abgewichen]]&gt;0.3,"länger",Lektionen[[#This Row],[Bearbeitungsdauer_abgewichen]]&lt;-0.3,"kürzer",TRUE,"keine Abweichung")</f>
        <v>keine Abweichung</v>
      </c>
      <c r="I1202">
        <v>1</v>
      </c>
    </row>
    <row r="1203" spans="1:9" hidden="1" x14ac:dyDescent="0.3">
      <c r="A1203" s="13">
        <v>191</v>
      </c>
      <c r="B1203" s="4">
        <v>2</v>
      </c>
      <c r="C1203" t="s">
        <v>528</v>
      </c>
      <c r="D1203" t="s">
        <v>529</v>
      </c>
      <c r="E1203">
        <v>15</v>
      </c>
      <c r="F1203">
        <v>18</v>
      </c>
      <c r="G1203" s="8">
        <f>Lektionen[[#This Row],[Bearbeitungsdauer_real]]/Lektionen[[#This Row],[Bearbeitungsdauer_geschätzt]]-1</f>
        <v>0.19999999999999996</v>
      </c>
      <c r="H1203" s="8" t="str" cm="1">
        <f t="array" ref="H1203">_xlfn.IFS(Lektionen[[#This Row],[Bearbeitungsdauer_abgewichen]]&gt;0.6,"viel länger",Lektionen[[#This Row],[Bearbeitungsdauer_abgewichen]]&gt;0.3,"länger",Lektionen[[#This Row],[Bearbeitungsdauer_abgewichen]]&lt;-0.3,"kürzer",TRUE,"keine Abweichung")</f>
        <v>keine Abweichung</v>
      </c>
      <c r="I1203">
        <v>1</v>
      </c>
    </row>
    <row r="1204" spans="1:9" hidden="1" x14ac:dyDescent="0.3">
      <c r="A1204" s="13">
        <v>191</v>
      </c>
      <c r="B1204" s="4">
        <v>3</v>
      </c>
      <c r="C1204" t="s">
        <v>552</v>
      </c>
      <c r="D1204" t="s">
        <v>530</v>
      </c>
      <c r="E1204">
        <v>30</v>
      </c>
      <c r="F1204">
        <v>29</v>
      </c>
      <c r="G1204" s="8">
        <f>Lektionen[[#This Row],[Bearbeitungsdauer_real]]/Lektionen[[#This Row],[Bearbeitungsdauer_geschätzt]]-1</f>
        <v>-3.3333333333333326E-2</v>
      </c>
      <c r="H1204" s="8" t="str" cm="1">
        <f t="array" ref="H1204">_xlfn.IFS(Lektionen[[#This Row],[Bearbeitungsdauer_abgewichen]]&gt;0.6,"viel länger",Lektionen[[#This Row],[Bearbeitungsdauer_abgewichen]]&gt;0.3,"länger",Lektionen[[#This Row],[Bearbeitungsdauer_abgewichen]]&lt;-0.3,"kürzer",TRUE,"keine Abweichung")</f>
        <v>keine Abweichung</v>
      </c>
      <c r="I1204">
        <v>3</v>
      </c>
    </row>
    <row r="1205" spans="1:9" hidden="1" x14ac:dyDescent="0.3">
      <c r="A1205" s="13">
        <v>191</v>
      </c>
      <c r="B1205" s="4">
        <v>4</v>
      </c>
      <c r="C1205" t="s">
        <v>531</v>
      </c>
      <c r="D1205" t="s">
        <v>530</v>
      </c>
      <c r="E1205">
        <v>30</v>
      </c>
      <c r="F1205">
        <v>29</v>
      </c>
      <c r="G1205" s="8">
        <f>Lektionen[[#This Row],[Bearbeitungsdauer_real]]/Lektionen[[#This Row],[Bearbeitungsdauer_geschätzt]]-1</f>
        <v>-3.3333333333333326E-2</v>
      </c>
      <c r="H1205" s="8" t="str" cm="1">
        <f t="array" ref="H1205">_xlfn.IFS(Lektionen[[#This Row],[Bearbeitungsdauer_abgewichen]]&gt;0.6,"viel länger",Lektionen[[#This Row],[Bearbeitungsdauer_abgewichen]]&gt;0.3,"länger",Lektionen[[#This Row],[Bearbeitungsdauer_abgewichen]]&lt;-0.3,"kürzer",TRUE,"keine Abweichung")</f>
        <v>keine Abweichung</v>
      </c>
      <c r="I1205">
        <v>3</v>
      </c>
    </row>
    <row r="1206" spans="1:9" x14ac:dyDescent="0.3">
      <c r="A1206" s="13">
        <v>191</v>
      </c>
      <c r="B1206" s="4">
        <v>5</v>
      </c>
      <c r="C1206" t="s">
        <v>532</v>
      </c>
      <c r="D1206" t="s">
        <v>530</v>
      </c>
      <c r="E1206">
        <v>30</v>
      </c>
      <c r="F1206">
        <v>42</v>
      </c>
      <c r="G1206" s="8">
        <f>Lektionen[[#This Row],[Bearbeitungsdauer_real]]/Lektionen[[#This Row],[Bearbeitungsdauer_geschätzt]]-1</f>
        <v>0.39999999999999991</v>
      </c>
      <c r="H1206" s="8" t="str" cm="1">
        <f t="array" ref="H1206">_xlfn.IFS(Lektionen[[#This Row],[Bearbeitungsdauer_abgewichen]]&gt;0.6,"viel länger",Lektionen[[#This Row],[Bearbeitungsdauer_abgewichen]]&gt;0.3,"länger",Lektionen[[#This Row],[Bearbeitungsdauer_abgewichen]]&lt;-0.3,"kürzer",TRUE,"keine Abweichung")</f>
        <v>länger</v>
      </c>
      <c r="I1206">
        <v>3</v>
      </c>
    </row>
    <row r="1207" spans="1:9" hidden="1" x14ac:dyDescent="0.3">
      <c r="A1207" s="13">
        <v>191</v>
      </c>
      <c r="B1207" s="4">
        <v>6</v>
      </c>
      <c r="C1207" t="s">
        <v>533</v>
      </c>
      <c r="D1207" t="s">
        <v>534</v>
      </c>
      <c r="E1207">
        <v>5</v>
      </c>
      <c r="F1207">
        <v>1</v>
      </c>
      <c r="G1207" s="8">
        <f>Lektionen[[#This Row],[Bearbeitungsdauer_real]]/Lektionen[[#This Row],[Bearbeitungsdauer_geschätzt]]-1</f>
        <v>-0.8</v>
      </c>
      <c r="H1207" s="8" t="str" cm="1">
        <f t="array" ref="H1207">_xlfn.IFS(Lektionen[[#This Row],[Bearbeitungsdauer_abgewichen]]&gt;0.6,"viel länger",Lektionen[[#This Row],[Bearbeitungsdauer_abgewichen]]&gt;0.3,"länger",Lektionen[[#This Row],[Bearbeitungsdauer_abgewichen]]&lt;-0.3,"kürzer",TRUE,"keine Abweichung")</f>
        <v>kürzer</v>
      </c>
      <c r="I1207">
        <v>2</v>
      </c>
    </row>
    <row r="1208" spans="1:9" hidden="1" x14ac:dyDescent="0.3">
      <c r="A1208" s="13">
        <v>191</v>
      </c>
      <c r="B1208" s="4">
        <v>7</v>
      </c>
      <c r="C1208" t="s">
        <v>535</v>
      </c>
      <c r="D1208" t="s">
        <v>536</v>
      </c>
      <c r="E1208">
        <v>10</v>
      </c>
      <c r="F1208">
        <v>9</v>
      </c>
      <c r="G1208" s="8">
        <f>Lektionen[[#This Row],[Bearbeitungsdauer_real]]/Lektionen[[#This Row],[Bearbeitungsdauer_geschätzt]]-1</f>
        <v>-9.9999999999999978E-2</v>
      </c>
      <c r="H1208" s="8" t="str" cm="1">
        <f t="array" ref="H1208">_xlfn.IFS(Lektionen[[#This Row],[Bearbeitungsdauer_abgewichen]]&gt;0.6,"viel länger",Lektionen[[#This Row],[Bearbeitungsdauer_abgewichen]]&gt;0.3,"länger",Lektionen[[#This Row],[Bearbeitungsdauer_abgewichen]]&lt;-0.3,"kürzer",TRUE,"keine Abweichung")</f>
        <v>keine Abweichung</v>
      </c>
      <c r="I1208">
        <v>3</v>
      </c>
    </row>
    <row r="1209" spans="1:9" hidden="1" x14ac:dyDescent="0.3">
      <c r="A1209" s="13">
        <v>191</v>
      </c>
      <c r="B1209" s="4">
        <v>8</v>
      </c>
      <c r="C1209" t="s">
        <v>537</v>
      </c>
      <c r="D1209" t="s">
        <v>527</v>
      </c>
      <c r="E1209">
        <v>5</v>
      </c>
      <c r="F1209">
        <v>5</v>
      </c>
      <c r="G1209" s="8">
        <f>Lektionen[[#This Row],[Bearbeitungsdauer_real]]/Lektionen[[#This Row],[Bearbeitungsdauer_geschätzt]]-1</f>
        <v>0</v>
      </c>
      <c r="H1209" s="8" t="str" cm="1">
        <f t="array" ref="H1209">_xlfn.IFS(Lektionen[[#This Row],[Bearbeitungsdauer_abgewichen]]&gt;0.6,"viel länger",Lektionen[[#This Row],[Bearbeitungsdauer_abgewichen]]&gt;0.3,"länger",Lektionen[[#This Row],[Bearbeitungsdauer_abgewichen]]&lt;-0.3,"kürzer",TRUE,"keine Abweichung")</f>
        <v>keine Abweichung</v>
      </c>
      <c r="I1209">
        <v>1</v>
      </c>
    </row>
    <row r="1210" spans="1:9" hidden="1" x14ac:dyDescent="0.3">
      <c r="A1210" s="13">
        <v>192</v>
      </c>
      <c r="B1210" s="4">
        <v>1</v>
      </c>
      <c r="C1210" t="s">
        <v>526</v>
      </c>
      <c r="D1210" t="s">
        <v>527</v>
      </c>
      <c r="E1210">
        <v>4</v>
      </c>
      <c r="F1210">
        <v>4</v>
      </c>
      <c r="G1210" s="8">
        <f>Lektionen[[#This Row],[Bearbeitungsdauer_real]]/Lektionen[[#This Row],[Bearbeitungsdauer_geschätzt]]-1</f>
        <v>0</v>
      </c>
      <c r="H1210" s="8" t="str" cm="1">
        <f t="array" ref="H1210">_xlfn.IFS(Lektionen[[#This Row],[Bearbeitungsdauer_abgewichen]]&gt;0.6,"viel länger",Lektionen[[#This Row],[Bearbeitungsdauer_abgewichen]]&gt;0.3,"länger",Lektionen[[#This Row],[Bearbeitungsdauer_abgewichen]]&lt;-0.3,"kürzer",TRUE,"keine Abweichung")</f>
        <v>keine Abweichung</v>
      </c>
      <c r="I1210">
        <v>1</v>
      </c>
    </row>
    <row r="1211" spans="1:9" hidden="1" x14ac:dyDescent="0.3">
      <c r="A1211" s="13">
        <v>192</v>
      </c>
      <c r="B1211" s="4">
        <v>2</v>
      </c>
      <c r="C1211" t="s">
        <v>528</v>
      </c>
      <c r="D1211" t="s">
        <v>529</v>
      </c>
      <c r="E1211">
        <v>15</v>
      </c>
      <c r="F1211">
        <v>21</v>
      </c>
      <c r="G1211" s="8">
        <f>Lektionen[[#This Row],[Bearbeitungsdauer_real]]/Lektionen[[#This Row],[Bearbeitungsdauer_geschätzt]]-1</f>
        <v>0.39999999999999991</v>
      </c>
      <c r="H1211" s="8" t="str" cm="1">
        <f t="array" ref="H1211">_xlfn.IFS(Lektionen[[#This Row],[Bearbeitungsdauer_abgewichen]]&gt;0.6,"viel länger",Lektionen[[#This Row],[Bearbeitungsdauer_abgewichen]]&gt;0.3,"länger",Lektionen[[#This Row],[Bearbeitungsdauer_abgewichen]]&lt;-0.3,"kürzer",TRUE,"keine Abweichung")</f>
        <v>länger</v>
      </c>
      <c r="I1211">
        <v>2</v>
      </c>
    </row>
    <row r="1212" spans="1:9" hidden="1" x14ac:dyDescent="0.3">
      <c r="A1212" s="13">
        <v>192</v>
      </c>
      <c r="B1212" s="4">
        <v>3</v>
      </c>
      <c r="C1212" t="s">
        <v>552</v>
      </c>
      <c r="D1212" t="s">
        <v>530</v>
      </c>
      <c r="E1212">
        <v>30</v>
      </c>
      <c r="F1212">
        <v>29</v>
      </c>
      <c r="G1212" s="8">
        <f>Lektionen[[#This Row],[Bearbeitungsdauer_real]]/Lektionen[[#This Row],[Bearbeitungsdauer_geschätzt]]-1</f>
        <v>-3.3333333333333326E-2</v>
      </c>
      <c r="H1212" s="8" t="str" cm="1">
        <f t="array" ref="H1212">_xlfn.IFS(Lektionen[[#This Row],[Bearbeitungsdauer_abgewichen]]&gt;0.6,"viel länger",Lektionen[[#This Row],[Bearbeitungsdauer_abgewichen]]&gt;0.3,"länger",Lektionen[[#This Row],[Bearbeitungsdauer_abgewichen]]&lt;-0.3,"kürzer",TRUE,"keine Abweichung")</f>
        <v>keine Abweichung</v>
      </c>
      <c r="I1212">
        <v>2</v>
      </c>
    </row>
    <row r="1213" spans="1:9" hidden="1" x14ac:dyDescent="0.3">
      <c r="A1213" s="13">
        <v>192</v>
      </c>
      <c r="B1213" s="4">
        <v>4</v>
      </c>
      <c r="C1213" t="s">
        <v>531</v>
      </c>
      <c r="D1213" t="s">
        <v>530</v>
      </c>
      <c r="E1213">
        <v>30</v>
      </c>
      <c r="F1213">
        <v>34</v>
      </c>
      <c r="G1213" s="8">
        <f>Lektionen[[#This Row],[Bearbeitungsdauer_real]]/Lektionen[[#This Row],[Bearbeitungsdauer_geschätzt]]-1</f>
        <v>0.1333333333333333</v>
      </c>
      <c r="H1213" s="8" t="str" cm="1">
        <f t="array" ref="H1213">_xlfn.IFS(Lektionen[[#This Row],[Bearbeitungsdauer_abgewichen]]&gt;0.6,"viel länger",Lektionen[[#This Row],[Bearbeitungsdauer_abgewichen]]&gt;0.3,"länger",Lektionen[[#This Row],[Bearbeitungsdauer_abgewichen]]&lt;-0.3,"kürzer",TRUE,"keine Abweichung")</f>
        <v>keine Abweichung</v>
      </c>
      <c r="I1213">
        <v>3</v>
      </c>
    </row>
    <row r="1214" spans="1:9" x14ac:dyDescent="0.3">
      <c r="A1214" s="13">
        <v>192</v>
      </c>
      <c r="B1214" s="4">
        <v>5</v>
      </c>
      <c r="C1214" t="s">
        <v>532</v>
      </c>
      <c r="D1214" t="s">
        <v>530</v>
      </c>
      <c r="E1214">
        <v>30</v>
      </c>
      <c r="F1214">
        <v>43</v>
      </c>
      <c r="G1214" s="8">
        <f>Lektionen[[#This Row],[Bearbeitungsdauer_real]]/Lektionen[[#This Row],[Bearbeitungsdauer_geschätzt]]-1</f>
        <v>0.43333333333333335</v>
      </c>
      <c r="H1214" s="8" t="str" cm="1">
        <f t="array" ref="H1214">_xlfn.IFS(Lektionen[[#This Row],[Bearbeitungsdauer_abgewichen]]&gt;0.6,"viel länger",Lektionen[[#This Row],[Bearbeitungsdauer_abgewichen]]&gt;0.3,"länger",Lektionen[[#This Row],[Bearbeitungsdauer_abgewichen]]&lt;-0.3,"kürzer",TRUE,"keine Abweichung")</f>
        <v>länger</v>
      </c>
      <c r="I1214">
        <v>3</v>
      </c>
    </row>
    <row r="1215" spans="1:9" hidden="1" x14ac:dyDescent="0.3">
      <c r="A1215" s="13">
        <v>192</v>
      </c>
      <c r="B1215" s="4">
        <v>6</v>
      </c>
      <c r="C1215" t="s">
        <v>533</v>
      </c>
      <c r="D1215" t="s">
        <v>534</v>
      </c>
      <c r="E1215">
        <v>5</v>
      </c>
      <c r="F1215">
        <v>1</v>
      </c>
      <c r="G1215" s="8">
        <f>Lektionen[[#This Row],[Bearbeitungsdauer_real]]/Lektionen[[#This Row],[Bearbeitungsdauer_geschätzt]]-1</f>
        <v>-0.8</v>
      </c>
      <c r="H1215" s="8" t="str" cm="1">
        <f t="array" ref="H1215">_xlfn.IFS(Lektionen[[#This Row],[Bearbeitungsdauer_abgewichen]]&gt;0.6,"viel länger",Lektionen[[#This Row],[Bearbeitungsdauer_abgewichen]]&gt;0.3,"länger",Lektionen[[#This Row],[Bearbeitungsdauer_abgewichen]]&lt;-0.3,"kürzer",TRUE,"keine Abweichung")</f>
        <v>kürzer</v>
      </c>
      <c r="I1215">
        <v>3</v>
      </c>
    </row>
    <row r="1216" spans="1:9" hidden="1" x14ac:dyDescent="0.3">
      <c r="A1216" s="13">
        <v>192</v>
      </c>
      <c r="B1216" s="4">
        <v>7</v>
      </c>
      <c r="C1216" t="s">
        <v>535</v>
      </c>
      <c r="D1216" t="s">
        <v>536</v>
      </c>
      <c r="E1216">
        <v>10</v>
      </c>
      <c r="F1216">
        <v>8</v>
      </c>
      <c r="G1216" s="8">
        <f>Lektionen[[#This Row],[Bearbeitungsdauer_real]]/Lektionen[[#This Row],[Bearbeitungsdauer_geschätzt]]-1</f>
        <v>-0.19999999999999996</v>
      </c>
      <c r="H1216" s="8" t="str" cm="1">
        <f t="array" ref="H1216">_xlfn.IFS(Lektionen[[#This Row],[Bearbeitungsdauer_abgewichen]]&gt;0.6,"viel länger",Lektionen[[#This Row],[Bearbeitungsdauer_abgewichen]]&gt;0.3,"länger",Lektionen[[#This Row],[Bearbeitungsdauer_abgewichen]]&lt;-0.3,"kürzer",TRUE,"keine Abweichung")</f>
        <v>keine Abweichung</v>
      </c>
      <c r="I1216">
        <v>3</v>
      </c>
    </row>
    <row r="1217" spans="1:9" hidden="1" x14ac:dyDescent="0.3">
      <c r="A1217" s="13">
        <v>192</v>
      </c>
      <c r="B1217" s="4">
        <v>8</v>
      </c>
      <c r="C1217" t="s">
        <v>537</v>
      </c>
      <c r="D1217" t="s">
        <v>527</v>
      </c>
      <c r="E1217">
        <v>5</v>
      </c>
      <c r="F1217">
        <v>7</v>
      </c>
      <c r="G1217" s="8">
        <f>Lektionen[[#This Row],[Bearbeitungsdauer_real]]/Lektionen[[#This Row],[Bearbeitungsdauer_geschätzt]]-1</f>
        <v>0.39999999999999991</v>
      </c>
      <c r="H1217" s="8" t="str" cm="1">
        <f t="array" ref="H1217">_xlfn.IFS(Lektionen[[#This Row],[Bearbeitungsdauer_abgewichen]]&gt;0.6,"viel länger",Lektionen[[#This Row],[Bearbeitungsdauer_abgewichen]]&gt;0.3,"länger",Lektionen[[#This Row],[Bearbeitungsdauer_abgewichen]]&lt;-0.3,"kürzer",TRUE,"keine Abweichung")</f>
        <v>länger</v>
      </c>
      <c r="I1217">
        <v>1</v>
      </c>
    </row>
    <row r="1218" spans="1:9" hidden="1" x14ac:dyDescent="0.3">
      <c r="A1218" s="13">
        <v>193</v>
      </c>
      <c r="B1218" s="4">
        <v>1</v>
      </c>
      <c r="C1218" t="s">
        <v>526</v>
      </c>
      <c r="D1218" t="s">
        <v>527</v>
      </c>
      <c r="E1218">
        <v>4</v>
      </c>
      <c r="F1218">
        <v>4</v>
      </c>
      <c r="G1218" s="8">
        <f>Lektionen[[#This Row],[Bearbeitungsdauer_real]]/Lektionen[[#This Row],[Bearbeitungsdauer_geschätzt]]-1</f>
        <v>0</v>
      </c>
      <c r="H1218" s="8" t="str" cm="1">
        <f t="array" ref="H1218">_xlfn.IFS(Lektionen[[#This Row],[Bearbeitungsdauer_abgewichen]]&gt;0.6,"viel länger",Lektionen[[#This Row],[Bearbeitungsdauer_abgewichen]]&gt;0.3,"länger",Lektionen[[#This Row],[Bearbeitungsdauer_abgewichen]]&lt;-0.3,"kürzer",TRUE,"keine Abweichung")</f>
        <v>keine Abweichung</v>
      </c>
      <c r="I1218">
        <v>1</v>
      </c>
    </row>
    <row r="1219" spans="1:9" hidden="1" x14ac:dyDescent="0.3">
      <c r="A1219" s="13">
        <v>193</v>
      </c>
      <c r="B1219" s="4">
        <v>2</v>
      </c>
      <c r="C1219" t="s">
        <v>528</v>
      </c>
      <c r="D1219" t="s">
        <v>529</v>
      </c>
      <c r="E1219">
        <v>15</v>
      </c>
      <c r="F1219">
        <v>17</v>
      </c>
      <c r="G1219" s="8">
        <f>Lektionen[[#This Row],[Bearbeitungsdauer_real]]/Lektionen[[#This Row],[Bearbeitungsdauer_geschätzt]]-1</f>
        <v>0.1333333333333333</v>
      </c>
      <c r="H1219" s="8" t="str" cm="1">
        <f t="array" ref="H1219">_xlfn.IFS(Lektionen[[#This Row],[Bearbeitungsdauer_abgewichen]]&gt;0.6,"viel länger",Lektionen[[#This Row],[Bearbeitungsdauer_abgewichen]]&gt;0.3,"länger",Lektionen[[#This Row],[Bearbeitungsdauer_abgewichen]]&lt;-0.3,"kürzer",TRUE,"keine Abweichung")</f>
        <v>keine Abweichung</v>
      </c>
      <c r="I1219">
        <v>2</v>
      </c>
    </row>
    <row r="1220" spans="1:9" hidden="1" x14ac:dyDescent="0.3">
      <c r="A1220" s="13">
        <v>193</v>
      </c>
      <c r="B1220" s="4">
        <v>3</v>
      </c>
      <c r="C1220" t="s">
        <v>552</v>
      </c>
      <c r="D1220" t="s">
        <v>530</v>
      </c>
      <c r="E1220">
        <v>30</v>
      </c>
      <c r="F1220">
        <v>29</v>
      </c>
      <c r="G1220" s="8">
        <f>Lektionen[[#This Row],[Bearbeitungsdauer_real]]/Lektionen[[#This Row],[Bearbeitungsdauer_geschätzt]]-1</f>
        <v>-3.3333333333333326E-2</v>
      </c>
      <c r="H1220" s="8" t="str" cm="1">
        <f t="array" ref="H1220">_xlfn.IFS(Lektionen[[#This Row],[Bearbeitungsdauer_abgewichen]]&gt;0.6,"viel länger",Lektionen[[#This Row],[Bearbeitungsdauer_abgewichen]]&gt;0.3,"länger",Lektionen[[#This Row],[Bearbeitungsdauer_abgewichen]]&lt;-0.3,"kürzer",TRUE,"keine Abweichung")</f>
        <v>keine Abweichung</v>
      </c>
      <c r="I1220">
        <v>3</v>
      </c>
    </row>
    <row r="1221" spans="1:9" hidden="1" x14ac:dyDescent="0.3">
      <c r="A1221" s="13">
        <v>193</v>
      </c>
      <c r="B1221" s="4">
        <v>4</v>
      </c>
      <c r="C1221" t="s">
        <v>531</v>
      </c>
      <c r="D1221" t="s">
        <v>530</v>
      </c>
      <c r="E1221">
        <v>30</v>
      </c>
      <c r="F1221">
        <v>22</v>
      </c>
      <c r="G1221" s="8">
        <f>Lektionen[[#This Row],[Bearbeitungsdauer_real]]/Lektionen[[#This Row],[Bearbeitungsdauer_geschätzt]]-1</f>
        <v>-0.26666666666666672</v>
      </c>
      <c r="H1221" s="8" t="str" cm="1">
        <f t="array" ref="H1221">_xlfn.IFS(Lektionen[[#This Row],[Bearbeitungsdauer_abgewichen]]&gt;0.6,"viel länger",Lektionen[[#This Row],[Bearbeitungsdauer_abgewichen]]&gt;0.3,"länger",Lektionen[[#This Row],[Bearbeitungsdauer_abgewichen]]&lt;-0.3,"kürzer",TRUE,"keine Abweichung")</f>
        <v>keine Abweichung</v>
      </c>
      <c r="I1221">
        <v>2</v>
      </c>
    </row>
    <row r="1222" spans="1:9" x14ac:dyDescent="0.3">
      <c r="A1222" s="13">
        <v>193</v>
      </c>
      <c r="B1222" s="4">
        <v>5</v>
      </c>
      <c r="C1222" t="s">
        <v>532</v>
      </c>
      <c r="D1222" t="s">
        <v>530</v>
      </c>
      <c r="E1222">
        <v>30</v>
      </c>
      <c r="F1222">
        <v>44</v>
      </c>
      <c r="G1222" s="8">
        <f>Lektionen[[#This Row],[Bearbeitungsdauer_real]]/Lektionen[[#This Row],[Bearbeitungsdauer_geschätzt]]-1</f>
        <v>0.46666666666666656</v>
      </c>
      <c r="H1222" s="8" t="str" cm="1">
        <f t="array" ref="H1222">_xlfn.IFS(Lektionen[[#This Row],[Bearbeitungsdauer_abgewichen]]&gt;0.6,"viel länger",Lektionen[[#This Row],[Bearbeitungsdauer_abgewichen]]&gt;0.3,"länger",Lektionen[[#This Row],[Bearbeitungsdauer_abgewichen]]&lt;-0.3,"kürzer",TRUE,"keine Abweichung")</f>
        <v>länger</v>
      </c>
      <c r="I1222">
        <v>5</v>
      </c>
    </row>
    <row r="1223" spans="1:9" hidden="1" x14ac:dyDescent="0.3">
      <c r="A1223" s="13">
        <v>193</v>
      </c>
      <c r="B1223" s="4">
        <v>6</v>
      </c>
      <c r="C1223" t="s">
        <v>533</v>
      </c>
      <c r="D1223" t="s">
        <v>534</v>
      </c>
      <c r="E1223">
        <v>5</v>
      </c>
      <c r="F1223">
        <v>1</v>
      </c>
      <c r="G1223" s="8">
        <f>Lektionen[[#This Row],[Bearbeitungsdauer_real]]/Lektionen[[#This Row],[Bearbeitungsdauer_geschätzt]]-1</f>
        <v>-0.8</v>
      </c>
      <c r="H1223" s="8" t="str" cm="1">
        <f t="array" ref="H1223">_xlfn.IFS(Lektionen[[#This Row],[Bearbeitungsdauer_abgewichen]]&gt;0.6,"viel länger",Lektionen[[#This Row],[Bearbeitungsdauer_abgewichen]]&gt;0.3,"länger",Lektionen[[#This Row],[Bearbeitungsdauer_abgewichen]]&lt;-0.3,"kürzer",TRUE,"keine Abweichung")</f>
        <v>kürzer</v>
      </c>
      <c r="I1223">
        <v>2</v>
      </c>
    </row>
    <row r="1224" spans="1:9" hidden="1" x14ac:dyDescent="0.3">
      <c r="A1224" s="13">
        <v>193</v>
      </c>
      <c r="B1224" s="4">
        <v>7</v>
      </c>
      <c r="C1224" t="s">
        <v>535</v>
      </c>
      <c r="D1224" t="s">
        <v>536</v>
      </c>
      <c r="E1224">
        <v>10</v>
      </c>
      <c r="F1224">
        <v>12</v>
      </c>
      <c r="G1224" s="8">
        <f>Lektionen[[#This Row],[Bearbeitungsdauer_real]]/Lektionen[[#This Row],[Bearbeitungsdauer_geschätzt]]-1</f>
        <v>0.19999999999999996</v>
      </c>
      <c r="H1224" s="8" t="str" cm="1">
        <f t="array" ref="H1224">_xlfn.IFS(Lektionen[[#This Row],[Bearbeitungsdauer_abgewichen]]&gt;0.6,"viel länger",Lektionen[[#This Row],[Bearbeitungsdauer_abgewichen]]&gt;0.3,"länger",Lektionen[[#This Row],[Bearbeitungsdauer_abgewichen]]&lt;-0.3,"kürzer",TRUE,"keine Abweichung")</f>
        <v>keine Abweichung</v>
      </c>
      <c r="I1224">
        <v>4</v>
      </c>
    </row>
    <row r="1225" spans="1:9" hidden="1" x14ac:dyDescent="0.3">
      <c r="A1225" s="13">
        <v>193</v>
      </c>
      <c r="B1225" s="4">
        <v>8</v>
      </c>
      <c r="C1225" t="s">
        <v>537</v>
      </c>
      <c r="D1225" t="s">
        <v>527</v>
      </c>
      <c r="E1225">
        <v>5</v>
      </c>
      <c r="F1225">
        <v>6</v>
      </c>
      <c r="G1225" s="8">
        <f>Lektionen[[#This Row],[Bearbeitungsdauer_real]]/Lektionen[[#This Row],[Bearbeitungsdauer_geschätzt]]-1</f>
        <v>0.19999999999999996</v>
      </c>
      <c r="H1225" s="8" t="str" cm="1">
        <f t="array" ref="H1225">_xlfn.IFS(Lektionen[[#This Row],[Bearbeitungsdauer_abgewichen]]&gt;0.6,"viel länger",Lektionen[[#This Row],[Bearbeitungsdauer_abgewichen]]&gt;0.3,"länger",Lektionen[[#This Row],[Bearbeitungsdauer_abgewichen]]&lt;-0.3,"kürzer",TRUE,"keine Abweichung")</f>
        <v>keine Abweichung</v>
      </c>
      <c r="I1225">
        <v>1</v>
      </c>
    </row>
    <row r="1226" spans="1:9" hidden="1" x14ac:dyDescent="0.3">
      <c r="A1226" s="13">
        <v>194</v>
      </c>
      <c r="B1226" s="4">
        <v>1</v>
      </c>
      <c r="C1226" t="s">
        <v>526</v>
      </c>
      <c r="D1226" t="s">
        <v>527</v>
      </c>
      <c r="E1226">
        <v>4</v>
      </c>
      <c r="F1226">
        <v>5</v>
      </c>
      <c r="G1226" s="8">
        <f>Lektionen[[#This Row],[Bearbeitungsdauer_real]]/Lektionen[[#This Row],[Bearbeitungsdauer_geschätzt]]-1</f>
        <v>0.25</v>
      </c>
      <c r="H1226" s="8" t="str" cm="1">
        <f t="array" ref="H1226">_xlfn.IFS(Lektionen[[#This Row],[Bearbeitungsdauer_abgewichen]]&gt;0.6,"viel länger",Lektionen[[#This Row],[Bearbeitungsdauer_abgewichen]]&gt;0.3,"länger",Lektionen[[#This Row],[Bearbeitungsdauer_abgewichen]]&lt;-0.3,"kürzer",TRUE,"keine Abweichung")</f>
        <v>keine Abweichung</v>
      </c>
      <c r="I1226">
        <v>1</v>
      </c>
    </row>
    <row r="1227" spans="1:9" hidden="1" x14ac:dyDescent="0.3">
      <c r="A1227" s="13">
        <v>194</v>
      </c>
      <c r="B1227" s="4">
        <v>2</v>
      </c>
      <c r="C1227" t="s">
        <v>528</v>
      </c>
      <c r="D1227" t="s">
        <v>529</v>
      </c>
      <c r="E1227">
        <v>15</v>
      </c>
      <c r="F1227">
        <v>19</v>
      </c>
      <c r="G1227" s="8">
        <f>Lektionen[[#This Row],[Bearbeitungsdauer_real]]/Lektionen[[#This Row],[Bearbeitungsdauer_geschätzt]]-1</f>
        <v>0.26666666666666661</v>
      </c>
      <c r="H1227" s="8" t="str" cm="1">
        <f t="array" ref="H1227">_xlfn.IFS(Lektionen[[#This Row],[Bearbeitungsdauer_abgewichen]]&gt;0.6,"viel länger",Lektionen[[#This Row],[Bearbeitungsdauer_abgewichen]]&gt;0.3,"länger",Lektionen[[#This Row],[Bearbeitungsdauer_abgewichen]]&lt;-0.3,"kürzer",TRUE,"keine Abweichung")</f>
        <v>keine Abweichung</v>
      </c>
      <c r="I1227">
        <v>2</v>
      </c>
    </row>
    <row r="1228" spans="1:9" hidden="1" x14ac:dyDescent="0.3">
      <c r="A1228" s="13">
        <v>194</v>
      </c>
      <c r="B1228" s="4">
        <v>3</v>
      </c>
      <c r="C1228" t="s">
        <v>552</v>
      </c>
      <c r="D1228" t="s">
        <v>530</v>
      </c>
      <c r="E1228">
        <v>30</v>
      </c>
      <c r="F1228">
        <v>29</v>
      </c>
      <c r="G1228" s="8">
        <f>Lektionen[[#This Row],[Bearbeitungsdauer_real]]/Lektionen[[#This Row],[Bearbeitungsdauer_geschätzt]]-1</f>
        <v>-3.3333333333333326E-2</v>
      </c>
      <c r="H1228" s="8" t="str" cm="1">
        <f t="array" ref="H1228">_xlfn.IFS(Lektionen[[#This Row],[Bearbeitungsdauer_abgewichen]]&gt;0.6,"viel länger",Lektionen[[#This Row],[Bearbeitungsdauer_abgewichen]]&gt;0.3,"länger",Lektionen[[#This Row],[Bearbeitungsdauer_abgewichen]]&lt;-0.3,"kürzer",TRUE,"keine Abweichung")</f>
        <v>keine Abweichung</v>
      </c>
      <c r="I1228">
        <v>3</v>
      </c>
    </row>
    <row r="1229" spans="1:9" hidden="1" x14ac:dyDescent="0.3">
      <c r="A1229" s="13">
        <v>194</v>
      </c>
      <c r="B1229" s="4">
        <v>4</v>
      </c>
      <c r="C1229" t="s">
        <v>531</v>
      </c>
      <c r="D1229" t="s">
        <v>530</v>
      </c>
      <c r="E1229">
        <v>30</v>
      </c>
      <c r="F1229">
        <v>24</v>
      </c>
      <c r="G1229" s="8">
        <f>Lektionen[[#This Row],[Bearbeitungsdauer_real]]/Lektionen[[#This Row],[Bearbeitungsdauer_geschätzt]]-1</f>
        <v>-0.19999999999999996</v>
      </c>
      <c r="H1229" s="8" t="str" cm="1">
        <f t="array" ref="H1229">_xlfn.IFS(Lektionen[[#This Row],[Bearbeitungsdauer_abgewichen]]&gt;0.6,"viel länger",Lektionen[[#This Row],[Bearbeitungsdauer_abgewichen]]&gt;0.3,"länger",Lektionen[[#This Row],[Bearbeitungsdauer_abgewichen]]&lt;-0.3,"kürzer",TRUE,"keine Abweichung")</f>
        <v>keine Abweichung</v>
      </c>
      <c r="I1229">
        <v>3</v>
      </c>
    </row>
    <row r="1230" spans="1:9" x14ac:dyDescent="0.3">
      <c r="A1230" s="13">
        <v>194</v>
      </c>
      <c r="B1230" s="4">
        <v>5</v>
      </c>
      <c r="C1230" t="s">
        <v>532</v>
      </c>
      <c r="D1230" t="s">
        <v>530</v>
      </c>
      <c r="E1230">
        <v>30</v>
      </c>
      <c r="F1230">
        <v>49</v>
      </c>
      <c r="G1230" s="8">
        <f>Lektionen[[#This Row],[Bearbeitungsdauer_real]]/Lektionen[[#This Row],[Bearbeitungsdauer_geschätzt]]-1</f>
        <v>0.6333333333333333</v>
      </c>
      <c r="H1230" s="8" t="str" cm="1">
        <f t="array" ref="H1230">_xlfn.IFS(Lektionen[[#This Row],[Bearbeitungsdauer_abgewichen]]&gt;0.6,"viel länger",Lektionen[[#This Row],[Bearbeitungsdauer_abgewichen]]&gt;0.3,"länger",Lektionen[[#This Row],[Bearbeitungsdauer_abgewichen]]&lt;-0.3,"kürzer",TRUE,"keine Abweichung")</f>
        <v>viel länger</v>
      </c>
      <c r="I1230">
        <v>4</v>
      </c>
    </row>
    <row r="1231" spans="1:9" hidden="1" x14ac:dyDescent="0.3">
      <c r="A1231" s="13">
        <v>194</v>
      </c>
      <c r="B1231" s="4">
        <v>6</v>
      </c>
      <c r="C1231" t="s">
        <v>533</v>
      </c>
      <c r="D1231" t="s">
        <v>534</v>
      </c>
      <c r="E1231">
        <v>5</v>
      </c>
      <c r="F1231">
        <v>1</v>
      </c>
      <c r="G1231" s="8">
        <f>Lektionen[[#This Row],[Bearbeitungsdauer_real]]/Lektionen[[#This Row],[Bearbeitungsdauer_geschätzt]]-1</f>
        <v>-0.8</v>
      </c>
      <c r="H1231" s="8" t="str" cm="1">
        <f t="array" ref="H1231">_xlfn.IFS(Lektionen[[#This Row],[Bearbeitungsdauer_abgewichen]]&gt;0.6,"viel länger",Lektionen[[#This Row],[Bearbeitungsdauer_abgewichen]]&gt;0.3,"länger",Lektionen[[#This Row],[Bearbeitungsdauer_abgewichen]]&lt;-0.3,"kürzer",TRUE,"keine Abweichung")</f>
        <v>kürzer</v>
      </c>
      <c r="I1231">
        <v>2</v>
      </c>
    </row>
    <row r="1232" spans="1:9" hidden="1" x14ac:dyDescent="0.3">
      <c r="A1232" s="13">
        <v>194</v>
      </c>
      <c r="B1232" s="4">
        <v>7</v>
      </c>
      <c r="C1232" t="s">
        <v>535</v>
      </c>
      <c r="D1232" t="s">
        <v>536</v>
      </c>
      <c r="E1232">
        <v>10</v>
      </c>
      <c r="F1232">
        <v>10</v>
      </c>
      <c r="G1232" s="8">
        <f>Lektionen[[#This Row],[Bearbeitungsdauer_real]]/Lektionen[[#This Row],[Bearbeitungsdauer_geschätzt]]-1</f>
        <v>0</v>
      </c>
      <c r="H1232" s="8" t="str" cm="1">
        <f t="array" ref="H1232">_xlfn.IFS(Lektionen[[#This Row],[Bearbeitungsdauer_abgewichen]]&gt;0.6,"viel länger",Lektionen[[#This Row],[Bearbeitungsdauer_abgewichen]]&gt;0.3,"länger",Lektionen[[#This Row],[Bearbeitungsdauer_abgewichen]]&lt;-0.3,"kürzer",TRUE,"keine Abweichung")</f>
        <v>keine Abweichung</v>
      </c>
      <c r="I1232">
        <v>4</v>
      </c>
    </row>
    <row r="1233" spans="1:9" hidden="1" x14ac:dyDescent="0.3">
      <c r="A1233" s="13">
        <v>194</v>
      </c>
      <c r="B1233" s="4">
        <v>8</v>
      </c>
      <c r="C1233" t="s">
        <v>537</v>
      </c>
      <c r="D1233" t="s">
        <v>527</v>
      </c>
      <c r="E1233">
        <v>5</v>
      </c>
      <c r="F1233">
        <v>5</v>
      </c>
      <c r="G1233" s="8">
        <f>Lektionen[[#This Row],[Bearbeitungsdauer_real]]/Lektionen[[#This Row],[Bearbeitungsdauer_geschätzt]]-1</f>
        <v>0</v>
      </c>
      <c r="H1233" s="8" t="str" cm="1">
        <f t="array" ref="H1233">_xlfn.IFS(Lektionen[[#This Row],[Bearbeitungsdauer_abgewichen]]&gt;0.6,"viel länger",Lektionen[[#This Row],[Bearbeitungsdauer_abgewichen]]&gt;0.3,"länger",Lektionen[[#This Row],[Bearbeitungsdauer_abgewichen]]&lt;-0.3,"kürzer",TRUE,"keine Abweichung")</f>
        <v>keine Abweichung</v>
      </c>
      <c r="I1233">
        <v>2</v>
      </c>
    </row>
    <row r="1234" spans="1:9" hidden="1" x14ac:dyDescent="0.3">
      <c r="A1234" s="13">
        <v>195</v>
      </c>
      <c r="B1234" s="4">
        <v>1</v>
      </c>
      <c r="C1234" t="s">
        <v>526</v>
      </c>
      <c r="D1234" t="s">
        <v>527</v>
      </c>
      <c r="E1234">
        <v>4</v>
      </c>
      <c r="F1234">
        <v>4</v>
      </c>
      <c r="G1234" s="8">
        <f>Lektionen[[#This Row],[Bearbeitungsdauer_real]]/Lektionen[[#This Row],[Bearbeitungsdauer_geschätzt]]-1</f>
        <v>0</v>
      </c>
      <c r="H1234" s="8" t="str" cm="1">
        <f t="array" ref="H1234">_xlfn.IFS(Lektionen[[#This Row],[Bearbeitungsdauer_abgewichen]]&gt;0.6,"viel länger",Lektionen[[#This Row],[Bearbeitungsdauer_abgewichen]]&gt;0.3,"länger",Lektionen[[#This Row],[Bearbeitungsdauer_abgewichen]]&lt;-0.3,"kürzer",TRUE,"keine Abweichung")</f>
        <v>keine Abweichung</v>
      </c>
      <c r="I1234">
        <v>1</v>
      </c>
    </row>
    <row r="1235" spans="1:9" hidden="1" x14ac:dyDescent="0.3">
      <c r="A1235" s="13">
        <v>195</v>
      </c>
      <c r="B1235" s="4">
        <v>2</v>
      </c>
      <c r="C1235" t="s">
        <v>528</v>
      </c>
      <c r="D1235" t="s">
        <v>529</v>
      </c>
      <c r="E1235">
        <v>15</v>
      </c>
      <c r="F1235">
        <v>18</v>
      </c>
      <c r="G1235" s="8">
        <f>Lektionen[[#This Row],[Bearbeitungsdauer_real]]/Lektionen[[#This Row],[Bearbeitungsdauer_geschätzt]]-1</f>
        <v>0.19999999999999996</v>
      </c>
      <c r="H1235" s="8" t="str" cm="1">
        <f t="array" ref="H1235">_xlfn.IFS(Lektionen[[#This Row],[Bearbeitungsdauer_abgewichen]]&gt;0.6,"viel länger",Lektionen[[#This Row],[Bearbeitungsdauer_abgewichen]]&gt;0.3,"länger",Lektionen[[#This Row],[Bearbeitungsdauer_abgewichen]]&lt;-0.3,"kürzer",TRUE,"keine Abweichung")</f>
        <v>keine Abweichung</v>
      </c>
      <c r="I1235">
        <v>1</v>
      </c>
    </row>
    <row r="1236" spans="1:9" hidden="1" x14ac:dyDescent="0.3">
      <c r="A1236" s="13">
        <v>195</v>
      </c>
      <c r="B1236" s="4">
        <v>3</v>
      </c>
      <c r="C1236" t="s">
        <v>552</v>
      </c>
      <c r="D1236" t="s">
        <v>530</v>
      </c>
      <c r="E1236">
        <v>30</v>
      </c>
      <c r="F1236">
        <v>28</v>
      </c>
      <c r="G1236" s="8">
        <f>Lektionen[[#This Row],[Bearbeitungsdauer_real]]/Lektionen[[#This Row],[Bearbeitungsdauer_geschätzt]]-1</f>
        <v>-6.6666666666666652E-2</v>
      </c>
      <c r="H1236" s="8" t="str" cm="1">
        <f t="array" ref="H1236">_xlfn.IFS(Lektionen[[#This Row],[Bearbeitungsdauer_abgewichen]]&gt;0.6,"viel länger",Lektionen[[#This Row],[Bearbeitungsdauer_abgewichen]]&gt;0.3,"länger",Lektionen[[#This Row],[Bearbeitungsdauer_abgewichen]]&lt;-0.3,"kürzer",TRUE,"keine Abweichung")</f>
        <v>keine Abweichung</v>
      </c>
      <c r="I1236">
        <v>3</v>
      </c>
    </row>
    <row r="1237" spans="1:9" hidden="1" x14ac:dyDescent="0.3">
      <c r="A1237" s="13">
        <v>195</v>
      </c>
      <c r="B1237" s="4">
        <v>4</v>
      </c>
      <c r="C1237" t="s">
        <v>531</v>
      </c>
      <c r="D1237" t="s">
        <v>530</v>
      </c>
      <c r="E1237">
        <v>30</v>
      </c>
      <c r="F1237">
        <v>24</v>
      </c>
      <c r="G1237" s="8">
        <f>Lektionen[[#This Row],[Bearbeitungsdauer_real]]/Lektionen[[#This Row],[Bearbeitungsdauer_geschätzt]]-1</f>
        <v>-0.19999999999999996</v>
      </c>
      <c r="H1237" s="8" t="str" cm="1">
        <f t="array" ref="H1237">_xlfn.IFS(Lektionen[[#This Row],[Bearbeitungsdauer_abgewichen]]&gt;0.6,"viel länger",Lektionen[[#This Row],[Bearbeitungsdauer_abgewichen]]&gt;0.3,"länger",Lektionen[[#This Row],[Bearbeitungsdauer_abgewichen]]&lt;-0.3,"kürzer",TRUE,"keine Abweichung")</f>
        <v>keine Abweichung</v>
      </c>
      <c r="I1237">
        <v>3</v>
      </c>
    </row>
    <row r="1238" spans="1:9" x14ac:dyDescent="0.3">
      <c r="A1238" s="13">
        <v>195</v>
      </c>
      <c r="B1238" s="4">
        <v>5</v>
      </c>
      <c r="C1238" t="s">
        <v>532</v>
      </c>
      <c r="D1238" t="s">
        <v>530</v>
      </c>
      <c r="E1238">
        <v>30</v>
      </c>
      <c r="F1238">
        <v>52</v>
      </c>
      <c r="G1238" s="8">
        <f>Lektionen[[#This Row],[Bearbeitungsdauer_real]]/Lektionen[[#This Row],[Bearbeitungsdauer_geschätzt]]-1</f>
        <v>0.73333333333333339</v>
      </c>
      <c r="H1238" s="8" t="str" cm="1">
        <f t="array" ref="H1238">_xlfn.IFS(Lektionen[[#This Row],[Bearbeitungsdauer_abgewichen]]&gt;0.6,"viel länger",Lektionen[[#This Row],[Bearbeitungsdauer_abgewichen]]&gt;0.3,"länger",Lektionen[[#This Row],[Bearbeitungsdauer_abgewichen]]&lt;-0.3,"kürzer",TRUE,"keine Abweichung")</f>
        <v>viel länger</v>
      </c>
      <c r="I1238">
        <v>4</v>
      </c>
    </row>
    <row r="1239" spans="1:9" hidden="1" x14ac:dyDescent="0.3">
      <c r="A1239" s="13">
        <v>195</v>
      </c>
      <c r="B1239" s="4">
        <v>6</v>
      </c>
      <c r="C1239" t="s">
        <v>533</v>
      </c>
      <c r="D1239" t="s">
        <v>534</v>
      </c>
      <c r="E1239">
        <v>5</v>
      </c>
      <c r="F1239">
        <v>1</v>
      </c>
      <c r="G1239" s="8">
        <f>Lektionen[[#This Row],[Bearbeitungsdauer_real]]/Lektionen[[#This Row],[Bearbeitungsdauer_geschätzt]]-1</f>
        <v>-0.8</v>
      </c>
      <c r="H1239" s="8" t="str" cm="1">
        <f t="array" ref="H1239">_xlfn.IFS(Lektionen[[#This Row],[Bearbeitungsdauer_abgewichen]]&gt;0.6,"viel länger",Lektionen[[#This Row],[Bearbeitungsdauer_abgewichen]]&gt;0.3,"länger",Lektionen[[#This Row],[Bearbeitungsdauer_abgewichen]]&lt;-0.3,"kürzer",TRUE,"keine Abweichung")</f>
        <v>kürzer</v>
      </c>
      <c r="I1239">
        <v>2</v>
      </c>
    </row>
    <row r="1240" spans="1:9" hidden="1" x14ac:dyDescent="0.3">
      <c r="A1240" s="13">
        <v>195</v>
      </c>
      <c r="B1240" s="4">
        <v>7</v>
      </c>
      <c r="C1240" t="s">
        <v>535</v>
      </c>
      <c r="D1240" t="s">
        <v>536</v>
      </c>
      <c r="E1240">
        <v>10</v>
      </c>
      <c r="F1240">
        <v>11</v>
      </c>
      <c r="G1240" s="8">
        <f>Lektionen[[#This Row],[Bearbeitungsdauer_real]]/Lektionen[[#This Row],[Bearbeitungsdauer_geschätzt]]-1</f>
        <v>0.10000000000000009</v>
      </c>
      <c r="H1240" s="8" t="str" cm="1">
        <f t="array" ref="H1240">_xlfn.IFS(Lektionen[[#This Row],[Bearbeitungsdauer_abgewichen]]&gt;0.6,"viel länger",Lektionen[[#This Row],[Bearbeitungsdauer_abgewichen]]&gt;0.3,"länger",Lektionen[[#This Row],[Bearbeitungsdauer_abgewichen]]&lt;-0.3,"kürzer",TRUE,"keine Abweichung")</f>
        <v>keine Abweichung</v>
      </c>
      <c r="I1240">
        <v>3</v>
      </c>
    </row>
    <row r="1241" spans="1:9" hidden="1" x14ac:dyDescent="0.3">
      <c r="A1241" s="13">
        <v>195</v>
      </c>
      <c r="B1241" s="4">
        <v>8</v>
      </c>
      <c r="C1241" t="s">
        <v>537</v>
      </c>
      <c r="D1241" t="s">
        <v>527</v>
      </c>
      <c r="E1241">
        <v>5</v>
      </c>
      <c r="F1241">
        <v>5</v>
      </c>
      <c r="G1241" s="8">
        <f>Lektionen[[#This Row],[Bearbeitungsdauer_real]]/Lektionen[[#This Row],[Bearbeitungsdauer_geschätzt]]-1</f>
        <v>0</v>
      </c>
      <c r="H1241" s="8" t="str" cm="1">
        <f t="array" ref="H1241">_xlfn.IFS(Lektionen[[#This Row],[Bearbeitungsdauer_abgewichen]]&gt;0.6,"viel länger",Lektionen[[#This Row],[Bearbeitungsdauer_abgewichen]]&gt;0.3,"länger",Lektionen[[#This Row],[Bearbeitungsdauer_abgewichen]]&lt;-0.3,"kürzer",TRUE,"keine Abweichung")</f>
        <v>keine Abweichung</v>
      </c>
      <c r="I1241">
        <v>1</v>
      </c>
    </row>
    <row r="1242" spans="1:9" hidden="1" x14ac:dyDescent="0.3">
      <c r="A1242" s="13">
        <v>196</v>
      </c>
      <c r="B1242" s="4">
        <v>1</v>
      </c>
      <c r="C1242" t="s">
        <v>526</v>
      </c>
      <c r="D1242" t="s">
        <v>527</v>
      </c>
      <c r="E1242">
        <v>4</v>
      </c>
      <c r="F1242">
        <v>4</v>
      </c>
      <c r="G1242" s="8">
        <f>Lektionen[[#This Row],[Bearbeitungsdauer_real]]/Lektionen[[#This Row],[Bearbeitungsdauer_geschätzt]]-1</f>
        <v>0</v>
      </c>
      <c r="H1242" s="8" t="str" cm="1">
        <f t="array" ref="H1242">_xlfn.IFS(Lektionen[[#This Row],[Bearbeitungsdauer_abgewichen]]&gt;0.6,"viel länger",Lektionen[[#This Row],[Bearbeitungsdauer_abgewichen]]&gt;0.3,"länger",Lektionen[[#This Row],[Bearbeitungsdauer_abgewichen]]&lt;-0.3,"kürzer",TRUE,"keine Abweichung")</f>
        <v>keine Abweichung</v>
      </c>
      <c r="I1242">
        <v>1</v>
      </c>
    </row>
    <row r="1243" spans="1:9" hidden="1" x14ac:dyDescent="0.3">
      <c r="A1243" s="13">
        <v>196</v>
      </c>
      <c r="B1243" s="4">
        <v>2</v>
      </c>
      <c r="C1243" t="s">
        <v>528</v>
      </c>
      <c r="D1243" t="s">
        <v>529</v>
      </c>
      <c r="E1243">
        <v>15</v>
      </c>
      <c r="F1243">
        <v>18</v>
      </c>
      <c r="G1243" s="8">
        <f>Lektionen[[#This Row],[Bearbeitungsdauer_real]]/Lektionen[[#This Row],[Bearbeitungsdauer_geschätzt]]-1</f>
        <v>0.19999999999999996</v>
      </c>
      <c r="H1243" s="8" t="str" cm="1">
        <f t="array" ref="H1243">_xlfn.IFS(Lektionen[[#This Row],[Bearbeitungsdauer_abgewichen]]&gt;0.6,"viel länger",Lektionen[[#This Row],[Bearbeitungsdauer_abgewichen]]&gt;0.3,"länger",Lektionen[[#This Row],[Bearbeitungsdauer_abgewichen]]&lt;-0.3,"kürzer",TRUE,"keine Abweichung")</f>
        <v>keine Abweichung</v>
      </c>
      <c r="I1243">
        <v>1</v>
      </c>
    </row>
    <row r="1244" spans="1:9" hidden="1" x14ac:dyDescent="0.3">
      <c r="A1244" s="13">
        <v>196</v>
      </c>
      <c r="B1244" s="4">
        <v>3</v>
      </c>
      <c r="C1244" t="s">
        <v>552</v>
      </c>
      <c r="D1244" t="s">
        <v>530</v>
      </c>
      <c r="E1244">
        <v>30</v>
      </c>
      <c r="F1244">
        <v>21</v>
      </c>
      <c r="G1244" s="8">
        <f>Lektionen[[#This Row],[Bearbeitungsdauer_real]]/Lektionen[[#This Row],[Bearbeitungsdauer_geschätzt]]-1</f>
        <v>-0.30000000000000004</v>
      </c>
      <c r="H1244" s="8" t="str" cm="1">
        <f t="array" ref="H1244">_xlfn.IFS(Lektionen[[#This Row],[Bearbeitungsdauer_abgewichen]]&gt;0.6,"viel länger",Lektionen[[#This Row],[Bearbeitungsdauer_abgewichen]]&gt;0.3,"länger",Lektionen[[#This Row],[Bearbeitungsdauer_abgewichen]]&lt;-0.3,"kürzer",TRUE,"keine Abweichung")</f>
        <v>keine Abweichung</v>
      </c>
      <c r="I1244">
        <v>2</v>
      </c>
    </row>
    <row r="1245" spans="1:9" hidden="1" x14ac:dyDescent="0.3">
      <c r="A1245" s="13">
        <v>196</v>
      </c>
      <c r="B1245" s="4">
        <v>4</v>
      </c>
      <c r="C1245" t="s">
        <v>531</v>
      </c>
      <c r="D1245" t="s">
        <v>530</v>
      </c>
      <c r="E1245">
        <v>30</v>
      </c>
      <c r="F1245">
        <v>32</v>
      </c>
      <c r="G1245" s="8">
        <f>Lektionen[[#This Row],[Bearbeitungsdauer_real]]/Lektionen[[#This Row],[Bearbeitungsdauer_geschätzt]]-1</f>
        <v>6.6666666666666652E-2</v>
      </c>
      <c r="H1245" s="8" t="str" cm="1">
        <f t="array" ref="H1245">_xlfn.IFS(Lektionen[[#This Row],[Bearbeitungsdauer_abgewichen]]&gt;0.6,"viel länger",Lektionen[[#This Row],[Bearbeitungsdauer_abgewichen]]&gt;0.3,"länger",Lektionen[[#This Row],[Bearbeitungsdauer_abgewichen]]&lt;-0.3,"kürzer",TRUE,"keine Abweichung")</f>
        <v>keine Abweichung</v>
      </c>
      <c r="I1245">
        <v>2</v>
      </c>
    </row>
    <row r="1246" spans="1:9" x14ac:dyDescent="0.3">
      <c r="A1246" s="13">
        <v>196</v>
      </c>
      <c r="B1246" s="4">
        <v>5</v>
      </c>
      <c r="C1246" t="s">
        <v>532</v>
      </c>
      <c r="D1246" t="s">
        <v>530</v>
      </c>
      <c r="E1246">
        <v>30</v>
      </c>
      <c r="F1246">
        <v>47</v>
      </c>
      <c r="G1246" s="8">
        <f>Lektionen[[#This Row],[Bearbeitungsdauer_real]]/Lektionen[[#This Row],[Bearbeitungsdauer_geschätzt]]-1</f>
        <v>0.56666666666666665</v>
      </c>
      <c r="H1246" s="8" t="str" cm="1">
        <f t="array" ref="H1246">_xlfn.IFS(Lektionen[[#This Row],[Bearbeitungsdauer_abgewichen]]&gt;0.6,"viel länger",Lektionen[[#This Row],[Bearbeitungsdauer_abgewichen]]&gt;0.3,"länger",Lektionen[[#This Row],[Bearbeitungsdauer_abgewichen]]&lt;-0.3,"kürzer",TRUE,"keine Abweichung")</f>
        <v>länger</v>
      </c>
      <c r="I1246">
        <v>4</v>
      </c>
    </row>
    <row r="1247" spans="1:9" hidden="1" x14ac:dyDescent="0.3">
      <c r="A1247" s="13">
        <v>196</v>
      </c>
      <c r="B1247" s="4">
        <v>6</v>
      </c>
      <c r="C1247" t="s">
        <v>533</v>
      </c>
      <c r="D1247" t="s">
        <v>534</v>
      </c>
      <c r="E1247">
        <v>5</v>
      </c>
      <c r="F1247">
        <v>1</v>
      </c>
      <c r="G1247" s="8">
        <f>Lektionen[[#This Row],[Bearbeitungsdauer_real]]/Lektionen[[#This Row],[Bearbeitungsdauer_geschätzt]]-1</f>
        <v>-0.8</v>
      </c>
      <c r="H1247" s="8" t="str" cm="1">
        <f t="array" ref="H1247">_xlfn.IFS(Lektionen[[#This Row],[Bearbeitungsdauer_abgewichen]]&gt;0.6,"viel länger",Lektionen[[#This Row],[Bearbeitungsdauer_abgewichen]]&gt;0.3,"länger",Lektionen[[#This Row],[Bearbeitungsdauer_abgewichen]]&lt;-0.3,"kürzer",TRUE,"keine Abweichung")</f>
        <v>kürzer</v>
      </c>
      <c r="I1247">
        <v>2</v>
      </c>
    </row>
    <row r="1248" spans="1:9" hidden="1" x14ac:dyDescent="0.3">
      <c r="A1248" s="13">
        <v>196</v>
      </c>
      <c r="B1248" s="4">
        <v>7</v>
      </c>
      <c r="C1248" t="s">
        <v>535</v>
      </c>
      <c r="D1248" t="s">
        <v>536</v>
      </c>
      <c r="E1248">
        <v>10</v>
      </c>
      <c r="F1248">
        <v>10</v>
      </c>
      <c r="G1248" s="8">
        <f>Lektionen[[#This Row],[Bearbeitungsdauer_real]]/Lektionen[[#This Row],[Bearbeitungsdauer_geschätzt]]-1</f>
        <v>0</v>
      </c>
      <c r="H1248" s="8" t="str" cm="1">
        <f t="array" ref="H1248">_xlfn.IFS(Lektionen[[#This Row],[Bearbeitungsdauer_abgewichen]]&gt;0.6,"viel länger",Lektionen[[#This Row],[Bearbeitungsdauer_abgewichen]]&gt;0.3,"länger",Lektionen[[#This Row],[Bearbeitungsdauer_abgewichen]]&lt;-0.3,"kürzer",TRUE,"keine Abweichung")</f>
        <v>keine Abweichung</v>
      </c>
      <c r="I1248">
        <v>4</v>
      </c>
    </row>
    <row r="1249" spans="1:9" hidden="1" x14ac:dyDescent="0.3">
      <c r="A1249" s="13">
        <v>196</v>
      </c>
      <c r="B1249" s="4">
        <v>8</v>
      </c>
      <c r="C1249" t="s">
        <v>537</v>
      </c>
      <c r="D1249" t="s">
        <v>527</v>
      </c>
      <c r="E1249">
        <v>5</v>
      </c>
      <c r="F1249">
        <v>6</v>
      </c>
      <c r="G1249" s="8">
        <f>Lektionen[[#This Row],[Bearbeitungsdauer_real]]/Lektionen[[#This Row],[Bearbeitungsdauer_geschätzt]]-1</f>
        <v>0.19999999999999996</v>
      </c>
      <c r="H1249" s="8" t="str" cm="1">
        <f t="array" ref="H1249">_xlfn.IFS(Lektionen[[#This Row],[Bearbeitungsdauer_abgewichen]]&gt;0.6,"viel länger",Lektionen[[#This Row],[Bearbeitungsdauer_abgewichen]]&gt;0.3,"länger",Lektionen[[#This Row],[Bearbeitungsdauer_abgewichen]]&lt;-0.3,"kürzer",TRUE,"keine Abweichung")</f>
        <v>keine Abweichung</v>
      </c>
      <c r="I1249">
        <v>1</v>
      </c>
    </row>
    <row r="1250" spans="1:9" hidden="1" x14ac:dyDescent="0.3">
      <c r="A1250" s="13">
        <v>197</v>
      </c>
      <c r="B1250" s="4">
        <v>1</v>
      </c>
      <c r="C1250" t="s">
        <v>526</v>
      </c>
      <c r="D1250" t="s">
        <v>527</v>
      </c>
      <c r="E1250">
        <v>4</v>
      </c>
      <c r="F1250">
        <v>4</v>
      </c>
      <c r="G1250" s="8">
        <f>Lektionen[[#This Row],[Bearbeitungsdauer_real]]/Lektionen[[#This Row],[Bearbeitungsdauer_geschätzt]]-1</f>
        <v>0</v>
      </c>
      <c r="H1250" s="8" t="str" cm="1">
        <f t="array" ref="H1250">_xlfn.IFS(Lektionen[[#This Row],[Bearbeitungsdauer_abgewichen]]&gt;0.6,"viel länger",Lektionen[[#This Row],[Bearbeitungsdauer_abgewichen]]&gt;0.3,"länger",Lektionen[[#This Row],[Bearbeitungsdauer_abgewichen]]&lt;-0.3,"kürzer",TRUE,"keine Abweichung")</f>
        <v>keine Abweichung</v>
      </c>
      <c r="I1250">
        <v>1</v>
      </c>
    </row>
    <row r="1251" spans="1:9" hidden="1" x14ac:dyDescent="0.3">
      <c r="A1251" s="13">
        <v>197</v>
      </c>
      <c r="B1251" s="4">
        <v>2</v>
      </c>
      <c r="C1251" t="s">
        <v>528</v>
      </c>
      <c r="D1251" t="s">
        <v>529</v>
      </c>
      <c r="E1251">
        <v>15</v>
      </c>
      <c r="F1251">
        <v>19</v>
      </c>
      <c r="G1251" s="8">
        <f>Lektionen[[#This Row],[Bearbeitungsdauer_real]]/Lektionen[[#This Row],[Bearbeitungsdauer_geschätzt]]-1</f>
        <v>0.26666666666666661</v>
      </c>
      <c r="H1251" s="8" t="str" cm="1">
        <f t="array" ref="H1251">_xlfn.IFS(Lektionen[[#This Row],[Bearbeitungsdauer_abgewichen]]&gt;0.6,"viel länger",Lektionen[[#This Row],[Bearbeitungsdauer_abgewichen]]&gt;0.3,"länger",Lektionen[[#This Row],[Bearbeitungsdauer_abgewichen]]&lt;-0.3,"kürzer",TRUE,"keine Abweichung")</f>
        <v>keine Abweichung</v>
      </c>
      <c r="I1251">
        <v>1</v>
      </c>
    </row>
    <row r="1252" spans="1:9" hidden="1" x14ac:dyDescent="0.3">
      <c r="A1252" s="13">
        <v>197</v>
      </c>
      <c r="B1252" s="4">
        <v>3</v>
      </c>
      <c r="C1252" t="s">
        <v>552</v>
      </c>
      <c r="D1252" t="s">
        <v>530</v>
      </c>
      <c r="E1252">
        <v>30</v>
      </c>
      <c r="F1252">
        <v>28</v>
      </c>
      <c r="G1252" s="8">
        <f>Lektionen[[#This Row],[Bearbeitungsdauer_real]]/Lektionen[[#This Row],[Bearbeitungsdauer_geschätzt]]-1</f>
        <v>-6.6666666666666652E-2</v>
      </c>
      <c r="H1252" s="8" t="str" cm="1">
        <f t="array" ref="H1252">_xlfn.IFS(Lektionen[[#This Row],[Bearbeitungsdauer_abgewichen]]&gt;0.6,"viel länger",Lektionen[[#This Row],[Bearbeitungsdauer_abgewichen]]&gt;0.3,"länger",Lektionen[[#This Row],[Bearbeitungsdauer_abgewichen]]&lt;-0.3,"kürzer",TRUE,"keine Abweichung")</f>
        <v>keine Abweichung</v>
      </c>
      <c r="I1252">
        <v>3</v>
      </c>
    </row>
    <row r="1253" spans="1:9" hidden="1" x14ac:dyDescent="0.3">
      <c r="A1253" s="13">
        <v>197</v>
      </c>
      <c r="B1253" s="4">
        <v>4</v>
      </c>
      <c r="C1253" t="s">
        <v>531</v>
      </c>
      <c r="D1253" t="s">
        <v>530</v>
      </c>
      <c r="E1253">
        <v>30</v>
      </c>
      <c r="F1253">
        <v>25</v>
      </c>
      <c r="G1253" s="8">
        <f>Lektionen[[#This Row],[Bearbeitungsdauer_real]]/Lektionen[[#This Row],[Bearbeitungsdauer_geschätzt]]-1</f>
        <v>-0.16666666666666663</v>
      </c>
      <c r="H1253" s="8" t="str" cm="1">
        <f t="array" ref="H1253">_xlfn.IFS(Lektionen[[#This Row],[Bearbeitungsdauer_abgewichen]]&gt;0.6,"viel länger",Lektionen[[#This Row],[Bearbeitungsdauer_abgewichen]]&gt;0.3,"länger",Lektionen[[#This Row],[Bearbeitungsdauer_abgewichen]]&lt;-0.3,"kürzer",TRUE,"keine Abweichung")</f>
        <v>keine Abweichung</v>
      </c>
      <c r="I1253">
        <v>4</v>
      </c>
    </row>
    <row r="1254" spans="1:9" x14ac:dyDescent="0.3">
      <c r="A1254" s="13">
        <v>197</v>
      </c>
      <c r="B1254" s="4">
        <v>5</v>
      </c>
      <c r="C1254" t="s">
        <v>532</v>
      </c>
      <c r="D1254" t="s">
        <v>530</v>
      </c>
      <c r="E1254">
        <v>30</v>
      </c>
      <c r="F1254">
        <v>48</v>
      </c>
      <c r="G1254" s="8">
        <f>Lektionen[[#This Row],[Bearbeitungsdauer_real]]/Lektionen[[#This Row],[Bearbeitungsdauer_geschätzt]]-1</f>
        <v>0.60000000000000009</v>
      </c>
      <c r="H1254" s="8" t="str" cm="1">
        <f t="array" ref="H1254">_xlfn.IFS(Lektionen[[#This Row],[Bearbeitungsdauer_abgewichen]]&gt;0.6,"viel länger",Lektionen[[#This Row],[Bearbeitungsdauer_abgewichen]]&gt;0.3,"länger",Lektionen[[#This Row],[Bearbeitungsdauer_abgewichen]]&lt;-0.3,"kürzer",TRUE,"keine Abweichung")</f>
        <v>länger</v>
      </c>
      <c r="I1254">
        <v>4</v>
      </c>
    </row>
    <row r="1255" spans="1:9" hidden="1" x14ac:dyDescent="0.3">
      <c r="A1255" s="13">
        <v>197</v>
      </c>
      <c r="B1255" s="4">
        <v>6</v>
      </c>
      <c r="C1255" t="s">
        <v>533</v>
      </c>
      <c r="D1255" t="s">
        <v>534</v>
      </c>
      <c r="E1255">
        <v>5</v>
      </c>
      <c r="F1255">
        <v>1</v>
      </c>
      <c r="G1255" s="8">
        <f>Lektionen[[#This Row],[Bearbeitungsdauer_real]]/Lektionen[[#This Row],[Bearbeitungsdauer_geschätzt]]-1</f>
        <v>-0.8</v>
      </c>
      <c r="H1255" s="8" t="str" cm="1">
        <f t="array" ref="H1255">_xlfn.IFS(Lektionen[[#This Row],[Bearbeitungsdauer_abgewichen]]&gt;0.6,"viel länger",Lektionen[[#This Row],[Bearbeitungsdauer_abgewichen]]&gt;0.3,"länger",Lektionen[[#This Row],[Bearbeitungsdauer_abgewichen]]&lt;-0.3,"kürzer",TRUE,"keine Abweichung")</f>
        <v>kürzer</v>
      </c>
      <c r="I1255">
        <v>1</v>
      </c>
    </row>
    <row r="1256" spans="1:9" hidden="1" x14ac:dyDescent="0.3">
      <c r="A1256" s="13">
        <v>197</v>
      </c>
      <c r="B1256" s="4">
        <v>7</v>
      </c>
      <c r="C1256" t="s">
        <v>535</v>
      </c>
      <c r="D1256" t="s">
        <v>536</v>
      </c>
      <c r="E1256">
        <v>10</v>
      </c>
      <c r="F1256">
        <v>8</v>
      </c>
      <c r="G1256" s="8">
        <f>Lektionen[[#This Row],[Bearbeitungsdauer_real]]/Lektionen[[#This Row],[Bearbeitungsdauer_geschätzt]]-1</f>
        <v>-0.19999999999999996</v>
      </c>
      <c r="H1256" s="8" t="str" cm="1">
        <f t="array" ref="H1256">_xlfn.IFS(Lektionen[[#This Row],[Bearbeitungsdauer_abgewichen]]&gt;0.6,"viel länger",Lektionen[[#This Row],[Bearbeitungsdauer_abgewichen]]&gt;0.3,"länger",Lektionen[[#This Row],[Bearbeitungsdauer_abgewichen]]&lt;-0.3,"kürzer",TRUE,"keine Abweichung")</f>
        <v>keine Abweichung</v>
      </c>
      <c r="I1256">
        <v>3</v>
      </c>
    </row>
    <row r="1257" spans="1:9" hidden="1" x14ac:dyDescent="0.3">
      <c r="A1257" s="13">
        <v>197</v>
      </c>
      <c r="B1257" s="4">
        <v>8</v>
      </c>
      <c r="C1257" t="s">
        <v>537</v>
      </c>
      <c r="D1257" t="s">
        <v>527</v>
      </c>
      <c r="E1257">
        <v>5</v>
      </c>
      <c r="F1257">
        <v>8</v>
      </c>
      <c r="G1257" s="8">
        <f>Lektionen[[#This Row],[Bearbeitungsdauer_real]]/Lektionen[[#This Row],[Bearbeitungsdauer_geschätzt]]-1</f>
        <v>0.60000000000000009</v>
      </c>
      <c r="H1257" s="8" t="str" cm="1">
        <f t="array" ref="H1257">_xlfn.IFS(Lektionen[[#This Row],[Bearbeitungsdauer_abgewichen]]&gt;0.6,"viel länger",Lektionen[[#This Row],[Bearbeitungsdauer_abgewichen]]&gt;0.3,"länger",Lektionen[[#This Row],[Bearbeitungsdauer_abgewichen]]&lt;-0.3,"kürzer",TRUE,"keine Abweichung")</f>
        <v>länger</v>
      </c>
      <c r="I1257">
        <v>1</v>
      </c>
    </row>
    <row r="1258" spans="1:9" hidden="1" x14ac:dyDescent="0.3">
      <c r="A1258" s="13">
        <v>198</v>
      </c>
      <c r="B1258" s="4">
        <v>1</v>
      </c>
      <c r="C1258" t="s">
        <v>526</v>
      </c>
      <c r="D1258" t="s">
        <v>527</v>
      </c>
      <c r="E1258">
        <v>4</v>
      </c>
      <c r="F1258">
        <v>4</v>
      </c>
      <c r="G1258" s="8">
        <f>Lektionen[[#This Row],[Bearbeitungsdauer_real]]/Lektionen[[#This Row],[Bearbeitungsdauer_geschätzt]]-1</f>
        <v>0</v>
      </c>
      <c r="H1258" s="8" t="str" cm="1">
        <f t="array" ref="H1258">_xlfn.IFS(Lektionen[[#This Row],[Bearbeitungsdauer_abgewichen]]&gt;0.6,"viel länger",Lektionen[[#This Row],[Bearbeitungsdauer_abgewichen]]&gt;0.3,"länger",Lektionen[[#This Row],[Bearbeitungsdauer_abgewichen]]&lt;-0.3,"kürzer",TRUE,"keine Abweichung")</f>
        <v>keine Abweichung</v>
      </c>
      <c r="I1258">
        <v>1</v>
      </c>
    </row>
    <row r="1259" spans="1:9" hidden="1" x14ac:dyDescent="0.3">
      <c r="A1259" s="13">
        <v>198</v>
      </c>
      <c r="B1259" s="4">
        <v>2</v>
      </c>
      <c r="C1259" t="s">
        <v>528</v>
      </c>
      <c r="D1259" t="s">
        <v>529</v>
      </c>
      <c r="E1259">
        <v>15</v>
      </c>
      <c r="F1259">
        <v>18</v>
      </c>
      <c r="G1259" s="8">
        <f>Lektionen[[#This Row],[Bearbeitungsdauer_real]]/Lektionen[[#This Row],[Bearbeitungsdauer_geschätzt]]-1</f>
        <v>0.19999999999999996</v>
      </c>
      <c r="H1259" s="8" t="str" cm="1">
        <f t="array" ref="H1259">_xlfn.IFS(Lektionen[[#This Row],[Bearbeitungsdauer_abgewichen]]&gt;0.6,"viel länger",Lektionen[[#This Row],[Bearbeitungsdauer_abgewichen]]&gt;0.3,"länger",Lektionen[[#This Row],[Bearbeitungsdauer_abgewichen]]&lt;-0.3,"kürzer",TRUE,"keine Abweichung")</f>
        <v>keine Abweichung</v>
      </c>
      <c r="I1259">
        <v>2</v>
      </c>
    </row>
    <row r="1260" spans="1:9" hidden="1" x14ac:dyDescent="0.3">
      <c r="A1260" s="13">
        <v>198</v>
      </c>
      <c r="B1260" s="4">
        <v>3</v>
      </c>
      <c r="C1260" t="s">
        <v>552</v>
      </c>
      <c r="D1260" t="s">
        <v>530</v>
      </c>
      <c r="E1260">
        <v>30</v>
      </c>
      <c r="F1260">
        <v>28</v>
      </c>
      <c r="G1260" s="8">
        <f>Lektionen[[#This Row],[Bearbeitungsdauer_real]]/Lektionen[[#This Row],[Bearbeitungsdauer_geschätzt]]-1</f>
        <v>-6.6666666666666652E-2</v>
      </c>
      <c r="H1260" s="8" t="str" cm="1">
        <f t="array" ref="H1260">_xlfn.IFS(Lektionen[[#This Row],[Bearbeitungsdauer_abgewichen]]&gt;0.6,"viel länger",Lektionen[[#This Row],[Bearbeitungsdauer_abgewichen]]&gt;0.3,"länger",Lektionen[[#This Row],[Bearbeitungsdauer_abgewichen]]&lt;-0.3,"kürzer",TRUE,"keine Abweichung")</f>
        <v>keine Abweichung</v>
      </c>
      <c r="I1260">
        <v>2</v>
      </c>
    </row>
    <row r="1261" spans="1:9" hidden="1" x14ac:dyDescent="0.3">
      <c r="A1261" s="13">
        <v>198</v>
      </c>
      <c r="B1261" s="4">
        <v>4</v>
      </c>
      <c r="C1261" t="s">
        <v>531</v>
      </c>
      <c r="D1261" t="s">
        <v>530</v>
      </c>
      <c r="E1261">
        <v>30</v>
      </c>
      <c r="F1261">
        <v>28</v>
      </c>
      <c r="G1261" s="8">
        <f>Lektionen[[#This Row],[Bearbeitungsdauer_real]]/Lektionen[[#This Row],[Bearbeitungsdauer_geschätzt]]-1</f>
        <v>-6.6666666666666652E-2</v>
      </c>
      <c r="H1261" s="8" t="str" cm="1">
        <f t="array" ref="H1261">_xlfn.IFS(Lektionen[[#This Row],[Bearbeitungsdauer_abgewichen]]&gt;0.6,"viel länger",Lektionen[[#This Row],[Bearbeitungsdauer_abgewichen]]&gt;0.3,"länger",Lektionen[[#This Row],[Bearbeitungsdauer_abgewichen]]&lt;-0.3,"kürzer",TRUE,"keine Abweichung")</f>
        <v>keine Abweichung</v>
      </c>
      <c r="I1261">
        <v>2</v>
      </c>
    </row>
    <row r="1262" spans="1:9" x14ac:dyDescent="0.3">
      <c r="A1262" s="13">
        <v>198</v>
      </c>
      <c r="B1262" s="4">
        <v>5</v>
      </c>
      <c r="C1262" t="s">
        <v>532</v>
      </c>
      <c r="D1262" t="s">
        <v>530</v>
      </c>
      <c r="E1262">
        <v>30</v>
      </c>
      <c r="F1262">
        <v>40</v>
      </c>
      <c r="G1262" s="8">
        <f>Lektionen[[#This Row],[Bearbeitungsdauer_real]]/Lektionen[[#This Row],[Bearbeitungsdauer_geschätzt]]-1</f>
        <v>0.33333333333333326</v>
      </c>
      <c r="H1262" s="8" t="str" cm="1">
        <f t="array" ref="H1262">_xlfn.IFS(Lektionen[[#This Row],[Bearbeitungsdauer_abgewichen]]&gt;0.6,"viel länger",Lektionen[[#This Row],[Bearbeitungsdauer_abgewichen]]&gt;0.3,"länger",Lektionen[[#This Row],[Bearbeitungsdauer_abgewichen]]&lt;-0.3,"kürzer",TRUE,"keine Abweichung")</f>
        <v>länger</v>
      </c>
      <c r="I1262">
        <v>4</v>
      </c>
    </row>
    <row r="1263" spans="1:9" hidden="1" x14ac:dyDescent="0.3">
      <c r="A1263" s="13">
        <v>198</v>
      </c>
      <c r="B1263" s="4">
        <v>6</v>
      </c>
      <c r="C1263" t="s">
        <v>533</v>
      </c>
      <c r="D1263" t="s">
        <v>534</v>
      </c>
      <c r="E1263">
        <v>5</v>
      </c>
      <c r="F1263">
        <v>2</v>
      </c>
      <c r="G1263" s="8">
        <f>Lektionen[[#This Row],[Bearbeitungsdauer_real]]/Lektionen[[#This Row],[Bearbeitungsdauer_geschätzt]]-1</f>
        <v>-0.6</v>
      </c>
      <c r="H1263" s="8" t="str" cm="1">
        <f t="array" ref="H1263">_xlfn.IFS(Lektionen[[#This Row],[Bearbeitungsdauer_abgewichen]]&gt;0.6,"viel länger",Lektionen[[#This Row],[Bearbeitungsdauer_abgewichen]]&gt;0.3,"länger",Lektionen[[#This Row],[Bearbeitungsdauer_abgewichen]]&lt;-0.3,"kürzer",TRUE,"keine Abweichung")</f>
        <v>kürzer</v>
      </c>
      <c r="I1263">
        <v>2</v>
      </c>
    </row>
    <row r="1264" spans="1:9" hidden="1" x14ac:dyDescent="0.3">
      <c r="A1264" s="13">
        <v>198</v>
      </c>
      <c r="B1264" s="4">
        <v>7</v>
      </c>
      <c r="C1264" t="s">
        <v>535</v>
      </c>
      <c r="D1264" t="s">
        <v>536</v>
      </c>
      <c r="E1264">
        <v>10</v>
      </c>
      <c r="F1264">
        <v>10</v>
      </c>
      <c r="G1264" s="8">
        <f>Lektionen[[#This Row],[Bearbeitungsdauer_real]]/Lektionen[[#This Row],[Bearbeitungsdauer_geschätzt]]-1</f>
        <v>0</v>
      </c>
      <c r="H1264" s="8" t="str" cm="1">
        <f t="array" ref="H1264">_xlfn.IFS(Lektionen[[#This Row],[Bearbeitungsdauer_abgewichen]]&gt;0.6,"viel länger",Lektionen[[#This Row],[Bearbeitungsdauer_abgewichen]]&gt;0.3,"länger",Lektionen[[#This Row],[Bearbeitungsdauer_abgewichen]]&lt;-0.3,"kürzer",TRUE,"keine Abweichung")</f>
        <v>keine Abweichung</v>
      </c>
      <c r="I1264">
        <v>3</v>
      </c>
    </row>
    <row r="1265" spans="1:9" hidden="1" x14ac:dyDescent="0.3">
      <c r="A1265" s="13">
        <v>198</v>
      </c>
      <c r="B1265" s="4">
        <v>8</v>
      </c>
      <c r="C1265" t="s">
        <v>537</v>
      </c>
      <c r="D1265" t="s">
        <v>527</v>
      </c>
      <c r="E1265">
        <v>5</v>
      </c>
      <c r="F1265">
        <v>8</v>
      </c>
      <c r="G1265" s="8">
        <f>Lektionen[[#This Row],[Bearbeitungsdauer_real]]/Lektionen[[#This Row],[Bearbeitungsdauer_geschätzt]]-1</f>
        <v>0.60000000000000009</v>
      </c>
      <c r="H1265" s="8" t="str" cm="1">
        <f t="array" ref="H1265">_xlfn.IFS(Lektionen[[#This Row],[Bearbeitungsdauer_abgewichen]]&gt;0.6,"viel länger",Lektionen[[#This Row],[Bearbeitungsdauer_abgewichen]]&gt;0.3,"länger",Lektionen[[#This Row],[Bearbeitungsdauer_abgewichen]]&lt;-0.3,"kürzer",TRUE,"keine Abweichung")</f>
        <v>länger</v>
      </c>
      <c r="I1265">
        <v>1</v>
      </c>
    </row>
    <row r="1266" spans="1:9" hidden="1" x14ac:dyDescent="0.3">
      <c r="A1266" s="13">
        <v>199</v>
      </c>
      <c r="B1266" s="4">
        <v>1</v>
      </c>
      <c r="C1266" t="s">
        <v>526</v>
      </c>
      <c r="D1266" t="s">
        <v>527</v>
      </c>
      <c r="E1266">
        <v>4</v>
      </c>
      <c r="F1266">
        <v>4</v>
      </c>
      <c r="G1266" s="8">
        <f>Lektionen[[#This Row],[Bearbeitungsdauer_real]]/Lektionen[[#This Row],[Bearbeitungsdauer_geschätzt]]-1</f>
        <v>0</v>
      </c>
      <c r="H1266" s="8" t="str" cm="1">
        <f t="array" ref="H1266">_xlfn.IFS(Lektionen[[#This Row],[Bearbeitungsdauer_abgewichen]]&gt;0.6,"viel länger",Lektionen[[#This Row],[Bearbeitungsdauer_abgewichen]]&gt;0.3,"länger",Lektionen[[#This Row],[Bearbeitungsdauer_abgewichen]]&lt;-0.3,"kürzer",TRUE,"keine Abweichung")</f>
        <v>keine Abweichung</v>
      </c>
      <c r="I1266">
        <v>2</v>
      </c>
    </row>
    <row r="1267" spans="1:9" hidden="1" x14ac:dyDescent="0.3">
      <c r="A1267" s="13">
        <v>199</v>
      </c>
      <c r="B1267" s="4">
        <v>2</v>
      </c>
      <c r="C1267" t="s">
        <v>528</v>
      </c>
      <c r="D1267" t="s">
        <v>529</v>
      </c>
      <c r="E1267">
        <v>15</v>
      </c>
      <c r="F1267">
        <v>21</v>
      </c>
      <c r="G1267" s="8">
        <f>Lektionen[[#This Row],[Bearbeitungsdauer_real]]/Lektionen[[#This Row],[Bearbeitungsdauer_geschätzt]]-1</f>
        <v>0.39999999999999991</v>
      </c>
      <c r="H1267" s="8" t="str" cm="1">
        <f t="array" ref="H1267">_xlfn.IFS(Lektionen[[#This Row],[Bearbeitungsdauer_abgewichen]]&gt;0.6,"viel länger",Lektionen[[#This Row],[Bearbeitungsdauer_abgewichen]]&gt;0.3,"länger",Lektionen[[#This Row],[Bearbeitungsdauer_abgewichen]]&lt;-0.3,"kürzer",TRUE,"keine Abweichung")</f>
        <v>länger</v>
      </c>
      <c r="I1267">
        <v>1</v>
      </c>
    </row>
    <row r="1268" spans="1:9" hidden="1" x14ac:dyDescent="0.3">
      <c r="A1268" s="13">
        <v>199</v>
      </c>
      <c r="B1268" s="4">
        <v>3</v>
      </c>
      <c r="C1268" t="s">
        <v>552</v>
      </c>
      <c r="D1268" t="s">
        <v>530</v>
      </c>
      <c r="E1268">
        <v>30</v>
      </c>
      <c r="F1268">
        <v>30</v>
      </c>
      <c r="G1268" s="8">
        <f>Lektionen[[#This Row],[Bearbeitungsdauer_real]]/Lektionen[[#This Row],[Bearbeitungsdauer_geschätzt]]-1</f>
        <v>0</v>
      </c>
      <c r="H1268" s="8" t="str" cm="1">
        <f t="array" ref="H1268">_xlfn.IFS(Lektionen[[#This Row],[Bearbeitungsdauer_abgewichen]]&gt;0.6,"viel länger",Lektionen[[#This Row],[Bearbeitungsdauer_abgewichen]]&gt;0.3,"länger",Lektionen[[#This Row],[Bearbeitungsdauer_abgewichen]]&lt;-0.3,"kürzer",TRUE,"keine Abweichung")</f>
        <v>keine Abweichung</v>
      </c>
      <c r="I1268">
        <v>3</v>
      </c>
    </row>
    <row r="1269" spans="1:9" hidden="1" x14ac:dyDescent="0.3">
      <c r="A1269" s="13">
        <v>199</v>
      </c>
      <c r="B1269" s="4">
        <v>4</v>
      </c>
      <c r="C1269" t="s">
        <v>531</v>
      </c>
      <c r="D1269" t="s">
        <v>530</v>
      </c>
      <c r="E1269">
        <v>30</v>
      </c>
      <c r="F1269">
        <v>30</v>
      </c>
      <c r="G1269" s="8">
        <f>Lektionen[[#This Row],[Bearbeitungsdauer_real]]/Lektionen[[#This Row],[Bearbeitungsdauer_geschätzt]]-1</f>
        <v>0</v>
      </c>
      <c r="H1269" s="8" t="str" cm="1">
        <f t="array" ref="H1269">_xlfn.IFS(Lektionen[[#This Row],[Bearbeitungsdauer_abgewichen]]&gt;0.6,"viel länger",Lektionen[[#This Row],[Bearbeitungsdauer_abgewichen]]&gt;0.3,"länger",Lektionen[[#This Row],[Bearbeitungsdauer_abgewichen]]&lt;-0.3,"kürzer",TRUE,"keine Abweichung")</f>
        <v>keine Abweichung</v>
      </c>
      <c r="I1269">
        <v>2</v>
      </c>
    </row>
    <row r="1270" spans="1:9" x14ac:dyDescent="0.3">
      <c r="A1270" s="13">
        <v>199</v>
      </c>
      <c r="B1270" s="4">
        <v>5</v>
      </c>
      <c r="C1270" t="s">
        <v>532</v>
      </c>
      <c r="D1270" t="s">
        <v>530</v>
      </c>
      <c r="E1270">
        <v>30</v>
      </c>
      <c r="F1270">
        <v>49</v>
      </c>
      <c r="G1270" s="8">
        <f>Lektionen[[#This Row],[Bearbeitungsdauer_real]]/Lektionen[[#This Row],[Bearbeitungsdauer_geschätzt]]-1</f>
        <v>0.6333333333333333</v>
      </c>
      <c r="H1270" s="8" t="str" cm="1">
        <f t="array" ref="H1270">_xlfn.IFS(Lektionen[[#This Row],[Bearbeitungsdauer_abgewichen]]&gt;0.6,"viel länger",Lektionen[[#This Row],[Bearbeitungsdauer_abgewichen]]&gt;0.3,"länger",Lektionen[[#This Row],[Bearbeitungsdauer_abgewichen]]&lt;-0.3,"kürzer",TRUE,"keine Abweichung")</f>
        <v>viel länger</v>
      </c>
      <c r="I1270">
        <v>3</v>
      </c>
    </row>
    <row r="1271" spans="1:9" hidden="1" x14ac:dyDescent="0.3">
      <c r="A1271" s="13">
        <v>199</v>
      </c>
      <c r="B1271" s="4">
        <v>6</v>
      </c>
      <c r="C1271" t="s">
        <v>533</v>
      </c>
      <c r="D1271" t="s">
        <v>534</v>
      </c>
      <c r="E1271">
        <v>5</v>
      </c>
      <c r="F1271">
        <v>2</v>
      </c>
      <c r="G1271" s="8">
        <f>Lektionen[[#This Row],[Bearbeitungsdauer_real]]/Lektionen[[#This Row],[Bearbeitungsdauer_geschätzt]]-1</f>
        <v>-0.6</v>
      </c>
      <c r="H1271" s="8" t="str" cm="1">
        <f t="array" ref="H1271">_xlfn.IFS(Lektionen[[#This Row],[Bearbeitungsdauer_abgewichen]]&gt;0.6,"viel länger",Lektionen[[#This Row],[Bearbeitungsdauer_abgewichen]]&gt;0.3,"länger",Lektionen[[#This Row],[Bearbeitungsdauer_abgewichen]]&lt;-0.3,"kürzer",TRUE,"keine Abweichung")</f>
        <v>kürzer</v>
      </c>
      <c r="I1271">
        <v>1</v>
      </c>
    </row>
    <row r="1272" spans="1:9" hidden="1" x14ac:dyDescent="0.3">
      <c r="A1272" s="13">
        <v>199</v>
      </c>
      <c r="B1272" s="4">
        <v>7</v>
      </c>
      <c r="C1272" t="s">
        <v>535</v>
      </c>
      <c r="D1272" t="s">
        <v>536</v>
      </c>
      <c r="E1272">
        <v>10</v>
      </c>
      <c r="F1272">
        <v>9</v>
      </c>
      <c r="G1272" s="8">
        <f>Lektionen[[#This Row],[Bearbeitungsdauer_real]]/Lektionen[[#This Row],[Bearbeitungsdauer_geschätzt]]-1</f>
        <v>-9.9999999999999978E-2</v>
      </c>
      <c r="H1272" s="8" t="str" cm="1">
        <f t="array" ref="H1272">_xlfn.IFS(Lektionen[[#This Row],[Bearbeitungsdauer_abgewichen]]&gt;0.6,"viel länger",Lektionen[[#This Row],[Bearbeitungsdauer_abgewichen]]&gt;0.3,"länger",Lektionen[[#This Row],[Bearbeitungsdauer_abgewichen]]&lt;-0.3,"kürzer",TRUE,"keine Abweichung")</f>
        <v>keine Abweichung</v>
      </c>
      <c r="I1272">
        <v>3</v>
      </c>
    </row>
    <row r="1273" spans="1:9" hidden="1" x14ac:dyDescent="0.3">
      <c r="A1273" s="13">
        <v>199</v>
      </c>
      <c r="B1273" s="4">
        <v>8</v>
      </c>
      <c r="C1273" t="s">
        <v>537</v>
      </c>
      <c r="D1273" t="s">
        <v>527</v>
      </c>
      <c r="E1273">
        <v>5</v>
      </c>
      <c r="F1273">
        <v>5</v>
      </c>
      <c r="G1273" s="8">
        <f>Lektionen[[#This Row],[Bearbeitungsdauer_real]]/Lektionen[[#This Row],[Bearbeitungsdauer_geschätzt]]-1</f>
        <v>0</v>
      </c>
      <c r="H1273" s="8" t="str" cm="1">
        <f t="array" ref="H1273">_xlfn.IFS(Lektionen[[#This Row],[Bearbeitungsdauer_abgewichen]]&gt;0.6,"viel länger",Lektionen[[#This Row],[Bearbeitungsdauer_abgewichen]]&gt;0.3,"länger",Lektionen[[#This Row],[Bearbeitungsdauer_abgewichen]]&lt;-0.3,"kürzer",TRUE,"keine Abweichung")</f>
        <v>keine Abweichung</v>
      </c>
      <c r="I1273">
        <v>1</v>
      </c>
    </row>
    <row r="1274" spans="1:9" hidden="1" x14ac:dyDescent="0.3">
      <c r="A1274" s="13">
        <v>200</v>
      </c>
      <c r="B1274" s="4">
        <v>1</v>
      </c>
      <c r="C1274" t="s">
        <v>526</v>
      </c>
      <c r="D1274" t="s">
        <v>527</v>
      </c>
      <c r="E1274">
        <v>4</v>
      </c>
      <c r="F1274">
        <v>5</v>
      </c>
      <c r="G1274" s="8">
        <f>Lektionen[[#This Row],[Bearbeitungsdauer_real]]/Lektionen[[#This Row],[Bearbeitungsdauer_geschätzt]]-1</f>
        <v>0.25</v>
      </c>
      <c r="H1274" s="8" t="str" cm="1">
        <f t="array" ref="H1274">_xlfn.IFS(Lektionen[[#This Row],[Bearbeitungsdauer_abgewichen]]&gt;0.6,"viel länger",Lektionen[[#This Row],[Bearbeitungsdauer_abgewichen]]&gt;0.3,"länger",Lektionen[[#This Row],[Bearbeitungsdauer_abgewichen]]&lt;-0.3,"kürzer",TRUE,"keine Abweichung")</f>
        <v>keine Abweichung</v>
      </c>
      <c r="I1274">
        <v>1</v>
      </c>
    </row>
    <row r="1275" spans="1:9" hidden="1" x14ac:dyDescent="0.3">
      <c r="A1275" s="13">
        <v>200</v>
      </c>
      <c r="B1275" s="4">
        <v>2</v>
      </c>
      <c r="C1275" t="s">
        <v>528</v>
      </c>
      <c r="D1275" t="s">
        <v>529</v>
      </c>
      <c r="E1275">
        <v>15</v>
      </c>
      <c r="F1275">
        <v>15</v>
      </c>
      <c r="G1275" s="8">
        <f>Lektionen[[#This Row],[Bearbeitungsdauer_real]]/Lektionen[[#This Row],[Bearbeitungsdauer_geschätzt]]-1</f>
        <v>0</v>
      </c>
      <c r="H1275" s="8" t="str" cm="1">
        <f t="array" ref="H1275">_xlfn.IFS(Lektionen[[#This Row],[Bearbeitungsdauer_abgewichen]]&gt;0.6,"viel länger",Lektionen[[#This Row],[Bearbeitungsdauer_abgewichen]]&gt;0.3,"länger",Lektionen[[#This Row],[Bearbeitungsdauer_abgewichen]]&lt;-0.3,"kürzer",TRUE,"keine Abweichung")</f>
        <v>keine Abweichung</v>
      </c>
      <c r="I1275">
        <v>2</v>
      </c>
    </row>
    <row r="1276" spans="1:9" hidden="1" x14ac:dyDescent="0.3">
      <c r="A1276" s="13">
        <v>200</v>
      </c>
      <c r="B1276" s="4">
        <v>3</v>
      </c>
      <c r="C1276" t="s">
        <v>552</v>
      </c>
      <c r="D1276" t="s">
        <v>530</v>
      </c>
      <c r="E1276">
        <v>30</v>
      </c>
      <c r="F1276">
        <v>29</v>
      </c>
      <c r="G1276" s="8">
        <f>Lektionen[[#This Row],[Bearbeitungsdauer_real]]/Lektionen[[#This Row],[Bearbeitungsdauer_geschätzt]]-1</f>
        <v>-3.3333333333333326E-2</v>
      </c>
      <c r="H1276" s="8" t="str" cm="1">
        <f t="array" ref="H1276">_xlfn.IFS(Lektionen[[#This Row],[Bearbeitungsdauer_abgewichen]]&gt;0.6,"viel länger",Lektionen[[#This Row],[Bearbeitungsdauer_abgewichen]]&gt;0.3,"länger",Lektionen[[#This Row],[Bearbeitungsdauer_abgewichen]]&lt;-0.3,"kürzer",TRUE,"keine Abweichung")</f>
        <v>keine Abweichung</v>
      </c>
      <c r="I1276">
        <v>3</v>
      </c>
    </row>
    <row r="1277" spans="1:9" hidden="1" x14ac:dyDescent="0.3">
      <c r="A1277" s="13">
        <v>200</v>
      </c>
      <c r="B1277" s="4">
        <v>4</v>
      </c>
      <c r="C1277" t="s">
        <v>531</v>
      </c>
      <c r="D1277" t="s">
        <v>530</v>
      </c>
      <c r="E1277">
        <v>30</v>
      </c>
      <c r="F1277">
        <v>26</v>
      </c>
      <c r="G1277" s="8">
        <f>Lektionen[[#This Row],[Bearbeitungsdauer_real]]/Lektionen[[#This Row],[Bearbeitungsdauer_geschätzt]]-1</f>
        <v>-0.1333333333333333</v>
      </c>
      <c r="H1277" s="8" t="str" cm="1">
        <f t="array" ref="H1277">_xlfn.IFS(Lektionen[[#This Row],[Bearbeitungsdauer_abgewichen]]&gt;0.6,"viel länger",Lektionen[[#This Row],[Bearbeitungsdauer_abgewichen]]&gt;0.3,"länger",Lektionen[[#This Row],[Bearbeitungsdauer_abgewichen]]&lt;-0.3,"kürzer",TRUE,"keine Abweichung")</f>
        <v>keine Abweichung</v>
      </c>
      <c r="I1277">
        <v>4</v>
      </c>
    </row>
    <row r="1278" spans="1:9" x14ac:dyDescent="0.3">
      <c r="A1278" s="13">
        <v>200</v>
      </c>
      <c r="B1278" s="4">
        <v>5</v>
      </c>
      <c r="C1278" t="s">
        <v>532</v>
      </c>
      <c r="D1278" t="s">
        <v>530</v>
      </c>
      <c r="E1278">
        <v>30</v>
      </c>
      <c r="F1278">
        <v>43</v>
      </c>
      <c r="G1278" s="8">
        <f>Lektionen[[#This Row],[Bearbeitungsdauer_real]]/Lektionen[[#This Row],[Bearbeitungsdauer_geschätzt]]-1</f>
        <v>0.43333333333333335</v>
      </c>
      <c r="H1278" s="8" t="str" cm="1">
        <f t="array" ref="H1278">_xlfn.IFS(Lektionen[[#This Row],[Bearbeitungsdauer_abgewichen]]&gt;0.6,"viel länger",Lektionen[[#This Row],[Bearbeitungsdauer_abgewichen]]&gt;0.3,"länger",Lektionen[[#This Row],[Bearbeitungsdauer_abgewichen]]&lt;-0.3,"kürzer",TRUE,"keine Abweichung")</f>
        <v>länger</v>
      </c>
      <c r="I1278">
        <v>5</v>
      </c>
    </row>
    <row r="1279" spans="1:9" hidden="1" x14ac:dyDescent="0.3">
      <c r="A1279" s="13">
        <v>200</v>
      </c>
      <c r="B1279" s="4">
        <v>6</v>
      </c>
      <c r="C1279" t="s">
        <v>533</v>
      </c>
      <c r="D1279" t="s">
        <v>534</v>
      </c>
      <c r="E1279">
        <v>5</v>
      </c>
      <c r="F1279">
        <v>1</v>
      </c>
      <c r="G1279" s="8">
        <f>Lektionen[[#This Row],[Bearbeitungsdauer_real]]/Lektionen[[#This Row],[Bearbeitungsdauer_geschätzt]]-1</f>
        <v>-0.8</v>
      </c>
      <c r="H1279" s="8" t="str" cm="1">
        <f t="array" ref="H1279">_xlfn.IFS(Lektionen[[#This Row],[Bearbeitungsdauer_abgewichen]]&gt;0.6,"viel länger",Lektionen[[#This Row],[Bearbeitungsdauer_abgewichen]]&gt;0.3,"länger",Lektionen[[#This Row],[Bearbeitungsdauer_abgewichen]]&lt;-0.3,"kürzer",TRUE,"keine Abweichung")</f>
        <v>kürzer</v>
      </c>
      <c r="I1279">
        <v>2</v>
      </c>
    </row>
    <row r="1280" spans="1:9" hidden="1" x14ac:dyDescent="0.3">
      <c r="A1280" s="13">
        <v>200</v>
      </c>
      <c r="B1280" s="4">
        <v>7</v>
      </c>
      <c r="C1280" t="s">
        <v>535</v>
      </c>
      <c r="D1280" t="s">
        <v>536</v>
      </c>
      <c r="E1280">
        <v>10</v>
      </c>
      <c r="F1280">
        <v>10</v>
      </c>
      <c r="G1280" s="8">
        <f>Lektionen[[#This Row],[Bearbeitungsdauer_real]]/Lektionen[[#This Row],[Bearbeitungsdauer_geschätzt]]-1</f>
        <v>0</v>
      </c>
      <c r="H1280" s="8" t="str" cm="1">
        <f t="array" ref="H1280">_xlfn.IFS(Lektionen[[#This Row],[Bearbeitungsdauer_abgewichen]]&gt;0.6,"viel länger",Lektionen[[#This Row],[Bearbeitungsdauer_abgewichen]]&gt;0.3,"länger",Lektionen[[#This Row],[Bearbeitungsdauer_abgewichen]]&lt;-0.3,"kürzer",TRUE,"keine Abweichung")</f>
        <v>keine Abweichung</v>
      </c>
      <c r="I1280">
        <v>4</v>
      </c>
    </row>
    <row r="1281" spans="1:9" hidden="1" x14ac:dyDescent="0.3">
      <c r="A1281" s="13">
        <v>200</v>
      </c>
      <c r="B1281" s="4">
        <v>8</v>
      </c>
      <c r="C1281" t="s">
        <v>537</v>
      </c>
      <c r="D1281" t="s">
        <v>527</v>
      </c>
      <c r="E1281">
        <v>5</v>
      </c>
      <c r="F1281">
        <v>5</v>
      </c>
      <c r="G1281" s="8">
        <f>Lektionen[[#This Row],[Bearbeitungsdauer_real]]/Lektionen[[#This Row],[Bearbeitungsdauer_geschätzt]]-1</f>
        <v>0</v>
      </c>
      <c r="H1281" s="8" t="str" cm="1">
        <f t="array" ref="H1281">_xlfn.IFS(Lektionen[[#This Row],[Bearbeitungsdauer_abgewichen]]&gt;0.6,"viel länger",Lektionen[[#This Row],[Bearbeitungsdauer_abgewichen]]&gt;0.3,"länger",Lektionen[[#This Row],[Bearbeitungsdauer_abgewichen]]&lt;-0.3,"kürzer",TRUE,"keine Abweichung")</f>
        <v>keine Abweichung</v>
      </c>
      <c r="I1281">
        <v>1</v>
      </c>
    </row>
    <row r="1282" spans="1:9" hidden="1" x14ac:dyDescent="0.3">
      <c r="A1282" s="13">
        <v>201</v>
      </c>
      <c r="B1282" s="4">
        <v>1</v>
      </c>
      <c r="C1282" t="s">
        <v>526</v>
      </c>
      <c r="D1282" t="s">
        <v>527</v>
      </c>
      <c r="E1282">
        <v>4</v>
      </c>
      <c r="F1282">
        <v>4</v>
      </c>
      <c r="G1282" s="8">
        <f>Lektionen[[#This Row],[Bearbeitungsdauer_real]]/Lektionen[[#This Row],[Bearbeitungsdauer_geschätzt]]-1</f>
        <v>0</v>
      </c>
      <c r="H1282" s="8" t="str" cm="1">
        <f t="array" ref="H1282">_xlfn.IFS(Lektionen[[#This Row],[Bearbeitungsdauer_abgewichen]]&gt;0.6,"viel länger",Lektionen[[#This Row],[Bearbeitungsdauer_abgewichen]]&gt;0.3,"länger",Lektionen[[#This Row],[Bearbeitungsdauer_abgewichen]]&lt;-0.3,"kürzer",TRUE,"keine Abweichung")</f>
        <v>keine Abweichung</v>
      </c>
      <c r="I1282">
        <v>1</v>
      </c>
    </row>
    <row r="1283" spans="1:9" hidden="1" x14ac:dyDescent="0.3">
      <c r="A1283" s="13">
        <v>201</v>
      </c>
      <c r="B1283" s="4">
        <v>2</v>
      </c>
      <c r="C1283" t="s">
        <v>528</v>
      </c>
      <c r="D1283" t="s">
        <v>529</v>
      </c>
      <c r="E1283">
        <v>15</v>
      </c>
      <c r="F1283">
        <v>17</v>
      </c>
      <c r="G1283" s="8">
        <f>Lektionen[[#This Row],[Bearbeitungsdauer_real]]/Lektionen[[#This Row],[Bearbeitungsdauer_geschätzt]]-1</f>
        <v>0.1333333333333333</v>
      </c>
      <c r="H1283" s="8" t="str" cm="1">
        <f t="array" ref="H1283">_xlfn.IFS(Lektionen[[#This Row],[Bearbeitungsdauer_abgewichen]]&gt;0.6,"viel länger",Lektionen[[#This Row],[Bearbeitungsdauer_abgewichen]]&gt;0.3,"länger",Lektionen[[#This Row],[Bearbeitungsdauer_abgewichen]]&lt;-0.3,"kürzer",TRUE,"keine Abweichung")</f>
        <v>keine Abweichung</v>
      </c>
      <c r="I1283">
        <v>2</v>
      </c>
    </row>
    <row r="1284" spans="1:9" hidden="1" x14ac:dyDescent="0.3">
      <c r="A1284" s="13">
        <v>201</v>
      </c>
      <c r="B1284" s="4">
        <v>3</v>
      </c>
      <c r="C1284" t="s">
        <v>552</v>
      </c>
      <c r="D1284" t="s">
        <v>530</v>
      </c>
      <c r="E1284">
        <v>30</v>
      </c>
      <c r="F1284">
        <v>28</v>
      </c>
      <c r="G1284" s="8">
        <f>Lektionen[[#This Row],[Bearbeitungsdauer_real]]/Lektionen[[#This Row],[Bearbeitungsdauer_geschätzt]]-1</f>
        <v>-6.6666666666666652E-2</v>
      </c>
      <c r="H1284" s="8" t="str" cm="1">
        <f t="array" ref="H1284">_xlfn.IFS(Lektionen[[#This Row],[Bearbeitungsdauer_abgewichen]]&gt;0.6,"viel länger",Lektionen[[#This Row],[Bearbeitungsdauer_abgewichen]]&gt;0.3,"länger",Lektionen[[#This Row],[Bearbeitungsdauer_abgewichen]]&lt;-0.3,"kürzer",TRUE,"keine Abweichung")</f>
        <v>keine Abweichung</v>
      </c>
      <c r="I1284">
        <v>3</v>
      </c>
    </row>
    <row r="1285" spans="1:9" hidden="1" x14ac:dyDescent="0.3">
      <c r="A1285" s="13">
        <v>201</v>
      </c>
      <c r="B1285" s="4">
        <v>4</v>
      </c>
      <c r="C1285" t="s">
        <v>531</v>
      </c>
      <c r="D1285" t="s">
        <v>530</v>
      </c>
      <c r="E1285">
        <v>30</v>
      </c>
      <c r="F1285">
        <v>16</v>
      </c>
      <c r="G1285" s="8">
        <f>Lektionen[[#This Row],[Bearbeitungsdauer_real]]/Lektionen[[#This Row],[Bearbeitungsdauer_geschätzt]]-1</f>
        <v>-0.46666666666666667</v>
      </c>
      <c r="H1285" s="8" t="str" cm="1">
        <f t="array" ref="H1285">_xlfn.IFS(Lektionen[[#This Row],[Bearbeitungsdauer_abgewichen]]&gt;0.6,"viel länger",Lektionen[[#This Row],[Bearbeitungsdauer_abgewichen]]&gt;0.3,"länger",Lektionen[[#This Row],[Bearbeitungsdauer_abgewichen]]&lt;-0.3,"kürzer",TRUE,"keine Abweichung")</f>
        <v>kürzer</v>
      </c>
      <c r="I1285">
        <v>2</v>
      </c>
    </row>
    <row r="1286" spans="1:9" x14ac:dyDescent="0.3">
      <c r="A1286" s="13">
        <v>201</v>
      </c>
      <c r="B1286" s="4">
        <v>5</v>
      </c>
      <c r="C1286" t="s">
        <v>532</v>
      </c>
      <c r="D1286" t="s">
        <v>530</v>
      </c>
      <c r="E1286">
        <v>30</v>
      </c>
      <c r="F1286">
        <v>55</v>
      </c>
      <c r="G1286" s="8">
        <f>Lektionen[[#This Row],[Bearbeitungsdauer_real]]/Lektionen[[#This Row],[Bearbeitungsdauer_geschätzt]]-1</f>
        <v>0.83333333333333326</v>
      </c>
      <c r="H1286" s="8" t="str" cm="1">
        <f t="array" ref="H1286">_xlfn.IFS(Lektionen[[#This Row],[Bearbeitungsdauer_abgewichen]]&gt;0.6,"viel länger",Lektionen[[#This Row],[Bearbeitungsdauer_abgewichen]]&gt;0.3,"länger",Lektionen[[#This Row],[Bearbeitungsdauer_abgewichen]]&lt;-0.3,"kürzer",TRUE,"keine Abweichung")</f>
        <v>viel länger</v>
      </c>
      <c r="I1286">
        <v>4</v>
      </c>
    </row>
    <row r="1287" spans="1:9" hidden="1" x14ac:dyDescent="0.3">
      <c r="A1287" s="13">
        <v>201</v>
      </c>
      <c r="B1287" s="4">
        <v>6</v>
      </c>
      <c r="C1287" t="s">
        <v>533</v>
      </c>
      <c r="D1287" t="s">
        <v>534</v>
      </c>
      <c r="E1287">
        <v>5</v>
      </c>
      <c r="F1287">
        <v>1</v>
      </c>
      <c r="G1287" s="8">
        <f>Lektionen[[#This Row],[Bearbeitungsdauer_real]]/Lektionen[[#This Row],[Bearbeitungsdauer_geschätzt]]-1</f>
        <v>-0.8</v>
      </c>
      <c r="H1287" s="8" t="str" cm="1">
        <f t="array" ref="H1287">_xlfn.IFS(Lektionen[[#This Row],[Bearbeitungsdauer_abgewichen]]&gt;0.6,"viel länger",Lektionen[[#This Row],[Bearbeitungsdauer_abgewichen]]&gt;0.3,"länger",Lektionen[[#This Row],[Bearbeitungsdauer_abgewichen]]&lt;-0.3,"kürzer",TRUE,"keine Abweichung")</f>
        <v>kürzer</v>
      </c>
      <c r="I1287">
        <v>2</v>
      </c>
    </row>
    <row r="1288" spans="1:9" hidden="1" x14ac:dyDescent="0.3">
      <c r="A1288" s="13">
        <v>201</v>
      </c>
      <c r="B1288" s="4">
        <v>7</v>
      </c>
      <c r="C1288" t="s">
        <v>535</v>
      </c>
      <c r="D1288" t="s">
        <v>536</v>
      </c>
      <c r="E1288">
        <v>10</v>
      </c>
      <c r="F1288">
        <v>11</v>
      </c>
      <c r="G1288" s="8">
        <f>Lektionen[[#This Row],[Bearbeitungsdauer_real]]/Lektionen[[#This Row],[Bearbeitungsdauer_geschätzt]]-1</f>
        <v>0.10000000000000009</v>
      </c>
      <c r="H1288" s="8" t="str" cm="1">
        <f t="array" ref="H1288">_xlfn.IFS(Lektionen[[#This Row],[Bearbeitungsdauer_abgewichen]]&gt;0.6,"viel länger",Lektionen[[#This Row],[Bearbeitungsdauer_abgewichen]]&gt;0.3,"länger",Lektionen[[#This Row],[Bearbeitungsdauer_abgewichen]]&lt;-0.3,"kürzer",TRUE,"keine Abweichung")</f>
        <v>keine Abweichung</v>
      </c>
      <c r="I1288">
        <v>4</v>
      </c>
    </row>
    <row r="1289" spans="1:9" hidden="1" x14ac:dyDescent="0.3">
      <c r="A1289" s="13">
        <v>201</v>
      </c>
      <c r="B1289" s="4">
        <v>8</v>
      </c>
      <c r="C1289" t="s">
        <v>537</v>
      </c>
      <c r="D1289" t="s">
        <v>527</v>
      </c>
      <c r="E1289">
        <v>5</v>
      </c>
      <c r="F1289">
        <v>5</v>
      </c>
      <c r="G1289" s="8">
        <f>Lektionen[[#This Row],[Bearbeitungsdauer_real]]/Lektionen[[#This Row],[Bearbeitungsdauer_geschätzt]]-1</f>
        <v>0</v>
      </c>
      <c r="H1289" s="8" t="str" cm="1">
        <f t="array" ref="H1289">_xlfn.IFS(Lektionen[[#This Row],[Bearbeitungsdauer_abgewichen]]&gt;0.6,"viel länger",Lektionen[[#This Row],[Bearbeitungsdauer_abgewichen]]&gt;0.3,"länger",Lektionen[[#This Row],[Bearbeitungsdauer_abgewichen]]&lt;-0.3,"kürzer",TRUE,"keine Abweichung")</f>
        <v>keine Abweichung</v>
      </c>
      <c r="I1289">
        <v>1</v>
      </c>
    </row>
    <row r="1290" spans="1:9" hidden="1" x14ac:dyDescent="0.3">
      <c r="A1290" s="13">
        <v>202</v>
      </c>
      <c r="B1290" s="4">
        <v>1</v>
      </c>
      <c r="C1290" t="s">
        <v>526</v>
      </c>
      <c r="D1290" t="s">
        <v>527</v>
      </c>
      <c r="E1290">
        <v>4</v>
      </c>
      <c r="F1290">
        <v>4</v>
      </c>
      <c r="G1290" s="8">
        <f>Lektionen[[#This Row],[Bearbeitungsdauer_real]]/Lektionen[[#This Row],[Bearbeitungsdauer_geschätzt]]-1</f>
        <v>0</v>
      </c>
      <c r="H1290" s="8" t="str" cm="1">
        <f t="array" ref="H1290">_xlfn.IFS(Lektionen[[#This Row],[Bearbeitungsdauer_abgewichen]]&gt;0.6,"viel länger",Lektionen[[#This Row],[Bearbeitungsdauer_abgewichen]]&gt;0.3,"länger",Lektionen[[#This Row],[Bearbeitungsdauer_abgewichen]]&lt;-0.3,"kürzer",TRUE,"keine Abweichung")</f>
        <v>keine Abweichung</v>
      </c>
      <c r="I1290">
        <v>1</v>
      </c>
    </row>
    <row r="1291" spans="1:9" hidden="1" x14ac:dyDescent="0.3">
      <c r="A1291" s="13">
        <v>202</v>
      </c>
      <c r="B1291" s="4">
        <v>2</v>
      </c>
      <c r="C1291" t="s">
        <v>528</v>
      </c>
      <c r="D1291" t="s">
        <v>529</v>
      </c>
      <c r="E1291">
        <v>15</v>
      </c>
      <c r="F1291">
        <v>15</v>
      </c>
      <c r="G1291" s="8">
        <f>Lektionen[[#This Row],[Bearbeitungsdauer_real]]/Lektionen[[#This Row],[Bearbeitungsdauer_geschätzt]]-1</f>
        <v>0</v>
      </c>
      <c r="H1291" s="8" t="str" cm="1">
        <f t="array" ref="H1291">_xlfn.IFS(Lektionen[[#This Row],[Bearbeitungsdauer_abgewichen]]&gt;0.6,"viel länger",Lektionen[[#This Row],[Bearbeitungsdauer_abgewichen]]&gt;0.3,"länger",Lektionen[[#This Row],[Bearbeitungsdauer_abgewichen]]&lt;-0.3,"kürzer",TRUE,"keine Abweichung")</f>
        <v>keine Abweichung</v>
      </c>
      <c r="I1291">
        <v>2</v>
      </c>
    </row>
    <row r="1292" spans="1:9" hidden="1" x14ac:dyDescent="0.3">
      <c r="A1292" s="13">
        <v>202</v>
      </c>
      <c r="B1292" s="4">
        <v>3</v>
      </c>
      <c r="C1292" t="s">
        <v>552</v>
      </c>
      <c r="D1292" t="s">
        <v>530</v>
      </c>
      <c r="E1292">
        <v>30</v>
      </c>
      <c r="F1292">
        <v>28</v>
      </c>
      <c r="G1292" s="8">
        <f>Lektionen[[#This Row],[Bearbeitungsdauer_real]]/Lektionen[[#This Row],[Bearbeitungsdauer_geschätzt]]-1</f>
        <v>-6.6666666666666652E-2</v>
      </c>
      <c r="H1292" s="8" t="str" cm="1">
        <f t="array" ref="H1292">_xlfn.IFS(Lektionen[[#This Row],[Bearbeitungsdauer_abgewichen]]&gt;0.6,"viel länger",Lektionen[[#This Row],[Bearbeitungsdauer_abgewichen]]&gt;0.3,"länger",Lektionen[[#This Row],[Bearbeitungsdauer_abgewichen]]&lt;-0.3,"kürzer",TRUE,"keine Abweichung")</f>
        <v>keine Abweichung</v>
      </c>
      <c r="I1292">
        <v>2</v>
      </c>
    </row>
    <row r="1293" spans="1:9" hidden="1" x14ac:dyDescent="0.3">
      <c r="A1293" s="13">
        <v>202</v>
      </c>
      <c r="B1293" s="4">
        <v>4</v>
      </c>
      <c r="C1293" t="s">
        <v>531</v>
      </c>
      <c r="D1293" t="s">
        <v>530</v>
      </c>
      <c r="E1293">
        <v>30</v>
      </c>
      <c r="F1293">
        <v>25</v>
      </c>
      <c r="G1293" s="8">
        <f>Lektionen[[#This Row],[Bearbeitungsdauer_real]]/Lektionen[[#This Row],[Bearbeitungsdauer_geschätzt]]-1</f>
        <v>-0.16666666666666663</v>
      </c>
      <c r="H1293" s="8" t="str" cm="1">
        <f t="array" ref="H1293">_xlfn.IFS(Lektionen[[#This Row],[Bearbeitungsdauer_abgewichen]]&gt;0.6,"viel länger",Lektionen[[#This Row],[Bearbeitungsdauer_abgewichen]]&gt;0.3,"länger",Lektionen[[#This Row],[Bearbeitungsdauer_abgewichen]]&lt;-0.3,"kürzer",TRUE,"keine Abweichung")</f>
        <v>keine Abweichung</v>
      </c>
      <c r="I1293">
        <v>3</v>
      </c>
    </row>
    <row r="1294" spans="1:9" x14ac:dyDescent="0.3">
      <c r="A1294" s="13">
        <v>202</v>
      </c>
      <c r="B1294" s="4">
        <v>5</v>
      </c>
      <c r="C1294" t="s">
        <v>532</v>
      </c>
      <c r="D1294" t="s">
        <v>530</v>
      </c>
      <c r="E1294">
        <v>30</v>
      </c>
      <c r="F1294">
        <v>51</v>
      </c>
      <c r="G1294" s="8">
        <f>Lektionen[[#This Row],[Bearbeitungsdauer_real]]/Lektionen[[#This Row],[Bearbeitungsdauer_geschätzt]]-1</f>
        <v>0.7</v>
      </c>
      <c r="H1294" s="8" t="str" cm="1">
        <f t="array" ref="H1294">_xlfn.IFS(Lektionen[[#This Row],[Bearbeitungsdauer_abgewichen]]&gt;0.6,"viel länger",Lektionen[[#This Row],[Bearbeitungsdauer_abgewichen]]&gt;0.3,"länger",Lektionen[[#This Row],[Bearbeitungsdauer_abgewichen]]&lt;-0.3,"kürzer",TRUE,"keine Abweichung")</f>
        <v>viel länger</v>
      </c>
      <c r="I1294">
        <v>3</v>
      </c>
    </row>
    <row r="1295" spans="1:9" hidden="1" x14ac:dyDescent="0.3">
      <c r="A1295" s="13">
        <v>202</v>
      </c>
      <c r="B1295" s="4">
        <v>6</v>
      </c>
      <c r="C1295" t="s">
        <v>533</v>
      </c>
      <c r="D1295" t="s">
        <v>534</v>
      </c>
      <c r="E1295">
        <v>5</v>
      </c>
      <c r="F1295">
        <v>1</v>
      </c>
      <c r="G1295" s="8">
        <f>Lektionen[[#This Row],[Bearbeitungsdauer_real]]/Lektionen[[#This Row],[Bearbeitungsdauer_geschätzt]]-1</f>
        <v>-0.8</v>
      </c>
      <c r="H1295" s="8" t="str" cm="1">
        <f t="array" ref="H1295">_xlfn.IFS(Lektionen[[#This Row],[Bearbeitungsdauer_abgewichen]]&gt;0.6,"viel länger",Lektionen[[#This Row],[Bearbeitungsdauer_abgewichen]]&gt;0.3,"länger",Lektionen[[#This Row],[Bearbeitungsdauer_abgewichen]]&lt;-0.3,"kürzer",TRUE,"keine Abweichung")</f>
        <v>kürzer</v>
      </c>
      <c r="I1295">
        <v>2</v>
      </c>
    </row>
    <row r="1296" spans="1:9" hidden="1" x14ac:dyDescent="0.3">
      <c r="A1296" s="13">
        <v>202</v>
      </c>
      <c r="B1296" s="4">
        <v>7</v>
      </c>
      <c r="C1296" t="s">
        <v>535</v>
      </c>
      <c r="D1296" t="s">
        <v>536</v>
      </c>
      <c r="E1296">
        <v>10</v>
      </c>
      <c r="F1296">
        <v>10</v>
      </c>
      <c r="G1296" s="8">
        <f>Lektionen[[#This Row],[Bearbeitungsdauer_real]]/Lektionen[[#This Row],[Bearbeitungsdauer_geschätzt]]-1</f>
        <v>0</v>
      </c>
      <c r="H1296" s="8" t="str" cm="1">
        <f t="array" ref="H1296">_xlfn.IFS(Lektionen[[#This Row],[Bearbeitungsdauer_abgewichen]]&gt;0.6,"viel länger",Lektionen[[#This Row],[Bearbeitungsdauer_abgewichen]]&gt;0.3,"länger",Lektionen[[#This Row],[Bearbeitungsdauer_abgewichen]]&lt;-0.3,"kürzer",TRUE,"keine Abweichung")</f>
        <v>keine Abweichung</v>
      </c>
      <c r="I1296">
        <v>3</v>
      </c>
    </row>
    <row r="1297" spans="1:9" hidden="1" x14ac:dyDescent="0.3">
      <c r="A1297" s="13">
        <v>202</v>
      </c>
      <c r="B1297" s="4">
        <v>8</v>
      </c>
      <c r="C1297" t="s">
        <v>537</v>
      </c>
      <c r="D1297" t="s">
        <v>527</v>
      </c>
      <c r="E1297">
        <v>5</v>
      </c>
      <c r="F1297">
        <v>5</v>
      </c>
      <c r="G1297" s="8">
        <f>Lektionen[[#This Row],[Bearbeitungsdauer_real]]/Lektionen[[#This Row],[Bearbeitungsdauer_geschätzt]]-1</f>
        <v>0</v>
      </c>
      <c r="H1297" s="8" t="str" cm="1">
        <f t="array" ref="H1297">_xlfn.IFS(Lektionen[[#This Row],[Bearbeitungsdauer_abgewichen]]&gt;0.6,"viel länger",Lektionen[[#This Row],[Bearbeitungsdauer_abgewichen]]&gt;0.3,"länger",Lektionen[[#This Row],[Bearbeitungsdauer_abgewichen]]&lt;-0.3,"kürzer",TRUE,"keine Abweichung")</f>
        <v>keine Abweichung</v>
      </c>
      <c r="I1297">
        <v>1</v>
      </c>
    </row>
    <row r="1298" spans="1:9" hidden="1" x14ac:dyDescent="0.3">
      <c r="A1298" s="13">
        <v>203</v>
      </c>
      <c r="B1298" s="4">
        <v>1</v>
      </c>
      <c r="C1298" t="s">
        <v>526</v>
      </c>
      <c r="D1298" t="s">
        <v>527</v>
      </c>
      <c r="E1298">
        <v>4</v>
      </c>
      <c r="F1298">
        <v>4</v>
      </c>
      <c r="G1298" s="8">
        <f>Lektionen[[#This Row],[Bearbeitungsdauer_real]]/Lektionen[[#This Row],[Bearbeitungsdauer_geschätzt]]-1</f>
        <v>0</v>
      </c>
      <c r="H1298" s="8" t="str" cm="1">
        <f t="array" ref="H1298">_xlfn.IFS(Lektionen[[#This Row],[Bearbeitungsdauer_abgewichen]]&gt;0.6,"viel länger",Lektionen[[#This Row],[Bearbeitungsdauer_abgewichen]]&gt;0.3,"länger",Lektionen[[#This Row],[Bearbeitungsdauer_abgewichen]]&lt;-0.3,"kürzer",TRUE,"keine Abweichung")</f>
        <v>keine Abweichung</v>
      </c>
      <c r="I1298">
        <v>1</v>
      </c>
    </row>
    <row r="1299" spans="1:9" hidden="1" x14ac:dyDescent="0.3">
      <c r="A1299" s="13">
        <v>203</v>
      </c>
      <c r="B1299" s="4">
        <v>2</v>
      </c>
      <c r="C1299" t="s">
        <v>528</v>
      </c>
      <c r="D1299" t="s">
        <v>529</v>
      </c>
      <c r="E1299">
        <v>15</v>
      </c>
      <c r="F1299">
        <v>20</v>
      </c>
      <c r="G1299" s="8">
        <f>Lektionen[[#This Row],[Bearbeitungsdauer_real]]/Lektionen[[#This Row],[Bearbeitungsdauer_geschätzt]]-1</f>
        <v>0.33333333333333326</v>
      </c>
      <c r="H1299" s="8" t="str" cm="1">
        <f t="array" ref="H1299">_xlfn.IFS(Lektionen[[#This Row],[Bearbeitungsdauer_abgewichen]]&gt;0.6,"viel länger",Lektionen[[#This Row],[Bearbeitungsdauer_abgewichen]]&gt;0.3,"länger",Lektionen[[#This Row],[Bearbeitungsdauer_abgewichen]]&lt;-0.3,"kürzer",TRUE,"keine Abweichung")</f>
        <v>länger</v>
      </c>
      <c r="I1299">
        <v>1</v>
      </c>
    </row>
    <row r="1300" spans="1:9" hidden="1" x14ac:dyDescent="0.3">
      <c r="A1300" s="13">
        <v>203</v>
      </c>
      <c r="B1300" s="4">
        <v>3</v>
      </c>
      <c r="C1300" t="s">
        <v>552</v>
      </c>
      <c r="D1300" t="s">
        <v>530</v>
      </c>
      <c r="E1300">
        <v>30</v>
      </c>
      <c r="F1300">
        <v>27</v>
      </c>
      <c r="G1300" s="8">
        <f>Lektionen[[#This Row],[Bearbeitungsdauer_real]]/Lektionen[[#This Row],[Bearbeitungsdauer_geschätzt]]-1</f>
        <v>-9.9999999999999978E-2</v>
      </c>
      <c r="H1300" s="8" t="str" cm="1">
        <f t="array" ref="H1300">_xlfn.IFS(Lektionen[[#This Row],[Bearbeitungsdauer_abgewichen]]&gt;0.6,"viel länger",Lektionen[[#This Row],[Bearbeitungsdauer_abgewichen]]&gt;0.3,"länger",Lektionen[[#This Row],[Bearbeitungsdauer_abgewichen]]&lt;-0.3,"kürzer",TRUE,"keine Abweichung")</f>
        <v>keine Abweichung</v>
      </c>
      <c r="I1300">
        <v>3</v>
      </c>
    </row>
    <row r="1301" spans="1:9" hidden="1" x14ac:dyDescent="0.3">
      <c r="A1301" s="13">
        <v>203</v>
      </c>
      <c r="B1301" s="4">
        <v>4</v>
      </c>
      <c r="C1301" t="s">
        <v>531</v>
      </c>
      <c r="D1301" t="s">
        <v>530</v>
      </c>
      <c r="E1301">
        <v>30</v>
      </c>
      <c r="F1301">
        <v>22</v>
      </c>
      <c r="G1301" s="8">
        <f>Lektionen[[#This Row],[Bearbeitungsdauer_real]]/Lektionen[[#This Row],[Bearbeitungsdauer_geschätzt]]-1</f>
        <v>-0.26666666666666672</v>
      </c>
      <c r="H1301" s="8" t="str" cm="1">
        <f t="array" ref="H1301">_xlfn.IFS(Lektionen[[#This Row],[Bearbeitungsdauer_abgewichen]]&gt;0.6,"viel länger",Lektionen[[#This Row],[Bearbeitungsdauer_abgewichen]]&gt;0.3,"länger",Lektionen[[#This Row],[Bearbeitungsdauer_abgewichen]]&lt;-0.3,"kürzer",TRUE,"keine Abweichung")</f>
        <v>keine Abweichung</v>
      </c>
      <c r="I1301">
        <v>3</v>
      </c>
    </row>
    <row r="1302" spans="1:9" x14ac:dyDescent="0.3">
      <c r="A1302" s="13">
        <v>203</v>
      </c>
      <c r="B1302" s="4">
        <v>5</v>
      </c>
      <c r="C1302" t="s">
        <v>532</v>
      </c>
      <c r="D1302" t="s">
        <v>530</v>
      </c>
      <c r="E1302">
        <v>30</v>
      </c>
      <c r="F1302">
        <v>30</v>
      </c>
      <c r="G1302" s="8">
        <f>Lektionen[[#This Row],[Bearbeitungsdauer_real]]/Lektionen[[#This Row],[Bearbeitungsdauer_geschätzt]]-1</f>
        <v>0</v>
      </c>
      <c r="H1302" s="8" t="str" cm="1">
        <f t="array" ref="H1302">_xlfn.IFS(Lektionen[[#This Row],[Bearbeitungsdauer_abgewichen]]&gt;0.6,"viel länger",Lektionen[[#This Row],[Bearbeitungsdauer_abgewichen]]&gt;0.3,"länger",Lektionen[[#This Row],[Bearbeitungsdauer_abgewichen]]&lt;-0.3,"kürzer",TRUE,"keine Abweichung")</f>
        <v>keine Abweichung</v>
      </c>
      <c r="I1302">
        <v>5</v>
      </c>
    </row>
    <row r="1303" spans="1:9" hidden="1" x14ac:dyDescent="0.3">
      <c r="A1303" s="13">
        <v>203</v>
      </c>
      <c r="B1303" s="4">
        <v>6</v>
      </c>
      <c r="C1303" t="s">
        <v>533</v>
      </c>
      <c r="D1303" t="s">
        <v>534</v>
      </c>
      <c r="E1303">
        <v>5</v>
      </c>
      <c r="F1303">
        <v>1</v>
      </c>
      <c r="G1303" s="8">
        <f>Lektionen[[#This Row],[Bearbeitungsdauer_real]]/Lektionen[[#This Row],[Bearbeitungsdauer_geschätzt]]-1</f>
        <v>-0.8</v>
      </c>
      <c r="H1303" s="8" t="str" cm="1">
        <f t="array" ref="H1303">_xlfn.IFS(Lektionen[[#This Row],[Bearbeitungsdauer_abgewichen]]&gt;0.6,"viel länger",Lektionen[[#This Row],[Bearbeitungsdauer_abgewichen]]&gt;0.3,"länger",Lektionen[[#This Row],[Bearbeitungsdauer_abgewichen]]&lt;-0.3,"kürzer",TRUE,"keine Abweichung")</f>
        <v>kürzer</v>
      </c>
      <c r="I1303">
        <v>2</v>
      </c>
    </row>
    <row r="1304" spans="1:9" hidden="1" x14ac:dyDescent="0.3">
      <c r="A1304" s="13">
        <v>203</v>
      </c>
      <c r="B1304" s="4">
        <v>7</v>
      </c>
      <c r="C1304" t="s">
        <v>535</v>
      </c>
      <c r="D1304" t="s">
        <v>536</v>
      </c>
      <c r="E1304">
        <v>10</v>
      </c>
      <c r="F1304">
        <v>9</v>
      </c>
      <c r="G1304" s="8">
        <f>Lektionen[[#This Row],[Bearbeitungsdauer_real]]/Lektionen[[#This Row],[Bearbeitungsdauer_geschätzt]]-1</f>
        <v>-9.9999999999999978E-2</v>
      </c>
      <c r="H1304" s="8" t="str" cm="1">
        <f t="array" ref="H1304">_xlfn.IFS(Lektionen[[#This Row],[Bearbeitungsdauer_abgewichen]]&gt;0.6,"viel länger",Lektionen[[#This Row],[Bearbeitungsdauer_abgewichen]]&gt;0.3,"länger",Lektionen[[#This Row],[Bearbeitungsdauer_abgewichen]]&lt;-0.3,"kürzer",TRUE,"keine Abweichung")</f>
        <v>keine Abweichung</v>
      </c>
      <c r="I1304">
        <v>3</v>
      </c>
    </row>
    <row r="1305" spans="1:9" hidden="1" x14ac:dyDescent="0.3">
      <c r="A1305" s="13">
        <v>203</v>
      </c>
      <c r="B1305" s="4">
        <v>8</v>
      </c>
      <c r="C1305" t="s">
        <v>537</v>
      </c>
      <c r="D1305" t="s">
        <v>527</v>
      </c>
      <c r="E1305">
        <v>5</v>
      </c>
      <c r="F1305">
        <v>5</v>
      </c>
      <c r="G1305" s="8">
        <f>Lektionen[[#This Row],[Bearbeitungsdauer_real]]/Lektionen[[#This Row],[Bearbeitungsdauer_geschätzt]]-1</f>
        <v>0</v>
      </c>
      <c r="H1305" s="8" t="str" cm="1">
        <f t="array" ref="H1305">_xlfn.IFS(Lektionen[[#This Row],[Bearbeitungsdauer_abgewichen]]&gt;0.6,"viel länger",Lektionen[[#This Row],[Bearbeitungsdauer_abgewichen]]&gt;0.3,"länger",Lektionen[[#This Row],[Bearbeitungsdauer_abgewichen]]&lt;-0.3,"kürzer",TRUE,"keine Abweichung")</f>
        <v>keine Abweichung</v>
      </c>
      <c r="I1305">
        <v>1</v>
      </c>
    </row>
    <row r="1306" spans="1:9" hidden="1" x14ac:dyDescent="0.3">
      <c r="A1306" s="13">
        <v>204</v>
      </c>
      <c r="B1306" s="4">
        <v>1</v>
      </c>
      <c r="C1306" t="s">
        <v>526</v>
      </c>
      <c r="D1306" t="s">
        <v>527</v>
      </c>
      <c r="E1306">
        <v>4</v>
      </c>
      <c r="F1306">
        <v>4</v>
      </c>
      <c r="G1306" s="8">
        <f>Lektionen[[#This Row],[Bearbeitungsdauer_real]]/Lektionen[[#This Row],[Bearbeitungsdauer_geschätzt]]-1</f>
        <v>0</v>
      </c>
      <c r="H1306" s="8" t="str" cm="1">
        <f t="array" ref="H1306">_xlfn.IFS(Lektionen[[#This Row],[Bearbeitungsdauer_abgewichen]]&gt;0.6,"viel länger",Lektionen[[#This Row],[Bearbeitungsdauer_abgewichen]]&gt;0.3,"länger",Lektionen[[#This Row],[Bearbeitungsdauer_abgewichen]]&lt;-0.3,"kürzer",TRUE,"keine Abweichung")</f>
        <v>keine Abweichung</v>
      </c>
      <c r="I1306">
        <v>1</v>
      </c>
    </row>
    <row r="1307" spans="1:9" hidden="1" x14ac:dyDescent="0.3">
      <c r="A1307" s="13">
        <v>204</v>
      </c>
      <c r="B1307" s="4">
        <v>2</v>
      </c>
      <c r="C1307" t="s">
        <v>528</v>
      </c>
      <c r="D1307" t="s">
        <v>529</v>
      </c>
      <c r="E1307">
        <v>15</v>
      </c>
      <c r="F1307">
        <v>20</v>
      </c>
      <c r="G1307" s="8">
        <f>Lektionen[[#This Row],[Bearbeitungsdauer_real]]/Lektionen[[#This Row],[Bearbeitungsdauer_geschätzt]]-1</f>
        <v>0.33333333333333326</v>
      </c>
      <c r="H1307" s="8" t="str" cm="1">
        <f t="array" ref="H1307">_xlfn.IFS(Lektionen[[#This Row],[Bearbeitungsdauer_abgewichen]]&gt;0.6,"viel länger",Lektionen[[#This Row],[Bearbeitungsdauer_abgewichen]]&gt;0.3,"länger",Lektionen[[#This Row],[Bearbeitungsdauer_abgewichen]]&lt;-0.3,"kürzer",TRUE,"keine Abweichung")</f>
        <v>länger</v>
      </c>
      <c r="I1307">
        <v>1</v>
      </c>
    </row>
    <row r="1308" spans="1:9" hidden="1" x14ac:dyDescent="0.3">
      <c r="A1308" s="13">
        <v>204</v>
      </c>
      <c r="B1308" s="4">
        <v>3</v>
      </c>
      <c r="C1308" t="s">
        <v>552</v>
      </c>
      <c r="D1308" t="s">
        <v>530</v>
      </c>
      <c r="E1308">
        <v>30</v>
      </c>
      <c r="F1308">
        <v>28</v>
      </c>
      <c r="G1308" s="8">
        <f>Lektionen[[#This Row],[Bearbeitungsdauer_real]]/Lektionen[[#This Row],[Bearbeitungsdauer_geschätzt]]-1</f>
        <v>-6.6666666666666652E-2</v>
      </c>
      <c r="H1308" s="8" t="str" cm="1">
        <f t="array" ref="H1308">_xlfn.IFS(Lektionen[[#This Row],[Bearbeitungsdauer_abgewichen]]&gt;0.6,"viel länger",Lektionen[[#This Row],[Bearbeitungsdauer_abgewichen]]&gt;0.3,"länger",Lektionen[[#This Row],[Bearbeitungsdauer_abgewichen]]&lt;-0.3,"kürzer",TRUE,"keine Abweichung")</f>
        <v>keine Abweichung</v>
      </c>
      <c r="I1308">
        <v>2</v>
      </c>
    </row>
    <row r="1309" spans="1:9" hidden="1" x14ac:dyDescent="0.3">
      <c r="A1309" s="13">
        <v>204</v>
      </c>
      <c r="B1309" s="4">
        <v>4</v>
      </c>
      <c r="C1309" t="s">
        <v>531</v>
      </c>
      <c r="D1309" t="s">
        <v>530</v>
      </c>
      <c r="E1309">
        <v>30</v>
      </c>
      <c r="F1309">
        <v>20</v>
      </c>
      <c r="G1309" s="8">
        <f>Lektionen[[#This Row],[Bearbeitungsdauer_real]]/Lektionen[[#This Row],[Bearbeitungsdauer_geschätzt]]-1</f>
        <v>-0.33333333333333337</v>
      </c>
      <c r="H1309" s="8" t="str" cm="1">
        <f t="array" ref="H1309">_xlfn.IFS(Lektionen[[#This Row],[Bearbeitungsdauer_abgewichen]]&gt;0.6,"viel länger",Lektionen[[#This Row],[Bearbeitungsdauer_abgewichen]]&gt;0.3,"länger",Lektionen[[#This Row],[Bearbeitungsdauer_abgewichen]]&lt;-0.3,"kürzer",TRUE,"keine Abweichung")</f>
        <v>kürzer</v>
      </c>
      <c r="I1309">
        <v>4</v>
      </c>
    </row>
    <row r="1310" spans="1:9" x14ac:dyDescent="0.3">
      <c r="A1310" s="13">
        <v>204</v>
      </c>
      <c r="B1310" s="4">
        <v>5</v>
      </c>
      <c r="C1310" t="s">
        <v>532</v>
      </c>
      <c r="D1310" t="s">
        <v>530</v>
      </c>
      <c r="E1310">
        <v>30</v>
      </c>
      <c r="F1310">
        <v>45</v>
      </c>
      <c r="G1310" s="8">
        <f>Lektionen[[#This Row],[Bearbeitungsdauer_real]]/Lektionen[[#This Row],[Bearbeitungsdauer_geschätzt]]-1</f>
        <v>0.5</v>
      </c>
      <c r="H1310" s="8" t="str" cm="1">
        <f t="array" ref="H1310">_xlfn.IFS(Lektionen[[#This Row],[Bearbeitungsdauer_abgewichen]]&gt;0.6,"viel länger",Lektionen[[#This Row],[Bearbeitungsdauer_abgewichen]]&gt;0.3,"länger",Lektionen[[#This Row],[Bearbeitungsdauer_abgewichen]]&lt;-0.3,"kürzer",TRUE,"keine Abweichung")</f>
        <v>länger</v>
      </c>
      <c r="I1310">
        <v>3</v>
      </c>
    </row>
    <row r="1311" spans="1:9" hidden="1" x14ac:dyDescent="0.3">
      <c r="A1311" s="13">
        <v>204</v>
      </c>
      <c r="B1311" s="4">
        <v>6</v>
      </c>
      <c r="C1311" t="s">
        <v>533</v>
      </c>
      <c r="D1311" t="s">
        <v>534</v>
      </c>
      <c r="E1311">
        <v>5</v>
      </c>
      <c r="F1311">
        <v>1</v>
      </c>
      <c r="G1311" s="8">
        <f>Lektionen[[#This Row],[Bearbeitungsdauer_real]]/Lektionen[[#This Row],[Bearbeitungsdauer_geschätzt]]-1</f>
        <v>-0.8</v>
      </c>
      <c r="H1311" s="8" t="str" cm="1">
        <f t="array" ref="H1311">_xlfn.IFS(Lektionen[[#This Row],[Bearbeitungsdauer_abgewichen]]&gt;0.6,"viel länger",Lektionen[[#This Row],[Bearbeitungsdauer_abgewichen]]&gt;0.3,"länger",Lektionen[[#This Row],[Bearbeitungsdauer_abgewichen]]&lt;-0.3,"kürzer",TRUE,"keine Abweichung")</f>
        <v>kürzer</v>
      </c>
      <c r="I1311">
        <v>2</v>
      </c>
    </row>
    <row r="1312" spans="1:9" hidden="1" x14ac:dyDescent="0.3">
      <c r="A1312" s="13">
        <v>204</v>
      </c>
      <c r="B1312" s="4">
        <v>7</v>
      </c>
      <c r="C1312" t="s">
        <v>535</v>
      </c>
      <c r="D1312" t="s">
        <v>536</v>
      </c>
      <c r="E1312">
        <v>10</v>
      </c>
      <c r="F1312">
        <v>10</v>
      </c>
      <c r="G1312" s="8">
        <f>Lektionen[[#This Row],[Bearbeitungsdauer_real]]/Lektionen[[#This Row],[Bearbeitungsdauer_geschätzt]]-1</f>
        <v>0</v>
      </c>
      <c r="H1312" s="8" t="str" cm="1">
        <f t="array" ref="H1312">_xlfn.IFS(Lektionen[[#This Row],[Bearbeitungsdauer_abgewichen]]&gt;0.6,"viel länger",Lektionen[[#This Row],[Bearbeitungsdauer_abgewichen]]&gt;0.3,"länger",Lektionen[[#This Row],[Bearbeitungsdauer_abgewichen]]&lt;-0.3,"kürzer",TRUE,"keine Abweichung")</f>
        <v>keine Abweichung</v>
      </c>
      <c r="I1312">
        <v>3</v>
      </c>
    </row>
    <row r="1313" spans="1:9" hidden="1" x14ac:dyDescent="0.3">
      <c r="A1313" s="13">
        <v>204</v>
      </c>
      <c r="B1313" s="4">
        <v>8</v>
      </c>
      <c r="C1313" t="s">
        <v>537</v>
      </c>
      <c r="D1313" t="s">
        <v>527</v>
      </c>
      <c r="E1313">
        <v>5</v>
      </c>
      <c r="F1313">
        <v>5</v>
      </c>
      <c r="G1313" s="8">
        <f>Lektionen[[#This Row],[Bearbeitungsdauer_real]]/Lektionen[[#This Row],[Bearbeitungsdauer_geschätzt]]-1</f>
        <v>0</v>
      </c>
      <c r="H1313" s="8" t="str" cm="1">
        <f t="array" ref="H1313">_xlfn.IFS(Lektionen[[#This Row],[Bearbeitungsdauer_abgewichen]]&gt;0.6,"viel länger",Lektionen[[#This Row],[Bearbeitungsdauer_abgewichen]]&gt;0.3,"länger",Lektionen[[#This Row],[Bearbeitungsdauer_abgewichen]]&lt;-0.3,"kürzer",TRUE,"keine Abweichung")</f>
        <v>keine Abweichung</v>
      </c>
      <c r="I1313">
        <v>1</v>
      </c>
    </row>
    <row r="1314" spans="1:9" hidden="1" x14ac:dyDescent="0.3">
      <c r="A1314" s="13">
        <v>205</v>
      </c>
      <c r="B1314" s="4">
        <v>1</v>
      </c>
      <c r="C1314" t="s">
        <v>526</v>
      </c>
      <c r="D1314" t="s">
        <v>527</v>
      </c>
      <c r="E1314">
        <v>4</v>
      </c>
      <c r="F1314">
        <v>4</v>
      </c>
      <c r="G1314" s="8">
        <f>Lektionen[[#This Row],[Bearbeitungsdauer_real]]/Lektionen[[#This Row],[Bearbeitungsdauer_geschätzt]]-1</f>
        <v>0</v>
      </c>
      <c r="H1314" s="8" t="str" cm="1">
        <f t="array" ref="H1314">_xlfn.IFS(Lektionen[[#This Row],[Bearbeitungsdauer_abgewichen]]&gt;0.6,"viel länger",Lektionen[[#This Row],[Bearbeitungsdauer_abgewichen]]&gt;0.3,"länger",Lektionen[[#This Row],[Bearbeitungsdauer_abgewichen]]&lt;-0.3,"kürzer",TRUE,"keine Abweichung")</f>
        <v>keine Abweichung</v>
      </c>
      <c r="I1314">
        <v>1</v>
      </c>
    </row>
    <row r="1315" spans="1:9" hidden="1" x14ac:dyDescent="0.3">
      <c r="A1315" s="13">
        <v>205</v>
      </c>
      <c r="B1315" s="4">
        <v>2</v>
      </c>
      <c r="C1315" t="s">
        <v>528</v>
      </c>
      <c r="D1315" t="s">
        <v>529</v>
      </c>
      <c r="E1315">
        <v>15</v>
      </c>
      <c r="F1315">
        <v>21</v>
      </c>
      <c r="G1315" s="8">
        <f>Lektionen[[#This Row],[Bearbeitungsdauer_real]]/Lektionen[[#This Row],[Bearbeitungsdauer_geschätzt]]-1</f>
        <v>0.39999999999999991</v>
      </c>
      <c r="H1315" s="8" t="str" cm="1">
        <f t="array" ref="H1315">_xlfn.IFS(Lektionen[[#This Row],[Bearbeitungsdauer_abgewichen]]&gt;0.6,"viel länger",Lektionen[[#This Row],[Bearbeitungsdauer_abgewichen]]&gt;0.3,"länger",Lektionen[[#This Row],[Bearbeitungsdauer_abgewichen]]&lt;-0.3,"kürzer",TRUE,"keine Abweichung")</f>
        <v>länger</v>
      </c>
      <c r="I1315">
        <v>1</v>
      </c>
    </row>
    <row r="1316" spans="1:9" hidden="1" x14ac:dyDescent="0.3">
      <c r="A1316" s="13">
        <v>205</v>
      </c>
      <c r="B1316" s="4">
        <v>3</v>
      </c>
      <c r="C1316" t="s">
        <v>552</v>
      </c>
      <c r="D1316" t="s">
        <v>530</v>
      </c>
      <c r="E1316">
        <v>30</v>
      </c>
      <c r="F1316">
        <v>28</v>
      </c>
      <c r="G1316" s="8">
        <f>Lektionen[[#This Row],[Bearbeitungsdauer_real]]/Lektionen[[#This Row],[Bearbeitungsdauer_geschätzt]]-1</f>
        <v>-6.6666666666666652E-2</v>
      </c>
      <c r="H1316" s="8" t="str" cm="1">
        <f t="array" ref="H1316">_xlfn.IFS(Lektionen[[#This Row],[Bearbeitungsdauer_abgewichen]]&gt;0.6,"viel länger",Lektionen[[#This Row],[Bearbeitungsdauer_abgewichen]]&gt;0.3,"länger",Lektionen[[#This Row],[Bearbeitungsdauer_abgewichen]]&lt;-0.3,"kürzer",TRUE,"keine Abweichung")</f>
        <v>keine Abweichung</v>
      </c>
      <c r="I1316">
        <v>2</v>
      </c>
    </row>
    <row r="1317" spans="1:9" hidden="1" x14ac:dyDescent="0.3">
      <c r="A1317" s="13">
        <v>205</v>
      </c>
      <c r="B1317" s="4">
        <v>4</v>
      </c>
      <c r="C1317" t="s">
        <v>531</v>
      </c>
      <c r="D1317" t="s">
        <v>530</v>
      </c>
      <c r="E1317">
        <v>30</v>
      </c>
      <c r="F1317">
        <v>21</v>
      </c>
      <c r="G1317" s="8">
        <f>Lektionen[[#This Row],[Bearbeitungsdauer_real]]/Lektionen[[#This Row],[Bearbeitungsdauer_geschätzt]]-1</f>
        <v>-0.30000000000000004</v>
      </c>
      <c r="H1317" s="8" t="str" cm="1">
        <f t="array" ref="H1317">_xlfn.IFS(Lektionen[[#This Row],[Bearbeitungsdauer_abgewichen]]&gt;0.6,"viel länger",Lektionen[[#This Row],[Bearbeitungsdauer_abgewichen]]&gt;0.3,"länger",Lektionen[[#This Row],[Bearbeitungsdauer_abgewichen]]&lt;-0.3,"kürzer",TRUE,"keine Abweichung")</f>
        <v>keine Abweichung</v>
      </c>
      <c r="I1317">
        <v>2</v>
      </c>
    </row>
    <row r="1318" spans="1:9" x14ac:dyDescent="0.3">
      <c r="A1318" s="13">
        <v>205</v>
      </c>
      <c r="B1318" s="4">
        <v>5</v>
      </c>
      <c r="C1318" t="s">
        <v>532</v>
      </c>
      <c r="D1318" t="s">
        <v>530</v>
      </c>
      <c r="E1318">
        <v>30</v>
      </c>
      <c r="F1318">
        <v>48</v>
      </c>
      <c r="G1318" s="8">
        <f>Lektionen[[#This Row],[Bearbeitungsdauer_real]]/Lektionen[[#This Row],[Bearbeitungsdauer_geschätzt]]-1</f>
        <v>0.60000000000000009</v>
      </c>
      <c r="H1318" s="8" t="str" cm="1">
        <f t="array" ref="H1318">_xlfn.IFS(Lektionen[[#This Row],[Bearbeitungsdauer_abgewichen]]&gt;0.6,"viel länger",Lektionen[[#This Row],[Bearbeitungsdauer_abgewichen]]&gt;0.3,"länger",Lektionen[[#This Row],[Bearbeitungsdauer_abgewichen]]&lt;-0.3,"kürzer",TRUE,"keine Abweichung")</f>
        <v>länger</v>
      </c>
      <c r="I1318">
        <v>3</v>
      </c>
    </row>
    <row r="1319" spans="1:9" hidden="1" x14ac:dyDescent="0.3">
      <c r="A1319" s="13">
        <v>205</v>
      </c>
      <c r="B1319" s="4">
        <v>6</v>
      </c>
      <c r="C1319" t="s">
        <v>533</v>
      </c>
      <c r="D1319" t="s">
        <v>534</v>
      </c>
      <c r="E1319">
        <v>5</v>
      </c>
      <c r="F1319">
        <v>2</v>
      </c>
      <c r="G1319" s="8">
        <f>Lektionen[[#This Row],[Bearbeitungsdauer_real]]/Lektionen[[#This Row],[Bearbeitungsdauer_geschätzt]]-1</f>
        <v>-0.6</v>
      </c>
      <c r="H1319" s="8" t="str" cm="1">
        <f t="array" ref="H1319">_xlfn.IFS(Lektionen[[#This Row],[Bearbeitungsdauer_abgewichen]]&gt;0.6,"viel länger",Lektionen[[#This Row],[Bearbeitungsdauer_abgewichen]]&gt;0.3,"länger",Lektionen[[#This Row],[Bearbeitungsdauer_abgewichen]]&lt;-0.3,"kürzer",TRUE,"keine Abweichung")</f>
        <v>kürzer</v>
      </c>
      <c r="I1319">
        <v>2</v>
      </c>
    </row>
    <row r="1320" spans="1:9" hidden="1" x14ac:dyDescent="0.3">
      <c r="A1320" s="13">
        <v>205</v>
      </c>
      <c r="B1320" s="4">
        <v>7</v>
      </c>
      <c r="C1320" t="s">
        <v>535</v>
      </c>
      <c r="D1320" t="s">
        <v>536</v>
      </c>
      <c r="E1320">
        <v>10</v>
      </c>
      <c r="F1320">
        <v>9</v>
      </c>
      <c r="G1320" s="8">
        <f>Lektionen[[#This Row],[Bearbeitungsdauer_real]]/Lektionen[[#This Row],[Bearbeitungsdauer_geschätzt]]-1</f>
        <v>-9.9999999999999978E-2</v>
      </c>
      <c r="H1320" s="8" t="str" cm="1">
        <f t="array" ref="H1320">_xlfn.IFS(Lektionen[[#This Row],[Bearbeitungsdauer_abgewichen]]&gt;0.6,"viel länger",Lektionen[[#This Row],[Bearbeitungsdauer_abgewichen]]&gt;0.3,"länger",Lektionen[[#This Row],[Bearbeitungsdauer_abgewichen]]&lt;-0.3,"kürzer",TRUE,"keine Abweichung")</f>
        <v>keine Abweichung</v>
      </c>
      <c r="I1320">
        <v>3</v>
      </c>
    </row>
    <row r="1321" spans="1:9" hidden="1" x14ac:dyDescent="0.3">
      <c r="A1321" s="13">
        <v>205</v>
      </c>
      <c r="B1321" s="4">
        <v>8</v>
      </c>
      <c r="C1321" t="s">
        <v>537</v>
      </c>
      <c r="D1321" t="s">
        <v>527</v>
      </c>
      <c r="E1321">
        <v>5</v>
      </c>
      <c r="F1321">
        <v>5</v>
      </c>
      <c r="G1321" s="8">
        <f>Lektionen[[#This Row],[Bearbeitungsdauer_real]]/Lektionen[[#This Row],[Bearbeitungsdauer_geschätzt]]-1</f>
        <v>0</v>
      </c>
      <c r="H1321" s="8" t="str" cm="1">
        <f t="array" ref="H1321">_xlfn.IFS(Lektionen[[#This Row],[Bearbeitungsdauer_abgewichen]]&gt;0.6,"viel länger",Lektionen[[#This Row],[Bearbeitungsdauer_abgewichen]]&gt;0.3,"länger",Lektionen[[#This Row],[Bearbeitungsdauer_abgewichen]]&lt;-0.3,"kürzer",TRUE,"keine Abweichung")</f>
        <v>keine Abweichung</v>
      </c>
      <c r="I1321">
        <v>1</v>
      </c>
    </row>
    <row r="1322" spans="1:9" hidden="1" x14ac:dyDescent="0.3">
      <c r="A1322" s="13">
        <v>206</v>
      </c>
      <c r="B1322" s="4">
        <v>1</v>
      </c>
      <c r="C1322" t="s">
        <v>526</v>
      </c>
      <c r="D1322" t="s">
        <v>527</v>
      </c>
      <c r="E1322">
        <v>4</v>
      </c>
      <c r="F1322">
        <v>4</v>
      </c>
      <c r="G1322" s="8">
        <f>Lektionen[[#This Row],[Bearbeitungsdauer_real]]/Lektionen[[#This Row],[Bearbeitungsdauer_geschätzt]]-1</f>
        <v>0</v>
      </c>
      <c r="H1322" s="8" t="str" cm="1">
        <f t="array" ref="H1322">_xlfn.IFS(Lektionen[[#This Row],[Bearbeitungsdauer_abgewichen]]&gt;0.6,"viel länger",Lektionen[[#This Row],[Bearbeitungsdauer_abgewichen]]&gt;0.3,"länger",Lektionen[[#This Row],[Bearbeitungsdauer_abgewichen]]&lt;-0.3,"kürzer",TRUE,"keine Abweichung")</f>
        <v>keine Abweichung</v>
      </c>
      <c r="I1322">
        <v>1</v>
      </c>
    </row>
    <row r="1323" spans="1:9" hidden="1" x14ac:dyDescent="0.3">
      <c r="A1323" s="13">
        <v>206</v>
      </c>
      <c r="B1323" s="4">
        <v>2</v>
      </c>
      <c r="C1323" t="s">
        <v>528</v>
      </c>
      <c r="D1323" t="s">
        <v>529</v>
      </c>
      <c r="E1323">
        <v>15</v>
      </c>
      <c r="F1323">
        <v>20</v>
      </c>
      <c r="G1323" s="8">
        <f>Lektionen[[#This Row],[Bearbeitungsdauer_real]]/Lektionen[[#This Row],[Bearbeitungsdauer_geschätzt]]-1</f>
        <v>0.33333333333333326</v>
      </c>
      <c r="H1323" s="8" t="str" cm="1">
        <f t="array" ref="H1323">_xlfn.IFS(Lektionen[[#This Row],[Bearbeitungsdauer_abgewichen]]&gt;0.6,"viel länger",Lektionen[[#This Row],[Bearbeitungsdauer_abgewichen]]&gt;0.3,"länger",Lektionen[[#This Row],[Bearbeitungsdauer_abgewichen]]&lt;-0.3,"kürzer",TRUE,"keine Abweichung")</f>
        <v>länger</v>
      </c>
      <c r="I1323">
        <v>2</v>
      </c>
    </row>
    <row r="1324" spans="1:9" hidden="1" x14ac:dyDescent="0.3">
      <c r="A1324" s="13">
        <v>206</v>
      </c>
      <c r="B1324" s="4">
        <v>3</v>
      </c>
      <c r="C1324" t="s">
        <v>552</v>
      </c>
      <c r="D1324" t="s">
        <v>530</v>
      </c>
      <c r="E1324">
        <v>30</v>
      </c>
      <c r="F1324">
        <v>30</v>
      </c>
      <c r="G1324" s="8">
        <f>Lektionen[[#This Row],[Bearbeitungsdauer_real]]/Lektionen[[#This Row],[Bearbeitungsdauer_geschätzt]]-1</f>
        <v>0</v>
      </c>
      <c r="H1324" s="8" t="str" cm="1">
        <f t="array" ref="H1324">_xlfn.IFS(Lektionen[[#This Row],[Bearbeitungsdauer_abgewichen]]&gt;0.6,"viel länger",Lektionen[[#This Row],[Bearbeitungsdauer_abgewichen]]&gt;0.3,"länger",Lektionen[[#This Row],[Bearbeitungsdauer_abgewichen]]&lt;-0.3,"kürzer",TRUE,"keine Abweichung")</f>
        <v>keine Abweichung</v>
      </c>
      <c r="I1324">
        <v>3</v>
      </c>
    </row>
    <row r="1325" spans="1:9" hidden="1" x14ac:dyDescent="0.3">
      <c r="A1325" s="13">
        <v>206</v>
      </c>
      <c r="B1325" s="4">
        <v>4</v>
      </c>
      <c r="C1325" t="s">
        <v>531</v>
      </c>
      <c r="D1325" t="s">
        <v>530</v>
      </c>
      <c r="E1325">
        <v>30</v>
      </c>
      <c r="F1325">
        <v>35</v>
      </c>
      <c r="G1325" s="8">
        <f>Lektionen[[#This Row],[Bearbeitungsdauer_real]]/Lektionen[[#This Row],[Bearbeitungsdauer_geschätzt]]-1</f>
        <v>0.16666666666666674</v>
      </c>
      <c r="H1325" s="8" t="str" cm="1">
        <f t="array" ref="H1325">_xlfn.IFS(Lektionen[[#This Row],[Bearbeitungsdauer_abgewichen]]&gt;0.6,"viel länger",Lektionen[[#This Row],[Bearbeitungsdauer_abgewichen]]&gt;0.3,"länger",Lektionen[[#This Row],[Bearbeitungsdauer_abgewichen]]&lt;-0.3,"kürzer",TRUE,"keine Abweichung")</f>
        <v>keine Abweichung</v>
      </c>
      <c r="I1325">
        <v>4</v>
      </c>
    </row>
    <row r="1326" spans="1:9" x14ac:dyDescent="0.3">
      <c r="A1326" s="13">
        <v>206</v>
      </c>
      <c r="B1326" s="4">
        <v>5</v>
      </c>
      <c r="C1326" t="s">
        <v>532</v>
      </c>
      <c r="D1326" t="s">
        <v>530</v>
      </c>
      <c r="E1326">
        <v>30</v>
      </c>
      <c r="F1326">
        <v>44</v>
      </c>
      <c r="G1326" s="8">
        <f>Lektionen[[#This Row],[Bearbeitungsdauer_real]]/Lektionen[[#This Row],[Bearbeitungsdauer_geschätzt]]-1</f>
        <v>0.46666666666666656</v>
      </c>
      <c r="H1326" s="8" t="str" cm="1">
        <f t="array" ref="H1326">_xlfn.IFS(Lektionen[[#This Row],[Bearbeitungsdauer_abgewichen]]&gt;0.6,"viel länger",Lektionen[[#This Row],[Bearbeitungsdauer_abgewichen]]&gt;0.3,"länger",Lektionen[[#This Row],[Bearbeitungsdauer_abgewichen]]&lt;-0.3,"kürzer",TRUE,"keine Abweichung")</f>
        <v>länger</v>
      </c>
      <c r="I1326">
        <v>4</v>
      </c>
    </row>
    <row r="1327" spans="1:9" hidden="1" x14ac:dyDescent="0.3">
      <c r="A1327" s="13">
        <v>206</v>
      </c>
      <c r="B1327" s="4">
        <v>6</v>
      </c>
      <c r="C1327" t="s">
        <v>533</v>
      </c>
      <c r="D1327" t="s">
        <v>534</v>
      </c>
      <c r="E1327">
        <v>5</v>
      </c>
      <c r="F1327">
        <v>2</v>
      </c>
      <c r="G1327" s="8">
        <f>Lektionen[[#This Row],[Bearbeitungsdauer_real]]/Lektionen[[#This Row],[Bearbeitungsdauer_geschätzt]]-1</f>
        <v>-0.6</v>
      </c>
      <c r="H1327" s="8" t="str" cm="1">
        <f t="array" ref="H1327">_xlfn.IFS(Lektionen[[#This Row],[Bearbeitungsdauer_abgewichen]]&gt;0.6,"viel länger",Lektionen[[#This Row],[Bearbeitungsdauer_abgewichen]]&gt;0.3,"länger",Lektionen[[#This Row],[Bearbeitungsdauer_abgewichen]]&lt;-0.3,"kürzer",TRUE,"keine Abweichung")</f>
        <v>kürzer</v>
      </c>
      <c r="I1327">
        <v>2</v>
      </c>
    </row>
    <row r="1328" spans="1:9" hidden="1" x14ac:dyDescent="0.3">
      <c r="A1328" s="13">
        <v>206</v>
      </c>
      <c r="B1328" s="4">
        <v>7</v>
      </c>
      <c r="C1328" t="s">
        <v>535</v>
      </c>
      <c r="D1328" t="s">
        <v>536</v>
      </c>
      <c r="E1328">
        <v>10</v>
      </c>
      <c r="F1328">
        <v>11</v>
      </c>
      <c r="G1328" s="8">
        <f>Lektionen[[#This Row],[Bearbeitungsdauer_real]]/Lektionen[[#This Row],[Bearbeitungsdauer_geschätzt]]-1</f>
        <v>0.10000000000000009</v>
      </c>
      <c r="H1328" s="8" t="str" cm="1">
        <f t="array" ref="H1328">_xlfn.IFS(Lektionen[[#This Row],[Bearbeitungsdauer_abgewichen]]&gt;0.6,"viel länger",Lektionen[[#This Row],[Bearbeitungsdauer_abgewichen]]&gt;0.3,"länger",Lektionen[[#This Row],[Bearbeitungsdauer_abgewichen]]&lt;-0.3,"kürzer",TRUE,"keine Abweichung")</f>
        <v>keine Abweichung</v>
      </c>
      <c r="I1328">
        <v>4</v>
      </c>
    </row>
    <row r="1329" spans="1:9" hidden="1" x14ac:dyDescent="0.3">
      <c r="A1329" s="13">
        <v>206</v>
      </c>
      <c r="B1329" s="4">
        <v>8</v>
      </c>
      <c r="C1329" t="s">
        <v>537</v>
      </c>
      <c r="D1329" t="s">
        <v>527</v>
      </c>
      <c r="E1329">
        <v>5</v>
      </c>
      <c r="F1329">
        <v>5</v>
      </c>
      <c r="G1329" s="8">
        <f>Lektionen[[#This Row],[Bearbeitungsdauer_real]]/Lektionen[[#This Row],[Bearbeitungsdauer_geschätzt]]-1</f>
        <v>0</v>
      </c>
      <c r="H1329" s="8" t="str" cm="1">
        <f t="array" ref="H1329">_xlfn.IFS(Lektionen[[#This Row],[Bearbeitungsdauer_abgewichen]]&gt;0.6,"viel länger",Lektionen[[#This Row],[Bearbeitungsdauer_abgewichen]]&gt;0.3,"länger",Lektionen[[#This Row],[Bearbeitungsdauer_abgewichen]]&lt;-0.3,"kürzer",TRUE,"keine Abweichung")</f>
        <v>keine Abweichung</v>
      </c>
      <c r="I1329">
        <v>1</v>
      </c>
    </row>
    <row r="1330" spans="1:9" hidden="1" x14ac:dyDescent="0.3">
      <c r="A1330" s="13">
        <v>207</v>
      </c>
      <c r="B1330" s="4">
        <v>1</v>
      </c>
      <c r="C1330" t="s">
        <v>526</v>
      </c>
      <c r="D1330" t="s">
        <v>527</v>
      </c>
      <c r="E1330">
        <v>4</v>
      </c>
      <c r="F1330">
        <v>4</v>
      </c>
      <c r="G1330" s="8">
        <f>Lektionen[[#This Row],[Bearbeitungsdauer_real]]/Lektionen[[#This Row],[Bearbeitungsdauer_geschätzt]]-1</f>
        <v>0</v>
      </c>
      <c r="H1330" s="8" t="str" cm="1">
        <f t="array" ref="H1330">_xlfn.IFS(Lektionen[[#This Row],[Bearbeitungsdauer_abgewichen]]&gt;0.6,"viel länger",Lektionen[[#This Row],[Bearbeitungsdauer_abgewichen]]&gt;0.3,"länger",Lektionen[[#This Row],[Bearbeitungsdauer_abgewichen]]&lt;-0.3,"kürzer",TRUE,"keine Abweichung")</f>
        <v>keine Abweichung</v>
      </c>
      <c r="I1330">
        <v>1</v>
      </c>
    </row>
    <row r="1331" spans="1:9" hidden="1" x14ac:dyDescent="0.3">
      <c r="A1331" s="13">
        <v>207</v>
      </c>
      <c r="B1331" s="4">
        <v>2</v>
      </c>
      <c r="C1331" t="s">
        <v>528</v>
      </c>
      <c r="D1331" t="s">
        <v>529</v>
      </c>
      <c r="E1331">
        <v>15</v>
      </c>
      <c r="F1331">
        <v>16</v>
      </c>
      <c r="G1331" s="8">
        <f>Lektionen[[#This Row],[Bearbeitungsdauer_real]]/Lektionen[[#This Row],[Bearbeitungsdauer_geschätzt]]-1</f>
        <v>6.6666666666666652E-2</v>
      </c>
      <c r="H1331" s="8" t="str" cm="1">
        <f t="array" ref="H1331">_xlfn.IFS(Lektionen[[#This Row],[Bearbeitungsdauer_abgewichen]]&gt;0.6,"viel länger",Lektionen[[#This Row],[Bearbeitungsdauer_abgewichen]]&gt;0.3,"länger",Lektionen[[#This Row],[Bearbeitungsdauer_abgewichen]]&lt;-0.3,"kürzer",TRUE,"keine Abweichung")</f>
        <v>keine Abweichung</v>
      </c>
      <c r="I1331">
        <v>1</v>
      </c>
    </row>
    <row r="1332" spans="1:9" hidden="1" x14ac:dyDescent="0.3">
      <c r="A1332" s="13">
        <v>207</v>
      </c>
      <c r="B1332" s="4">
        <v>3</v>
      </c>
      <c r="C1332" t="s">
        <v>552</v>
      </c>
      <c r="D1332" t="s">
        <v>530</v>
      </c>
      <c r="E1332">
        <v>30</v>
      </c>
      <c r="F1332">
        <v>28</v>
      </c>
      <c r="G1332" s="8">
        <f>Lektionen[[#This Row],[Bearbeitungsdauer_real]]/Lektionen[[#This Row],[Bearbeitungsdauer_geschätzt]]-1</f>
        <v>-6.6666666666666652E-2</v>
      </c>
      <c r="H1332" s="8" t="str" cm="1">
        <f t="array" ref="H1332">_xlfn.IFS(Lektionen[[#This Row],[Bearbeitungsdauer_abgewichen]]&gt;0.6,"viel länger",Lektionen[[#This Row],[Bearbeitungsdauer_abgewichen]]&gt;0.3,"länger",Lektionen[[#This Row],[Bearbeitungsdauer_abgewichen]]&lt;-0.3,"kürzer",TRUE,"keine Abweichung")</f>
        <v>keine Abweichung</v>
      </c>
      <c r="I1332">
        <v>3</v>
      </c>
    </row>
    <row r="1333" spans="1:9" hidden="1" x14ac:dyDescent="0.3">
      <c r="A1333" s="13">
        <v>207</v>
      </c>
      <c r="B1333" s="4">
        <v>4</v>
      </c>
      <c r="C1333" t="s">
        <v>531</v>
      </c>
      <c r="D1333" t="s">
        <v>530</v>
      </c>
      <c r="E1333">
        <v>30</v>
      </c>
      <c r="F1333">
        <v>27</v>
      </c>
      <c r="G1333" s="8">
        <f>Lektionen[[#This Row],[Bearbeitungsdauer_real]]/Lektionen[[#This Row],[Bearbeitungsdauer_geschätzt]]-1</f>
        <v>-9.9999999999999978E-2</v>
      </c>
      <c r="H1333" s="8" t="str" cm="1">
        <f t="array" ref="H1333">_xlfn.IFS(Lektionen[[#This Row],[Bearbeitungsdauer_abgewichen]]&gt;0.6,"viel länger",Lektionen[[#This Row],[Bearbeitungsdauer_abgewichen]]&gt;0.3,"länger",Lektionen[[#This Row],[Bearbeitungsdauer_abgewichen]]&lt;-0.3,"kürzer",TRUE,"keine Abweichung")</f>
        <v>keine Abweichung</v>
      </c>
      <c r="I1333">
        <v>3</v>
      </c>
    </row>
    <row r="1334" spans="1:9" x14ac:dyDescent="0.3">
      <c r="A1334" s="13">
        <v>207</v>
      </c>
      <c r="B1334" s="4">
        <v>5</v>
      </c>
      <c r="C1334" t="s">
        <v>532</v>
      </c>
      <c r="D1334" t="s">
        <v>530</v>
      </c>
      <c r="E1334">
        <v>30</v>
      </c>
      <c r="F1334">
        <v>47</v>
      </c>
      <c r="G1334" s="8">
        <f>Lektionen[[#This Row],[Bearbeitungsdauer_real]]/Lektionen[[#This Row],[Bearbeitungsdauer_geschätzt]]-1</f>
        <v>0.56666666666666665</v>
      </c>
      <c r="H1334" s="8" t="str" cm="1">
        <f t="array" ref="H1334">_xlfn.IFS(Lektionen[[#This Row],[Bearbeitungsdauer_abgewichen]]&gt;0.6,"viel länger",Lektionen[[#This Row],[Bearbeitungsdauer_abgewichen]]&gt;0.3,"länger",Lektionen[[#This Row],[Bearbeitungsdauer_abgewichen]]&lt;-0.3,"kürzer",TRUE,"keine Abweichung")</f>
        <v>länger</v>
      </c>
      <c r="I1334">
        <v>4</v>
      </c>
    </row>
    <row r="1335" spans="1:9" hidden="1" x14ac:dyDescent="0.3">
      <c r="A1335" s="13">
        <v>207</v>
      </c>
      <c r="B1335" s="4">
        <v>6</v>
      </c>
      <c r="C1335" t="s">
        <v>533</v>
      </c>
      <c r="D1335" t="s">
        <v>534</v>
      </c>
      <c r="E1335">
        <v>5</v>
      </c>
      <c r="F1335">
        <v>2</v>
      </c>
      <c r="G1335" s="8">
        <f>Lektionen[[#This Row],[Bearbeitungsdauer_real]]/Lektionen[[#This Row],[Bearbeitungsdauer_geschätzt]]-1</f>
        <v>-0.6</v>
      </c>
      <c r="H1335" s="8" t="str" cm="1">
        <f t="array" ref="H1335">_xlfn.IFS(Lektionen[[#This Row],[Bearbeitungsdauer_abgewichen]]&gt;0.6,"viel länger",Lektionen[[#This Row],[Bearbeitungsdauer_abgewichen]]&gt;0.3,"länger",Lektionen[[#This Row],[Bearbeitungsdauer_abgewichen]]&lt;-0.3,"kürzer",TRUE,"keine Abweichung")</f>
        <v>kürzer</v>
      </c>
      <c r="I1335">
        <v>2</v>
      </c>
    </row>
    <row r="1336" spans="1:9" hidden="1" x14ac:dyDescent="0.3">
      <c r="A1336" s="13">
        <v>207</v>
      </c>
      <c r="B1336" s="4">
        <v>7</v>
      </c>
      <c r="C1336" t="s">
        <v>535</v>
      </c>
      <c r="D1336" t="s">
        <v>536</v>
      </c>
      <c r="E1336">
        <v>10</v>
      </c>
      <c r="F1336">
        <v>10</v>
      </c>
      <c r="G1336" s="8">
        <f>Lektionen[[#This Row],[Bearbeitungsdauer_real]]/Lektionen[[#This Row],[Bearbeitungsdauer_geschätzt]]-1</f>
        <v>0</v>
      </c>
      <c r="H1336" s="8" t="str" cm="1">
        <f t="array" ref="H1336">_xlfn.IFS(Lektionen[[#This Row],[Bearbeitungsdauer_abgewichen]]&gt;0.6,"viel länger",Lektionen[[#This Row],[Bearbeitungsdauer_abgewichen]]&gt;0.3,"länger",Lektionen[[#This Row],[Bearbeitungsdauer_abgewichen]]&lt;-0.3,"kürzer",TRUE,"keine Abweichung")</f>
        <v>keine Abweichung</v>
      </c>
      <c r="I1336">
        <v>3</v>
      </c>
    </row>
    <row r="1337" spans="1:9" hidden="1" x14ac:dyDescent="0.3">
      <c r="A1337" s="13">
        <v>207</v>
      </c>
      <c r="B1337" s="4">
        <v>8</v>
      </c>
      <c r="C1337" t="s">
        <v>537</v>
      </c>
      <c r="D1337" t="s">
        <v>527</v>
      </c>
      <c r="E1337">
        <v>5</v>
      </c>
      <c r="F1337">
        <v>6</v>
      </c>
      <c r="G1337" s="8">
        <f>Lektionen[[#This Row],[Bearbeitungsdauer_real]]/Lektionen[[#This Row],[Bearbeitungsdauer_geschätzt]]-1</f>
        <v>0.19999999999999996</v>
      </c>
      <c r="H1337" s="8" t="str" cm="1">
        <f t="array" ref="H1337">_xlfn.IFS(Lektionen[[#This Row],[Bearbeitungsdauer_abgewichen]]&gt;0.6,"viel länger",Lektionen[[#This Row],[Bearbeitungsdauer_abgewichen]]&gt;0.3,"länger",Lektionen[[#This Row],[Bearbeitungsdauer_abgewichen]]&lt;-0.3,"kürzer",TRUE,"keine Abweichung")</f>
        <v>keine Abweichung</v>
      </c>
      <c r="I1337">
        <v>1</v>
      </c>
    </row>
    <row r="1338" spans="1:9" hidden="1" x14ac:dyDescent="0.3">
      <c r="A1338" s="13">
        <v>210</v>
      </c>
      <c r="B1338" s="4">
        <v>1</v>
      </c>
      <c r="C1338" t="s">
        <v>526</v>
      </c>
      <c r="D1338" t="s">
        <v>527</v>
      </c>
      <c r="E1338">
        <v>4</v>
      </c>
      <c r="F1338">
        <v>4</v>
      </c>
      <c r="G1338" s="8">
        <f>Lektionen[[#This Row],[Bearbeitungsdauer_real]]/Lektionen[[#This Row],[Bearbeitungsdauer_geschätzt]]-1</f>
        <v>0</v>
      </c>
      <c r="H1338" s="8" t="str" cm="1">
        <f t="array" ref="H1338">_xlfn.IFS(Lektionen[[#This Row],[Bearbeitungsdauer_abgewichen]]&gt;0.6,"viel länger",Lektionen[[#This Row],[Bearbeitungsdauer_abgewichen]]&gt;0.3,"länger",Lektionen[[#This Row],[Bearbeitungsdauer_abgewichen]]&lt;-0.3,"kürzer",TRUE,"keine Abweichung")</f>
        <v>keine Abweichung</v>
      </c>
      <c r="I1338">
        <v>1</v>
      </c>
    </row>
    <row r="1339" spans="1:9" hidden="1" x14ac:dyDescent="0.3">
      <c r="A1339" s="13">
        <v>210</v>
      </c>
      <c r="B1339" s="4">
        <v>2</v>
      </c>
      <c r="C1339" t="s">
        <v>528</v>
      </c>
      <c r="D1339" t="s">
        <v>529</v>
      </c>
      <c r="E1339">
        <v>15</v>
      </c>
      <c r="F1339">
        <v>19</v>
      </c>
      <c r="G1339" s="8">
        <f>Lektionen[[#This Row],[Bearbeitungsdauer_real]]/Lektionen[[#This Row],[Bearbeitungsdauer_geschätzt]]-1</f>
        <v>0.26666666666666661</v>
      </c>
      <c r="H1339" s="8" t="str" cm="1">
        <f t="array" ref="H1339">_xlfn.IFS(Lektionen[[#This Row],[Bearbeitungsdauer_abgewichen]]&gt;0.6,"viel länger",Lektionen[[#This Row],[Bearbeitungsdauer_abgewichen]]&gt;0.3,"länger",Lektionen[[#This Row],[Bearbeitungsdauer_abgewichen]]&lt;-0.3,"kürzer",TRUE,"keine Abweichung")</f>
        <v>keine Abweichung</v>
      </c>
      <c r="I1339">
        <v>2</v>
      </c>
    </row>
    <row r="1340" spans="1:9" hidden="1" x14ac:dyDescent="0.3">
      <c r="A1340" s="13">
        <v>210</v>
      </c>
      <c r="B1340" s="4">
        <v>3</v>
      </c>
      <c r="C1340" t="s">
        <v>552</v>
      </c>
      <c r="D1340" t="s">
        <v>530</v>
      </c>
      <c r="E1340">
        <v>30</v>
      </c>
      <c r="F1340">
        <v>29</v>
      </c>
      <c r="G1340" s="8">
        <f>Lektionen[[#This Row],[Bearbeitungsdauer_real]]/Lektionen[[#This Row],[Bearbeitungsdauer_geschätzt]]-1</f>
        <v>-3.3333333333333326E-2</v>
      </c>
      <c r="H1340" s="8" t="str" cm="1">
        <f t="array" ref="H1340">_xlfn.IFS(Lektionen[[#This Row],[Bearbeitungsdauer_abgewichen]]&gt;0.6,"viel länger",Lektionen[[#This Row],[Bearbeitungsdauer_abgewichen]]&gt;0.3,"länger",Lektionen[[#This Row],[Bearbeitungsdauer_abgewichen]]&lt;-0.3,"kürzer",TRUE,"keine Abweichung")</f>
        <v>keine Abweichung</v>
      </c>
      <c r="I1340">
        <v>3</v>
      </c>
    </row>
    <row r="1341" spans="1:9" hidden="1" x14ac:dyDescent="0.3">
      <c r="A1341" s="13">
        <v>210</v>
      </c>
      <c r="B1341" s="4">
        <v>4</v>
      </c>
      <c r="C1341" t="s">
        <v>531</v>
      </c>
      <c r="D1341" t="s">
        <v>530</v>
      </c>
      <c r="E1341">
        <v>30</v>
      </c>
      <c r="F1341">
        <v>29</v>
      </c>
      <c r="G1341" s="8">
        <f>Lektionen[[#This Row],[Bearbeitungsdauer_real]]/Lektionen[[#This Row],[Bearbeitungsdauer_geschätzt]]-1</f>
        <v>-3.3333333333333326E-2</v>
      </c>
      <c r="H1341" s="8" t="str" cm="1">
        <f t="array" ref="H1341">_xlfn.IFS(Lektionen[[#This Row],[Bearbeitungsdauer_abgewichen]]&gt;0.6,"viel länger",Lektionen[[#This Row],[Bearbeitungsdauer_abgewichen]]&gt;0.3,"länger",Lektionen[[#This Row],[Bearbeitungsdauer_abgewichen]]&lt;-0.3,"kürzer",TRUE,"keine Abweichung")</f>
        <v>keine Abweichung</v>
      </c>
      <c r="I1341">
        <v>3</v>
      </c>
    </row>
    <row r="1342" spans="1:9" x14ac:dyDescent="0.3">
      <c r="A1342" s="13">
        <v>210</v>
      </c>
      <c r="B1342" s="4">
        <v>5</v>
      </c>
      <c r="C1342" t="s">
        <v>532</v>
      </c>
      <c r="D1342" t="s">
        <v>530</v>
      </c>
      <c r="E1342">
        <v>30</v>
      </c>
      <c r="F1342">
        <v>45</v>
      </c>
      <c r="G1342" s="8">
        <f>Lektionen[[#This Row],[Bearbeitungsdauer_real]]/Lektionen[[#This Row],[Bearbeitungsdauer_geschätzt]]-1</f>
        <v>0.5</v>
      </c>
      <c r="H1342" s="8" t="str" cm="1">
        <f t="array" ref="H1342">_xlfn.IFS(Lektionen[[#This Row],[Bearbeitungsdauer_abgewichen]]&gt;0.6,"viel länger",Lektionen[[#This Row],[Bearbeitungsdauer_abgewichen]]&gt;0.3,"länger",Lektionen[[#This Row],[Bearbeitungsdauer_abgewichen]]&lt;-0.3,"kürzer",TRUE,"keine Abweichung")</f>
        <v>länger</v>
      </c>
      <c r="I1342">
        <v>3</v>
      </c>
    </row>
    <row r="1343" spans="1:9" hidden="1" x14ac:dyDescent="0.3">
      <c r="A1343" s="13">
        <v>210</v>
      </c>
      <c r="B1343" s="4">
        <v>6</v>
      </c>
      <c r="C1343" t="s">
        <v>533</v>
      </c>
      <c r="D1343" t="s">
        <v>534</v>
      </c>
      <c r="E1343">
        <v>5</v>
      </c>
      <c r="F1343">
        <v>1</v>
      </c>
      <c r="G1343" s="8">
        <f>Lektionen[[#This Row],[Bearbeitungsdauer_real]]/Lektionen[[#This Row],[Bearbeitungsdauer_geschätzt]]-1</f>
        <v>-0.8</v>
      </c>
      <c r="H1343" s="8" t="str" cm="1">
        <f t="array" ref="H1343">_xlfn.IFS(Lektionen[[#This Row],[Bearbeitungsdauer_abgewichen]]&gt;0.6,"viel länger",Lektionen[[#This Row],[Bearbeitungsdauer_abgewichen]]&gt;0.3,"länger",Lektionen[[#This Row],[Bearbeitungsdauer_abgewichen]]&lt;-0.3,"kürzer",TRUE,"keine Abweichung")</f>
        <v>kürzer</v>
      </c>
      <c r="I1343">
        <v>2</v>
      </c>
    </row>
    <row r="1344" spans="1:9" hidden="1" x14ac:dyDescent="0.3">
      <c r="A1344" s="13">
        <v>210</v>
      </c>
      <c r="B1344" s="4">
        <v>7</v>
      </c>
      <c r="C1344" t="s">
        <v>535</v>
      </c>
      <c r="D1344" t="s">
        <v>536</v>
      </c>
      <c r="E1344">
        <v>10</v>
      </c>
      <c r="F1344">
        <v>9</v>
      </c>
      <c r="G1344" s="8">
        <f>Lektionen[[#This Row],[Bearbeitungsdauer_real]]/Lektionen[[#This Row],[Bearbeitungsdauer_geschätzt]]-1</f>
        <v>-9.9999999999999978E-2</v>
      </c>
      <c r="H1344" s="8" t="str" cm="1">
        <f t="array" ref="H1344">_xlfn.IFS(Lektionen[[#This Row],[Bearbeitungsdauer_abgewichen]]&gt;0.6,"viel länger",Lektionen[[#This Row],[Bearbeitungsdauer_abgewichen]]&gt;0.3,"länger",Lektionen[[#This Row],[Bearbeitungsdauer_abgewichen]]&lt;-0.3,"kürzer",TRUE,"keine Abweichung")</f>
        <v>keine Abweichung</v>
      </c>
      <c r="I1344">
        <v>3</v>
      </c>
    </row>
    <row r="1345" spans="1:9" hidden="1" x14ac:dyDescent="0.3">
      <c r="A1345" s="13">
        <v>210</v>
      </c>
      <c r="B1345" s="4">
        <v>8</v>
      </c>
      <c r="C1345" t="s">
        <v>537</v>
      </c>
      <c r="D1345" t="s">
        <v>527</v>
      </c>
      <c r="E1345">
        <v>5</v>
      </c>
      <c r="F1345">
        <v>5</v>
      </c>
      <c r="G1345" s="8">
        <f>Lektionen[[#This Row],[Bearbeitungsdauer_real]]/Lektionen[[#This Row],[Bearbeitungsdauer_geschätzt]]-1</f>
        <v>0</v>
      </c>
      <c r="H1345" s="8" t="str" cm="1">
        <f t="array" ref="H1345">_xlfn.IFS(Lektionen[[#This Row],[Bearbeitungsdauer_abgewichen]]&gt;0.6,"viel länger",Lektionen[[#This Row],[Bearbeitungsdauer_abgewichen]]&gt;0.3,"länger",Lektionen[[#This Row],[Bearbeitungsdauer_abgewichen]]&lt;-0.3,"kürzer",TRUE,"keine Abweichung")</f>
        <v>keine Abweichung</v>
      </c>
      <c r="I1345">
        <v>1</v>
      </c>
    </row>
    <row r="1346" spans="1:9" hidden="1" x14ac:dyDescent="0.3">
      <c r="A1346" s="13">
        <v>211</v>
      </c>
      <c r="B1346" s="4">
        <v>1</v>
      </c>
      <c r="C1346" t="s">
        <v>526</v>
      </c>
      <c r="D1346" t="s">
        <v>527</v>
      </c>
      <c r="E1346">
        <v>4</v>
      </c>
      <c r="F1346">
        <v>4</v>
      </c>
      <c r="G1346" s="8">
        <f>Lektionen[[#This Row],[Bearbeitungsdauer_real]]/Lektionen[[#This Row],[Bearbeitungsdauer_geschätzt]]-1</f>
        <v>0</v>
      </c>
      <c r="H1346" s="8" t="str" cm="1">
        <f t="array" ref="H1346">_xlfn.IFS(Lektionen[[#This Row],[Bearbeitungsdauer_abgewichen]]&gt;0.6,"viel länger",Lektionen[[#This Row],[Bearbeitungsdauer_abgewichen]]&gt;0.3,"länger",Lektionen[[#This Row],[Bearbeitungsdauer_abgewichen]]&lt;-0.3,"kürzer",TRUE,"keine Abweichung")</f>
        <v>keine Abweichung</v>
      </c>
      <c r="I1346">
        <v>1</v>
      </c>
    </row>
    <row r="1347" spans="1:9" hidden="1" x14ac:dyDescent="0.3">
      <c r="A1347" s="13">
        <v>211</v>
      </c>
      <c r="B1347" s="4">
        <v>2</v>
      </c>
      <c r="C1347" t="s">
        <v>528</v>
      </c>
      <c r="D1347" t="s">
        <v>529</v>
      </c>
      <c r="E1347">
        <v>15</v>
      </c>
      <c r="F1347">
        <v>20</v>
      </c>
      <c r="G1347" s="8">
        <f>Lektionen[[#This Row],[Bearbeitungsdauer_real]]/Lektionen[[#This Row],[Bearbeitungsdauer_geschätzt]]-1</f>
        <v>0.33333333333333326</v>
      </c>
      <c r="H1347" s="8" t="str" cm="1">
        <f t="array" ref="H1347">_xlfn.IFS(Lektionen[[#This Row],[Bearbeitungsdauer_abgewichen]]&gt;0.6,"viel länger",Lektionen[[#This Row],[Bearbeitungsdauer_abgewichen]]&gt;0.3,"länger",Lektionen[[#This Row],[Bearbeitungsdauer_abgewichen]]&lt;-0.3,"kürzer",TRUE,"keine Abweichung")</f>
        <v>länger</v>
      </c>
      <c r="I1347">
        <v>2</v>
      </c>
    </row>
    <row r="1348" spans="1:9" hidden="1" x14ac:dyDescent="0.3">
      <c r="A1348" s="13">
        <v>211</v>
      </c>
      <c r="B1348" s="4">
        <v>3</v>
      </c>
      <c r="C1348" t="s">
        <v>552</v>
      </c>
      <c r="D1348" t="s">
        <v>530</v>
      </c>
      <c r="E1348">
        <v>30</v>
      </c>
      <c r="F1348">
        <v>29</v>
      </c>
      <c r="G1348" s="8">
        <f>Lektionen[[#This Row],[Bearbeitungsdauer_real]]/Lektionen[[#This Row],[Bearbeitungsdauer_geschätzt]]-1</f>
        <v>-3.3333333333333326E-2</v>
      </c>
      <c r="H1348" s="8" t="str" cm="1">
        <f t="array" ref="H1348">_xlfn.IFS(Lektionen[[#This Row],[Bearbeitungsdauer_abgewichen]]&gt;0.6,"viel länger",Lektionen[[#This Row],[Bearbeitungsdauer_abgewichen]]&gt;0.3,"länger",Lektionen[[#This Row],[Bearbeitungsdauer_abgewichen]]&lt;-0.3,"kürzer",TRUE,"keine Abweichung")</f>
        <v>keine Abweichung</v>
      </c>
      <c r="I1348">
        <v>3</v>
      </c>
    </row>
    <row r="1349" spans="1:9" hidden="1" x14ac:dyDescent="0.3">
      <c r="A1349" s="13">
        <v>211</v>
      </c>
      <c r="B1349" s="4">
        <v>4</v>
      </c>
      <c r="C1349" t="s">
        <v>531</v>
      </c>
      <c r="D1349" t="s">
        <v>530</v>
      </c>
      <c r="E1349">
        <v>30</v>
      </c>
      <c r="F1349">
        <v>23</v>
      </c>
      <c r="G1349" s="8">
        <f>Lektionen[[#This Row],[Bearbeitungsdauer_real]]/Lektionen[[#This Row],[Bearbeitungsdauer_geschätzt]]-1</f>
        <v>-0.23333333333333328</v>
      </c>
      <c r="H1349" s="8" t="str" cm="1">
        <f t="array" ref="H1349">_xlfn.IFS(Lektionen[[#This Row],[Bearbeitungsdauer_abgewichen]]&gt;0.6,"viel länger",Lektionen[[#This Row],[Bearbeitungsdauer_abgewichen]]&gt;0.3,"länger",Lektionen[[#This Row],[Bearbeitungsdauer_abgewichen]]&lt;-0.3,"kürzer",TRUE,"keine Abweichung")</f>
        <v>keine Abweichung</v>
      </c>
      <c r="I1349">
        <v>2</v>
      </c>
    </row>
    <row r="1350" spans="1:9" x14ac:dyDescent="0.3">
      <c r="A1350" s="13">
        <v>211</v>
      </c>
      <c r="B1350" s="4">
        <v>5</v>
      </c>
      <c r="C1350" t="s">
        <v>532</v>
      </c>
      <c r="D1350" t="s">
        <v>530</v>
      </c>
      <c r="E1350">
        <v>30</v>
      </c>
      <c r="F1350">
        <v>51</v>
      </c>
      <c r="G1350" s="8">
        <f>Lektionen[[#This Row],[Bearbeitungsdauer_real]]/Lektionen[[#This Row],[Bearbeitungsdauer_geschätzt]]-1</f>
        <v>0.7</v>
      </c>
      <c r="H1350" s="8" t="str" cm="1">
        <f t="array" ref="H1350">_xlfn.IFS(Lektionen[[#This Row],[Bearbeitungsdauer_abgewichen]]&gt;0.6,"viel länger",Lektionen[[#This Row],[Bearbeitungsdauer_abgewichen]]&gt;0.3,"länger",Lektionen[[#This Row],[Bearbeitungsdauer_abgewichen]]&lt;-0.3,"kürzer",TRUE,"keine Abweichung")</f>
        <v>viel länger</v>
      </c>
      <c r="I1350">
        <v>3</v>
      </c>
    </row>
    <row r="1351" spans="1:9" hidden="1" x14ac:dyDescent="0.3">
      <c r="A1351" s="13">
        <v>211</v>
      </c>
      <c r="B1351" s="4">
        <v>6</v>
      </c>
      <c r="C1351" t="s">
        <v>533</v>
      </c>
      <c r="D1351" t="s">
        <v>534</v>
      </c>
      <c r="E1351">
        <v>5</v>
      </c>
      <c r="F1351">
        <v>4</v>
      </c>
      <c r="G1351" s="8">
        <f>Lektionen[[#This Row],[Bearbeitungsdauer_real]]/Lektionen[[#This Row],[Bearbeitungsdauer_geschätzt]]-1</f>
        <v>-0.19999999999999996</v>
      </c>
      <c r="H1351" s="8" t="str" cm="1">
        <f t="array" ref="H1351">_xlfn.IFS(Lektionen[[#This Row],[Bearbeitungsdauer_abgewichen]]&gt;0.6,"viel länger",Lektionen[[#This Row],[Bearbeitungsdauer_abgewichen]]&gt;0.3,"länger",Lektionen[[#This Row],[Bearbeitungsdauer_abgewichen]]&lt;-0.3,"kürzer",TRUE,"keine Abweichung")</f>
        <v>keine Abweichung</v>
      </c>
      <c r="I1351">
        <v>2</v>
      </c>
    </row>
    <row r="1352" spans="1:9" hidden="1" x14ac:dyDescent="0.3">
      <c r="A1352" s="13">
        <v>211</v>
      </c>
      <c r="B1352" s="4">
        <v>7</v>
      </c>
      <c r="C1352" t="s">
        <v>535</v>
      </c>
      <c r="D1352" t="s">
        <v>536</v>
      </c>
      <c r="E1352">
        <v>10</v>
      </c>
      <c r="F1352">
        <v>10</v>
      </c>
      <c r="G1352" s="8">
        <f>Lektionen[[#This Row],[Bearbeitungsdauer_real]]/Lektionen[[#This Row],[Bearbeitungsdauer_geschätzt]]-1</f>
        <v>0</v>
      </c>
      <c r="H1352" s="8" t="str" cm="1">
        <f t="array" ref="H1352">_xlfn.IFS(Lektionen[[#This Row],[Bearbeitungsdauer_abgewichen]]&gt;0.6,"viel länger",Lektionen[[#This Row],[Bearbeitungsdauer_abgewichen]]&gt;0.3,"länger",Lektionen[[#This Row],[Bearbeitungsdauer_abgewichen]]&lt;-0.3,"kürzer",TRUE,"keine Abweichung")</f>
        <v>keine Abweichung</v>
      </c>
      <c r="I1352">
        <v>3</v>
      </c>
    </row>
    <row r="1353" spans="1:9" hidden="1" x14ac:dyDescent="0.3">
      <c r="A1353" s="13">
        <v>211</v>
      </c>
      <c r="B1353" s="4">
        <v>8</v>
      </c>
      <c r="C1353" t="s">
        <v>537</v>
      </c>
      <c r="D1353" t="s">
        <v>527</v>
      </c>
      <c r="E1353">
        <v>5</v>
      </c>
      <c r="F1353">
        <v>5</v>
      </c>
      <c r="G1353" s="8">
        <f>Lektionen[[#This Row],[Bearbeitungsdauer_real]]/Lektionen[[#This Row],[Bearbeitungsdauer_geschätzt]]-1</f>
        <v>0</v>
      </c>
      <c r="H1353" s="8" t="str" cm="1">
        <f t="array" ref="H1353">_xlfn.IFS(Lektionen[[#This Row],[Bearbeitungsdauer_abgewichen]]&gt;0.6,"viel länger",Lektionen[[#This Row],[Bearbeitungsdauer_abgewichen]]&gt;0.3,"länger",Lektionen[[#This Row],[Bearbeitungsdauer_abgewichen]]&lt;-0.3,"kürzer",TRUE,"keine Abweichung")</f>
        <v>keine Abweichung</v>
      </c>
      <c r="I1353">
        <v>1</v>
      </c>
    </row>
    <row r="1354" spans="1:9" hidden="1" x14ac:dyDescent="0.3">
      <c r="A1354" s="13">
        <v>212</v>
      </c>
      <c r="B1354" s="4">
        <v>1</v>
      </c>
      <c r="C1354" t="s">
        <v>526</v>
      </c>
      <c r="D1354" t="s">
        <v>527</v>
      </c>
      <c r="E1354">
        <v>4</v>
      </c>
      <c r="F1354">
        <v>4</v>
      </c>
      <c r="G1354" s="8">
        <f>Lektionen[[#This Row],[Bearbeitungsdauer_real]]/Lektionen[[#This Row],[Bearbeitungsdauer_geschätzt]]-1</f>
        <v>0</v>
      </c>
      <c r="H1354" s="8" t="str" cm="1">
        <f t="array" ref="H1354">_xlfn.IFS(Lektionen[[#This Row],[Bearbeitungsdauer_abgewichen]]&gt;0.6,"viel länger",Lektionen[[#This Row],[Bearbeitungsdauer_abgewichen]]&gt;0.3,"länger",Lektionen[[#This Row],[Bearbeitungsdauer_abgewichen]]&lt;-0.3,"kürzer",TRUE,"keine Abweichung")</f>
        <v>keine Abweichung</v>
      </c>
      <c r="I1354">
        <v>1</v>
      </c>
    </row>
    <row r="1355" spans="1:9" hidden="1" x14ac:dyDescent="0.3">
      <c r="A1355" s="13">
        <v>212</v>
      </c>
      <c r="B1355" s="4">
        <v>2</v>
      </c>
      <c r="C1355" t="s">
        <v>528</v>
      </c>
      <c r="D1355" t="s">
        <v>529</v>
      </c>
      <c r="E1355">
        <v>15</v>
      </c>
      <c r="F1355">
        <v>15</v>
      </c>
      <c r="G1355" s="8">
        <f>Lektionen[[#This Row],[Bearbeitungsdauer_real]]/Lektionen[[#This Row],[Bearbeitungsdauer_geschätzt]]-1</f>
        <v>0</v>
      </c>
      <c r="H1355" s="8" t="str" cm="1">
        <f t="array" ref="H1355">_xlfn.IFS(Lektionen[[#This Row],[Bearbeitungsdauer_abgewichen]]&gt;0.6,"viel länger",Lektionen[[#This Row],[Bearbeitungsdauer_abgewichen]]&gt;0.3,"länger",Lektionen[[#This Row],[Bearbeitungsdauer_abgewichen]]&lt;-0.3,"kürzer",TRUE,"keine Abweichung")</f>
        <v>keine Abweichung</v>
      </c>
      <c r="I1355">
        <v>2</v>
      </c>
    </row>
    <row r="1356" spans="1:9" hidden="1" x14ac:dyDescent="0.3">
      <c r="A1356" s="13">
        <v>212</v>
      </c>
      <c r="B1356" s="4">
        <v>3</v>
      </c>
      <c r="C1356" t="s">
        <v>552</v>
      </c>
      <c r="D1356" t="s">
        <v>530</v>
      </c>
      <c r="E1356">
        <v>30</v>
      </c>
      <c r="F1356">
        <v>29</v>
      </c>
      <c r="G1356" s="8">
        <f>Lektionen[[#This Row],[Bearbeitungsdauer_real]]/Lektionen[[#This Row],[Bearbeitungsdauer_geschätzt]]-1</f>
        <v>-3.3333333333333326E-2</v>
      </c>
      <c r="H1356" s="8" t="str" cm="1">
        <f t="array" ref="H1356">_xlfn.IFS(Lektionen[[#This Row],[Bearbeitungsdauer_abgewichen]]&gt;0.6,"viel länger",Lektionen[[#This Row],[Bearbeitungsdauer_abgewichen]]&gt;0.3,"länger",Lektionen[[#This Row],[Bearbeitungsdauer_abgewichen]]&lt;-0.3,"kürzer",TRUE,"keine Abweichung")</f>
        <v>keine Abweichung</v>
      </c>
      <c r="I1356">
        <v>3</v>
      </c>
    </row>
    <row r="1357" spans="1:9" hidden="1" x14ac:dyDescent="0.3">
      <c r="A1357" s="13">
        <v>212</v>
      </c>
      <c r="B1357" s="4">
        <v>4</v>
      </c>
      <c r="C1357" t="s">
        <v>531</v>
      </c>
      <c r="D1357" t="s">
        <v>530</v>
      </c>
      <c r="E1357">
        <v>30</v>
      </c>
      <c r="F1357">
        <v>32</v>
      </c>
      <c r="G1357" s="8">
        <f>Lektionen[[#This Row],[Bearbeitungsdauer_real]]/Lektionen[[#This Row],[Bearbeitungsdauer_geschätzt]]-1</f>
        <v>6.6666666666666652E-2</v>
      </c>
      <c r="H1357" s="8" t="str" cm="1">
        <f t="array" ref="H1357">_xlfn.IFS(Lektionen[[#This Row],[Bearbeitungsdauer_abgewichen]]&gt;0.6,"viel länger",Lektionen[[#This Row],[Bearbeitungsdauer_abgewichen]]&gt;0.3,"länger",Lektionen[[#This Row],[Bearbeitungsdauer_abgewichen]]&lt;-0.3,"kürzer",TRUE,"keine Abweichung")</f>
        <v>keine Abweichung</v>
      </c>
      <c r="I1357">
        <v>3</v>
      </c>
    </row>
    <row r="1358" spans="1:9" x14ac:dyDescent="0.3">
      <c r="A1358" s="13">
        <v>212</v>
      </c>
      <c r="B1358" s="4">
        <v>5</v>
      </c>
      <c r="C1358" t="s">
        <v>532</v>
      </c>
      <c r="D1358" t="s">
        <v>530</v>
      </c>
      <c r="E1358">
        <v>30</v>
      </c>
      <c r="F1358">
        <v>51</v>
      </c>
      <c r="G1358" s="8">
        <f>Lektionen[[#This Row],[Bearbeitungsdauer_real]]/Lektionen[[#This Row],[Bearbeitungsdauer_geschätzt]]-1</f>
        <v>0.7</v>
      </c>
      <c r="H1358" s="8" t="str" cm="1">
        <f t="array" ref="H1358">_xlfn.IFS(Lektionen[[#This Row],[Bearbeitungsdauer_abgewichen]]&gt;0.6,"viel länger",Lektionen[[#This Row],[Bearbeitungsdauer_abgewichen]]&gt;0.3,"länger",Lektionen[[#This Row],[Bearbeitungsdauer_abgewichen]]&lt;-0.3,"kürzer",TRUE,"keine Abweichung")</f>
        <v>viel länger</v>
      </c>
      <c r="I1358">
        <v>4</v>
      </c>
    </row>
    <row r="1359" spans="1:9" hidden="1" x14ac:dyDescent="0.3">
      <c r="A1359" s="13">
        <v>212</v>
      </c>
      <c r="B1359" s="4">
        <v>6</v>
      </c>
      <c r="C1359" t="s">
        <v>533</v>
      </c>
      <c r="D1359" t="s">
        <v>534</v>
      </c>
      <c r="E1359">
        <v>5</v>
      </c>
      <c r="F1359">
        <v>1</v>
      </c>
      <c r="G1359" s="8">
        <f>Lektionen[[#This Row],[Bearbeitungsdauer_real]]/Lektionen[[#This Row],[Bearbeitungsdauer_geschätzt]]-1</f>
        <v>-0.8</v>
      </c>
      <c r="H1359" s="8" t="str" cm="1">
        <f t="array" ref="H1359">_xlfn.IFS(Lektionen[[#This Row],[Bearbeitungsdauer_abgewichen]]&gt;0.6,"viel länger",Lektionen[[#This Row],[Bearbeitungsdauer_abgewichen]]&gt;0.3,"länger",Lektionen[[#This Row],[Bearbeitungsdauer_abgewichen]]&lt;-0.3,"kürzer",TRUE,"keine Abweichung")</f>
        <v>kürzer</v>
      </c>
      <c r="I1359">
        <v>2</v>
      </c>
    </row>
    <row r="1360" spans="1:9" hidden="1" x14ac:dyDescent="0.3">
      <c r="A1360" s="13">
        <v>212</v>
      </c>
      <c r="B1360" s="4">
        <v>7</v>
      </c>
      <c r="C1360" t="s">
        <v>535</v>
      </c>
      <c r="D1360" t="s">
        <v>536</v>
      </c>
      <c r="E1360">
        <v>10</v>
      </c>
      <c r="F1360">
        <v>10</v>
      </c>
      <c r="G1360" s="8">
        <f>Lektionen[[#This Row],[Bearbeitungsdauer_real]]/Lektionen[[#This Row],[Bearbeitungsdauer_geschätzt]]-1</f>
        <v>0</v>
      </c>
      <c r="H1360" s="8" t="str" cm="1">
        <f t="array" ref="H1360">_xlfn.IFS(Lektionen[[#This Row],[Bearbeitungsdauer_abgewichen]]&gt;0.6,"viel länger",Lektionen[[#This Row],[Bearbeitungsdauer_abgewichen]]&gt;0.3,"länger",Lektionen[[#This Row],[Bearbeitungsdauer_abgewichen]]&lt;-0.3,"kürzer",TRUE,"keine Abweichung")</f>
        <v>keine Abweichung</v>
      </c>
      <c r="I1360">
        <v>3</v>
      </c>
    </row>
    <row r="1361" spans="1:9" hidden="1" x14ac:dyDescent="0.3">
      <c r="A1361" s="13">
        <v>212</v>
      </c>
      <c r="B1361" s="4">
        <v>8</v>
      </c>
      <c r="C1361" t="s">
        <v>537</v>
      </c>
      <c r="D1361" t="s">
        <v>527</v>
      </c>
      <c r="E1361">
        <v>5</v>
      </c>
      <c r="F1361">
        <v>8</v>
      </c>
      <c r="G1361" s="8">
        <f>Lektionen[[#This Row],[Bearbeitungsdauer_real]]/Lektionen[[#This Row],[Bearbeitungsdauer_geschätzt]]-1</f>
        <v>0.60000000000000009</v>
      </c>
      <c r="H1361" s="8" t="str" cm="1">
        <f t="array" ref="H1361">_xlfn.IFS(Lektionen[[#This Row],[Bearbeitungsdauer_abgewichen]]&gt;0.6,"viel länger",Lektionen[[#This Row],[Bearbeitungsdauer_abgewichen]]&gt;0.3,"länger",Lektionen[[#This Row],[Bearbeitungsdauer_abgewichen]]&lt;-0.3,"kürzer",TRUE,"keine Abweichung")</f>
        <v>länger</v>
      </c>
      <c r="I1361">
        <v>1</v>
      </c>
    </row>
    <row r="1362" spans="1:9" hidden="1" x14ac:dyDescent="0.3">
      <c r="A1362" s="13">
        <v>213</v>
      </c>
      <c r="B1362" s="4">
        <v>1</v>
      </c>
      <c r="C1362" t="s">
        <v>526</v>
      </c>
      <c r="D1362" t="s">
        <v>527</v>
      </c>
      <c r="E1362">
        <v>4</v>
      </c>
      <c r="F1362">
        <v>6</v>
      </c>
      <c r="G1362" s="8">
        <f>Lektionen[[#This Row],[Bearbeitungsdauer_real]]/Lektionen[[#This Row],[Bearbeitungsdauer_geschätzt]]-1</f>
        <v>0.5</v>
      </c>
      <c r="H1362" s="8" t="str" cm="1">
        <f t="array" ref="H1362">_xlfn.IFS(Lektionen[[#This Row],[Bearbeitungsdauer_abgewichen]]&gt;0.6,"viel länger",Lektionen[[#This Row],[Bearbeitungsdauer_abgewichen]]&gt;0.3,"länger",Lektionen[[#This Row],[Bearbeitungsdauer_abgewichen]]&lt;-0.3,"kürzer",TRUE,"keine Abweichung")</f>
        <v>länger</v>
      </c>
      <c r="I1362">
        <v>1</v>
      </c>
    </row>
    <row r="1363" spans="1:9" hidden="1" x14ac:dyDescent="0.3">
      <c r="A1363" s="13">
        <v>213</v>
      </c>
      <c r="B1363" s="4">
        <v>2</v>
      </c>
      <c r="C1363" t="s">
        <v>528</v>
      </c>
      <c r="D1363" t="s">
        <v>529</v>
      </c>
      <c r="E1363">
        <v>15</v>
      </c>
      <c r="F1363">
        <v>18</v>
      </c>
      <c r="G1363" s="8">
        <f>Lektionen[[#This Row],[Bearbeitungsdauer_real]]/Lektionen[[#This Row],[Bearbeitungsdauer_geschätzt]]-1</f>
        <v>0.19999999999999996</v>
      </c>
      <c r="H1363" s="8" t="str" cm="1">
        <f t="array" ref="H1363">_xlfn.IFS(Lektionen[[#This Row],[Bearbeitungsdauer_abgewichen]]&gt;0.6,"viel länger",Lektionen[[#This Row],[Bearbeitungsdauer_abgewichen]]&gt;0.3,"länger",Lektionen[[#This Row],[Bearbeitungsdauer_abgewichen]]&lt;-0.3,"kürzer",TRUE,"keine Abweichung")</f>
        <v>keine Abweichung</v>
      </c>
      <c r="I1363">
        <v>1</v>
      </c>
    </row>
    <row r="1364" spans="1:9" hidden="1" x14ac:dyDescent="0.3">
      <c r="A1364" s="13">
        <v>213</v>
      </c>
      <c r="B1364" s="4">
        <v>3</v>
      </c>
      <c r="C1364" t="s">
        <v>552</v>
      </c>
      <c r="D1364" t="s">
        <v>530</v>
      </c>
      <c r="E1364">
        <v>30</v>
      </c>
      <c r="F1364">
        <v>27</v>
      </c>
      <c r="G1364" s="8">
        <f>Lektionen[[#This Row],[Bearbeitungsdauer_real]]/Lektionen[[#This Row],[Bearbeitungsdauer_geschätzt]]-1</f>
        <v>-9.9999999999999978E-2</v>
      </c>
      <c r="H1364" s="8" t="str" cm="1">
        <f t="array" ref="H1364">_xlfn.IFS(Lektionen[[#This Row],[Bearbeitungsdauer_abgewichen]]&gt;0.6,"viel länger",Lektionen[[#This Row],[Bearbeitungsdauer_abgewichen]]&gt;0.3,"länger",Lektionen[[#This Row],[Bearbeitungsdauer_abgewichen]]&lt;-0.3,"kürzer",TRUE,"keine Abweichung")</f>
        <v>keine Abweichung</v>
      </c>
      <c r="I1364">
        <v>2</v>
      </c>
    </row>
    <row r="1365" spans="1:9" hidden="1" x14ac:dyDescent="0.3">
      <c r="A1365" s="13">
        <v>213</v>
      </c>
      <c r="B1365" s="4">
        <v>4</v>
      </c>
      <c r="C1365" t="s">
        <v>531</v>
      </c>
      <c r="D1365" t="s">
        <v>530</v>
      </c>
      <c r="E1365">
        <v>30</v>
      </c>
      <c r="F1365">
        <v>20</v>
      </c>
      <c r="G1365" s="8">
        <f>Lektionen[[#This Row],[Bearbeitungsdauer_real]]/Lektionen[[#This Row],[Bearbeitungsdauer_geschätzt]]-1</f>
        <v>-0.33333333333333337</v>
      </c>
      <c r="H1365" s="8" t="str" cm="1">
        <f t="array" ref="H1365">_xlfn.IFS(Lektionen[[#This Row],[Bearbeitungsdauer_abgewichen]]&gt;0.6,"viel länger",Lektionen[[#This Row],[Bearbeitungsdauer_abgewichen]]&gt;0.3,"länger",Lektionen[[#This Row],[Bearbeitungsdauer_abgewichen]]&lt;-0.3,"kürzer",TRUE,"keine Abweichung")</f>
        <v>kürzer</v>
      </c>
      <c r="I1365">
        <v>3</v>
      </c>
    </row>
    <row r="1366" spans="1:9" x14ac:dyDescent="0.3">
      <c r="A1366" s="13">
        <v>213</v>
      </c>
      <c r="B1366" s="4">
        <v>5</v>
      </c>
      <c r="C1366" t="s">
        <v>532</v>
      </c>
      <c r="D1366" t="s">
        <v>530</v>
      </c>
      <c r="E1366">
        <v>30</v>
      </c>
      <c r="F1366">
        <v>44</v>
      </c>
      <c r="G1366" s="8">
        <f>Lektionen[[#This Row],[Bearbeitungsdauer_real]]/Lektionen[[#This Row],[Bearbeitungsdauer_geschätzt]]-1</f>
        <v>0.46666666666666656</v>
      </c>
      <c r="H1366" s="8" t="str" cm="1">
        <f t="array" ref="H1366">_xlfn.IFS(Lektionen[[#This Row],[Bearbeitungsdauer_abgewichen]]&gt;0.6,"viel länger",Lektionen[[#This Row],[Bearbeitungsdauer_abgewichen]]&gt;0.3,"länger",Lektionen[[#This Row],[Bearbeitungsdauer_abgewichen]]&lt;-0.3,"kürzer",TRUE,"keine Abweichung")</f>
        <v>länger</v>
      </c>
      <c r="I1366">
        <v>4</v>
      </c>
    </row>
    <row r="1367" spans="1:9" hidden="1" x14ac:dyDescent="0.3">
      <c r="A1367" s="13">
        <v>213</v>
      </c>
      <c r="B1367" s="4">
        <v>6</v>
      </c>
      <c r="C1367" t="s">
        <v>533</v>
      </c>
      <c r="D1367" t="s">
        <v>534</v>
      </c>
      <c r="E1367">
        <v>5</v>
      </c>
      <c r="F1367">
        <v>1</v>
      </c>
      <c r="G1367" s="8">
        <f>Lektionen[[#This Row],[Bearbeitungsdauer_real]]/Lektionen[[#This Row],[Bearbeitungsdauer_geschätzt]]-1</f>
        <v>-0.8</v>
      </c>
      <c r="H1367" s="8" t="str" cm="1">
        <f t="array" ref="H1367">_xlfn.IFS(Lektionen[[#This Row],[Bearbeitungsdauer_abgewichen]]&gt;0.6,"viel länger",Lektionen[[#This Row],[Bearbeitungsdauer_abgewichen]]&gt;0.3,"länger",Lektionen[[#This Row],[Bearbeitungsdauer_abgewichen]]&lt;-0.3,"kürzer",TRUE,"keine Abweichung")</f>
        <v>kürzer</v>
      </c>
      <c r="I1367">
        <v>2</v>
      </c>
    </row>
    <row r="1368" spans="1:9" hidden="1" x14ac:dyDescent="0.3">
      <c r="A1368" s="13">
        <v>213</v>
      </c>
      <c r="B1368" s="4">
        <v>7</v>
      </c>
      <c r="C1368" t="s">
        <v>535</v>
      </c>
      <c r="D1368" t="s">
        <v>536</v>
      </c>
      <c r="E1368">
        <v>10</v>
      </c>
      <c r="F1368">
        <v>12</v>
      </c>
      <c r="G1368" s="8">
        <f>Lektionen[[#This Row],[Bearbeitungsdauer_real]]/Lektionen[[#This Row],[Bearbeitungsdauer_geschätzt]]-1</f>
        <v>0.19999999999999996</v>
      </c>
      <c r="H1368" s="8" t="str" cm="1">
        <f t="array" ref="H1368">_xlfn.IFS(Lektionen[[#This Row],[Bearbeitungsdauer_abgewichen]]&gt;0.6,"viel länger",Lektionen[[#This Row],[Bearbeitungsdauer_abgewichen]]&gt;0.3,"länger",Lektionen[[#This Row],[Bearbeitungsdauer_abgewichen]]&lt;-0.3,"kürzer",TRUE,"keine Abweichung")</f>
        <v>keine Abweichung</v>
      </c>
      <c r="I1368">
        <v>3</v>
      </c>
    </row>
    <row r="1369" spans="1:9" hidden="1" x14ac:dyDescent="0.3">
      <c r="A1369" s="13">
        <v>213</v>
      </c>
      <c r="B1369" s="4">
        <v>8</v>
      </c>
      <c r="C1369" t="s">
        <v>537</v>
      </c>
      <c r="D1369" t="s">
        <v>527</v>
      </c>
      <c r="E1369">
        <v>5</v>
      </c>
      <c r="F1369">
        <v>5</v>
      </c>
      <c r="G1369" s="8">
        <f>Lektionen[[#This Row],[Bearbeitungsdauer_real]]/Lektionen[[#This Row],[Bearbeitungsdauer_geschätzt]]-1</f>
        <v>0</v>
      </c>
      <c r="H1369" s="8" t="str" cm="1">
        <f t="array" ref="H1369">_xlfn.IFS(Lektionen[[#This Row],[Bearbeitungsdauer_abgewichen]]&gt;0.6,"viel länger",Lektionen[[#This Row],[Bearbeitungsdauer_abgewichen]]&gt;0.3,"länger",Lektionen[[#This Row],[Bearbeitungsdauer_abgewichen]]&lt;-0.3,"kürzer",TRUE,"keine Abweichung")</f>
        <v>keine Abweichung</v>
      </c>
      <c r="I1369">
        <v>1</v>
      </c>
    </row>
    <row r="1370" spans="1:9" hidden="1" x14ac:dyDescent="0.3">
      <c r="A1370" s="13">
        <v>214</v>
      </c>
      <c r="B1370" s="4">
        <v>1</v>
      </c>
      <c r="C1370" t="s">
        <v>526</v>
      </c>
      <c r="D1370" t="s">
        <v>527</v>
      </c>
      <c r="E1370">
        <v>4</v>
      </c>
      <c r="F1370">
        <v>4</v>
      </c>
      <c r="G1370" s="8">
        <f>Lektionen[[#This Row],[Bearbeitungsdauer_real]]/Lektionen[[#This Row],[Bearbeitungsdauer_geschätzt]]-1</f>
        <v>0</v>
      </c>
      <c r="H1370" s="8" t="str" cm="1">
        <f t="array" ref="H1370">_xlfn.IFS(Lektionen[[#This Row],[Bearbeitungsdauer_abgewichen]]&gt;0.6,"viel länger",Lektionen[[#This Row],[Bearbeitungsdauer_abgewichen]]&gt;0.3,"länger",Lektionen[[#This Row],[Bearbeitungsdauer_abgewichen]]&lt;-0.3,"kürzer",TRUE,"keine Abweichung")</f>
        <v>keine Abweichung</v>
      </c>
      <c r="I1370">
        <v>1</v>
      </c>
    </row>
    <row r="1371" spans="1:9" hidden="1" x14ac:dyDescent="0.3">
      <c r="A1371" s="13">
        <v>214</v>
      </c>
      <c r="B1371" s="4">
        <v>2</v>
      </c>
      <c r="C1371" t="s">
        <v>528</v>
      </c>
      <c r="D1371" t="s">
        <v>529</v>
      </c>
      <c r="E1371">
        <v>15</v>
      </c>
      <c r="F1371">
        <v>20</v>
      </c>
      <c r="G1371" s="8">
        <f>Lektionen[[#This Row],[Bearbeitungsdauer_real]]/Lektionen[[#This Row],[Bearbeitungsdauer_geschätzt]]-1</f>
        <v>0.33333333333333326</v>
      </c>
      <c r="H1371" s="8" t="str" cm="1">
        <f t="array" ref="H1371">_xlfn.IFS(Lektionen[[#This Row],[Bearbeitungsdauer_abgewichen]]&gt;0.6,"viel länger",Lektionen[[#This Row],[Bearbeitungsdauer_abgewichen]]&gt;0.3,"länger",Lektionen[[#This Row],[Bearbeitungsdauer_abgewichen]]&lt;-0.3,"kürzer",TRUE,"keine Abweichung")</f>
        <v>länger</v>
      </c>
      <c r="I1371">
        <v>1</v>
      </c>
    </row>
    <row r="1372" spans="1:9" hidden="1" x14ac:dyDescent="0.3">
      <c r="A1372" s="13">
        <v>214</v>
      </c>
      <c r="B1372" s="4">
        <v>3</v>
      </c>
      <c r="C1372" t="s">
        <v>552</v>
      </c>
      <c r="D1372" t="s">
        <v>530</v>
      </c>
      <c r="E1372">
        <v>30</v>
      </c>
      <c r="F1372">
        <v>28</v>
      </c>
      <c r="G1372" s="8">
        <f>Lektionen[[#This Row],[Bearbeitungsdauer_real]]/Lektionen[[#This Row],[Bearbeitungsdauer_geschätzt]]-1</f>
        <v>-6.6666666666666652E-2</v>
      </c>
      <c r="H1372" s="8" t="str" cm="1">
        <f t="array" ref="H1372">_xlfn.IFS(Lektionen[[#This Row],[Bearbeitungsdauer_abgewichen]]&gt;0.6,"viel länger",Lektionen[[#This Row],[Bearbeitungsdauer_abgewichen]]&gt;0.3,"länger",Lektionen[[#This Row],[Bearbeitungsdauer_abgewichen]]&lt;-0.3,"kürzer",TRUE,"keine Abweichung")</f>
        <v>keine Abweichung</v>
      </c>
      <c r="I1372">
        <v>2</v>
      </c>
    </row>
    <row r="1373" spans="1:9" hidden="1" x14ac:dyDescent="0.3">
      <c r="A1373" s="13">
        <v>214</v>
      </c>
      <c r="B1373" s="4">
        <v>4</v>
      </c>
      <c r="C1373" t="s">
        <v>531</v>
      </c>
      <c r="D1373" t="s">
        <v>530</v>
      </c>
      <c r="E1373">
        <v>30</v>
      </c>
      <c r="F1373">
        <v>24</v>
      </c>
      <c r="G1373" s="8">
        <f>Lektionen[[#This Row],[Bearbeitungsdauer_real]]/Lektionen[[#This Row],[Bearbeitungsdauer_geschätzt]]-1</f>
        <v>-0.19999999999999996</v>
      </c>
      <c r="H1373" s="8" t="str" cm="1">
        <f t="array" ref="H1373">_xlfn.IFS(Lektionen[[#This Row],[Bearbeitungsdauer_abgewichen]]&gt;0.6,"viel länger",Lektionen[[#This Row],[Bearbeitungsdauer_abgewichen]]&gt;0.3,"länger",Lektionen[[#This Row],[Bearbeitungsdauer_abgewichen]]&lt;-0.3,"kürzer",TRUE,"keine Abweichung")</f>
        <v>keine Abweichung</v>
      </c>
      <c r="I1373">
        <v>4</v>
      </c>
    </row>
    <row r="1374" spans="1:9" x14ac:dyDescent="0.3">
      <c r="A1374" s="13">
        <v>214</v>
      </c>
      <c r="B1374" s="4">
        <v>5</v>
      </c>
      <c r="C1374" t="s">
        <v>532</v>
      </c>
      <c r="D1374" t="s">
        <v>530</v>
      </c>
      <c r="E1374">
        <v>30</v>
      </c>
      <c r="F1374">
        <v>53</v>
      </c>
      <c r="G1374" s="8">
        <f>Lektionen[[#This Row],[Bearbeitungsdauer_real]]/Lektionen[[#This Row],[Bearbeitungsdauer_geschätzt]]-1</f>
        <v>0.76666666666666661</v>
      </c>
      <c r="H1374" s="8" t="str" cm="1">
        <f t="array" ref="H1374">_xlfn.IFS(Lektionen[[#This Row],[Bearbeitungsdauer_abgewichen]]&gt;0.6,"viel länger",Lektionen[[#This Row],[Bearbeitungsdauer_abgewichen]]&gt;0.3,"länger",Lektionen[[#This Row],[Bearbeitungsdauer_abgewichen]]&lt;-0.3,"kürzer",TRUE,"keine Abweichung")</f>
        <v>viel länger</v>
      </c>
      <c r="I1374">
        <v>4</v>
      </c>
    </row>
    <row r="1375" spans="1:9" hidden="1" x14ac:dyDescent="0.3">
      <c r="A1375" s="13">
        <v>214</v>
      </c>
      <c r="B1375" s="4">
        <v>6</v>
      </c>
      <c r="C1375" t="s">
        <v>533</v>
      </c>
      <c r="D1375" t="s">
        <v>534</v>
      </c>
      <c r="E1375">
        <v>5</v>
      </c>
      <c r="F1375">
        <v>3</v>
      </c>
      <c r="G1375" s="8">
        <f>Lektionen[[#This Row],[Bearbeitungsdauer_real]]/Lektionen[[#This Row],[Bearbeitungsdauer_geschätzt]]-1</f>
        <v>-0.4</v>
      </c>
      <c r="H1375" s="8" t="str" cm="1">
        <f t="array" ref="H1375">_xlfn.IFS(Lektionen[[#This Row],[Bearbeitungsdauer_abgewichen]]&gt;0.6,"viel länger",Lektionen[[#This Row],[Bearbeitungsdauer_abgewichen]]&gt;0.3,"länger",Lektionen[[#This Row],[Bearbeitungsdauer_abgewichen]]&lt;-0.3,"kürzer",TRUE,"keine Abweichung")</f>
        <v>kürzer</v>
      </c>
      <c r="I1375">
        <v>3</v>
      </c>
    </row>
    <row r="1376" spans="1:9" hidden="1" x14ac:dyDescent="0.3">
      <c r="A1376" s="13">
        <v>214</v>
      </c>
      <c r="B1376" s="4">
        <v>7</v>
      </c>
      <c r="C1376" t="s">
        <v>535</v>
      </c>
      <c r="D1376" t="s">
        <v>536</v>
      </c>
      <c r="E1376">
        <v>10</v>
      </c>
      <c r="F1376">
        <v>11</v>
      </c>
      <c r="G1376" s="8">
        <f>Lektionen[[#This Row],[Bearbeitungsdauer_real]]/Lektionen[[#This Row],[Bearbeitungsdauer_geschätzt]]-1</f>
        <v>0.10000000000000009</v>
      </c>
      <c r="H1376" s="8" t="str" cm="1">
        <f t="array" ref="H1376">_xlfn.IFS(Lektionen[[#This Row],[Bearbeitungsdauer_abgewichen]]&gt;0.6,"viel länger",Lektionen[[#This Row],[Bearbeitungsdauer_abgewichen]]&gt;0.3,"länger",Lektionen[[#This Row],[Bearbeitungsdauer_abgewichen]]&lt;-0.3,"kürzer",TRUE,"keine Abweichung")</f>
        <v>keine Abweichung</v>
      </c>
      <c r="I1376">
        <v>3</v>
      </c>
    </row>
    <row r="1377" spans="1:9" hidden="1" x14ac:dyDescent="0.3">
      <c r="A1377" s="13">
        <v>214</v>
      </c>
      <c r="B1377" s="4">
        <v>8</v>
      </c>
      <c r="C1377" t="s">
        <v>537</v>
      </c>
      <c r="D1377" t="s">
        <v>527</v>
      </c>
      <c r="E1377">
        <v>5</v>
      </c>
      <c r="F1377">
        <v>5</v>
      </c>
      <c r="G1377" s="8">
        <f>Lektionen[[#This Row],[Bearbeitungsdauer_real]]/Lektionen[[#This Row],[Bearbeitungsdauer_geschätzt]]-1</f>
        <v>0</v>
      </c>
      <c r="H1377" s="8" t="str" cm="1">
        <f t="array" ref="H1377">_xlfn.IFS(Lektionen[[#This Row],[Bearbeitungsdauer_abgewichen]]&gt;0.6,"viel länger",Lektionen[[#This Row],[Bearbeitungsdauer_abgewichen]]&gt;0.3,"länger",Lektionen[[#This Row],[Bearbeitungsdauer_abgewichen]]&lt;-0.3,"kürzer",TRUE,"keine Abweichung")</f>
        <v>keine Abweichung</v>
      </c>
      <c r="I1377">
        <v>1</v>
      </c>
    </row>
    <row r="1378" spans="1:9" hidden="1" x14ac:dyDescent="0.3">
      <c r="A1378" s="13">
        <v>215</v>
      </c>
      <c r="B1378" s="4">
        <v>1</v>
      </c>
      <c r="C1378" t="s">
        <v>526</v>
      </c>
      <c r="D1378" t="s">
        <v>527</v>
      </c>
      <c r="E1378">
        <v>4</v>
      </c>
      <c r="F1378">
        <v>4</v>
      </c>
      <c r="G1378" s="8">
        <f>Lektionen[[#This Row],[Bearbeitungsdauer_real]]/Lektionen[[#This Row],[Bearbeitungsdauer_geschätzt]]-1</f>
        <v>0</v>
      </c>
      <c r="H1378" s="8" t="str" cm="1">
        <f t="array" ref="H1378">_xlfn.IFS(Lektionen[[#This Row],[Bearbeitungsdauer_abgewichen]]&gt;0.6,"viel länger",Lektionen[[#This Row],[Bearbeitungsdauer_abgewichen]]&gt;0.3,"länger",Lektionen[[#This Row],[Bearbeitungsdauer_abgewichen]]&lt;-0.3,"kürzer",TRUE,"keine Abweichung")</f>
        <v>keine Abweichung</v>
      </c>
      <c r="I1378">
        <v>1</v>
      </c>
    </row>
    <row r="1379" spans="1:9" hidden="1" x14ac:dyDescent="0.3">
      <c r="A1379" s="13">
        <v>215</v>
      </c>
      <c r="B1379" s="4">
        <v>2</v>
      </c>
      <c r="C1379" t="s">
        <v>528</v>
      </c>
      <c r="D1379" t="s">
        <v>529</v>
      </c>
      <c r="E1379">
        <v>15</v>
      </c>
      <c r="F1379">
        <v>18</v>
      </c>
      <c r="G1379" s="8">
        <f>Lektionen[[#This Row],[Bearbeitungsdauer_real]]/Lektionen[[#This Row],[Bearbeitungsdauer_geschätzt]]-1</f>
        <v>0.19999999999999996</v>
      </c>
      <c r="H1379" s="8" t="str" cm="1">
        <f t="array" ref="H1379">_xlfn.IFS(Lektionen[[#This Row],[Bearbeitungsdauer_abgewichen]]&gt;0.6,"viel länger",Lektionen[[#This Row],[Bearbeitungsdauer_abgewichen]]&gt;0.3,"länger",Lektionen[[#This Row],[Bearbeitungsdauer_abgewichen]]&lt;-0.3,"kürzer",TRUE,"keine Abweichung")</f>
        <v>keine Abweichung</v>
      </c>
      <c r="I1379">
        <v>2</v>
      </c>
    </row>
    <row r="1380" spans="1:9" hidden="1" x14ac:dyDescent="0.3">
      <c r="A1380" s="13">
        <v>215</v>
      </c>
      <c r="B1380" s="4">
        <v>3</v>
      </c>
      <c r="C1380" t="s">
        <v>552</v>
      </c>
      <c r="D1380" t="s">
        <v>530</v>
      </c>
      <c r="E1380">
        <v>30</v>
      </c>
      <c r="F1380">
        <v>29</v>
      </c>
      <c r="G1380" s="8">
        <f>Lektionen[[#This Row],[Bearbeitungsdauer_real]]/Lektionen[[#This Row],[Bearbeitungsdauer_geschätzt]]-1</f>
        <v>-3.3333333333333326E-2</v>
      </c>
      <c r="H1380" s="8" t="str" cm="1">
        <f t="array" ref="H1380">_xlfn.IFS(Lektionen[[#This Row],[Bearbeitungsdauer_abgewichen]]&gt;0.6,"viel länger",Lektionen[[#This Row],[Bearbeitungsdauer_abgewichen]]&gt;0.3,"länger",Lektionen[[#This Row],[Bearbeitungsdauer_abgewichen]]&lt;-0.3,"kürzer",TRUE,"keine Abweichung")</f>
        <v>keine Abweichung</v>
      </c>
      <c r="I1380">
        <v>3</v>
      </c>
    </row>
    <row r="1381" spans="1:9" hidden="1" x14ac:dyDescent="0.3">
      <c r="A1381" s="13">
        <v>215</v>
      </c>
      <c r="B1381" s="4">
        <v>4</v>
      </c>
      <c r="C1381" t="s">
        <v>531</v>
      </c>
      <c r="D1381" t="s">
        <v>530</v>
      </c>
      <c r="E1381">
        <v>30</v>
      </c>
      <c r="F1381">
        <v>21</v>
      </c>
      <c r="G1381" s="8">
        <f>Lektionen[[#This Row],[Bearbeitungsdauer_real]]/Lektionen[[#This Row],[Bearbeitungsdauer_geschätzt]]-1</f>
        <v>-0.30000000000000004</v>
      </c>
      <c r="H1381" s="8" t="str" cm="1">
        <f t="array" ref="H1381">_xlfn.IFS(Lektionen[[#This Row],[Bearbeitungsdauer_abgewichen]]&gt;0.6,"viel länger",Lektionen[[#This Row],[Bearbeitungsdauer_abgewichen]]&gt;0.3,"länger",Lektionen[[#This Row],[Bearbeitungsdauer_abgewichen]]&lt;-0.3,"kürzer",TRUE,"keine Abweichung")</f>
        <v>keine Abweichung</v>
      </c>
      <c r="I1381">
        <v>3</v>
      </c>
    </row>
    <row r="1382" spans="1:9" x14ac:dyDescent="0.3">
      <c r="A1382" s="13">
        <v>215</v>
      </c>
      <c r="B1382" s="4">
        <v>5</v>
      </c>
      <c r="C1382" t="s">
        <v>532</v>
      </c>
      <c r="D1382" t="s">
        <v>530</v>
      </c>
      <c r="E1382">
        <v>30</v>
      </c>
      <c r="F1382">
        <v>38</v>
      </c>
      <c r="G1382" s="8">
        <f>Lektionen[[#This Row],[Bearbeitungsdauer_real]]/Lektionen[[#This Row],[Bearbeitungsdauer_geschätzt]]-1</f>
        <v>0.26666666666666661</v>
      </c>
      <c r="H1382" s="8" t="str" cm="1">
        <f t="array" ref="H1382">_xlfn.IFS(Lektionen[[#This Row],[Bearbeitungsdauer_abgewichen]]&gt;0.6,"viel länger",Lektionen[[#This Row],[Bearbeitungsdauer_abgewichen]]&gt;0.3,"länger",Lektionen[[#This Row],[Bearbeitungsdauer_abgewichen]]&lt;-0.3,"kürzer",TRUE,"keine Abweichung")</f>
        <v>keine Abweichung</v>
      </c>
      <c r="I1382">
        <v>5</v>
      </c>
    </row>
    <row r="1383" spans="1:9" hidden="1" x14ac:dyDescent="0.3">
      <c r="A1383" s="13">
        <v>215</v>
      </c>
      <c r="B1383" s="4">
        <v>6</v>
      </c>
      <c r="C1383" t="s">
        <v>533</v>
      </c>
      <c r="D1383" t="s">
        <v>534</v>
      </c>
      <c r="E1383">
        <v>5</v>
      </c>
      <c r="F1383">
        <v>1</v>
      </c>
      <c r="G1383" s="8">
        <f>Lektionen[[#This Row],[Bearbeitungsdauer_real]]/Lektionen[[#This Row],[Bearbeitungsdauer_geschätzt]]-1</f>
        <v>-0.8</v>
      </c>
      <c r="H1383" s="8" t="str" cm="1">
        <f t="array" ref="H1383">_xlfn.IFS(Lektionen[[#This Row],[Bearbeitungsdauer_abgewichen]]&gt;0.6,"viel länger",Lektionen[[#This Row],[Bearbeitungsdauer_abgewichen]]&gt;0.3,"länger",Lektionen[[#This Row],[Bearbeitungsdauer_abgewichen]]&lt;-0.3,"kürzer",TRUE,"keine Abweichung")</f>
        <v>kürzer</v>
      </c>
      <c r="I1383">
        <v>2</v>
      </c>
    </row>
    <row r="1384" spans="1:9" hidden="1" x14ac:dyDescent="0.3">
      <c r="A1384" s="13">
        <v>215</v>
      </c>
      <c r="B1384" s="4">
        <v>7</v>
      </c>
      <c r="C1384" t="s">
        <v>535</v>
      </c>
      <c r="D1384" t="s">
        <v>536</v>
      </c>
      <c r="E1384">
        <v>10</v>
      </c>
      <c r="F1384">
        <v>10</v>
      </c>
      <c r="G1384" s="8">
        <f>Lektionen[[#This Row],[Bearbeitungsdauer_real]]/Lektionen[[#This Row],[Bearbeitungsdauer_geschätzt]]-1</f>
        <v>0</v>
      </c>
      <c r="H1384" s="8" t="str" cm="1">
        <f t="array" ref="H1384">_xlfn.IFS(Lektionen[[#This Row],[Bearbeitungsdauer_abgewichen]]&gt;0.6,"viel länger",Lektionen[[#This Row],[Bearbeitungsdauer_abgewichen]]&gt;0.3,"länger",Lektionen[[#This Row],[Bearbeitungsdauer_abgewichen]]&lt;-0.3,"kürzer",TRUE,"keine Abweichung")</f>
        <v>keine Abweichung</v>
      </c>
      <c r="I1384">
        <v>3</v>
      </c>
    </row>
    <row r="1385" spans="1:9" hidden="1" x14ac:dyDescent="0.3">
      <c r="A1385" s="13">
        <v>215</v>
      </c>
      <c r="B1385" s="4">
        <v>8</v>
      </c>
      <c r="C1385" t="s">
        <v>537</v>
      </c>
      <c r="D1385" t="s">
        <v>527</v>
      </c>
      <c r="E1385">
        <v>5</v>
      </c>
      <c r="F1385">
        <v>5</v>
      </c>
      <c r="G1385" s="8">
        <f>Lektionen[[#This Row],[Bearbeitungsdauer_real]]/Lektionen[[#This Row],[Bearbeitungsdauer_geschätzt]]-1</f>
        <v>0</v>
      </c>
      <c r="H1385" s="8" t="str" cm="1">
        <f t="array" ref="H1385">_xlfn.IFS(Lektionen[[#This Row],[Bearbeitungsdauer_abgewichen]]&gt;0.6,"viel länger",Lektionen[[#This Row],[Bearbeitungsdauer_abgewichen]]&gt;0.3,"länger",Lektionen[[#This Row],[Bearbeitungsdauer_abgewichen]]&lt;-0.3,"kürzer",TRUE,"keine Abweichung")</f>
        <v>keine Abweichung</v>
      </c>
      <c r="I1385">
        <v>1</v>
      </c>
    </row>
    <row r="1386" spans="1:9" hidden="1" x14ac:dyDescent="0.3">
      <c r="A1386" s="13">
        <v>216</v>
      </c>
      <c r="B1386" s="4">
        <v>1</v>
      </c>
      <c r="C1386" t="s">
        <v>526</v>
      </c>
      <c r="D1386" t="s">
        <v>527</v>
      </c>
      <c r="E1386">
        <v>4</v>
      </c>
      <c r="F1386">
        <v>4</v>
      </c>
      <c r="G1386" s="8">
        <f>Lektionen[[#This Row],[Bearbeitungsdauer_real]]/Lektionen[[#This Row],[Bearbeitungsdauer_geschätzt]]-1</f>
        <v>0</v>
      </c>
      <c r="H1386" s="8" t="str" cm="1">
        <f t="array" ref="H1386">_xlfn.IFS(Lektionen[[#This Row],[Bearbeitungsdauer_abgewichen]]&gt;0.6,"viel länger",Lektionen[[#This Row],[Bearbeitungsdauer_abgewichen]]&gt;0.3,"länger",Lektionen[[#This Row],[Bearbeitungsdauer_abgewichen]]&lt;-0.3,"kürzer",TRUE,"keine Abweichung")</f>
        <v>keine Abweichung</v>
      </c>
      <c r="I1386">
        <v>1</v>
      </c>
    </row>
    <row r="1387" spans="1:9" hidden="1" x14ac:dyDescent="0.3">
      <c r="A1387" s="13">
        <v>216</v>
      </c>
      <c r="B1387" s="4">
        <v>2</v>
      </c>
      <c r="C1387" t="s">
        <v>528</v>
      </c>
      <c r="D1387" t="s">
        <v>529</v>
      </c>
      <c r="E1387">
        <v>15</v>
      </c>
      <c r="F1387">
        <v>20</v>
      </c>
      <c r="G1387" s="8">
        <f>Lektionen[[#This Row],[Bearbeitungsdauer_real]]/Lektionen[[#This Row],[Bearbeitungsdauer_geschätzt]]-1</f>
        <v>0.33333333333333326</v>
      </c>
      <c r="H1387" s="8" t="str" cm="1">
        <f t="array" ref="H1387">_xlfn.IFS(Lektionen[[#This Row],[Bearbeitungsdauer_abgewichen]]&gt;0.6,"viel länger",Lektionen[[#This Row],[Bearbeitungsdauer_abgewichen]]&gt;0.3,"länger",Lektionen[[#This Row],[Bearbeitungsdauer_abgewichen]]&lt;-0.3,"kürzer",TRUE,"keine Abweichung")</f>
        <v>länger</v>
      </c>
      <c r="I1387">
        <v>1</v>
      </c>
    </row>
    <row r="1388" spans="1:9" hidden="1" x14ac:dyDescent="0.3">
      <c r="A1388" s="13">
        <v>216</v>
      </c>
      <c r="B1388" s="4">
        <v>3</v>
      </c>
      <c r="C1388" t="s">
        <v>552</v>
      </c>
      <c r="D1388" t="s">
        <v>530</v>
      </c>
      <c r="E1388">
        <v>30</v>
      </c>
      <c r="F1388">
        <v>28</v>
      </c>
      <c r="G1388" s="8">
        <f>Lektionen[[#This Row],[Bearbeitungsdauer_real]]/Lektionen[[#This Row],[Bearbeitungsdauer_geschätzt]]-1</f>
        <v>-6.6666666666666652E-2</v>
      </c>
      <c r="H1388" s="8" t="str" cm="1">
        <f t="array" ref="H1388">_xlfn.IFS(Lektionen[[#This Row],[Bearbeitungsdauer_abgewichen]]&gt;0.6,"viel länger",Lektionen[[#This Row],[Bearbeitungsdauer_abgewichen]]&gt;0.3,"länger",Lektionen[[#This Row],[Bearbeitungsdauer_abgewichen]]&lt;-0.3,"kürzer",TRUE,"keine Abweichung")</f>
        <v>keine Abweichung</v>
      </c>
      <c r="I1388">
        <v>3</v>
      </c>
    </row>
    <row r="1389" spans="1:9" hidden="1" x14ac:dyDescent="0.3">
      <c r="A1389" s="13">
        <v>216</v>
      </c>
      <c r="B1389" s="4">
        <v>4</v>
      </c>
      <c r="C1389" t="s">
        <v>531</v>
      </c>
      <c r="D1389" t="s">
        <v>530</v>
      </c>
      <c r="E1389">
        <v>30</v>
      </c>
      <c r="F1389">
        <v>21</v>
      </c>
      <c r="G1389" s="8">
        <f>Lektionen[[#This Row],[Bearbeitungsdauer_real]]/Lektionen[[#This Row],[Bearbeitungsdauer_geschätzt]]-1</f>
        <v>-0.30000000000000004</v>
      </c>
      <c r="H1389" s="8" t="str" cm="1">
        <f t="array" ref="H1389">_xlfn.IFS(Lektionen[[#This Row],[Bearbeitungsdauer_abgewichen]]&gt;0.6,"viel länger",Lektionen[[#This Row],[Bearbeitungsdauer_abgewichen]]&gt;0.3,"länger",Lektionen[[#This Row],[Bearbeitungsdauer_abgewichen]]&lt;-0.3,"kürzer",TRUE,"keine Abweichung")</f>
        <v>keine Abweichung</v>
      </c>
      <c r="I1389">
        <v>4</v>
      </c>
    </row>
    <row r="1390" spans="1:9" x14ac:dyDescent="0.3">
      <c r="A1390" s="13">
        <v>216</v>
      </c>
      <c r="B1390" s="4">
        <v>5</v>
      </c>
      <c r="C1390" t="s">
        <v>532</v>
      </c>
      <c r="D1390" t="s">
        <v>530</v>
      </c>
      <c r="E1390">
        <v>30</v>
      </c>
      <c r="F1390">
        <v>44</v>
      </c>
      <c r="G1390" s="8">
        <f>Lektionen[[#This Row],[Bearbeitungsdauer_real]]/Lektionen[[#This Row],[Bearbeitungsdauer_geschätzt]]-1</f>
        <v>0.46666666666666656</v>
      </c>
      <c r="H1390" s="8" t="str" cm="1">
        <f t="array" ref="H1390">_xlfn.IFS(Lektionen[[#This Row],[Bearbeitungsdauer_abgewichen]]&gt;0.6,"viel länger",Lektionen[[#This Row],[Bearbeitungsdauer_abgewichen]]&gt;0.3,"länger",Lektionen[[#This Row],[Bearbeitungsdauer_abgewichen]]&lt;-0.3,"kürzer",TRUE,"keine Abweichung")</f>
        <v>länger</v>
      </c>
      <c r="I1390">
        <v>5</v>
      </c>
    </row>
    <row r="1391" spans="1:9" hidden="1" x14ac:dyDescent="0.3">
      <c r="A1391" s="13">
        <v>216</v>
      </c>
      <c r="B1391" s="4">
        <v>6</v>
      </c>
      <c r="C1391" t="s">
        <v>533</v>
      </c>
      <c r="D1391" t="s">
        <v>534</v>
      </c>
      <c r="E1391">
        <v>5</v>
      </c>
      <c r="F1391">
        <v>2</v>
      </c>
      <c r="G1391" s="8">
        <f>Lektionen[[#This Row],[Bearbeitungsdauer_real]]/Lektionen[[#This Row],[Bearbeitungsdauer_geschätzt]]-1</f>
        <v>-0.6</v>
      </c>
      <c r="H1391" s="8" t="str" cm="1">
        <f t="array" ref="H1391">_xlfn.IFS(Lektionen[[#This Row],[Bearbeitungsdauer_abgewichen]]&gt;0.6,"viel länger",Lektionen[[#This Row],[Bearbeitungsdauer_abgewichen]]&gt;0.3,"länger",Lektionen[[#This Row],[Bearbeitungsdauer_abgewichen]]&lt;-0.3,"kürzer",TRUE,"keine Abweichung")</f>
        <v>kürzer</v>
      </c>
      <c r="I1391">
        <v>3</v>
      </c>
    </row>
    <row r="1392" spans="1:9" hidden="1" x14ac:dyDescent="0.3">
      <c r="A1392" s="13">
        <v>216</v>
      </c>
      <c r="B1392" s="4">
        <v>7</v>
      </c>
      <c r="C1392" t="s">
        <v>535</v>
      </c>
      <c r="D1392" t="s">
        <v>536</v>
      </c>
      <c r="E1392">
        <v>10</v>
      </c>
      <c r="F1392">
        <v>10</v>
      </c>
      <c r="G1392" s="8">
        <f>Lektionen[[#This Row],[Bearbeitungsdauer_real]]/Lektionen[[#This Row],[Bearbeitungsdauer_geschätzt]]-1</f>
        <v>0</v>
      </c>
      <c r="H1392" s="8" t="str" cm="1">
        <f t="array" ref="H1392">_xlfn.IFS(Lektionen[[#This Row],[Bearbeitungsdauer_abgewichen]]&gt;0.6,"viel länger",Lektionen[[#This Row],[Bearbeitungsdauer_abgewichen]]&gt;0.3,"länger",Lektionen[[#This Row],[Bearbeitungsdauer_abgewichen]]&lt;-0.3,"kürzer",TRUE,"keine Abweichung")</f>
        <v>keine Abweichung</v>
      </c>
      <c r="I1392">
        <v>3</v>
      </c>
    </row>
    <row r="1393" spans="1:9" hidden="1" x14ac:dyDescent="0.3">
      <c r="A1393" s="13">
        <v>216</v>
      </c>
      <c r="B1393" s="4">
        <v>8</v>
      </c>
      <c r="C1393" t="s">
        <v>537</v>
      </c>
      <c r="D1393" t="s">
        <v>527</v>
      </c>
      <c r="E1393">
        <v>5</v>
      </c>
      <c r="F1393">
        <v>5</v>
      </c>
      <c r="G1393" s="8">
        <f>Lektionen[[#This Row],[Bearbeitungsdauer_real]]/Lektionen[[#This Row],[Bearbeitungsdauer_geschätzt]]-1</f>
        <v>0</v>
      </c>
      <c r="H1393" s="8" t="str" cm="1">
        <f t="array" ref="H1393">_xlfn.IFS(Lektionen[[#This Row],[Bearbeitungsdauer_abgewichen]]&gt;0.6,"viel länger",Lektionen[[#This Row],[Bearbeitungsdauer_abgewichen]]&gt;0.3,"länger",Lektionen[[#This Row],[Bearbeitungsdauer_abgewichen]]&lt;-0.3,"kürzer",TRUE,"keine Abweichung")</f>
        <v>keine Abweichung</v>
      </c>
      <c r="I1393">
        <v>2</v>
      </c>
    </row>
    <row r="1394" spans="1:9" hidden="1" x14ac:dyDescent="0.3">
      <c r="A1394" s="13">
        <v>218</v>
      </c>
      <c r="B1394" s="4">
        <v>1</v>
      </c>
      <c r="C1394" t="s">
        <v>526</v>
      </c>
      <c r="D1394" t="s">
        <v>527</v>
      </c>
      <c r="E1394">
        <v>4</v>
      </c>
      <c r="F1394">
        <v>6</v>
      </c>
      <c r="G1394" s="8">
        <f>Lektionen[[#This Row],[Bearbeitungsdauer_real]]/Lektionen[[#This Row],[Bearbeitungsdauer_geschätzt]]-1</f>
        <v>0.5</v>
      </c>
      <c r="H1394" s="8" t="str" cm="1">
        <f t="array" ref="H1394">_xlfn.IFS(Lektionen[[#This Row],[Bearbeitungsdauer_abgewichen]]&gt;0.6,"viel länger",Lektionen[[#This Row],[Bearbeitungsdauer_abgewichen]]&gt;0.3,"länger",Lektionen[[#This Row],[Bearbeitungsdauer_abgewichen]]&lt;-0.3,"kürzer",TRUE,"keine Abweichung")</f>
        <v>länger</v>
      </c>
      <c r="I1394">
        <v>2</v>
      </c>
    </row>
    <row r="1395" spans="1:9" hidden="1" x14ac:dyDescent="0.3">
      <c r="A1395" s="13">
        <v>218</v>
      </c>
      <c r="B1395" s="4">
        <v>2</v>
      </c>
      <c r="C1395" t="s">
        <v>528</v>
      </c>
      <c r="D1395" t="s">
        <v>529</v>
      </c>
      <c r="E1395">
        <v>15</v>
      </c>
      <c r="F1395">
        <v>15</v>
      </c>
      <c r="G1395" s="8">
        <f>Lektionen[[#This Row],[Bearbeitungsdauer_real]]/Lektionen[[#This Row],[Bearbeitungsdauer_geschätzt]]-1</f>
        <v>0</v>
      </c>
      <c r="H1395" s="8" t="str" cm="1">
        <f t="array" ref="H1395">_xlfn.IFS(Lektionen[[#This Row],[Bearbeitungsdauer_abgewichen]]&gt;0.6,"viel länger",Lektionen[[#This Row],[Bearbeitungsdauer_abgewichen]]&gt;0.3,"länger",Lektionen[[#This Row],[Bearbeitungsdauer_abgewichen]]&lt;-0.3,"kürzer",TRUE,"keine Abweichung")</f>
        <v>keine Abweichung</v>
      </c>
      <c r="I1395">
        <v>2</v>
      </c>
    </row>
    <row r="1396" spans="1:9" hidden="1" x14ac:dyDescent="0.3">
      <c r="A1396" s="13">
        <v>218</v>
      </c>
      <c r="B1396" s="4">
        <v>3</v>
      </c>
      <c r="C1396" t="s">
        <v>552</v>
      </c>
      <c r="D1396" t="s">
        <v>530</v>
      </c>
      <c r="E1396">
        <v>30</v>
      </c>
      <c r="F1396">
        <v>29</v>
      </c>
      <c r="G1396" s="8">
        <f>Lektionen[[#This Row],[Bearbeitungsdauer_real]]/Lektionen[[#This Row],[Bearbeitungsdauer_geschätzt]]-1</f>
        <v>-3.3333333333333326E-2</v>
      </c>
      <c r="H1396" s="8" t="str" cm="1">
        <f t="array" ref="H1396">_xlfn.IFS(Lektionen[[#This Row],[Bearbeitungsdauer_abgewichen]]&gt;0.6,"viel länger",Lektionen[[#This Row],[Bearbeitungsdauer_abgewichen]]&gt;0.3,"länger",Lektionen[[#This Row],[Bearbeitungsdauer_abgewichen]]&lt;-0.3,"kürzer",TRUE,"keine Abweichung")</f>
        <v>keine Abweichung</v>
      </c>
      <c r="I1396">
        <v>2</v>
      </c>
    </row>
    <row r="1397" spans="1:9" hidden="1" x14ac:dyDescent="0.3">
      <c r="A1397" s="13">
        <v>218</v>
      </c>
      <c r="B1397" s="4">
        <v>4</v>
      </c>
      <c r="C1397" t="s">
        <v>531</v>
      </c>
      <c r="D1397" t="s">
        <v>530</v>
      </c>
      <c r="E1397">
        <v>30</v>
      </c>
      <c r="F1397">
        <v>29</v>
      </c>
      <c r="G1397" s="8">
        <f>Lektionen[[#This Row],[Bearbeitungsdauer_real]]/Lektionen[[#This Row],[Bearbeitungsdauer_geschätzt]]-1</f>
        <v>-3.3333333333333326E-2</v>
      </c>
      <c r="H1397" s="8" t="str" cm="1">
        <f t="array" ref="H1397">_xlfn.IFS(Lektionen[[#This Row],[Bearbeitungsdauer_abgewichen]]&gt;0.6,"viel länger",Lektionen[[#This Row],[Bearbeitungsdauer_abgewichen]]&gt;0.3,"länger",Lektionen[[#This Row],[Bearbeitungsdauer_abgewichen]]&lt;-0.3,"kürzer",TRUE,"keine Abweichung")</f>
        <v>keine Abweichung</v>
      </c>
      <c r="I1397">
        <v>3</v>
      </c>
    </row>
    <row r="1398" spans="1:9" x14ac:dyDescent="0.3">
      <c r="A1398" s="13">
        <v>218</v>
      </c>
      <c r="B1398" s="4">
        <v>5</v>
      </c>
      <c r="C1398" t="s">
        <v>532</v>
      </c>
      <c r="D1398" t="s">
        <v>530</v>
      </c>
      <c r="E1398">
        <v>30</v>
      </c>
      <c r="F1398">
        <v>42</v>
      </c>
      <c r="G1398" s="8">
        <f>Lektionen[[#This Row],[Bearbeitungsdauer_real]]/Lektionen[[#This Row],[Bearbeitungsdauer_geschätzt]]-1</f>
        <v>0.39999999999999991</v>
      </c>
      <c r="H1398" s="8" t="str" cm="1">
        <f t="array" ref="H1398">_xlfn.IFS(Lektionen[[#This Row],[Bearbeitungsdauer_abgewichen]]&gt;0.6,"viel länger",Lektionen[[#This Row],[Bearbeitungsdauer_abgewichen]]&gt;0.3,"länger",Lektionen[[#This Row],[Bearbeitungsdauer_abgewichen]]&lt;-0.3,"kürzer",TRUE,"keine Abweichung")</f>
        <v>länger</v>
      </c>
      <c r="I1398">
        <v>4</v>
      </c>
    </row>
    <row r="1399" spans="1:9" hidden="1" x14ac:dyDescent="0.3">
      <c r="A1399" s="13">
        <v>218</v>
      </c>
      <c r="B1399" s="4">
        <v>6</v>
      </c>
      <c r="C1399" t="s">
        <v>533</v>
      </c>
      <c r="D1399" t="s">
        <v>534</v>
      </c>
      <c r="E1399">
        <v>5</v>
      </c>
      <c r="F1399">
        <v>3</v>
      </c>
      <c r="G1399" s="8">
        <f>Lektionen[[#This Row],[Bearbeitungsdauer_real]]/Lektionen[[#This Row],[Bearbeitungsdauer_geschätzt]]-1</f>
        <v>-0.4</v>
      </c>
      <c r="H1399" s="8" t="str" cm="1">
        <f t="array" ref="H1399">_xlfn.IFS(Lektionen[[#This Row],[Bearbeitungsdauer_abgewichen]]&gt;0.6,"viel länger",Lektionen[[#This Row],[Bearbeitungsdauer_abgewichen]]&gt;0.3,"länger",Lektionen[[#This Row],[Bearbeitungsdauer_abgewichen]]&lt;-0.3,"kürzer",TRUE,"keine Abweichung")</f>
        <v>kürzer</v>
      </c>
      <c r="I1399">
        <v>2</v>
      </c>
    </row>
    <row r="1400" spans="1:9" hidden="1" x14ac:dyDescent="0.3">
      <c r="A1400" s="13">
        <v>218</v>
      </c>
      <c r="B1400" s="4">
        <v>7</v>
      </c>
      <c r="C1400" t="s">
        <v>535</v>
      </c>
      <c r="D1400" t="s">
        <v>536</v>
      </c>
      <c r="E1400">
        <v>10</v>
      </c>
      <c r="F1400">
        <v>9</v>
      </c>
      <c r="G1400" s="8">
        <f>Lektionen[[#This Row],[Bearbeitungsdauer_real]]/Lektionen[[#This Row],[Bearbeitungsdauer_geschätzt]]-1</f>
        <v>-9.9999999999999978E-2</v>
      </c>
      <c r="H1400" s="8" t="str" cm="1">
        <f t="array" ref="H1400">_xlfn.IFS(Lektionen[[#This Row],[Bearbeitungsdauer_abgewichen]]&gt;0.6,"viel länger",Lektionen[[#This Row],[Bearbeitungsdauer_abgewichen]]&gt;0.3,"länger",Lektionen[[#This Row],[Bearbeitungsdauer_abgewichen]]&lt;-0.3,"kürzer",TRUE,"keine Abweichung")</f>
        <v>keine Abweichung</v>
      </c>
      <c r="I1400">
        <v>4</v>
      </c>
    </row>
    <row r="1401" spans="1:9" hidden="1" x14ac:dyDescent="0.3">
      <c r="A1401" s="13">
        <v>218</v>
      </c>
      <c r="B1401" s="4">
        <v>8</v>
      </c>
      <c r="C1401" t="s">
        <v>537</v>
      </c>
      <c r="D1401" t="s">
        <v>527</v>
      </c>
      <c r="E1401">
        <v>5</v>
      </c>
      <c r="F1401">
        <v>5</v>
      </c>
      <c r="G1401" s="8">
        <f>Lektionen[[#This Row],[Bearbeitungsdauer_real]]/Lektionen[[#This Row],[Bearbeitungsdauer_geschätzt]]-1</f>
        <v>0</v>
      </c>
      <c r="H1401" s="8" t="str" cm="1">
        <f t="array" ref="H1401">_xlfn.IFS(Lektionen[[#This Row],[Bearbeitungsdauer_abgewichen]]&gt;0.6,"viel länger",Lektionen[[#This Row],[Bearbeitungsdauer_abgewichen]]&gt;0.3,"länger",Lektionen[[#This Row],[Bearbeitungsdauer_abgewichen]]&lt;-0.3,"kürzer",TRUE,"keine Abweichung")</f>
        <v>keine Abweichung</v>
      </c>
      <c r="I1401">
        <v>1</v>
      </c>
    </row>
    <row r="1402" spans="1:9" hidden="1" x14ac:dyDescent="0.3">
      <c r="A1402" s="13">
        <v>219</v>
      </c>
      <c r="B1402" s="4">
        <v>1</v>
      </c>
      <c r="C1402" t="s">
        <v>526</v>
      </c>
      <c r="D1402" t="s">
        <v>527</v>
      </c>
      <c r="E1402">
        <v>4</v>
      </c>
      <c r="F1402">
        <v>4</v>
      </c>
      <c r="G1402" s="8">
        <f>Lektionen[[#This Row],[Bearbeitungsdauer_real]]/Lektionen[[#This Row],[Bearbeitungsdauer_geschätzt]]-1</f>
        <v>0</v>
      </c>
      <c r="H1402" s="8" t="str" cm="1">
        <f t="array" ref="H1402">_xlfn.IFS(Lektionen[[#This Row],[Bearbeitungsdauer_abgewichen]]&gt;0.6,"viel länger",Lektionen[[#This Row],[Bearbeitungsdauer_abgewichen]]&gt;0.3,"länger",Lektionen[[#This Row],[Bearbeitungsdauer_abgewichen]]&lt;-0.3,"kürzer",TRUE,"keine Abweichung")</f>
        <v>keine Abweichung</v>
      </c>
      <c r="I1402">
        <v>1</v>
      </c>
    </row>
    <row r="1403" spans="1:9" hidden="1" x14ac:dyDescent="0.3">
      <c r="A1403" s="13">
        <v>219</v>
      </c>
      <c r="B1403" s="4">
        <v>2</v>
      </c>
      <c r="C1403" t="s">
        <v>528</v>
      </c>
      <c r="D1403" t="s">
        <v>529</v>
      </c>
      <c r="E1403">
        <v>15</v>
      </c>
      <c r="F1403">
        <v>16</v>
      </c>
      <c r="G1403" s="8">
        <f>Lektionen[[#This Row],[Bearbeitungsdauer_real]]/Lektionen[[#This Row],[Bearbeitungsdauer_geschätzt]]-1</f>
        <v>6.6666666666666652E-2</v>
      </c>
      <c r="H1403" s="8" t="str" cm="1">
        <f t="array" ref="H1403">_xlfn.IFS(Lektionen[[#This Row],[Bearbeitungsdauer_abgewichen]]&gt;0.6,"viel länger",Lektionen[[#This Row],[Bearbeitungsdauer_abgewichen]]&gt;0.3,"länger",Lektionen[[#This Row],[Bearbeitungsdauer_abgewichen]]&lt;-0.3,"kürzer",TRUE,"keine Abweichung")</f>
        <v>keine Abweichung</v>
      </c>
      <c r="I1403">
        <v>2</v>
      </c>
    </row>
    <row r="1404" spans="1:9" hidden="1" x14ac:dyDescent="0.3">
      <c r="A1404" s="13">
        <v>219</v>
      </c>
      <c r="B1404" s="4">
        <v>3</v>
      </c>
      <c r="C1404" t="s">
        <v>552</v>
      </c>
      <c r="D1404" t="s">
        <v>530</v>
      </c>
      <c r="E1404">
        <v>30</v>
      </c>
      <c r="F1404">
        <v>28</v>
      </c>
      <c r="G1404" s="8">
        <f>Lektionen[[#This Row],[Bearbeitungsdauer_real]]/Lektionen[[#This Row],[Bearbeitungsdauer_geschätzt]]-1</f>
        <v>-6.6666666666666652E-2</v>
      </c>
      <c r="H1404" s="8" t="str" cm="1">
        <f t="array" ref="H1404">_xlfn.IFS(Lektionen[[#This Row],[Bearbeitungsdauer_abgewichen]]&gt;0.6,"viel länger",Lektionen[[#This Row],[Bearbeitungsdauer_abgewichen]]&gt;0.3,"länger",Lektionen[[#This Row],[Bearbeitungsdauer_abgewichen]]&lt;-0.3,"kürzer",TRUE,"keine Abweichung")</f>
        <v>keine Abweichung</v>
      </c>
      <c r="I1404">
        <v>2</v>
      </c>
    </row>
    <row r="1405" spans="1:9" hidden="1" x14ac:dyDescent="0.3">
      <c r="A1405" s="13">
        <v>219</v>
      </c>
      <c r="B1405" s="4">
        <v>4</v>
      </c>
      <c r="C1405" t="s">
        <v>531</v>
      </c>
      <c r="D1405" t="s">
        <v>530</v>
      </c>
      <c r="E1405">
        <v>30</v>
      </c>
      <c r="F1405">
        <v>25</v>
      </c>
      <c r="G1405" s="8">
        <f>Lektionen[[#This Row],[Bearbeitungsdauer_real]]/Lektionen[[#This Row],[Bearbeitungsdauer_geschätzt]]-1</f>
        <v>-0.16666666666666663</v>
      </c>
      <c r="H1405" s="8" t="str" cm="1">
        <f t="array" ref="H1405">_xlfn.IFS(Lektionen[[#This Row],[Bearbeitungsdauer_abgewichen]]&gt;0.6,"viel länger",Lektionen[[#This Row],[Bearbeitungsdauer_abgewichen]]&gt;0.3,"länger",Lektionen[[#This Row],[Bearbeitungsdauer_abgewichen]]&lt;-0.3,"kürzer",TRUE,"keine Abweichung")</f>
        <v>keine Abweichung</v>
      </c>
      <c r="I1405">
        <v>2</v>
      </c>
    </row>
    <row r="1406" spans="1:9" x14ac:dyDescent="0.3">
      <c r="A1406" s="13">
        <v>219</v>
      </c>
      <c r="B1406" s="4">
        <v>5</v>
      </c>
      <c r="C1406" t="s">
        <v>532</v>
      </c>
      <c r="D1406" t="s">
        <v>530</v>
      </c>
      <c r="E1406">
        <v>30</v>
      </c>
      <c r="F1406">
        <v>49</v>
      </c>
      <c r="G1406" s="8">
        <f>Lektionen[[#This Row],[Bearbeitungsdauer_real]]/Lektionen[[#This Row],[Bearbeitungsdauer_geschätzt]]-1</f>
        <v>0.6333333333333333</v>
      </c>
      <c r="H1406" s="8" t="str" cm="1">
        <f t="array" ref="H1406">_xlfn.IFS(Lektionen[[#This Row],[Bearbeitungsdauer_abgewichen]]&gt;0.6,"viel länger",Lektionen[[#This Row],[Bearbeitungsdauer_abgewichen]]&gt;0.3,"länger",Lektionen[[#This Row],[Bearbeitungsdauer_abgewichen]]&lt;-0.3,"kürzer",TRUE,"keine Abweichung")</f>
        <v>viel länger</v>
      </c>
      <c r="I1406">
        <v>3</v>
      </c>
    </row>
    <row r="1407" spans="1:9" hidden="1" x14ac:dyDescent="0.3">
      <c r="A1407" s="13">
        <v>219</v>
      </c>
      <c r="B1407" s="4">
        <v>6</v>
      </c>
      <c r="C1407" t="s">
        <v>533</v>
      </c>
      <c r="D1407" t="s">
        <v>534</v>
      </c>
      <c r="E1407">
        <v>5</v>
      </c>
      <c r="F1407">
        <v>1</v>
      </c>
      <c r="G1407" s="8">
        <f>Lektionen[[#This Row],[Bearbeitungsdauer_real]]/Lektionen[[#This Row],[Bearbeitungsdauer_geschätzt]]-1</f>
        <v>-0.8</v>
      </c>
      <c r="H1407" s="8" t="str" cm="1">
        <f t="array" ref="H1407">_xlfn.IFS(Lektionen[[#This Row],[Bearbeitungsdauer_abgewichen]]&gt;0.6,"viel länger",Lektionen[[#This Row],[Bearbeitungsdauer_abgewichen]]&gt;0.3,"länger",Lektionen[[#This Row],[Bearbeitungsdauer_abgewichen]]&lt;-0.3,"kürzer",TRUE,"keine Abweichung")</f>
        <v>kürzer</v>
      </c>
      <c r="I1407">
        <v>2</v>
      </c>
    </row>
    <row r="1408" spans="1:9" hidden="1" x14ac:dyDescent="0.3">
      <c r="A1408" s="13">
        <v>219</v>
      </c>
      <c r="B1408" s="4">
        <v>7</v>
      </c>
      <c r="C1408" t="s">
        <v>535</v>
      </c>
      <c r="D1408" t="s">
        <v>536</v>
      </c>
      <c r="E1408">
        <v>10</v>
      </c>
      <c r="F1408">
        <v>8</v>
      </c>
      <c r="G1408" s="8">
        <f>Lektionen[[#This Row],[Bearbeitungsdauer_real]]/Lektionen[[#This Row],[Bearbeitungsdauer_geschätzt]]-1</f>
        <v>-0.19999999999999996</v>
      </c>
      <c r="H1408" s="8" t="str" cm="1">
        <f t="array" ref="H1408">_xlfn.IFS(Lektionen[[#This Row],[Bearbeitungsdauer_abgewichen]]&gt;0.6,"viel länger",Lektionen[[#This Row],[Bearbeitungsdauer_abgewichen]]&gt;0.3,"länger",Lektionen[[#This Row],[Bearbeitungsdauer_abgewichen]]&lt;-0.3,"kürzer",TRUE,"keine Abweichung")</f>
        <v>keine Abweichung</v>
      </c>
      <c r="I1408">
        <v>3</v>
      </c>
    </row>
    <row r="1409" spans="1:9" hidden="1" x14ac:dyDescent="0.3">
      <c r="A1409" s="13">
        <v>219</v>
      </c>
      <c r="B1409" s="4">
        <v>8</v>
      </c>
      <c r="C1409" t="s">
        <v>537</v>
      </c>
      <c r="D1409" t="s">
        <v>527</v>
      </c>
      <c r="E1409">
        <v>5</v>
      </c>
      <c r="F1409">
        <v>7</v>
      </c>
      <c r="G1409" s="8">
        <f>Lektionen[[#This Row],[Bearbeitungsdauer_real]]/Lektionen[[#This Row],[Bearbeitungsdauer_geschätzt]]-1</f>
        <v>0.39999999999999991</v>
      </c>
      <c r="H1409" s="8" t="str" cm="1">
        <f t="array" ref="H1409">_xlfn.IFS(Lektionen[[#This Row],[Bearbeitungsdauer_abgewichen]]&gt;0.6,"viel länger",Lektionen[[#This Row],[Bearbeitungsdauer_abgewichen]]&gt;0.3,"länger",Lektionen[[#This Row],[Bearbeitungsdauer_abgewichen]]&lt;-0.3,"kürzer",TRUE,"keine Abweichung")</f>
        <v>länger</v>
      </c>
      <c r="I1409">
        <v>1</v>
      </c>
    </row>
    <row r="1410" spans="1:9" hidden="1" x14ac:dyDescent="0.3">
      <c r="A1410" s="13">
        <v>220</v>
      </c>
      <c r="B1410" s="4">
        <v>1</v>
      </c>
      <c r="C1410" t="s">
        <v>526</v>
      </c>
      <c r="D1410" t="s">
        <v>527</v>
      </c>
      <c r="E1410">
        <v>4</v>
      </c>
      <c r="F1410">
        <v>4</v>
      </c>
      <c r="G1410" s="8">
        <f>Lektionen[[#This Row],[Bearbeitungsdauer_real]]/Lektionen[[#This Row],[Bearbeitungsdauer_geschätzt]]-1</f>
        <v>0</v>
      </c>
      <c r="H1410" s="8" t="str" cm="1">
        <f t="array" ref="H1410">_xlfn.IFS(Lektionen[[#This Row],[Bearbeitungsdauer_abgewichen]]&gt;0.6,"viel länger",Lektionen[[#This Row],[Bearbeitungsdauer_abgewichen]]&gt;0.3,"länger",Lektionen[[#This Row],[Bearbeitungsdauer_abgewichen]]&lt;-0.3,"kürzer",TRUE,"keine Abweichung")</f>
        <v>keine Abweichung</v>
      </c>
      <c r="I1410">
        <v>1</v>
      </c>
    </row>
    <row r="1411" spans="1:9" hidden="1" x14ac:dyDescent="0.3">
      <c r="A1411" s="13">
        <v>220</v>
      </c>
      <c r="B1411" s="4">
        <v>2</v>
      </c>
      <c r="C1411" t="s">
        <v>528</v>
      </c>
      <c r="D1411" t="s">
        <v>529</v>
      </c>
      <c r="E1411">
        <v>15</v>
      </c>
      <c r="F1411">
        <v>15</v>
      </c>
      <c r="G1411" s="8">
        <f>Lektionen[[#This Row],[Bearbeitungsdauer_real]]/Lektionen[[#This Row],[Bearbeitungsdauer_geschätzt]]-1</f>
        <v>0</v>
      </c>
      <c r="H1411" s="8" t="str" cm="1">
        <f t="array" ref="H1411">_xlfn.IFS(Lektionen[[#This Row],[Bearbeitungsdauer_abgewichen]]&gt;0.6,"viel länger",Lektionen[[#This Row],[Bearbeitungsdauer_abgewichen]]&gt;0.3,"länger",Lektionen[[#This Row],[Bearbeitungsdauer_abgewichen]]&lt;-0.3,"kürzer",TRUE,"keine Abweichung")</f>
        <v>keine Abweichung</v>
      </c>
      <c r="I1411">
        <v>2</v>
      </c>
    </row>
    <row r="1412" spans="1:9" hidden="1" x14ac:dyDescent="0.3">
      <c r="A1412" s="13">
        <v>220</v>
      </c>
      <c r="B1412" s="4">
        <v>3</v>
      </c>
      <c r="C1412" t="s">
        <v>552</v>
      </c>
      <c r="D1412" t="s">
        <v>530</v>
      </c>
      <c r="E1412">
        <v>30</v>
      </c>
      <c r="F1412">
        <v>28</v>
      </c>
      <c r="G1412" s="8">
        <f>Lektionen[[#This Row],[Bearbeitungsdauer_real]]/Lektionen[[#This Row],[Bearbeitungsdauer_geschätzt]]-1</f>
        <v>-6.6666666666666652E-2</v>
      </c>
      <c r="H1412" s="8" t="str" cm="1">
        <f t="array" ref="H1412">_xlfn.IFS(Lektionen[[#This Row],[Bearbeitungsdauer_abgewichen]]&gt;0.6,"viel länger",Lektionen[[#This Row],[Bearbeitungsdauer_abgewichen]]&gt;0.3,"länger",Lektionen[[#This Row],[Bearbeitungsdauer_abgewichen]]&lt;-0.3,"kürzer",TRUE,"keine Abweichung")</f>
        <v>keine Abweichung</v>
      </c>
      <c r="I1412">
        <v>2</v>
      </c>
    </row>
    <row r="1413" spans="1:9" hidden="1" x14ac:dyDescent="0.3">
      <c r="A1413" s="13">
        <v>220</v>
      </c>
      <c r="B1413" s="4">
        <v>4</v>
      </c>
      <c r="C1413" t="s">
        <v>531</v>
      </c>
      <c r="D1413" t="s">
        <v>530</v>
      </c>
      <c r="E1413">
        <v>30</v>
      </c>
      <c r="F1413">
        <v>20</v>
      </c>
      <c r="G1413" s="8">
        <f>Lektionen[[#This Row],[Bearbeitungsdauer_real]]/Lektionen[[#This Row],[Bearbeitungsdauer_geschätzt]]-1</f>
        <v>-0.33333333333333337</v>
      </c>
      <c r="H1413" s="8" t="str" cm="1">
        <f t="array" ref="H1413">_xlfn.IFS(Lektionen[[#This Row],[Bearbeitungsdauer_abgewichen]]&gt;0.6,"viel länger",Lektionen[[#This Row],[Bearbeitungsdauer_abgewichen]]&gt;0.3,"länger",Lektionen[[#This Row],[Bearbeitungsdauer_abgewichen]]&lt;-0.3,"kürzer",TRUE,"keine Abweichung")</f>
        <v>kürzer</v>
      </c>
      <c r="I1413">
        <v>3</v>
      </c>
    </row>
    <row r="1414" spans="1:9" x14ac:dyDescent="0.3">
      <c r="A1414" s="13">
        <v>220</v>
      </c>
      <c r="B1414" s="4">
        <v>5</v>
      </c>
      <c r="C1414" t="s">
        <v>532</v>
      </c>
      <c r="D1414" t="s">
        <v>530</v>
      </c>
      <c r="E1414">
        <v>30</v>
      </c>
      <c r="F1414">
        <v>51</v>
      </c>
      <c r="G1414" s="8">
        <f>Lektionen[[#This Row],[Bearbeitungsdauer_real]]/Lektionen[[#This Row],[Bearbeitungsdauer_geschätzt]]-1</f>
        <v>0.7</v>
      </c>
      <c r="H1414" s="8" t="str" cm="1">
        <f t="array" ref="H1414">_xlfn.IFS(Lektionen[[#This Row],[Bearbeitungsdauer_abgewichen]]&gt;0.6,"viel länger",Lektionen[[#This Row],[Bearbeitungsdauer_abgewichen]]&gt;0.3,"länger",Lektionen[[#This Row],[Bearbeitungsdauer_abgewichen]]&lt;-0.3,"kürzer",TRUE,"keine Abweichung")</f>
        <v>viel länger</v>
      </c>
      <c r="I1414">
        <v>4</v>
      </c>
    </row>
    <row r="1415" spans="1:9" hidden="1" x14ac:dyDescent="0.3">
      <c r="A1415" s="13">
        <v>220</v>
      </c>
      <c r="B1415" s="4">
        <v>6</v>
      </c>
      <c r="C1415" t="s">
        <v>533</v>
      </c>
      <c r="D1415" t="s">
        <v>534</v>
      </c>
      <c r="E1415">
        <v>5</v>
      </c>
      <c r="F1415">
        <v>3</v>
      </c>
      <c r="G1415" s="8">
        <f>Lektionen[[#This Row],[Bearbeitungsdauer_real]]/Lektionen[[#This Row],[Bearbeitungsdauer_geschätzt]]-1</f>
        <v>-0.4</v>
      </c>
      <c r="H1415" s="8" t="str" cm="1">
        <f t="array" ref="H1415">_xlfn.IFS(Lektionen[[#This Row],[Bearbeitungsdauer_abgewichen]]&gt;0.6,"viel länger",Lektionen[[#This Row],[Bearbeitungsdauer_abgewichen]]&gt;0.3,"länger",Lektionen[[#This Row],[Bearbeitungsdauer_abgewichen]]&lt;-0.3,"kürzer",TRUE,"keine Abweichung")</f>
        <v>kürzer</v>
      </c>
      <c r="I1415">
        <v>1</v>
      </c>
    </row>
    <row r="1416" spans="1:9" hidden="1" x14ac:dyDescent="0.3">
      <c r="A1416" s="13">
        <v>220</v>
      </c>
      <c r="B1416" s="4">
        <v>7</v>
      </c>
      <c r="C1416" t="s">
        <v>535</v>
      </c>
      <c r="D1416" t="s">
        <v>536</v>
      </c>
      <c r="E1416">
        <v>10</v>
      </c>
      <c r="F1416">
        <v>10</v>
      </c>
      <c r="G1416" s="8">
        <f>Lektionen[[#This Row],[Bearbeitungsdauer_real]]/Lektionen[[#This Row],[Bearbeitungsdauer_geschätzt]]-1</f>
        <v>0</v>
      </c>
      <c r="H1416" s="8" t="str" cm="1">
        <f t="array" ref="H1416">_xlfn.IFS(Lektionen[[#This Row],[Bearbeitungsdauer_abgewichen]]&gt;0.6,"viel länger",Lektionen[[#This Row],[Bearbeitungsdauer_abgewichen]]&gt;0.3,"länger",Lektionen[[#This Row],[Bearbeitungsdauer_abgewichen]]&lt;-0.3,"kürzer",TRUE,"keine Abweichung")</f>
        <v>keine Abweichung</v>
      </c>
      <c r="I1416">
        <v>4</v>
      </c>
    </row>
    <row r="1417" spans="1:9" hidden="1" x14ac:dyDescent="0.3">
      <c r="A1417" s="13">
        <v>220</v>
      </c>
      <c r="B1417" s="4">
        <v>8</v>
      </c>
      <c r="C1417" t="s">
        <v>537</v>
      </c>
      <c r="D1417" t="s">
        <v>527</v>
      </c>
      <c r="E1417">
        <v>5</v>
      </c>
      <c r="F1417">
        <v>5</v>
      </c>
      <c r="G1417" s="8">
        <f>Lektionen[[#This Row],[Bearbeitungsdauer_real]]/Lektionen[[#This Row],[Bearbeitungsdauer_geschätzt]]-1</f>
        <v>0</v>
      </c>
      <c r="H1417" s="8" t="str" cm="1">
        <f t="array" ref="H1417">_xlfn.IFS(Lektionen[[#This Row],[Bearbeitungsdauer_abgewichen]]&gt;0.6,"viel länger",Lektionen[[#This Row],[Bearbeitungsdauer_abgewichen]]&gt;0.3,"länger",Lektionen[[#This Row],[Bearbeitungsdauer_abgewichen]]&lt;-0.3,"kürzer",TRUE,"keine Abweichung")</f>
        <v>keine Abweichung</v>
      </c>
      <c r="I1417">
        <v>1</v>
      </c>
    </row>
    <row r="1418" spans="1:9" hidden="1" x14ac:dyDescent="0.3">
      <c r="A1418" s="13">
        <v>222</v>
      </c>
      <c r="B1418" s="4">
        <v>1</v>
      </c>
      <c r="C1418" t="s">
        <v>526</v>
      </c>
      <c r="D1418" t="s">
        <v>527</v>
      </c>
      <c r="E1418">
        <v>4</v>
      </c>
      <c r="F1418">
        <v>4</v>
      </c>
      <c r="G1418" s="8">
        <f>Lektionen[[#This Row],[Bearbeitungsdauer_real]]/Lektionen[[#This Row],[Bearbeitungsdauer_geschätzt]]-1</f>
        <v>0</v>
      </c>
      <c r="H1418" s="8" t="str" cm="1">
        <f t="array" ref="H1418">_xlfn.IFS(Lektionen[[#This Row],[Bearbeitungsdauer_abgewichen]]&gt;0.6,"viel länger",Lektionen[[#This Row],[Bearbeitungsdauer_abgewichen]]&gt;0.3,"länger",Lektionen[[#This Row],[Bearbeitungsdauer_abgewichen]]&lt;-0.3,"kürzer",TRUE,"keine Abweichung")</f>
        <v>keine Abweichung</v>
      </c>
      <c r="I1418">
        <v>1</v>
      </c>
    </row>
    <row r="1419" spans="1:9" hidden="1" x14ac:dyDescent="0.3">
      <c r="A1419" s="13">
        <v>222</v>
      </c>
      <c r="B1419" s="4">
        <v>2</v>
      </c>
      <c r="C1419" t="s">
        <v>528</v>
      </c>
      <c r="D1419" t="s">
        <v>529</v>
      </c>
      <c r="E1419">
        <v>15</v>
      </c>
      <c r="F1419">
        <v>15</v>
      </c>
      <c r="G1419" s="8">
        <f>Lektionen[[#This Row],[Bearbeitungsdauer_real]]/Lektionen[[#This Row],[Bearbeitungsdauer_geschätzt]]-1</f>
        <v>0</v>
      </c>
      <c r="H1419" s="8" t="str" cm="1">
        <f t="array" ref="H1419">_xlfn.IFS(Lektionen[[#This Row],[Bearbeitungsdauer_abgewichen]]&gt;0.6,"viel länger",Lektionen[[#This Row],[Bearbeitungsdauer_abgewichen]]&gt;0.3,"länger",Lektionen[[#This Row],[Bearbeitungsdauer_abgewichen]]&lt;-0.3,"kürzer",TRUE,"keine Abweichung")</f>
        <v>keine Abweichung</v>
      </c>
      <c r="I1419">
        <v>2</v>
      </c>
    </row>
    <row r="1420" spans="1:9" hidden="1" x14ac:dyDescent="0.3">
      <c r="A1420" s="13">
        <v>222</v>
      </c>
      <c r="B1420" s="4">
        <v>3</v>
      </c>
      <c r="C1420" t="s">
        <v>552</v>
      </c>
      <c r="D1420" t="s">
        <v>530</v>
      </c>
      <c r="E1420">
        <v>30</v>
      </c>
      <c r="F1420">
        <v>30</v>
      </c>
      <c r="G1420" s="8">
        <f>Lektionen[[#This Row],[Bearbeitungsdauer_real]]/Lektionen[[#This Row],[Bearbeitungsdauer_geschätzt]]-1</f>
        <v>0</v>
      </c>
      <c r="H1420" s="8" t="str" cm="1">
        <f t="array" ref="H1420">_xlfn.IFS(Lektionen[[#This Row],[Bearbeitungsdauer_abgewichen]]&gt;0.6,"viel länger",Lektionen[[#This Row],[Bearbeitungsdauer_abgewichen]]&gt;0.3,"länger",Lektionen[[#This Row],[Bearbeitungsdauer_abgewichen]]&lt;-0.3,"kürzer",TRUE,"keine Abweichung")</f>
        <v>keine Abweichung</v>
      </c>
      <c r="I1420">
        <v>2</v>
      </c>
    </row>
    <row r="1421" spans="1:9" hidden="1" x14ac:dyDescent="0.3">
      <c r="A1421" s="13">
        <v>222</v>
      </c>
      <c r="B1421" s="4">
        <v>4</v>
      </c>
      <c r="C1421" t="s">
        <v>531</v>
      </c>
      <c r="D1421" t="s">
        <v>530</v>
      </c>
      <c r="E1421">
        <v>30</v>
      </c>
      <c r="F1421">
        <v>30</v>
      </c>
      <c r="G1421" s="8">
        <f>Lektionen[[#This Row],[Bearbeitungsdauer_real]]/Lektionen[[#This Row],[Bearbeitungsdauer_geschätzt]]-1</f>
        <v>0</v>
      </c>
      <c r="H1421" s="8" t="str" cm="1">
        <f t="array" ref="H1421">_xlfn.IFS(Lektionen[[#This Row],[Bearbeitungsdauer_abgewichen]]&gt;0.6,"viel länger",Lektionen[[#This Row],[Bearbeitungsdauer_abgewichen]]&gt;0.3,"länger",Lektionen[[#This Row],[Bearbeitungsdauer_abgewichen]]&lt;-0.3,"kürzer",TRUE,"keine Abweichung")</f>
        <v>keine Abweichung</v>
      </c>
      <c r="I1421">
        <v>3</v>
      </c>
    </row>
    <row r="1422" spans="1:9" x14ac:dyDescent="0.3">
      <c r="A1422" s="13">
        <v>222</v>
      </c>
      <c r="B1422" s="4">
        <v>5</v>
      </c>
      <c r="C1422" t="s">
        <v>532</v>
      </c>
      <c r="D1422" t="s">
        <v>530</v>
      </c>
      <c r="E1422">
        <v>30</v>
      </c>
      <c r="F1422">
        <v>45</v>
      </c>
      <c r="G1422" s="8">
        <f>Lektionen[[#This Row],[Bearbeitungsdauer_real]]/Lektionen[[#This Row],[Bearbeitungsdauer_geschätzt]]-1</f>
        <v>0.5</v>
      </c>
      <c r="H1422" s="8" t="str" cm="1">
        <f t="array" ref="H1422">_xlfn.IFS(Lektionen[[#This Row],[Bearbeitungsdauer_abgewichen]]&gt;0.6,"viel länger",Lektionen[[#This Row],[Bearbeitungsdauer_abgewichen]]&gt;0.3,"länger",Lektionen[[#This Row],[Bearbeitungsdauer_abgewichen]]&lt;-0.3,"kürzer",TRUE,"keine Abweichung")</f>
        <v>länger</v>
      </c>
      <c r="I1422">
        <v>4</v>
      </c>
    </row>
    <row r="1423" spans="1:9" hidden="1" x14ac:dyDescent="0.3">
      <c r="A1423" s="13">
        <v>222</v>
      </c>
      <c r="B1423" s="4">
        <v>6</v>
      </c>
      <c r="C1423" t="s">
        <v>533</v>
      </c>
      <c r="D1423" t="s">
        <v>534</v>
      </c>
      <c r="E1423">
        <v>5</v>
      </c>
      <c r="F1423">
        <v>3</v>
      </c>
      <c r="G1423" s="8">
        <f>Lektionen[[#This Row],[Bearbeitungsdauer_real]]/Lektionen[[#This Row],[Bearbeitungsdauer_geschätzt]]-1</f>
        <v>-0.4</v>
      </c>
      <c r="H1423" s="8" t="str" cm="1">
        <f t="array" ref="H1423">_xlfn.IFS(Lektionen[[#This Row],[Bearbeitungsdauer_abgewichen]]&gt;0.6,"viel länger",Lektionen[[#This Row],[Bearbeitungsdauer_abgewichen]]&gt;0.3,"länger",Lektionen[[#This Row],[Bearbeitungsdauer_abgewichen]]&lt;-0.3,"kürzer",TRUE,"keine Abweichung")</f>
        <v>kürzer</v>
      </c>
      <c r="I1423">
        <v>2</v>
      </c>
    </row>
    <row r="1424" spans="1:9" hidden="1" x14ac:dyDescent="0.3">
      <c r="A1424" s="13">
        <v>222</v>
      </c>
      <c r="B1424" s="4">
        <v>7</v>
      </c>
      <c r="C1424" t="s">
        <v>535</v>
      </c>
      <c r="D1424" t="s">
        <v>536</v>
      </c>
      <c r="E1424">
        <v>10</v>
      </c>
      <c r="F1424">
        <v>12</v>
      </c>
      <c r="G1424" s="8">
        <f>Lektionen[[#This Row],[Bearbeitungsdauer_real]]/Lektionen[[#This Row],[Bearbeitungsdauer_geschätzt]]-1</f>
        <v>0.19999999999999996</v>
      </c>
      <c r="H1424" s="8" t="str" cm="1">
        <f t="array" ref="H1424">_xlfn.IFS(Lektionen[[#This Row],[Bearbeitungsdauer_abgewichen]]&gt;0.6,"viel länger",Lektionen[[#This Row],[Bearbeitungsdauer_abgewichen]]&gt;0.3,"länger",Lektionen[[#This Row],[Bearbeitungsdauer_abgewichen]]&lt;-0.3,"kürzer",TRUE,"keine Abweichung")</f>
        <v>keine Abweichung</v>
      </c>
      <c r="I1424">
        <v>3</v>
      </c>
    </row>
    <row r="1425" spans="1:9" hidden="1" x14ac:dyDescent="0.3">
      <c r="A1425" s="13">
        <v>222</v>
      </c>
      <c r="B1425" s="4">
        <v>8</v>
      </c>
      <c r="C1425" t="s">
        <v>537</v>
      </c>
      <c r="D1425" t="s">
        <v>527</v>
      </c>
      <c r="E1425">
        <v>5</v>
      </c>
      <c r="F1425">
        <v>5</v>
      </c>
      <c r="G1425" s="8">
        <f>Lektionen[[#This Row],[Bearbeitungsdauer_real]]/Lektionen[[#This Row],[Bearbeitungsdauer_geschätzt]]-1</f>
        <v>0</v>
      </c>
      <c r="H1425" s="8" t="str" cm="1">
        <f t="array" ref="H1425">_xlfn.IFS(Lektionen[[#This Row],[Bearbeitungsdauer_abgewichen]]&gt;0.6,"viel länger",Lektionen[[#This Row],[Bearbeitungsdauer_abgewichen]]&gt;0.3,"länger",Lektionen[[#This Row],[Bearbeitungsdauer_abgewichen]]&lt;-0.3,"kürzer",TRUE,"keine Abweichung")</f>
        <v>keine Abweichung</v>
      </c>
      <c r="I1425">
        <v>2</v>
      </c>
    </row>
    <row r="1426" spans="1:9" hidden="1" x14ac:dyDescent="0.3">
      <c r="A1426" s="13">
        <v>223</v>
      </c>
      <c r="B1426" s="4">
        <v>1</v>
      </c>
      <c r="C1426" t="s">
        <v>526</v>
      </c>
      <c r="D1426" t="s">
        <v>527</v>
      </c>
      <c r="E1426">
        <v>4</v>
      </c>
      <c r="F1426">
        <v>4</v>
      </c>
      <c r="G1426" s="8">
        <f>Lektionen[[#This Row],[Bearbeitungsdauer_real]]/Lektionen[[#This Row],[Bearbeitungsdauer_geschätzt]]-1</f>
        <v>0</v>
      </c>
      <c r="H1426" s="8" t="str" cm="1">
        <f t="array" ref="H1426">_xlfn.IFS(Lektionen[[#This Row],[Bearbeitungsdauer_abgewichen]]&gt;0.6,"viel länger",Lektionen[[#This Row],[Bearbeitungsdauer_abgewichen]]&gt;0.3,"länger",Lektionen[[#This Row],[Bearbeitungsdauer_abgewichen]]&lt;-0.3,"kürzer",TRUE,"keine Abweichung")</f>
        <v>keine Abweichung</v>
      </c>
      <c r="I1426">
        <v>1</v>
      </c>
    </row>
    <row r="1427" spans="1:9" hidden="1" x14ac:dyDescent="0.3">
      <c r="A1427" s="13">
        <v>223</v>
      </c>
      <c r="B1427" s="4">
        <v>2</v>
      </c>
      <c r="C1427" t="s">
        <v>528</v>
      </c>
      <c r="D1427" t="s">
        <v>529</v>
      </c>
      <c r="E1427">
        <v>15</v>
      </c>
      <c r="F1427">
        <v>15</v>
      </c>
      <c r="G1427" s="8">
        <f>Lektionen[[#This Row],[Bearbeitungsdauer_real]]/Lektionen[[#This Row],[Bearbeitungsdauer_geschätzt]]-1</f>
        <v>0</v>
      </c>
      <c r="H1427" s="8" t="str" cm="1">
        <f t="array" ref="H1427">_xlfn.IFS(Lektionen[[#This Row],[Bearbeitungsdauer_abgewichen]]&gt;0.6,"viel länger",Lektionen[[#This Row],[Bearbeitungsdauer_abgewichen]]&gt;0.3,"länger",Lektionen[[#This Row],[Bearbeitungsdauer_abgewichen]]&lt;-0.3,"kürzer",TRUE,"keine Abweichung")</f>
        <v>keine Abweichung</v>
      </c>
      <c r="I1427">
        <v>1</v>
      </c>
    </row>
    <row r="1428" spans="1:9" hidden="1" x14ac:dyDescent="0.3">
      <c r="A1428" s="13">
        <v>223</v>
      </c>
      <c r="B1428" s="4">
        <v>3</v>
      </c>
      <c r="C1428" t="s">
        <v>552</v>
      </c>
      <c r="D1428" t="s">
        <v>530</v>
      </c>
      <c r="E1428">
        <v>30</v>
      </c>
      <c r="F1428">
        <v>29</v>
      </c>
      <c r="G1428" s="8">
        <f>Lektionen[[#This Row],[Bearbeitungsdauer_real]]/Lektionen[[#This Row],[Bearbeitungsdauer_geschätzt]]-1</f>
        <v>-3.3333333333333326E-2</v>
      </c>
      <c r="H1428" s="8" t="str" cm="1">
        <f t="array" ref="H1428">_xlfn.IFS(Lektionen[[#This Row],[Bearbeitungsdauer_abgewichen]]&gt;0.6,"viel länger",Lektionen[[#This Row],[Bearbeitungsdauer_abgewichen]]&gt;0.3,"länger",Lektionen[[#This Row],[Bearbeitungsdauer_abgewichen]]&lt;-0.3,"kürzer",TRUE,"keine Abweichung")</f>
        <v>keine Abweichung</v>
      </c>
      <c r="I1428">
        <v>3</v>
      </c>
    </row>
    <row r="1429" spans="1:9" hidden="1" x14ac:dyDescent="0.3">
      <c r="A1429" s="13">
        <v>223</v>
      </c>
      <c r="B1429" s="4">
        <v>4</v>
      </c>
      <c r="C1429" t="s">
        <v>531</v>
      </c>
      <c r="D1429" t="s">
        <v>530</v>
      </c>
      <c r="E1429">
        <v>30</v>
      </c>
      <c r="F1429">
        <v>35</v>
      </c>
      <c r="G1429" s="8">
        <f>Lektionen[[#This Row],[Bearbeitungsdauer_real]]/Lektionen[[#This Row],[Bearbeitungsdauer_geschätzt]]-1</f>
        <v>0.16666666666666674</v>
      </c>
      <c r="H1429" s="8" t="str" cm="1">
        <f t="array" ref="H1429">_xlfn.IFS(Lektionen[[#This Row],[Bearbeitungsdauer_abgewichen]]&gt;0.6,"viel länger",Lektionen[[#This Row],[Bearbeitungsdauer_abgewichen]]&gt;0.3,"länger",Lektionen[[#This Row],[Bearbeitungsdauer_abgewichen]]&lt;-0.3,"kürzer",TRUE,"keine Abweichung")</f>
        <v>keine Abweichung</v>
      </c>
      <c r="I1429">
        <v>3</v>
      </c>
    </row>
    <row r="1430" spans="1:9" x14ac:dyDescent="0.3">
      <c r="A1430" s="13">
        <v>223</v>
      </c>
      <c r="B1430" s="4">
        <v>5</v>
      </c>
      <c r="C1430" t="s">
        <v>532</v>
      </c>
      <c r="D1430" t="s">
        <v>530</v>
      </c>
      <c r="E1430">
        <v>30</v>
      </c>
      <c r="F1430">
        <v>40</v>
      </c>
      <c r="G1430" s="8">
        <f>Lektionen[[#This Row],[Bearbeitungsdauer_real]]/Lektionen[[#This Row],[Bearbeitungsdauer_geschätzt]]-1</f>
        <v>0.33333333333333326</v>
      </c>
      <c r="H1430" s="8" t="str" cm="1">
        <f t="array" ref="H1430">_xlfn.IFS(Lektionen[[#This Row],[Bearbeitungsdauer_abgewichen]]&gt;0.6,"viel länger",Lektionen[[#This Row],[Bearbeitungsdauer_abgewichen]]&gt;0.3,"länger",Lektionen[[#This Row],[Bearbeitungsdauer_abgewichen]]&lt;-0.3,"kürzer",TRUE,"keine Abweichung")</f>
        <v>länger</v>
      </c>
      <c r="I1430">
        <v>4</v>
      </c>
    </row>
    <row r="1431" spans="1:9" hidden="1" x14ac:dyDescent="0.3">
      <c r="A1431" s="13">
        <v>223</v>
      </c>
      <c r="B1431" s="4">
        <v>6</v>
      </c>
      <c r="C1431" t="s">
        <v>533</v>
      </c>
      <c r="D1431" t="s">
        <v>534</v>
      </c>
      <c r="E1431">
        <v>5</v>
      </c>
      <c r="F1431">
        <v>1</v>
      </c>
      <c r="G1431" s="8">
        <f>Lektionen[[#This Row],[Bearbeitungsdauer_real]]/Lektionen[[#This Row],[Bearbeitungsdauer_geschätzt]]-1</f>
        <v>-0.8</v>
      </c>
      <c r="H1431" s="8" t="str" cm="1">
        <f t="array" ref="H1431">_xlfn.IFS(Lektionen[[#This Row],[Bearbeitungsdauer_abgewichen]]&gt;0.6,"viel länger",Lektionen[[#This Row],[Bearbeitungsdauer_abgewichen]]&gt;0.3,"länger",Lektionen[[#This Row],[Bearbeitungsdauer_abgewichen]]&lt;-0.3,"kürzer",TRUE,"keine Abweichung")</f>
        <v>kürzer</v>
      </c>
      <c r="I1431">
        <v>3</v>
      </c>
    </row>
    <row r="1432" spans="1:9" hidden="1" x14ac:dyDescent="0.3">
      <c r="A1432" s="13">
        <v>223</v>
      </c>
      <c r="B1432" s="4">
        <v>7</v>
      </c>
      <c r="C1432" t="s">
        <v>535</v>
      </c>
      <c r="D1432" t="s">
        <v>536</v>
      </c>
      <c r="E1432">
        <v>10</v>
      </c>
      <c r="F1432">
        <v>10</v>
      </c>
      <c r="G1432" s="8">
        <f>Lektionen[[#This Row],[Bearbeitungsdauer_real]]/Lektionen[[#This Row],[Bearbeitungsdauer_geschätzt]]-1</f>
        <v>0</v>
      </c>
      <c r="H1432" s="8" t="str" cm="1">
        <f t="array" ref="H1432">_xlfn.IFS(Lektionen[[#This Row],[Bearbeitungsdauer_abgewichen]]&gt;0.6,"viel länger",Lektionen[[#This Row],[Bearbeitungsdauer_abgewichen]]&gt;0.3,"länger",Lektionen[[#This Row],[Bearbeitungsdauer_abgewichen]]&lt;-0.3,"kürzer",TRUE,"keine Abweichung")</f>
        <v>keine Abweichung</v>
      </c>
      <c r="I1432">
        <v>3</v>
      </c>
    </row>
    <row r="1433" spans="1:9" hidden="1" x14ac:dyDescent="0.3">
      <c r="A1433" s="13">
        <v>223</v>
      </c>
      <c r="B1433" s="4">
        <v>8</v>
      </c>
      <c r="C1433" t="s">
        <v>537</v>
      </c>
      <c r="D1433" t="s">
        <v>527</v>
      </c>
      <c r="E1433">
        <v>5</v>
      </c>
      <c r="F1433">
        <v>5</v>
      </c>
      <c r="G1433" s="8">
        <f>Lektionen[[#This Row],[Bearbeitungsdauer_real]]/Lektionen[[#This Row],[Bearbeitungsdauer_geschätzt]]-1</f>
        <v>0</v>
      </c>
      <c r="H1433" s="8" t="str" cm="1">
        <f t="array" ref="H1433">_xlfn.IFS(Lektionen[[#This Row],[Bearbeitungsdauer_abgewichen]]&gt;0.6,"viel länger",Lektionen[[#This Row],[Bearbeitungsdauer_abgewichen]]&gt;0.3,"länger",Lektionen[[#This Row],[Bearbeitungsdauer_abgewichen]]&lt;-0.3,"kürzer",TRUE,"keine Abweichung")</f>
        <v>keine Abweichung</v>
      </c>
      <c r="I1433">
        <v>1</v>
      </c>
    </row>
    <row r="1434" spans="1:9" hidden="1" x14ac:dyDescent="0.3">
      <c r="A1434" s="13">
        <v>224</v>
      </c>
      <c r="B1434" s="4">
        <v>1</v>
      </c>
      <c r="C1434" t="s">
        <v>526</v>
      </c>
      <c r="D1434" t="s">
        <v>527</v>
      </c>
      <c r="E1434">
        <v>4</v>
      </c>
      <c r="F1434">
        <v>4</v>
      </c>
      <c r="G1434" s="8">
        <f>Lektionen[[#This Row],[Bearbeitungsdauer_real]]/Lektionen[[#This Row],[Bearbeitungsdauer_geschätzt]]-1</f>
        <v>0</v>
      </c>
      <c r="H1434" s="8" t="str" cm="1">
        <f t="array" ref="H1434">_xlfn.IFS(Lektionen[[#This Row],[Bearbeitungsdauer_abgewichen]]&gt;0.6,"viel länger",Lektionen[[#This Row],[Bearbeitungsdauer_abgewichen]]&gt;0.3,"länger",Lektionen[[#This Row],[Bearbeitungsdauer_abgewichen]]&lt;-0.3,"kürzer",TRUE,"keine Abweichung")</f>
        <v>keine Abweichung</v>
      </c>
      <c r="I1434">
        <v>1</v>
      </c>
    </row>
    <row r="1435" spans="1:9" hidden="1" x14ac:dyDescent="0.3">
      <c r="A1435" s="13">
        <v>224</v>
      </c>
      <c r="B1435" s="4">
        <v>2</v>
      </c>
      <c r="C1435" t="s">
        <v>528</v>
      </c>
      <c r="D1435" t="s">
        <v>529</v>
      </c>
      <c r="E1435">
        <v>15</v>
      </c>
      <c r="F1435">
        <v>18</v>
      </c>
      <c r="G1435" s="8">
        <f>Lektionen[[#This Row],[Bearbeitungsdauer_real]]/Lektionen[[#This Row],[Bearbeitungsdauer_geschätzt]]-1</f>
        <v>0.19999999999999996</v>
      </c>
      <c r="H1435" s="8" t="str" cm="1">
        <f t="array" ref="H1435">_xlfn.IFS(Lektionen[[#This Row],[Bearbeitungsdauer_abgewichen]]&gt;0.6,"viel länger",Lektionen[[#This Row],[Bearbeitungsdauer_abgewichen]]&gt;0.3,"länger",Lektionen[[#This Row],[Bearbeitungsdauer_abgewichen]]&lt;-0.3,"kürzer",TRUE,"keine Abweichung")</f>
        <v>keine Abweichung</v>
      </c>
      <c r="I1435">
        <v>2</v>
      </c>
    </row>
    <row r="1436" spans="1:9" hidden="1" x14ac:dyDescent="0.3">
      <c r="A1436" s="13">
        <v>224</v>
      </c>
      <c r="B1436" s="4">
        <v>3</v>
      </c>
      <c r="C1436" t="s">
        <v>552</v>
      </c>
      <c r="D1436" t="s">
        <v>530</v>
      </c>
      <c r="E1436">
        <v>30</v>
      </c>
      <c r="F1436">
        <v>29</v>
      </c>
      <c r="G1436" s="8">
        <f>Lektionen[[#This Row],[Bearbeitungsdauer_real]]/Lektionen[[#This Row],[Bearbeitungsdauer_geschätzt]]-1</f>
        <v>-3.3333333333333326E-2</v>
      </c>
      <c r="H1436" s="8" t="str" cm="1">
        <f t="array" ref="H1436">_xlfn.IFS(Lektionen[[#This Row],[Bearbeitungsdauer_abgewichen]]&gt;0.6,"viel länger",Lektionen[[#This Row],[Bearbeitungsdauer_abgewichen]]&gt;0.3,"länger",Lektionen[[#This Row],[Bearbeitungsdauer_abgewichen]]&lt;-0.3,"kürzer",TRUE,"keine Abweichung")</f>
        <v>keine Abweichung</v>
      </c>
      <c r="I1436">
        <v>2</v>
      </c>
    </row>
    <row r="1437" spans="1:9" hidden="1" x14ac:dyDescent="0.3">
      <c r="A1437" s="13">
        <v>224</v>
      </c>
      <c r="B1437" s="4">
        <v>4</v>
      </c>
      <c r="C1437" t="s">
        <v>531</v>
      </c>
      <c r="D1437" t="s">
        <v>530</v>
      </c>
      <c r="E1437">
        <v>30</v>
      </c>
      <c r="F1437">
        <v>28</v>
      </c>
      <c r="G1437" s="8">
        <f>Lektionen[[#This Row],[Bearbeitungsdauer_real]]/Lektionen[[#This Row],[Bearbeitungsdauer_geschätzt]]-1</f>
        <v>-6.6666666666666652E-2</v>
      </c>
      <c r="H1437" s="8" t="str" cm="1">
        <f t="array" ref="H1437">_xlfn.IFS(Lektionen[[#This Row],[Bearbeitungsdauer_abgewichen]]&gt;0.6,"viel länger",Lektionen[[#This Row],[Bearbeitungsdauer_abgewichen]]&gt;0.3,"länger",Lektionen[[#This Row],[Bearbeitungsdauer_abgewichen]]&lt;-0.3,"kürzer",TRUE,"keine Abweichung")</f>
        <v>keine Abweichung</v>
      </c>
      <c r="I1437">
        <v>3</v>
      </c>
    </row>
    <row r="1438" spans="1:9" x14ac:dyDescent="0.3">
      <c r="A1438" s="13">
        <v>224</v>
      </c>
      <c r="B1438" s="4">
        <v>5</v>
      </c>
      <c r="C1438" t="s">
        <v>532</v>
      </c>
      <c r="D1438" t="s">
        <v>530</v>
      </c>
      <c r="E1438">
        <v>30</v>
      </c>
      <c r="F1438">
        <v>53</v>
      </c>
      <c r="G1438" s="8">
        <f>Lektionen[[#This Row],[Bearbeitungsdauer_real]]/Lektionen[[#This Row],[Bearbeitungsdauer_geschätzt]]-1</f>
        <v>0.76666666666666661</v>
      </c>
      <c r="H1438" s="8" t="str" cm="1">
        <f t="array" ref="H1438">_xlfn.IFS(Lektionen[[#This Row],[Bearbeitungsdauer_abgewichen]]&gt;0.6,"viel länger",Lektionen[[#This Row],[Bearbeitungsdauer_abgewichen]]&gt;0.3,"länger",Lektionen[[#This Row],[Bearbeitungsdauer_abgewichen]]&lt;-0.3,"kürzer",TRUE,"keine Abweichung")</f>
        <v>viel länger</v>
      </c>
      <c r="I1438">
        <v>4</v>
      </c>
    </row>
    <row r="1439" spans="1:9" hidden="1" x14ac:dyDescent="0.3">
      <c r="A1439" s="13">
        <v>224</v>
      </c>
      <c r="B1439" s="4">
        <v>6</v>
      </c>
      <c r="C1439" t="s">
        <v>533</v>
      </c>
      <c r="D1439" t="s">
        <v>534</v>
      </c>
      <c r="E1439">
        <v>5</v>
      </c>
      <c r="F1439">
        <v>1</v>
      </c>
      <c r="G1439" s="8">
        <f>Lektionen[[#This Row],[Bearbeitungsdauer_real]]/Lektionen[[#This Row],[Bearbeitungsdauer_geschätzt]]-1</f>
        <v>-0.8</v>
      </c>
      <c r="H1439" s="8" t="str" cm="1">
        <f t="array" ref="H1439">_xlfn.IFS(Lektionen[[#This Row],[Bearbeitungsdauer_abgewichen]]&gt;0.6,"viel länger",Lektionen[[#This Row],[Bearbeitungsdauer_abgewichen]]&gt;0.3,"länger",Lektionen[[#This Row],[Bearbeitungsdauer_abgewichen]]&lt;-0.3,"kürzer",TRUE,"keine Abweichung")</f>
        <v>kürzer</v>
      </c>
      <c r="I1439">
        <v>1</v>
      </c>
    </row>
    <row r="1440" spans="1:9" hidden="1" x14ac:dyDescent="0.3">
      <c r="A1440" s="13">
        <v>224</v>
      </c>
      <c r="B1440" s="4">
        <v>7</v>
      </c>
      <c r="C1440" t="s">
        <v>535</v>
      </c>
      <c r="D1440" t="s">
        <v>536</v>
      </c>
      <c r="E1440">
        <v>10</v>
      </c>
      <c r="F1440">
        <v>11</v>
      </c>
      <c r="G1440" s="8">
        <f>Lektionen[[#This Row],[Bearbeitungsdauer_real]]/Lektionen[[#This Row],[Bearbeitungsdauer_geschätzt]]-1</f>
        <v>0.10000000000000009</v>
      </c>
      <c r="H1440" s="8" t="str" cm="1">
        <f t="array" ref="H1440">_xlfn.IFS(Lektionen[[#This Row],[Bearbeitungsdauer_abgewichen]]&gt;0.6,"viel länger",Lektionen[[#This Row],[Bearbeitungsdauer_abgewichen]]&gt;0.3,"länger",Lektionen[[#This Row],[Bearbeitungsdauer_abgewichen]]&lt;-0.3,"kürzer",TRUE,"keine Abweichung")</f>
        <v>keine Abweichung</v>
      </c>
      <c r="I1440">
        <v>4</v>
      </c>
    </row>
    <row r="1441" spans="1:9" hidden="1" x14ac:dyDescent="0.3">
      <c r="A1441" s="13">
        <v>224</v>
      </c>
      <c r="B1441" s="4">
        <v>8</v>
      </c>
      <c r="C1441" t="s">
        <v>537</v>
      </c>
      <c r="D1441" t="s">
        <v>527</v>
      </c>
      <c r="E1441">
        <v>5</v>
      </c>
      <c r="F1441">
        <v>9</v>
      </c>
      <c r="G1441" s="8">
        <f>Lektionen[[#This Row],[Bearbeitungsdauer_real]]/Lektionen[[#This Row],[Bearbeitungsdauer_geschätzt]]-1</f>
        <v>0.8</v>
      </c>
      <c r="H1441" s="8" t="str" cm="1">
        <f t="array" ref="H1441">_xlfn.IFS(Lektionen[[#This Row],[Bearbeitungsdauer_abgewichen]]&gt;0.6,"viel länger",Lektionen[[#This Row],[Bearbeitungsdauer_abgewichen]]&gt;0.3,"länger",Lektionen[[#This Row],[Bearbeitungsdauer_abgewichen]]&lt;-0.3,"kürzer",TRUE,"keine Abweichung")</f>
        <v>viel länger</v>
      </c>
      <c r="I1441">
        <v>1</v>
      </c>
    </row>
    <row r="1442" spans="1:9" hidden="1" x14ac:dyDescent="0.3">
      <c r="A1442" s="13">
        <v>225</v>
      </c>
      <c r="B1442" s="4">
        <v>1</v>
      </c>
      <c r="C1442" t="s">
        <v>526</v>
      </c>
      <c r="D1442" t="s">
        <v>527</v>
      </c>
      <c r="E1442">
        <v>4</v>
      </c>
      <c r="F1442">
        <v>4</v>
      </c>
      <c r="G1442" s="8">
        <f>Lektionen[[#This Row],[Bearbeitungsdauer_real]]/Lektionen[[#This Row],[Bearbeitungsdauer_geschätzt]]-1</f>
        <v>0</v>
      </c>
      <c r="H1442" s="8" t="str" cm="1">
        <f t="array" ref="H1442">_xlfn.IFS(Lektionen[[#This Row],[Bearbeitungsdauer_abgewichen]]&gt;0.6,"viel länger",Lektionen[[#This Row],[Bearbeitungsdauer_abgewichen]]&gt;0.3,"länger",Lektionen[[#This Row],[Bearbeitungsdauer_abgewichen]]&lt;-0.3,"kürzer",TRUE,"keine Abweichung")</f>
        <v>keine Abweichung</v>
      </c>
      <c r="I1442">
        <v>1</v>
      </c>
    </row>
    <row r="1443" spans="1:9" hidden="1" x14ac:dyDescent="0.3">
      <c r="A1443" s="13">
        <v>225</v>
      </c>
      <c r="B1443" s="4">
        <v>2</v>
      </c>
      <c r="C1443" t="s">
        <v>528</v>
      </c>
      <c r="D1443" t="s">
        <v>529</v>
      </c>
      <c r="E1443">
        <v>15</v>
      </c>
      <c r="F1443">
        <v>16</v>
      </c>
      <c r="G1443" s="8">
        <f>Lektionen[[#This Row],[Bearbeitungsdauer_real]]/Lektionen[[#This Row],[Bearbeitungsdauer_geschätzt]]-1</f>
        <v>6.6666666666666652E-2</v>
      </c>
      <c r="H1443" s="8" t="str" cm="1">
        <f t="array" ref="H1443">_xlfn.IFS(Lektionen[[#This Row],[Bearbeitungsdauer_abgewichen]]&gt;0.6,"viel länger",Lektionen[[#This Row],[Bearbeitungsdauer_abgewichen]]&gt;0.3,"länger",Lektionen[[#This Row],[Bearbeitungsdauer_abgewichen]]&lt;-0.3,"kürzer",TRUE,"keine Abweichung")</f>
        <v>keine Abweichung</v>
      </c>
      <c r="I1443">
        <v>1</v>
      </c>
    </row>
    <row r="1444" spans="1:9" hidden="1" x14ac:dyDescent="0.3">
      <c r="A1444" s="13">
        <v>225</v>
      </c>
      <c r="B1444" s="4">
        <v>3</v>
      </c>
      <c r="C1444" t="s">
        <v>552</v>
      </c>
      <c r="D1444" t="s">
        <v>530</v>
      </c>
      <c r="E1444">
        <v>30</v>
      </c>
      <c r="F1444">
        <v>29</v>
      </c>
      <c r="G1444" s="8">
        <f>Lektionen[[#This Row],[Bearbeitungsdauer_real]]/Lektionen[[#This Row],[Bearbeitungsdauer_geschätzt]]-1</f>
        <v>-3.3333333333333326E-2</v>
      </c>
      <c r="H1444" s="8" t="str" cm="1">
        <f t="array" ref="H1444">_xlfn.IFS(Lektionen[[#This Row],[Bearbeitungsdauer_abgewichen]]&gt;0.6,"viel länger",Lektionen[[#This Row],[Bearbeitungsdauer_abgewichen]]&gt;0.3,"länger",Lektionen[[#This Row],[Bearbeitungsdauer_abgewichen]]&lt;-0.3,"kürzer",TRUE,"keine Abweichung")</f>
        <v>keine Abweichung</v>
      </c>
      <c r="I1444">
        <v>3</v>
      </c>
    </row>
    <row r="1445" spans="1:9" hidden="1" x14ac:dyDescent="0.3">
      <c r="A1445" s="13">
        <v>225</v>
      </c>
      <c r="B1445" s="4">
        <v>4</v>
      </c>
      <c r="C1445" t="s">
        <v>531</v>
      </c>
      <c r="D1445" t="s">
        <v>530</v>
      </c>
      <c r="E1445">
        <v>30</v>
      </c>
      <c r="F1445">
        <v>24</v>
      </c>
      <c r="G1445" s="8">
        <f>Lektionen[[#This Row],[Bearbeitungsdauer_real]]/Lektionen[[#This Row],[Bearbeitungsdauer_geschätzt]]-1</f>
        <v>-0.19999999999999996</v>
      </c>
      <c r="H1445" s="8" t="str" cm="1">
        <f t="array" ref="H1445">_xlfn.IFS(Lektionen[[#This Row],[Bearbeitungsdauer_abgewichen]]&gt;0.6,"viel länger",Lektionen[[#This Row],[Bearbeitungsdauer_abgewichen]]&gt;0.3,"länger",Lektionen[[#This Row],[Bearbeitungsdauer_abgewichen]]&lt;-0.3,"kürzer",TRUE,"keine Abweichung")</f>
        <v>keine Abweichung</v>
      </c>
      <c r="I1445">
        <v>3</v>
      </c>
    </row>
    <row r="1446" spans="1:9" x14ac:dyDescent="0.3">
      <c r="A1446" s="13">
        <v>225</v>
      </c>
      <c r="B1446" s="4">
        <v>5</v>
      </c>
      <c r="C1446" t="s">
        <v>532</v>
      </c>
      <c r="D1446" t="s">
        <v>530</v>
      </c>
      <c r="E1446">
        <v>30</v>
      </c>
      <c r="F1446">
        <v>41</v>
      </c>
      <c r="G1446" s="8">
        <f>Lektionen[[#This Row],[Bearbeitungsdauer_real]]/Lektionen[[#This Row],[Bearbeitungsdauer_geschätzt]]-1</f>
        <v>0.3666666666666667</v>
      </c>
      <c r="H1446" s="8" t="str" cm="1">
        <f t="array" ref="H1446">_xlfn.IFS(Lektionen[[#This Row],[Bearbeitungsdauer_abgewichen]]&gt;0.6,"viel länger",Lektionen[[#This Row],[Bearbeitungsdauer_abgewichen]]&gt;0.3,"länger",Lektionen[[#This Row],[Bearbeitungsdauer_abgewichen]]&lt;-0.3,"kürzer",TRUE,"keine Abweichung")</f>
        <v>länger</v>
      </c>
      <c r="I1446">
        <v>3</v>
      </c>
    </row>
    <row r="1447" spans="1:9" hidden="1" x14ac:dyDescent="0.3">
      <c r="A1447" s="13">
        <v>225</v>
      </c>
      <c r="B1447" s="4">
        <v>6</v>
      </c>
      <c r="C1447" t="s">
        <v>533</v>
      </c>
      <c r="D1447" t="s">
        <v>534</v>
      </c>
      <c r="E1447">
        <v>5</v>
      </c>
      <c r="F1447">
        <v>3</v>
      </c>
      <c r="G1447" s="8">
        <f>Lektionen[[#This Row],[Bearbeitungsdauer_real]]/Lektionen[[#This Row],[Bearbeitungsdauer_geschätzt]]-1</f>
        <v>-0.4</v>
      </c>
      <c r="H1447" s="8" t="str" cm="1">
        <f t="array" ref="H1447">_xlfn.IFS(Lektionen[[#This Row],[Bearbeitungsdauer_abgewichen]]&gt;0.6,"viel länger",Lektionen[[#This Row],[Bearbeitungsdauer_abgewichen]]&gt;0.3,"länger",Lektionen[[#This Row],[Bearbeitungsdauer_abgewichen]]&lt;-0.3,"kürzer",TRUE,"keine Abweichung")</f>
        <v>kürzer</v>
      </c>
      <c r="I1447">
        <v>2</v>
      </c>
    </row>
    <row r="1448" spans="1:9" hidden="1" x14ac:dyDescent="0.3">
      <c r="A1448" s="13">
        <v>225</v>
      </c>
      <c r="B1448" s="4">
        <v>7</v>
      </c>
      <c r="C1448" t="s">
        <v>535</v>
      </c>
      <c r="D1448" t="s">
        <v>536</v>
      </c>
      <c r="E1448">
        <v>10</v>
      </c>
      <c r="F1448">
        <v>9</v>
      </c>
      <c r="G1448" s="8">
        <f>Lektionen[[#This Row],[Bearbeitungsdauer_real]]/Lektionen[[#This Row],[Bearbeitungsdauer_geschätzt]]-1</f>
        <v>-9.9999999999999978E-2</v>
      </c>
      <c r="H1448" s="8" t="str" cm="1">
        <f t="array" ref="H1448">_xlfn.IFS(Lektionen[[#This Row],[Bearbeitungsdauer_abgewichen]]&gt;0.6,"viel länger",Lektionen[[#This Row],[Bearbeitungsdauer_abgewichen]]&gt;0.3,"länger",Lektionen[[#This Row],[Bearbeitungsdauer_abgewichen]]&lt;-0.3,"kürzer",TRUE,"keine Abweichung")</f>
        <v>keine Abweichung</v>
      </c>
      <c r="I1448">
        <v>4</v>
      </c>
    </row>
    <row r="1449" spans="1:9" hidden="1" x14ac:dyDescent="0.3">
      <c r="A1449" s="13">
        <v>225</v>
      </c>
      <c r="B1449" s="4">
        <v>8</v>
      </c>
      <c r="C1449" t="s">
        <v>537</v>
      </c>
      <c r="D1449" t="s">
        <v>527</v>
      </c>
      <c r="E1449">
        <v>5</v>
      </c>
      <c r="F1449">
        <v>5</v>
      </c>
      <c r="G1449" s="8">
        <f>Lektionen[[#This Row],[Bearbeitungsdauer_real]]/Lektionen[[#This Row],[Bearbeitungsdauer_geschätzt]]-1</f>
        <v>0</v>
      </c>
      <c r="H1449" s="8" t="str" cm="1">
        <f t="array" ref="H1449">_xlfn.IFS(Lektionen[[#This Row],[Bearbeitungsdauer_abgewichen]]&gt;0.6,"viel länger",Lektionen[[#This Row],[Bearbeitungsdauer_abgewichen]]&gt;0.3,"länger",Lektionen[[#This Row],[Bearbeitungsdauer_abgewichen]]&lt;-0.3,"kürzer",TRUE,"keine Abweichung")</f>
        <v>keine Abweichung</v>
      </c>
      <c r="I1449">
        <v>1</v>
      </c>
    </row>
    <row r="1450" spans="1:9" hidden="1" x14ac:dyDescent="0.3">
      <c r="A1450" s="13">
        <v>226</v>
      </c>
      <c r="B1450" s="4">
        <v>1</v>
      </c>
      <c r="C1450" t="s">
        <v>526</v>
      </c>
      <c r="D1450" t="s">
        <v>527</v>
      </c>
      <c r="E1450">
        <v>4</v>
      </c>
      <c r="F1450">
        <v>4</v>
      </c>
      <c r="G1450" s="8">
        <f>Lektionen[[#This Row],[Bearbeitungsdauer_real]]/Lektionen[[#This Row],[Bearbeitungsdauer_geschätzt]]-1</f>
        <v>0</v>
      </c>
      <c r="H1450" s="8" t="str" cm="1">
        <f t="array" ref="H1450">_xlfn.IFS(Lektionen[[#This Row],[Bearbeitungsdauer_abgewichen]]&gt;0.6,"viel länger",Lektionen[[#This Row],[Bearbeitungsdauer_abgewichen]]&gt;0.3,"länger",Lektionen[[#This Row],[Bearbeitungsdauer_abgewichen]]&lt;-0.3,"kürzer",TRUE,"keine Abweichung")</f>
        <v>keine Abweichung</v>
      </c>
      <c r="I1450">
        <v>1</v>
      </c>
    </row>
    <row r="1451" spans="1:9" hidden="1" x14ac:dyDescent="0.3">
      <c r="A1451" s="13">
        <v>226</v>
      </c>
      <c r="B1451" s="4">
        <v>2</v>
      </c>
      <c r="C1451" t="s">
        <v>528</v>
      </c>
      <c r="D1451" t="s">
        <v>529</v>
      </c>
      <c r="E1451">
        <v>15</v>
      </c>
      <c r="F1451">
        <v>16</v>
      </c>
      <c r="G1451" s="8">
        <f>Lektionen[[#This Row],[Bearbeitungsdauer_real]]/Lektionen[[#This Row],[Bearbeitungsdauer_geschätzt]]-1</f>
        <v>6.6666666666666652E-2</v>
      </c>
      <c r="H1451" s="8" t="str" cm="1">
        <f t="array" ref="H1451">_xlfn.IFS(Lektionen[[#This Row],[Bearbeitungsdauer_abgewichen]]&gt;0.6,"viel länger",Lektionen[[#This Row],[Bearbeitungsdauer_abgewichen]]&gt;0.3,"länger",Lektionen[[#This Row],[Bearbeitungsdauer_abgewichen]]&lt;-0.3,"kürzer",TRUE,"keine Abweichung")</f>
        <v>keine Abweichung</v>
      </c>
      <c r="I1451">
        <v>1</v>
      </c>
    </row>
    <row r="1452" spans="1:9" hidden="1" x14ac:dyDescent="0.3">
      <c r="A1452" s="13">
        <v>226</v>
      </c>
      <c r="B1452" s="4">
        <v>3</v>
      </c>
      <c r="C1452" t="s">
        <v>552</v>
      </c>
      <c r="D1452" t="s">
        <v>530</v>
      </c>
      <c r="E1452">
        <v>30</v>
      </c>
      <c r="F1452">
        <v>23</v>
      </c>
      <c r="G1452" s="8">
        <f>Lektionen[[#This Row],[Bearbeitungsdauer_real]]/Lektionen[[#This Row],[Bearbeitungsdauer_geschätzt]]-1</f>
        <v>-0.23333333333333328</v>
      </c>
      <c r="H1452" s="8" t="str" cm="1">
        <f t="array" ref="H1452">_xlfn.IFS(Lektionen[[#This Row],[Bearbeitungsdauer_abgewichen]]&gt;0.6,"viel länger",Lektionen[[#This Row],[Bearbeitungsdauer_abgewichen]]&gt;0.3,"länger",Lektionen[[#This Row],[Bearbeitungsdauer_abgewichen]]&lt;-0.3,"kürzer",TRUE,"keine Abweichung")</f>
        <v>keine Abweichung</v>
      </c>
      <c r="I1452">
        <v>3</v>
      </c>
    </row>
    <row r="1453" spans="1:9" hidden="1" x14ac:dyDescent="0.3">
      <c r="A1453" s="13">
        <v>226</v>
      </c>
      <c r="B1453" s="4">
        <v>4</v>
      </c>
      <c r="C1453" t="s">
        <v>531</v>
      </c>
      <c r="D1453" t="s">
        <v>530</v>
      </c>
      <c r="E1453">
        <v>30</v>
      </c>
      <c r="F1453">
        <v>27</v>
      </c>
      <c r="G1453" s="8">
        <f>Lektionen[[#This Row],[Bearbeitungsdauer_real]]/Lektionen[[#This Row],[Bearbeitungsdauer_geschätzt]]-1</f>
        <v>-9.9999999999999978E-2</v>
      </c>
      <c r="H1453" s="8" t="str" cm="1">
        <f t="array" ref="H1453">_xlfn.IFS(Lektionen[[#This Row],[Bearbeitungsdauer_abgewichen]]&gt;0.6,"viel länger",Lektionen[[#This Row],[Bearbeitungsdauer_abgewichen]]&gt;0.3,"länger",Lektionen[[#This Row],[Bearbeitungsdauer_abgewichen]]&lt;-0.3,"kürzer",TRUE,"keine Abweichung")</f>
        <v>keine Abweichung</v>
      </c>
      <c r="I1453">
        <v>3</v>
      </c>
    </row>
    <row r="1454" spans="1:9" x14ac:dyDescent="0.3">
      <c r="A1454" s="13">
        <v>226</v>
      </c>
      <c r="B1454" s="4">
        <v>5</v>
      </c>
      <c r="C1454" t="s">
        <v>532</v>
      </c>
      <c r="D1454" t="s">
        <v>530</v>
      </c>
      <c r="E1454">
        <v>30</v>
      </c>
      <c r="F1454">
        <v>49</v>
      </c>
      <c r="G1454" s="8">
        <f>Lektionen[[#This Row],[Bearbeitungsdauer_real]]/Lektionen[[#This Row],[Bearbeitungsdauer_geschätzt]]-1</f>
        <v>0.6333333333333333</v>
      </c>
      <c r="H1454" s="8" t="str" cm="1">
        <f t="array" ref="H1454">_xlfn.IFS(Lektionen[[#This Row],[Bearbeitungsdauer_abgewichen]]&gt;0.6,"viel länger",Lektionen[[#This Row],[Bearbeitungsdauer_abgewichen]]&gt;0.3,"länger",Lektionen[[#This Row],[Bearbeitungsdauer_abgewichen]]&lt;-0.3,"kürzer",TRUE,"keine Abweichung")</f>
        <v>viel länger</v>
      </c>
      <c r="I1454">
        <v>4</v>
      </c>
    </row>
    <row r="1455" spans="1:9" hidden="1" x14ac:dyDescent="0.3">
      <c r="A1455" s="13">
        <v>226</v>
      </c>
      <c r="B1455" s="4">
        <v>6</v>
      </c>
      <c r="C1455" t="s">
        <v>533</v>
      </c>
      <c r="D1455" t="s">
        <v>534</v>
      </c>
      <c r="E1455">
        <v>5</v>
      </c>
      <c r="F1455">
        <v>3</v>
      </c>
      <c r="G1455" s="8">
        <f>Lektionen[[#This Row],[Bearbeitungsdauer_real]]/Lektionen[[#This Row],[Bearbeitungsdauer_geschätzt]]-1</f>
        <v>-0.4</v>
      </c>
      <c r="H1455" s="8" t="str" cm="1">
        <f t="array" ref="H1455">_xlfn.IFS(Lektionen[[#This Row],[Bearbeitungsdauer_abgewichen]]&gt;0.6,"viel länger",Lektionen[[#This Row],[Bearbeitungsdauer_abgewichen]]&gt;0.3,"länger",Lektionen[[#This Row],[Bearbeitungsdauer_abgewichen]]&lt;-0.3,"kürzer",TRUE,"keine Abweichung")</f>
        <v>kürzer</v>
      </c>
      <c r="I1455">
        <v>2</v>
      </c>
    </row>
    <row r="1456" spans="1:9" hidden="1" x14ac:dyDescent="0.3">
      <c r="A1456" s="13">
        <v>226</v>
      </c>
      <c r="B1456" s="4">
        <v>7</v>
      </c>
      <c r="C1456" t="s">
        <v>535</v>
      </c>
      <c r="D1456" t="s">
        <v>536</v>
      </c>
      <c r="E1456">
        <v>10</v>
      </c>
      <c r="F1456">
        <v>10</v>
      </c>
      <c r="G1456" s="8">
        <f>Lektionen[[#This Row],[Bearbeitungsdauer_real]]/Lektionen[[#This Row],[Bearbeitungsdauer_geschätzt]]-1</f>
        <v>0</v>
      </c>
      <c r="H1456" s="8" t="str" cm="1">
        <f t="array" ref="H1456">_xlfn.IFS(Lektionen[[#This Row],[Bearbeitungsdauer_abgewichen]]&gt;0.6,"viel länger",Lektionen[[#This Row],[Bearbeitungsdauer_abgewichen]]&gt;0.3,"länger",Lektionen[[#This Row],[Bearbeitungsdauer_abgewichen]]&lt;-0.3,"kürzer",TRUE,"keine Abweichung")</f>
        <v>keine Abweichung</v>
      </c>
      <c r="I1456">
        <v>3</v>
      </c>
    </row>
    <row r="1457" spans="1:9" hidden="1" x14ac:dyDescent="0.3">
      <c r="A1457" s="13">
        <v>226</v>
      </c>
      <c r="B1457" s="4">
        <v>8</v>
      </c>
      <c r="C1457" t="s">
        <v>537</v>
      </c>
      <c r="D1457" t="s">
        <v>527</v>
      </c>
      <c r="E1457">
        <v>5</v>
      </c>
      <c r="F1457">
        <v>5</v>
      </c>
      <c r="G1457" s="8">
        <f>Lektionen[[#This Row],[Bearbeitungsdauer_real]]/Lektionen[[#This Row],[Bearbeitungsdauer_geschätzt]]-1</f>
        <v>0</v>
      </c>
      <c r="H1457" s="8" t="str" cm="1">
        <f t="array" ref="H1457">_xlfn.IFS(Lektionen[[#This Row],[Bearbeitungsdauer_abgewichen]]&gt;0.6,"viel länger",Lektionen[[#This Row],[Bearbeitungsdauer_abgewichen]]&gt;0.3,"länger",Lektionen[[#This Row],[Bearbeitungsdauer_abgewichen]]&lt;-0.3,"kürzer",TRUE,"keine Abweichung")</f>
        <v>keine Abweichung</v>
      </c>
      <c r="I1457">
        <v>1</v>
      </c>
    </row>
    <row r="1458" spans="1:9" hidden="1" x14ac:dyDescent="0.3">
      <c r="A1458" s="13">
        <v>228</v>
      </c>
      <c r="B1458" s="4">
        <v>1</v>
      </c>
      <c r="C1458" t="s">
        <v>526</v>
      </c>
      <c r="D1458" t="s">
        <v>527</v>
      </c>
      <c r="E1458">
        <v>4</v>
      </c>
      <c r="F1458">
        <v>4</v>
      </c>
      <c r="G1458" s="8">
        <f>Lektionen[[#This Row],[Bearbeitungsdauer_real]]/Lektionen[[#This Row],[Bearbeitungsdauer_geschätzt]]-1</f>
        <v>0</v>
      </c>
      <c r="H1458" s="8" t="str" cm="1">
        <f t="array" ref="H1458">_xlfn.IFS(Lektionen[[#This Row],[Bearbeitungsdauer_abgewichen]]&gt;0.6,"viel länger",Lektionen[[#This Row],[Bearbeitungsdauer_abgewichen]]&gt;0.3,"länger",Lektionen[[#This Row],[Bearbeitungsdauer_abgewichen]]&lt;-0.3,"kürzer",TRUE,"keine Abweichung")</f>
        <v>keine Abweichung</v>
      </c>
      <c r="I1458">
        <v>1</v>
      </c>
    </row>
    <row r="1459" spans="1:9" hidden="1" x14ac:dyDescent="0.3">
      <c r="A1459" s="13">
        <v>228</v>
      </c>
      <c r="B1459" s="4">
        <v>2</v>
      </c>
      <c r="C1459" t="s">
        <v>528</v>
      </c>
      <c r="D1459" t="s">
        <v>529</v>
      </c>
      <c r="E1459">
        <v>15</v>
      </c>
      <c r="F1459">
        <v>16</v>
      </c>
      <c r="G1459" s="8">
        <f>Lektionen[[#This Row],[Bearbeitungsdauer_real]]/Lektionen[[#This Row],[Bearbeitungsdauer_geschätzt]]-1</f>
        <v>6.6666666666666652E-2</v>
      </c>
      <c r="H1459" s="8" t="str" cm="1">
        <f t="array" ref="H1459">_xlfn.IFS(Lektionen[[#This Row],[Bearbeitungsdauer_abgewichen]]&gt;0.6,"viel länger",Lektionen[[#This Row],[Bearbeitungsdauer_abgewichen]]&gt;0.3,"länger",Lektionen[[#This Row],[Bearbeitungsdauer_abgewichen]]&lt;-0.3,"kürzer",TRUE,"keine Abweichung")</f>
        <v>keine Abweichung</v>
      </c>
      <c r="I1459">
        <v>2</v>
      </c>
    </row>
    <row r="1460" spans="1:9" hidden="1" x14ac:dyDescent="0.3">
      <c r="A1460" s="13">
        <v>228</v>
      </c>
      <c r="B1460" s="4">
        <v>3</v>
      </c>
      <c r="C1460" t="s">
        <v>552</v>
      </c>
      <c r="D1460" t="s">
        <v>530</v>
      </c>
      <c r="E1460">
        <v>30</v>
      </c>
      <c r="F1460">
        <v>29</v>
      </c>
      <c r="G1460" s="8">
        <f>Lektionen[[#This Row],[Bearbeitungsdauer_real]]/Lektionen[[#This Row],[Bearbeitungsdauer_geschätzt]]-1</f>
        <v>-3.3333333333333326E-2</v>
      </c>
      <c r="H1460" s="8" t="str" cm="1">
        <f t="array" ref="H1460">_xlfn.IFS(Lektionen[[#This Row],[Bearbeitungsdauer_abgewichen]]&gt;0.6,"viel länger",Lektionen[[#This Row],[Bearbeitungsdauer_abgewichen]]&gt;0.3,"länger",Lektionen[[#This Row],[Bearbeitungsdauer_abgewichen]]&lt;-0.3,"kürzer",TRUE,"keine Abweichung")</f>
        <v>keine Abweichung</v>
      </c>
      <c r="I1460">
        <v>2</v>
      </c>
    </row>
    <row r="1461" spans="1:9" hidden="1" x14ac:dyDescent="0.3">
      <c r="A1461" s="13">
        <v>228</v>
      </c>
      <c r="B1461" s="4">
        <v>4</v>
      </c>
      <c r="C1461" t="s">
        <v>531</v>
      </c>
      <c r="D1461" t="s">
        <v>530</v>
      </c>
      <c r="E1461">
        <v>30</v>
      </c>
      <c r="F1461">
        <v>23</v>
      </c>
      <c r="G1461" s="8">
        <f>Lektionen[[#This Row],[Bearbeitungsdauer_real]]/Lektionen[[#This Row],[Bearbeitungsdauer_geschätzt]]-1</f>
        <v>-0.23333333333333328</v>
      </c>
      <c r="H1461" s="8" t="str" cm="1">
        <f t="array" ref="H1461">_xlfn.IFS(Lektionen[[#This Row],[Bearbeitungsdauer_abgewichen]]&gt;0.6,"viel länger",Lektionen[[#This Row],[Bearbeitungsdauer_abgewichen]]&gt;0.3,"länger",Lektionen[[#This Row],[Bearbeitungsdauer_abgewichen]]&lt;-0.3,"kürzer",TRUE,"keine Abweichung")</f>
        <v>keine Abweichung</v>
      </c>
      <c r="I1461">
        <v>3</v>
      </c>
    </row>
    <row r="1462" spans="1:9" x14ac:dyDescent="0.3">
      <c r="A1462" s="13">
        <v>228</v>
      </c>
      <c r="B1462" s="4">
        <v>5</v>
      </c>
      <c r="C1462" t="s">
        <v>532</v>
      </c>
      <c r="D1462" t="s">
        <v>530</v>
      </c>
      <c r="E1462">
        <v>30</v>
      </c>
      <c r="F1462">
        <v>51</v>
      </c>
      <c r="G1462" s="8">
        <f>Lektionen[[#This Row],[Bearbeitungsdauer_real]]/Lektionen[[#This Row],[Bearbeitungsdauer_geschätzt]]-1</f>
        <v>0.7</v>
      </c>
      <c r="H1462" s="8" t="str" cm="1">
        <f t="array" ref="H1462">_xlfn.IFS(Lektionen[[#This Row],[Bearbeitungsdauer_abgewichen]]&gt;0.6,"viel länger",Lektionen[[#This Row],[Bearbeitungsdauer_abgewichen]]&gt;0.3,"länger",Lektionen[[#This Row],[Bearbeitungsdauer_abgewichen]]&lt;-0.3,"kürzer",TRUE,"keine Abweichung")</f>
        <v>viel länger</v>
      </c>
      <c r="I1462">
        <v>4</v>
      </c>
    </row>
    <row r="1463" spans="1:9" hidden="1" x14ac:dyDescent="0.3">
      <c r="A1463" s="13">
        <v>228</v>
      </c>
      <c r="B1463" s="4">
        <v>6</v>
      </c>
      <c r="C1463" t="s">
        <v>533</v>
      </c>
      <c r="D1463" t="s">
        <v>534</v>
      </c>
      <c r="E1463">
        <v>5</v>
      </c>
      <c r="F1463">
        <v>1</v>
      </c>
      <c r="G1463" s="8">
        <f>Lektionen[[#This Row],[Bearbeitungsdauer_real]]/Lektionen[[#This Row],[Bearbeitungsdauer_geschätzt]]-1</f>
        <v>-0.8</v>
      </c>
      <c r="H1463" s="8" t="str" cm="1">
        <f t="array" ref="H1463">_xlfn.IFS(Lektionen[[#This Row],[Bearbeitungsdauer_abgewichen]]&gt;0.6,"viel länger",Lektionen[[#This Row],[Bearbeitungsdauer_abgewichen]]&gt;0.3,"länger",Lektionen[[#This Row],[Bearbeitungsdauer_abgewichen]]&lt;-0.3,"kürzer",TRUE,"keine Abweichung")</f>
        <v>kürzer</v>
      </c>
      <c r="I1463">
        <v>2</v>
      </c>
    </row>
    <row r="1464" spans="1:9" hidden="1" x14ac:dyDescent="0.3">
      <c r="A1464" s="13">
        <v>228</v>
      </c>
      <c r="B1464" s="4">
        <v>7</v>
      </c>
      <c r="C1464" t="s">
        <v>535</v>
      </c>
      <c r="D1464" t="s">
        <v>536</v>
      </c>
      <c r="E1464">
        <v>10</v>
      </c>
      <c r="F1464">
        <v>10</v>
      </c>
      <c r="G1464" s="8">
        <f>Lektionen[[#This Row],[Bearbeitungsdauer_real]]/Lektionen[[#This Row],[Bearbeitungsdauer_geschätzt]]-1</f>
        <v>0</v>
      </c>
      <c r="H1464" s="8" t="str" cm="1">
        <f t="array" ref="H1464">_xlfn.IFS(Lektionen[[#This Row],[Bearbeitungsdauer_abgewichen]]&gt;0.6,"viel länger",Lektionen[[#This Row],[Bearbeitungsdauer_abgewichen]]&gt;0.3,"länger",Lektionen[[#This Row],[Bearbeitungsdauer_abgewichen]]&lt;-0.3,"kürzer",TRUE,"keine Abweichung")</f>
        <v>keine Abweichung</v>
      </c>
      <c r="I1464">
        <v>3</v>
      </c>
    </row>
    <row r="1465" spans="1:9" hidden="1" x14ac:dyDescent="0.3">
      <c r="A1465" s="13">
        <v>228</v>
      </c>
      <c r="B1465" s="4">
        <v>8</v>
      </c>
      <c r="C1465" t="s">
        <v>537</v>
      </c>
      <c r="D1465" t="s">
        <v>527</v>
      </c>
      <c r="E1465">
        <v>5</v>
      </c>
      <c r="F1465">
        <v>5</v>
      </c>
      <c r="G1465" s="8">
        <f>Lektionen[[#This Row],[Bearbeitungsdauer_real]]/Lektionen[[#This Row],[Bearbeitungsdauer_geschätzt]]-1</f>
        <v>0</v>
      </c>
      <c r="H1465" s="8" t="str" cm="1">
        <f t="array" ref="H1465">_xlfn.IFS(Lektionen[[#This Row],[Bearbeitungsdauer_abgewichen]]&gt;0.6,"viel länger",Lektionen[[#This Row],[Bearbeitungsdauer_abgewichen]]&gt;0.3,"länger",Lektionen[[#This Row],[Bearbeitungsdauer_abgewichen]]&lt;-0.3,"kürzer",TRUE,"keine Abweichung")</f>
        <v>keine Abweichung</v>
      </c>
      <c r="I1465">
        <v>1</v>
      </c>
    </row>
    <row r="1466" spans="1:9" hidden="1" x14ac:dyDescent="0.3">
      <c r="A1466" s="13">
        <v>229</v>
      </c>
      <c r="B1466" s="4">
        <v>1</v>
      </c>
      <c r="C1466" t="s">
        <v>526</v>
      </c>
      <c r="D1466" t="s">
        <v>527</v>
      </c>
      <c r="E1466">
        <v>4</v>
      </c>
      <c r="F1466">
        <v>4</v>
      </c>
      <c r="G1466" s="8">
        <f>Lektionen[[#This Row],[Bearbeitungsdauer_real]]/Lektionen[[#This Row],[Bearbeitungsdauer_geschätzt]]-1</f>
        <v>0</v>
      </c>
      <c r="H1466" s="8" t="str" cm="1">
        <f t="array" ref="H1466">_xlfn.IFS(Lektionen[[#This Row],[Bearbeitungsdauer_abgewichen]]&gt;0.6,"viel länger",Lektionen[[#This Row],[Bearbeitungsdauer_abgewichen]]&gt;0.3,"länger",Lektionen[[#This Row],[Bearbeitungsdauer_abgewichen]]&lt;-0.3,"kürzer",TRUE,"keine Abweichung")</f>
        <v>keine Abweichung</v>
      </c>
      <c r="I1466">
        <v>1</v>
      </c>
    </row>
    <row r="1467" spans="1:9" hidden="1" x14ac:dyDescent="0.3">
      <c r="A1467" s="13">
        <v>229</v>
      </c>
      <c r="B1467" s="4">
        <v>2</v>
      </c>
      <c r="C1467" t="s">
        <v>528</v>
      </c>
      <c r="D1467" t="s">
        <v>529</v>
      </c>
      <c r="E1467">
        <v>15</v>
      </c>
      <c r="F1467">
        <v>20</v>
      </c>
      <c r="G1467" s="8">
        <f>Lektionen[[#This Row],[Bearbeitungsdauer_real]]/Lektionen[[#This Row],[Bearbeitungsdauer_geschätzt]]-1</f>
        <v>0.33333333333333326</v>
      </c>
      <c r="H1467" s="8" t="str" cm="1">
        <f t="array" ref="H1467">_xlfn.IFS(Lektionen[[#This Row],[Bearbeitungsdauer_abgewichen]]&gt;0.6,"viel länger",Lektionen[[#This Row],[Bearbeitungsdauer_abgewichen]]&gt;0.3,"länger",Lektionen[[#This Row],[Bearbeitungsdauer_abgewichen]]&lt;-0.3,"kürzer",TRUE,"keine Abweichung")</f>
        <v>länger</v>
      </c>
      <c r="I1467">
        <v>1</v>
      </c>
    </row>
    <row r="1468" spans="1:9" hidden="1" x14ac:dyDescent="0.3">
      <c r="A1468" s="13">
        <v>229</v>
      </c>
      <c r="B1468" s="4">
        <v>3</v>
      </c>
      <c r="C1468" t="s">
        <v>552</v>
      </c>
      <c r="D1468" t="s">
        <v>530</v>
      </c>
      <c r="E1468">
        <v>30</v>
      </c>
      <c r="F1468">
        <v>40</v>
      </c>
      <c r="G1468" s="8">
        <f>Lektionen[[#This Row],[Bearbeitungsdauer_real]]/Lektionen[[#This Row],[Bearbeitungsdauer_geschätzt]]-1</f>
        <v>0.33333333333333326</v>
      </c>
      <c r="H1468" s="8" t="str" cm="1">
        <f t="array" ref="H1468">_xlfn.IFS(Lektionen[[#This Row],[Bearbeitungsdauer_abgewichen]]&gt;0.6,"viel länger",Lektionen[[#This Row],[Bearbeitungsdauer_abgewichen]]&gt;0.3,"länger",Lektionen[[#This Row],[Bearbeitungsdauer_abgewichen]]&lt;-0.3,"kürzer",TRUE,"keine Abweichung")</f>
        <v>länger</v>
      </c>
      <c r="I1468">
        <v>3</v>
      </c>
    </row>
    <row r="1469" spans="1:9" hidden="1" x14ac:dyDescent="0.3">
      <c r="A1469" s="13">
        <v>229</v>
      </c>
      <c r="B1469" s="4">
        <v>4</v>
      </c>
      <c r="C1469" t="s">
        <v>531</v>
      </c>
      <c r="D1469" t="s">
        <v>530</v>
      </c>
      <c r="E1469">
        <v>30</v>
      </c>
      <c r="F1469">
        <v>24</v>
      </c>
      <c r="G1469" s="8">
        <f>Lektionen[[#This Row],[Bearbeitungsdauer_real]]/Lektionen[[#This Row],[Bearbeitungsdauer_geschätzt]]-1</f>
        <v>-0.19999999999999996</v>
      </c>
      <c r="H1469" s="8" t="str" cm="1">
        <f t="array" ref="H1469">_xlfn.IFS(Lektionen[[#This Row],[Bearbeitungsdauer_abgewichen]]&gt;0.6,"viel länger",Lektionen[[#This Row],[Bearbeitungsdauer_abgewichen]]&gt;0.3,"länger",Lektionen[[#This Row],[Bearbeitungsdauer_abgewichen]]&lt;-0.3,"kürzer",TRUE,"keine Abweichung")</f>
        <v>keine Abweichung</v>
      </c>
      <c r="I1469">
        <v>2</v>
      </c>
    </row>
    <row r="1470" spans="1:9" x14ac:dyDescent="0.3">
      <c r="A1470" s="13">
        <v>229</v>
      </c>
      <c r="B1470" s="4">
        <v>5</v>
      </c>
      <c r="C1470" t="s">
        <v>532</v>
      </c>
      <c r="D1470" t="s">
        <v>530</v>
      </c>
      <c r="E1470">
        <v>30</v>
      </c>
      <c r="F1470">
        <v>40</v>
      </c>
      <c r="G1470" s="8">
        <f>Lektionen[[#This Row],[Bearbeitungsdauer_real]]/Lektionen[[#This Row],[Bearbeitungsdauer_geschätzt]]-1</f>
        <v>0.33333333333333326</v>
      </c>
      <c r="H1470" s="8" t="str" cm="1">
        <f t="array" ref="H1470">_xlfn.IFS(Lektionen[[#This Row],[Bearbeitungsdauer_abgewichen]]&gt;0.6,"viel länger",Lektionen[[#This Row],[Bearbeitungsdauer_abgewichen]]&gt;0.3,"länger",Lektionen[[#This Row],[Bearbeitungsdauer_abgewichen]]&lt;-0.3,"kürzer",TRUE,"keine Abweichung")</f>
        <v>länger</v>
      </c>
      <c r="I1470">
        <v>4</v>
      </c>
    </row>
    <row r="1471" spans="1:9" hidden="1" x14ac:dyDescent="0.3">
      <c r="A1471" s="13">
        <v>229</v>
      </c>
      <c r="B1471" s="4">
        <v>6</v>
      </c>
      <c r="C1471" t="s">
        <v>533</v>
      </c>
      <c r="D1471" t="s">
        <v>534</v>
      </c>
      <c r="E1471">
        <v>5</v>
      </c>
      <c r="F1471">
        <v>2</v>
      </c>
      <c r="G1471" s="8">
        <f>Lektionen[[#This Row],[Bearbeitungsdauer_real]]/Lektionen[[#This Row],[Bearbeitungsdauer_geschätzt]]-1</f>
        <v>-0.6</v>
      </c>
      <c r="H1471" s="8" t="str" cm="1">
        <f t="array" ref="H1471">_xlfn.IFS(Lektionen[[#This Row],[Bearbeitungsdauer_abgewichen]]&gt;0.6,"viel länger",Lektionen[[#This Row],[Bearbeitungsdauer_abgewichen]]&gt;0.3,"länger",Lektionen[[#This Row],[Bearbeitungsdauer_abgewichen]]&lt;-0.3,"kürzer",TRUE,"keine Abweichung")</f>
        <v>kürzer</v>
      </c>
      <c r="I1471">
        <v>2</v>
      </c>
    </row>
    <row r="1472" spans="1:9" hidden="1" x14ac:dyDescent="0.3">
      <c r="A1472" s="13">
        <v>229</v>
      </c>
      <c r="B1472" s="4">
        <v>7</v>
      </c>
      <c r="C1472" t="s">
        <v>535</v>
      </c>
      <c r="D1472" t="s">
        <v>536</v>
      </c>
      <c r="E1472">
        <v>10</v>
      </c>
      <c r="F1472">
        <v>8</v>
      </c>
      <c r="G1472" s="8">
        <f>Lektionen[[#This Row],[Bearbeitungsdauer_real]]/Lektionen[[#This Row],[Bearbeitungsdauer_geschätzt]]-1</f>
        <v>-0.19999999999999996</v>
      </c>
      <c r="H1472" s="8" t="str" cm="1">
        <f t="array" ref="H1472">_xlfn.IFS(Lektionen[[#This Row],[Bearbeitungsdauer_abgewichen]]&gt;0.6,"viel länger",Lektionen[[#This Row],[Bearbeitungsdauer_abgewichen]]&gt;0.3,"länger",Lektionen[[#This Row],[Bearbeitungsdauer_abgewichen]]&lt;-0.3,"kürzer",TRUE,"keine Abweichung")</f>
        <v>keine Abweichung</v>
      </c>
      <c r="I1472">
        <v>3</v>
      </c>
    </row>
    <row r="1473" spans="1:9" hidden="1" x14ac:dyDescent="0.3">
      <c r="A1473" s="13">
        <v>229</v>
      </c>
      <c r="B1473" s="4">
        <v>8</v>
      </c>
      <c r="C1473" t="s">
        <v>537</v>
      </c>
      <c r="D1473" t="s">
        <v>527</v>
      </c>
      <c r="E1473">
        <v>5</v>
      </c>
      <c r="F1473">
        <v>5</v>
      </c>
      <c r="G1473" s="8">
        <f>Lektionen[[#This Row],[Bearbeitungsdauer_real]]/Lektionen[[#This Row],[Bearbeitungsdauer_geschätzt]]-1</f>
        <v>0</v>
      </c>
      <c r="H1473" s="8" t="str" cm="1">
        <f t="array" ref="H1473">_xlfn.IFS(Lektionen[[#This Row],[Bearbeitungsdauer_abgewichen]]&gt;0.6,"viel länger",Lektionen[[#This Row],[Bearbeitungsdauer_abgewichen]]&gt;0.3,"länger",Lektionen[[#This Row],[Bearbeitungsdauer_abgewichen]]&lt;-0.3,"kürzer",TRUE,"keine Abweichung")</f>
        <v>keine Abweichung</v>
      </c>
      <c r="I1473">
        <v>1</v>
      </c>
    </row>
    <row r="1474" spans="1:9" hidden="1" x14ac:dyDescent="0.3">
      <c r="A1474" s="13">
        <v>230</v>
      </c>
      <c r="B1474" s="4">
        <v>1</v>
      </c>
      <c r="C1474" t="s">
        <v>526</v>
      </c>
      <c r="D1474" t="s">
        <v>527</v>
      </c>
      <c r="E1474">
        <v>4</v>
      </c>
      <c r="F1474">
        <v>6</v>
      </c>
      <c r="G1474" s="8">
        <f>Lektionen[[#This Row],[Bearbeitungsdauer_real]]/Lektionen[[#This Row],[Bearbeitungsdauer_geschätzt]]-1</f>
        <v>0.5</v>
      </c>
      <c r="H1474" s="8" t="str" cm="1">
        <f t="array" ref="H1474">_xlfn.IFS(Lektionen[[#This Row],[Bearbeitungsdauer_abgewichen]]&gt;0.6,"viel länger",Lektionen[[#This Row],[Bearbeitungsdauer_abgewichen]]&gt;0.3,"länger",Lektionen[[#This Row],[Bearbeitungsdauer_abgewichen]]&lt;-0.3,"kürzer",TRUE,"keine Abweichung")</f>
        <v>länger</v>
      </c>
      <c r="I1474">
        <v>1</v>
      </c>
    </row>
    <row r="1475" spans="1:9" hidden="1" x14ac:dyDescent="0.3">
      <c r="A1475" s="13">
        <v>230</v>
      </c>
      <c r="B1475" s="4">
        <v>2</v>
      </c>
      <c r="C1475" t="s">
        <v>528</v>
      </c>
      <c r="D1475" t="s">
        <v>529</v>
      </c>
      <c r="E1475">
        <v>15</v>
      </c>
      <c r="F1475">
        <v>21</v>
      </c>
      <c r="G1475" s="8">
        <f>Lektionen[[#This Row],[Bearbeitungsdauer_real]]/Lektionen[[#This Row],[Bearbeitungsdauer_geschätzt]]-1</f>
        <v>0.39999999999999991</v>
      </c>
      <c r="H1475" s="8" t="str" cm="1">
        <f t="array" ref="H1475">_xlfn.IFS(Lektionen[[#This Row],[Bearbeitungsdauer_abgewichen]]&gt;0.6,"viel länger",Lektionen[[#This Row],[Bearbeitungsdauer_abgewichen]]&gt;0.3,"länger",Lektionen[[#This Row],[Bearbeitungsdauer_abgewichen]]&lt;-0.3,"kürzer",TRUE,"keine Abweichung")</f>
        <v>länger</v>
      </c>
      <c r="I1475">
        <v>1</v>
      </c>
    </row>
    <row r="1476" spans="1:9" hidden="1" x14ac:dyDescent="0.3">
      <c r="A1476" s="13">
        <v>230</v>
      </c>
      <c r="B1476" s="4">
        <v>3</v>
      </c>
      <c r="C1476" t="s">
        <v>552</v>
      </c>
      <c r="D1476" t="s">
        <v>530</v>
      </c>
      <c r="E1476">
        <v>30</v>
      </c>
      <c r="F1476">
        <v>27</v>
      </c>
      <c r="G1476" s="8">
        <f>Lektionen[[#This Row],[Bearbeitungsdauer_real]]/Lektionen[[#This Row],[Bearbeitungsdauer_geschätzt]]-1</f>
        <v>-9.9999999999999978E-2</v>
      </c>
      <c r="H1476" s="8" t="str" cm="1">
        <f t="array" ref="H1476">_xlfn.IFS(Lektionen[[#This Row],[Bearbeitungsdauer_abgewichen]]&gt;0.6,"viel länger",Lektionen[[#This Row],[Bearbeitungsdauer_abgewichen]]&gt;0.3,"länger",Lektionen[[#This Row],[Bearbeitungsdauer_abgewichen]]&lt;-0.3,"kürzer",TRUE,"keine Abweichung")</f>
        <v>keine Abweichung</v>
      </c>
      <c r="I1476">
        <v>3</v>
      </c>
    </row>
    <row r="1477" spans="1:9" hidden="1" x14ac:dyDescent="0.3">
      <c r="A1477" s="13">
        <v>230</v>
      </c>
      <c r="B1477" s="4">
        <v>4</v>
      </c>
      <c r="C1477" t="s">
        <v>531</v>
      </c>
      <c r="D1477" t="s">
        <v>530</v>
      </c>
      <c r="E1477">
        <v>30</v>
      </c>
      <c r="F1477">
        <v>21</v>
      </c>
      <c r="G1477" s="8">
        <f>Lektionen[[#This Row],[Bearbeitungsdauer_real]]/Lektionen[[#This Row],[Bearbeitungsdauer_geschätzt]]-1</f>
        <v>-0.30000000000000004</v>
      </c>
      <c r="H1477" s="8" t="str" cm="1">
        <f t="array" ref="H1477">_xlfn.IFS(Lektionen[[#This Row],[Bearbeitungsdauer_abgewichen]]&gt;0.6,"viel länger",Lektionen[[#This Row],[Bearbeitungsdauer_abgewichen]]&gt;0.3,"länger",Lektionen[[#This Row],[Bearbeitungsdauer_abgewichen]]&lt;-0.3,"kürzer",TRUE,"keine Abweichung")</f>
        <v>keine Abweichung</v>
      </c>
      <c r="I1477">
        <v>2</v>
      </c>
    </row>
    <row r="1478" spans="1:9" x14ac:dyDescent="0.3">
      <c r="A1478" s="13">
        <v>230</v>
      </c>
      <c r="B1478" s="4">
        <v>5</v>
      </c>
      <c r="C1478" t="s">
        <v>532</v>
      </c>
      <c r="D1478" t="s">
        <v>530</v>
      </c>
      <c r="E1478">
        <v>30</v>
      </c>
      <c r="F1478">
        <v>48</v>
      </c>
      <c r="G1478" s="8">
        <f>Lektionen[[#This Row],[Bearbeitungsdauer_real]]/Lektionen[[#This Row],[Bearbeitungsdauer_geschätzt]]-1</f>
        <v>0.60000000000000009</v>
      </c>
      <c r="H1478" s="8" t="str" cm="1">
        <f t="array" ref="H1478">_xlfn.IFS(Lektionen[[#This Row],[Bearbeitungsdauer_abgewichen]]&gt;0.6,"viel länger",Lektionen[[#This Row],[Bearbeitungsdauer_abgewichen]]&gt;0.3,"länger",Lektionen[[#This Row],[Bearbeitungsdauer_abgewichen]]&lt;-0.3,"kürzer",TRUE,"keine Abweichung")</f>
        <v>länger</v>
      </c>
      <c r="I1478">
        <v>4</v>
      </c>
    </row>
    <row r="1479" spans="1:9" hidden="1" x14ac:dyDescent="0.3">
      <c r="A1479" s="13">
        <v>230</v>
      </c>
      <c r="B1479" s="4">
        <v>6</v>
      </c>
      <c r="C1479" t="s">
        <v>533</v>
      </c>
      <c r="D1479" t="s">
        <v>534</v>
      </c>
      <c r="E1479">
        <v>5</v>
      </c>
      <c r="F1479">
        <v>3</v>
      </c>
      <c r="G1479" s="8">
        <f>Lektionen[[#This Row],[Bearbeitungsdauer_real]]/Lektionen[[#This Row],[Bearbeitungsdauer_geschätzt]]-1</f>
        <v>-0.4</v>
      </c>
      <c r="H1479" s="8" t="str" cm="1">
        <f t="array" ref="H1479">_xlfn.IFS(Lektionen[[#This Row],[Bearbeitungsdauer_abgewichen]]&gt;0.6,"viel länger",Lektionen[[#This Row],[Bearbeitungsdauer_abgewichen]]&gt;0.3,"länger",Lektionen[[#This Row],[Bearbeitungsdauer_abgewichen]]&lt;-0.3,"kürzer",TRUE,"keine Abweichung")</f>
        <v>kürzer</v>
      </c>
      <c r="I1479">
        <v>1</v>
      </c>
    </row>
    <row r="1480" spans="1:9" hidden="1" x14ac:dyDescent="0.3">
      <c r="A1480" s="13">
        <v>230</v>
      </c>
      <c r="B1480" s="4">
        <v>7</v>
      </c>
      <c r="C1480" t="s">
        <v>535</v>
      </c>
      <c r="D1480" t="s">
        <v>536</v>
      </c>
      <c r="E1480">
        <v>10</v>
      </c>
      <c r="F1480">
        <v>9</v>
      </c>
      <c r="G1480" s="8">
        <f>Lektionen[[#This Row],[Bearbeitungsdauer_real]]/Lektionen[[#This Row],[Bearbeitungsdauer_geschätzt]]-1</f>
        <v>-9.9999999999999978E-2</v>
      </c>
      <c r="H1480" s="8" t="str" cm="1">
        <f t="array" ref="H1480">_xlfn.IFS(Lektionen[[#This Row],[Bearbeitungsdauer_abgewichen]]&gt;0.6,"viel länger",Lektionen[[#This Row],[Bearbeitungsdauer_abgewichen]]&gt;0.3,"länger",Lektionen[[#This Row],[Bearbeitungsdauer_abgewichen]]&lt;-0.3,"kürzer",TRUE,"keine Abweichung")</f>
        <v>keine Abweichung</v>
      </c>
      <c r="I1480">
        <v>3</v>
      </c>
    </row>
    <row r="1481" spans="1:9" hidden="1" x14ac:dyDescent="0.3">
      <c r="A1481" s="13">
        <v>230</v>
      </c>
      <c r="B1481" s="4">
        <v>8</v>
      </c>
      <c r="C1481" t="s">
        <v>537</v>
      </c>
      <c r="D1481" t="s">
        <v>527</v>
      </c>
      <c r="E1481">
        <v>5</v>
      </c>
      <c r="F1481">
        <v>5</v>
      </c>
      <c r="G1481" s="8">
        <f>Lektionen[[#This Row],[Bearbeitungsdauer_real]]/Lektionen[[#This Row],[Bearbeitungsdauer_geschätzt]]-1</f>
        <v>0</v>
      </c>
      <c r="H1481" s="8" t="str" cm="1">
        <f t="array" ref="H1481">_xlfn.IFS(Lektionen[[#This Row],[Bearbeitungsdauer_abgewichen]]&gt;0.6,"viel länger",Lektionen[[#This Row],[Bearbeitungsdauer_abgewichen]]&gt;0.3,"länger",Lektionen[[#This Row],[Bearbeitungsdauer_abgewichen]]&lt;-0.3,"kürzer",TRUE,"keine Abweichung")</f>
        <v>keine Abweichung</v>
      </c>
      <c r="I1481">
        <v>1</v>
      </c>
    </row>
    <row r="1482" spans="1:9" hidden="1" x14ac:dyDescent="0.3">
      <c r="A1482" s="13">
        <v>232</v>
      </c>
      <c r="B1482" s="4">
        <v>1</v>
      </c>
      <c r="C1482" t="s">
        <v>526</v>
      </c>
      <c r="D1482" t="s">
        <v>527</v>
      </c>
      <c r="E1482">
        <v>4</v>
      </c>
      <c r="F1482">
        <v>4</v>
      </c>
      <c r="G1482" s="8">
        <f>Lektionen[[#This Row],[Bearbeitungsdauer_real]]/Lektionen[[#This Row],[Bearbeitungsdauer_geschätzt]]-1</f>
        <v>0</v>
      </c>
      <c r="H1482" s="8" t="str" cm="1">
        <f t="array" ref="H1482">_xlfn.IFS(Lektionen[[#This Row],[Bearbeitungsdauer_abgewichen]]&gt;0.6,"viel länger",Lektionen[[#This Row],[Bearbeitungsdauer_abgewichen]]&gt;0.3,"länger",Lektionen[[#This Row],[Bearbeitungsdauer_abgewichen]]&lt;-0.3,"kürzer",TRUE,"keine Abweichung")</f>
        <v>keine Abweichung</v>
      </c>
      <c r="I1482">
        <v>1</v>
      </c>
    </row>
    <row r="1483" spans="1:9" hidden="1" x14ac:dyDescent="0.3">
      <c r="A1483" s="13">
        <v>232</v>
      </c>
      <c r="B1483" s="4">
        <v>2</v>
      </c>
      <c r="C1483" t="s">
        <v>528</v>
      </c>
      <c r="D1483" t="s">
        <v>529</v>
      </c>
      <c r="E1483">
        <v>15</v>
      </c>
      <c r="F1483">
        <v>18</v>
      </c>
      <c r="G1483" s="8">
        <f>Lektionen[[#This Row],[Bearbeitungsdauer_real]]/Lektionen[[#This Row],[Bearbeitungsdauer_geschätzt]]-1</f>
        <v>0.19999999999999996</v>
      </c>
      <c r="H1483" s="8" t="str" cm="1">
        <f t="array" ref="H1483">_xlfn.IFS(Lektionen[[#This Row],[Bearbeitungsdauer_abgewichen]]&gt;0.6,"viel länger",Lektionen[[#This Row],[Bearbeitungsdauer_abgewichen]]&gt;0.3,"länger",Lektionen[[#This Row],[Bearbeitungsdauer_abgewichen]]&lt;-0.3,"kürzer",TRUE,"keine Abweichung")</f>
        <v>keine Abweichung</v>
      </c>
      <c r="I1483">
        <v>1</v>
      </c>
    </row>
    <row r="1484" spans="1:9" hidden="1" x14ac:dyDescent="0.3">
      <c r="A1484" s="13">
        <v>232</v>
      </c>
      <c r="B1484" s="4">
        <v>3</v>
      </c>
      <c r="C1484" t="s">
        <v>552</v>
      </c>
      <c r="D1484" t="s">
        <v>530</v>
      </c>
      <c r="E1484">
        <v>30</v>
      </c>
      <c r="F1484">
        <v>29</v>
      </c>
      <c r="G1484" s="8">
        <f>Lektionen[[#This Row],[Bearbeitungsdauer_real]]/Lektionen[[#This Row],[Bearbeitungsdauer_geschätzt]]-1</f>
        <v>-3.3333333333333326E-2</v>
      </c>
      <c r="H1484" s="8" t="str" cm="1">
        <f t="array" ref="H1484">_xlfn.IFS(Lektionen[[#This Row],[Bearbeitungsdauer_abgewichen]]&gt;0.6,"viel länger",Lektionen[[#This Row],[Bearbeitungsdauer_abgewichen]]&gt;0.3,"länger",Lektionen[[#This Row],[Bearbeitungsdauer_abgewichen]]&lt;-0.3,"kürzer",TRUE,"keine Abweichung")</f>
        <v>keine Abweichung</v>
      </c>
      <c r="I1484">
        <v>3</v>
      </c>
    </row>
    <row r="1485" spans="1:9" hidden="1" x14ac:dyDescent="0.3">
      <c r="A1485" s="13">
        <v>232</v>
      </c>
      <c r="B1485" s="4">
        <v>4</v>
      </c>
      <c r="C1485" t="s">
        <v>531</v>
      </c>
      <c r="D1485" t="s">
        <v>530</v>
      </c>
      <c r="E1485">
        <v>30</v>
      </c>
      <c r="F1485">
        <v>32</v>
      </c>
      <c r="G1485" s="8">
        <f>Lektionen[[#This Row],[Bearbeitungsdauer_real]]/Lektionen[[#This Row],[Bearbeitungsdauer_geschätzt]]-1</f>
        <v>6.6666666666666652E-2</v>
      </c>
      <c r="H1485" s="8" t="str" cm="1">
        <f t="array" ref="H1485">_xlfn.IFS(Lektionen[[#This Row],[Bearbeitungsdauer_abgewichen]]&gt;0.6,"viel länger",Lektionen[[#This Row],[Bearbeitungsdauer_abgewichen]]&gt;0.3,"länger",Lektionen[[#This Row],[Bearbeitungsdauer_abgewichen]]&lt;-0.3,"kürzer",TRUE,"keine Abweichung")</f>
        <v>keine Abweichung</v>
      </c>
      <c r="I1485">
        <v>3</v>
      </c>
    </row>
    <row r="1486" spans="1:9" x14ac:dyDescent="0.3">
      <c r="A1486" s="13">
        <v>232</v>
      </c>
      <c r="B1486" s="4">
        <v>5</v>
      </c>
      <c r="C1486" t="s">
        <v>532</v>
      </c>
      <c r="D1486" t="s">
        <v>530</v>
      </c>
      <c r="E1486">
        <v>30</v>
      </c>
      <c r="F1486">
        <v>48</v>
      </c>
      <c r="G1486" s="8">
        <f>Lektionen[[#This Row],[Bearbeitungsdauer_real]]/Lektionen[[#This Row],[Bearbeitungsdauer_geschätzt]]-1</f>
        <v>0.60000000000000009</v>
      </c>
      <c r="H1486" s="8" t="str" cm="1">
        <f t="array" ref="H1486">_xlfn.IFS(Lektionen[[#This Row],[Bearbeitungsdauer_abgewichen]]&gt;0.6,"viel länger",Lektionen[[#This Row],[Bearbeitungsdauer_abgewichen]]&gt;0.3,"länger",Lektionen[[#This Row],[Bearbeitungsdauer_abgewichen]]&lt;-0.3,"kürzer",TRUE,"keine Abweichung")</f>
        <v>länger</v>
      </c>
      <c r="I1486">
        <v>4</v>
      </c>
    </row>
    <row r="1487" spans="1:9" hidden="1" x14ac:dyDescent="0.3">
      <c r="A1487" s="13">
        <v>232</v>
      </c>
      <c r="B1487" s="4">
        <v>6</v>
      </c>
      <c r="C1487" t="s">
        <v>533</v>
      </c>
      <c r="D1487" t="s">
        <v>534</v>
      </c>
      <c r="E1487">
        <v>5</v>
      </c>
      <c r="F1487">
        <v>2</v>
      </c>
      <c r="G1487" s="8">
        <f>Lektionen[[#This Row],[Bearbeitungsdauer_real]]/Lektionen[[#This Row],[Bearbeitungsdauer_geschätzt]]-1</f>
        <v>-0.6</v>
      </c>
      <c r="H1487" s="8" t="str" cm="1">
        <f t="array" ref="H1487">_xlfn.IFS(Lektionen[[#This Row],[Bearbeitungsdauer_abgewichen]]&gt;0.6,"viel länger",Lektionen[[#This Row],[Bearbeitungsdauer_abgewichen]]&gt;0.3,"länger",Lektionen[[#This Row],[Bearbeitungsdauer_abgewichen]]&lt;-0.3,"kürzer",TRUE,"keine Abweichung")</f>
        <v>kürzer</v>
      </c>
      <c r="I1487">
        <v>1</v>
      </c>
    </row>
    <row r="1488" spans="1:9" hidden="1" x14ac:dyDescent="0.3">
      <c r="A1488" s="13">
        <v>232</v>
      </c>
      <c r="B1488" s="4">
        <v>7</v>
      </c>
      <c r="C1488" t="s">
        <v>535</v>
      </c>
      <c r="D1488" t="s">
        <v>536</v>
      </c>
      <c r="E1488">
        <v>10</v>
      </c>
      <c r="F1488">
        <v>9</v>
      </c>
      <c r="G1488" s="8">
        <f>Lektionen[[#This Row],[Bearbeitungsdauer_real]]/Lektionen[[#This Row],[Bearbeitungsdauer_geschätzt]]-1</f>
        <v>-9.9999999999999978E-2</v>
      </c>
      <c r="H1488" s="8" t="str" cm="1">
        <f t="array" ref="H1488">_xlfn.IFS(Lektionen[[#This Row],[Bearbeitungsdauer_abgewichen]]&gt;0.6,"viel länger",Lektionen[[#This Row],[Bearbeitungsdauer_abgewichen]]&gt;0.3,"länger",Lektionen[[#This Row],[Bearbeitungsdauer_abgewichen]]&lt;-0.3,"kürzer",TRUE,"keine Abweichung")</f>
        <v>keine Abweichung</v>
      </c>
      <c r="I1488">
        <v>4</v>
      </c>
    </row>
    <row r="1489" spans="1:9" hidden="1" x14ac:dyDescent="0.3">
      <c r="A1489" s="13">
        <v>232</v>
      </c>
      <c r="B1489" s="4">
        <v>8</v>
      </c>
      <c r="C1489" t="s">
        <v>537</v>
      </c>
      <c r="D1489" t="s">
        <v>527</v>
      </c>
      <c r="E1489">
        <v>5</v>
      </c>
      <c r="F1489">
        <v>5</v>
      </c>
      <c r="G1489" s="8">
        <f>Lektionen[[#This Row],[Bearbeitungsdauer_real]]/Lektionen[[#This Row],[Bearbeitungsdauer_geschätzt]]-1</f>
        <v>0</v>
      </c>
      <c r="H1489" s="8" t="str" cm="1">
        <f t="array" ref="H1489">_xlfn.IFS(Lektionen[[#This Row],[Bearbeitungsdauer_abgewichen]]&gt;0.6,"viel länger",Lektionen[[#This Row],[Bearbeitungsdauer_abgewichen]]&gt;0.3,"länger",Lektionen[[#This Row],[Bearbeitungsdauer_abgewichen]]&lt;-0.3,"kürzer",TRUE,"keine Abweichung")</f>
        <v>keine Abweichung</v>
      </c>
      <c r="I1489">
        <v>1</v>
      </c>
    </row>
    <row r="1490" spans="1:9" hidden="1" x14ac:dyDescent="0.3">
      <c r="A1490" s="13">
        <v>233</v>
      </c>
      <c r="B1490" s="4">
        <v>1</v>
      </c>
      <c r="C1490" t="s">
        <v>526</v>
      </c>
      <c r="D1490" t="s">
        <v>527</v>
      </c>
      <c r="E1490">
        <v>4</v>
      </c>
      <c r="F1490">
        <v>4</v>
      </c>
      <c r="G1490" s="8">
        <f>Lektionen[[#This Row],[Bearbeitungsdauer_real]]/Lektionen[[#This Row],[Bearbeitungsdauer_geschätzt]]-1</f>
        <v>0</v>
      </c>
      <c r="H1490" s="8" t="str" cm="1">
        <f t="array" ref="H1490">_xlfn.IFS(Lektionen[[#This Row],[Bearbeitungsdauer_abgewichen]]&gt;0.6,"viel länger",Lektionen[[#This Row],[Bearbeitungsdauer_abgewichen]]&gt;0.3,"länger",Lektionen[[#This Row],[Bearbeitungsdauer_abgewichen]]&lt;-0.3,"kürzer",TRUE,"keine Abweichung")</f>
        <v>keine Abweichung</v>
      </c>
      <c r="I1490">
        <v>1</v>
      </c>
    </row>
    <row r="1491" spans="1:9" hidden="1" x14ac:dyDescent="0.3">
      <c r="A1491" s="13">
        <v>233</v>
      </c>
      <c r="B1491" s="4">
        <v>2</v>
      </c>
      <c r="C1491" t="s">
        <v>528</v>
      </c>
      <c r="D1491" t="s">
        <v>529</v>
      </c>
      <c r="E1491">
        <v>15</v>
      </c>
      <c r="F1491">
        <v>15</v>
      </c>
      <c r="G1491" s="8">
        <f>Lektionen[[#This Row],[Bearbeitungsdauer_real]]/Lektionen[[#This Row],[Bearbeitungsdauer_geschätzt]]-1</f>
        <v>0</v>
      </c>
      <c r="H1491" s="8" t="str" cm="1">
        <f t="array" ref="H1491">_xlfn.IFS(Lektionen[[#This Row],[Bearbeitungsdauer_abgewichen]]&gt;0.6,"viel länger",Lektionen[[#This Row],[Bearbeitungsdauer_abgewichen]]&gt;0.3,"länger",Lektionen[[#This Row],[Bearbeitungsdauer_abgewichen]]&lt;-0.3,"kürzer",TRUE,"keine Abweichung")</f>
        <v>keine Abweichung</v>
      </c>
      <c r="I1491">
        <v>1</v>
      </c>
    </row>
    <row r="1492" spans="1:9" hidden="1" x14ac:dyDescent="0.3">
      <c r="A1492" s="13">
        <v>233</v>
      </c>
      <c r="B1492" s="4">
        <v>3</v>
      </c>
      <c r="C1492" t="s">
        <v>552</v>
      </c>
      <c r="D1492" t="s">
        <v>530</v>
      </c>
      <c r="E1492">
        <v>30</v>
      </c>
      <c r="F1492">
        <v>28</v>
      </c>
      <c r="G1492" s="8">
        <f>Lektionen[[#This Row],[Bearbeitungsdauer_real]]/Lektionen[[#This Row],[Bearbeitungsdauer_geschätzt]]-1</f>
        <v>-6.6666666666666652E-2</v>
      </c>
      <c r="H1492" s="8" t="str" cm="1">
        <f t="array" ref="H1492">_xlfn.IFS(Lektionen[[#This Row],[Bearbeitungsdauer_abgewichen]]&gt;0.6,"viel länger",Lektionen[[#This Row],[Bearbeitungsdauer_abgewichen]]&gt;0.3,"länger",Lektionen[[#This Row],[Bearbeitungsdauer_abgewichen]]&lt;-0.3,"kürzer",TRUE,"keine Abweichung")</f>
        <v>keine Abweichung</v>
      </c>
      <c r="I1492">
        <v>2</v>
      </c>
    </row>
    <row r="1493" spans="1:9" hidden="1" x14ac:dyDescent="0.3">
      <c r="A1493" s="13">
        <v>233</v>
      </c>
      <c r="B1493" s="4">
        <v>4</v>
      </c>
      <c r="C1493" t="s">
        <v>531</v>
      </c>
      <c r="D1493" t="s">
        <v>530</v>
      </c>
      <c r="E1493">
        <v>30</v>
      </c>
      <c r="F1493">
        <v>24</v>
      </c>
      <c r="G1493" s="8">
        <f>Lektionen[[#This Row],[Bearbeitungsdauer_real]]/Lektionen[[#This Row],[Bearbeitungsdauer_geschätzt]]-1</f>
        <v>-0.19999999999999996</v>
      </c>
      <c r="H1493" s="8" t="str" cm="1">
        <f t="array" ref="H1493">_xlfn.IFS(Lektionen[[#This Row],[Bearbeitungsdauer_abgewichen]]&gt;0.6,"viel länger",Lektionen[[#This Row],[Bearbeitungsdauer_abgewichen]]&gt;0.3,"länger",Lektionen[[#This Row],[Bearbeitungsdauer_abgewichen]]&lt;-0.3,"kürzer",TRUE,"keine Abweichung")</f>
        <v>keine Abweichung</v>
      </c>
      <c r="I1493">
        <v>2</v>
      </c>
    </row>
    <row r="1494" spans="1:9" x14ac:dyDescent="0.3">
      <c r="A1494" s="13">
        <v>233</v>
      </c>
      <c r="B1494" s="4">
        <v>5</v>
      </c>
      <c r="C1494" t="s">
        <v>532</v>
      </c>
      <c r="D1494" t="s">
        <v>530</v>
      </c>
      <c r="E1494">
        <v>30</v>
      </c>
      <c r="F1494">
        <v>43</v>
      </c>
      <c r="G1494" s="8">
        <f>Lektionen[[#This Row],[Bearbeitungsdauer_real]]/Lektionen[[#This Row],[Bearbeitungsdauer_geschätzt]]-1</f>
        <v>0.43333333333333335</v>
      </c>
      <c r="H1494" s="8" t="str" cm="1">
        <f t="array" ref="H1494">_xlfn.IFS(Lektionen[[#This Row],[Bearbeitungsdauer_abgewichen]]&gt;0.6,"viel länger",Lektionen[[#This Row],[Bearbeitungsdauer_abgewichen]]&gt;0.3,"länger",Lektionen[[#This Row],[Bearbeitungsdauer_abgewichen]]&lt;-0.3,"kürzer",TRUE,"keine Abweichung")</f>
        <v>länger</v>
      </c>
      <c r="I1494">
        <v>4</v>
      </c>
    </row>
    <row r="1495" spans="1:9" hidden="1" x14ac:dyDescent="0.3">
      <c r="A1495" s="13">
        <v>233</v>
      </c>
      <c r="B1495" s="4">
        <v>6</v>
      </c>
      <c r="C1495" t="s">
        <v>533</v>
      </c>
      <c r="D1495" t="s">
        <v>534</v>
      </c>
      <c r="E1495">
        <v>5</v>
      </c>
      <c r="F1495">
        <v>1</v>
      </c>
      <c r="G1495" s="8">
        <f>Lektionen[[#This Row],[Bearbeitungsdauer_real]]/Lektionen[[#This Row],[Bearbeitungsdauer_geschätzt]]-1</f>
        <v>-0.8</v>
      </c>
      <c r="H1495" s="8" t="str" cm="1">
        <f t="array" ref="H1495">_xlfn.IFS(Lektionen[[#This Row],[Bearbeitungsdauer_abgewichen]]&gt;0.6,"viel länger",Lektionen[[#This Row],[Bearbeitungsdauer_abgewichen]]&gt;0.3,"länger",Lektionen[[#This Row],[Bearbeitungsdauer_abgewichen]]&lt;-0.3,"kürzer",TRUE,"keine Abweichung")</f>
        <v>kürzer</v>
      </c>
      <c r="I1495">
        <v>2</v>
      </c>
    </row>
    <row r="1496" spans="1:9" hidden="1" x14ac:dyDescent="0.3">
      <c r="A1496" s="13">
        <v>233</v>
      </c>
      <c r="B1496" s="4">
        <v>7</v>
      </c>
      <c r="C1496" t="s">
        <v>535</v>
      </c>
      <c r="D1496" t="s">
        <v>536</v>
      </c>
      <c r="E1496">
        <v>10</v>
      </c>
      <c r="F1496">
        <v>8</v>
      </c>
      <c r="G1496" s="8">
        <f>Lektionen[[#This Row],[Bearbeitungsdauer_real]]/Lektionen[[#This Row],[Bearbeitungsdauer_geschätzt]]-1</f>
        <v>-0.19999999999999996</v>
      </c>
      <c r="H1496" s="8" t="str" cm="1">
        <f t="array" ref="H1496">_xlfn.IFS(Lektionen[[#This Row],[Bearbeitungsdauer_abgewichen]]&gt;0.6,"viel länger",Lektionen[[#This Row],[Bearbeitungsdauer_abgewichen]]&gt;0.3,"länger",Lektionen[[#This Row],[Bearbeitungsdauer_abgewichen]]&lt;-0.3,"kürzer",TRUE,"keine Abweichung")</f>
        <v>keine Abweichung</v>
      </c>
      <c r="I1496">
        <v>3</v>
      </c>
    </row>
    <row r="1497" spans="1:9" hidden="1" x14ac:dyDescent="0.3">
      <c r="A1497" s="13">
        <v>233</v>
      </c>
      <c r="B1497" s="4">
        <v>8</v>
      </c>
      <c r="C1497" t="s">
        <v>537</v>
      </c>
      <c r="D1497" t="s">
        <v>527</v>
      </c>
      <c r="E1497">
        <v>5</v>
      </c>
      <c r="F1497">
        <v>5</v>
      </c>
      <c r="G1497" s="8">
        <f>Lektionen[[#This Row],[Bearbeitungsdauer_real]]/Lektionen[[#This Row],[Bearbeitungsdauer_geschätzt]]-1</f>
        <v>0</v>
      </c>
      <c r="H1497" s="8" t="str" cm="1">
        <f t="array" ref="H1497">_xlfn.IFS(Lektionen[[#This Row],[Bearbeitungsdauer_abgewichen]]&gt;0.6,"viel länger",Lektionen[[#This Row],[Bearbeitungsdauer_abgewichen]]&gt;0.3,"länger",Lektionen[[#This Row],[Bearbeitungsdauer_abgewichen]]&lt;-0.3,"kürzer",TRUE,"keine Abweichung")</f>
        <v>keine Abweichung</v>
      </c>
      <c r="I1497">
        <v>1</v>
      </c>
    </row>
    <row r="1498" spans="1:9" hidden="1" x14ac:dyDescent="0.3">
      <c r="A1498" s="13">
        <v>234</v>
      </c>
      <c r="B1498" s="4">
        <v>1</v>
      </c>
      <c r="C1498" t="s">
        <v>526</v>
      </c>
      <c r="D1498" t="s">
        <v>527</v>
      </c>
      <c r="E1498">
        <v>4</v>
      </c>
      <c r="F1498">
        <v>4</v>
      </c>
      <c r="G1498" s="8">
        <f>Lektionen[[#This Row],[Bearbeitungsdauer_real]]/Lektionen[[#This Row],[Bearbeitungsdauer_geschätzt]]-1</f>
        <v>0</v>
      </c>
      <c r="H1498" s="8" t="str" cm="1">
        <f t="array" ref="H1498">_xlfn.IFS(Lektionen[[#This Row],[Bearbeitungsdauer_abgewichen]]&gt;0.6,"viel länger",Lektionen[[#This Row],[Bearbeitungsdauer_abgewichen]]&gt;0.3,"länger",Lektionen[[#This Row],[Bearbeitungsdauer_abgewichen]]&lt;-0.3,"kürzer",TRUE,"keine Abweichung")</f>
        <v>keine Abweichung</v>
      </c>
      <c r="I1498">
        <v>1</v>
      </c>
    </row>
    <row r="1499" spans="1:9" hidden="1" x14ac:dyDescent="0.3">
      <c r="A1499" s="13">
        <v>234</v>
      </c>
      <c r="B1499" s="4">
        <v>2</v>
      </c>
      <c r="C1499" t="s">
        <v>528</v>
      </c>
      <c r="D1499" t="s">
        <v>529</v>
      </c>
      <c r="E1499">
        <v>15</v>
      </c>
      <c r="F1499">
        <v>16</v>
      </c>
      <c r="G1499" s="8">
        <f>Lektionen[[#This Row],[Bearbeitungsdauer_real]]/Lektionen[[#This Row],[Bearbeitungsdauer_geschätzt]]-1</f>
        <v>6.6666666666666652E-2</v>
      </c>
      <c r="H1499" s="8" t="str" cm="1">
        <f t="array" ref="H1499">_xlfn.IFS(Lektionen[[#This Row],[Bearbeitungsdauer_abgewichen]]&gt;0.6,"viel länger",Lektionen[[#This Row],[Bearbeitungsdauer_abgewichen]]&gt;0.3,"länger",Lektionen[[#This Row],[Bearbeitungsdauer_abgewichen]]&lt;-0.3,"kürzer",TRUE,"keine Abweichung")</f>
        <v>keine Abweichung</v>
      </c>
      <c r="I1499">
        <v>1</v>
      </c>
    </row>
    <row r="1500" spans="1:9" hidden="1" x14ac:dyDescent="0.3">
      <c r="A1500" s="13">
        <v>234</v>
      </c>
      <c r="B1500" s="4">
        <v>3</v>
      </c>
      <c r="C1500" t="s">
        <v>552</v>
      </c>
      <c r="D1500" t="s">
        <v>530</v>
      </c>
      <c r="E1500">
        <v>30</v>
      </c>
      <c r="F1500">
        <v>28</v>
      </c>
      <c r="G1500" s="8">
        <f>Lektionen[[#This Row],[Bearbeitungsdauer_real]]/Lektionen[[#This Row],[Bearbeitungsdauer_geschätzt]]-1</f>
        <v>-6.6666666666666652E-2</v>
      </c>
      <c r="H1500" s="8" t="str" cm="1">
        <f t="array" ref="H1500">_xlfn.IFS(Lektionen[[#This Row],[Bearbeitungsdauer_abgewichen]]&gt;0.6,"viel länger",Lektionen[[#This Row],[Bearbeitungsdauer_abgewichen]]&gt;0.3,"länger",Lektionen[[#This Row],[Bearbeitungsdauer_abgewichen]]&lt;-0.3,"kürzer",TRUE,"keine Abweichung")</f>
        <v>keine Abweichung</v>
      </c>
      <c r="I1500">
        <v>3</v>
      </c>
    </row>
    <row r="1501" spans="1:9" hidden="1" x14ac:dyDescent="0.3">
      <c r="A1501" s="13">
        <v>234</v>
      </c>
      <c r="B1501" s="4">
        <v>4</v>
      </c>
      <c r="C1501" t="s">
        <v>531</v>
      </c>
      <c r="D1501" t="s">
        <v>530</v>
      </c>
      <c r="E1501">
        <v>30</v>
      </c>
      <c r="F1501">
        <v>30</v>
      </c>
      <c r="G1501" s="8">
        <f>Lektionen[[#This Row],[Bearbeitungsdauer_real]]/Lektionen[[#This Row],[Bearbeitungsdauer_geschätzt]]-1</f>
        <v>0</v>
      </c>
      <c r="H1501" s="8" t="str" cm="1">
        <f t="array" ref="H1501">_xlfn.IFS(Lektionen[[#This Row],[Bearbeitungsdauer_abgewichen]]&gt;0.6,"viel länger",Lektionen[[#This Row],[Bearbeitungsdauer_abgewichen]]&gt;0.3,"länger",Lektionen[[#This Row],[Bearbeitungsdauer_abgewichen]]&lt;-0.3,"kürzer",TRUE,"keine Abweichung")</f>
        <v>keine Abweichung</v>
      </c>
      <c r="I1501">
        <v>3</v>
      </c>
    </row>
    <row r="1502" spans="1:9" x14ac:dyDescent="0.3">
      <c r="A1502" s="13">
        <v>234</v>
      </c>
      <c r="B1502" s="4">
        <v>5</v>
      </c>
      <c r="C1502" t="s">
        <v>532</v>
      </c>
      <c r="D1502" t="s">
        <v>530</v>
      </c>
      <c r="E1502">
        <v>30</v>
      </c>
      <c r="F1502">
        <v>46</v>
      </c>
      <c r="G1502" s="8">
        <f>Lektionen[[#This Row],[Bearbeitungsdauer_real]]/Lektionen[[#This Row],[Bearbeitungsdauer_geschätzt]]-1</f>
        <v>0.53333333333333344</v>
      </c>
      <c r="H1502" s="8" t="str" cm="1">
        <f t="array" ref="H1502">_xlfn.IFS(Lektionen[[#This Row],[Bearbeitungsdauer_abgewichen]]&gt;0.6,"viel länger",Lektionen[[#This Row],[Bearbeitungsdauer_abgewichen]]&gt;0.3,"länger",Lektionen[[#This Row],[Bearbeitungsdauer_abgewichen]]&lt;-0.3,"kürzer",TRUE,"keine Abweichung")</f>
        <v>länger</v>
      </c>
      <c r="I1502">
        <v>3</v>
      </c>
    </row>
    <row r="1503" spans="1:9" hidden="1" x14ac:dyDescent="0.3">
      <c r="A1503" s="13">
        <v>234</v>
      </c>
      <c r="B1503" s="4">
        <v>6</v>
      </c>
      <c r="C1503" t="s">
        <v>533</v>
      </c>
      <c r="D1503" t="s">
        <v>534</v>
      </c>
      <c r="E1503">
        <v>5</v>
      </c>
      <c r="F1503">
        <v>1</v>
      </c>
      <c r="G1503" s="8">
        <f>Lektionen[[#This Row],[Bearbeitungsdauer_real]]/Lektionen[[#This Row],[Bearbeitungsdauer_geschätzt]]-1</f>
        <v>-0.8</v>
      </c>
      <c r="H1503" s="8" t="str" cm="1">
        <f t="array" ref="H1503">_xlfn.IFS(Lektionen[[#This Row],[Bearbeitungsdauer_abgewichen]]&gt;0.6,"viel länger",Lektionen[[#This Row],[Bearbeitungsdauer_abgewichen]]&gt;0.3,"länger",Lektionen[[#This Row],[Bearbeitungsdauer_abgewichen]]&lt;-0.3,"kürzer",TRUE,"keine Abweichung")</f>
        <v>kürzer</v>
      </c>
      <c r="I1503">
        <v>2</v>
      </c>
    </row>
    <row r="1504" spans="1:9" hidden="1" x14ac:dyDescent="0.3">
      <c r="A1504" s="13">
        <v>234</v>
      </c>
      <c r="B1504" s="4">
        <v>7</v>
      </c>
      <c r="C1504" t="s">
        <v>535</v>
      </c>
      <c r="D1504" t="s">
        <v>536</v>
      </c>
      <c r="E1504">
        <v>10</v>
      </c>
      <c r="F1504">
        <v>9</v>
      </c>
      <c r="G1504" s="8">
        <f>Lektionen[[#This Row],[Bearbeitungsdauer_real]]/Lektionen[[#This Row],[Bearbeitungsdauer_geschätzt]]-1</f>
        <v>-9.9999999999999978E-2</v>
      </c>
      <c r="H1504" s="8" t="str" cm="1">
        <f t="array" ref="H1504">_xlfn.IFS(Lektionen[[#This Row],[Bearbeitungsdauer_abgewichen]]&gt;0.6,"viel länger",Lektionen[[#This Row],[Bearbeitungsdauer_abgewichen]]&gt;0.3,"länger",Lektionen[[#This Row],[Bearbeitungsdauer_abgewichen]]&lt;-0.3,"kürzer",TRUE,"keine Abweichung")</f>
        <v>keine Abweichung</v>
      </c>
      <c r="I1504">
        <v>3</v>
      </c>
    </row>
    <row r="1505" spans="1:9" hidden="1" x14ac:dyDescent="0.3">
      <c r="A1505" s="13">
        <v>234</v>
      </c>
      <c r="B1505" s="4">
        <v>8</v>
      </c>
      <c r="C1505" t="s">
        <v>537</v>
      </c>
      <c r="D1505" t="s">
        <v>527</v>
      </c>
      <c r="E1505">
        <v>5</v>
      </c>
      <c r="F1505">
        <v>5</v>
      </c>
      <c r="G1505" s="8">
        <f>Lektionen[[#This Row],[Bearbeitungsdauer_real]]/Lektionen[[#This Row],[Bearbeitungsdauer_geschätzt]]-1</f>
        <v>0</v>
      </c>
      <c r="H1505" s="8" t="str" cm="1">
        <f t="array" ref="H1505">_xlfn.IFS(Lektionen[[#This Row],[Bearbeitungsdauer_abgewichen]]&gt;0.6,"viel länger",Lektionen[[#This Row],[Bearbeitungsdauer_abgewichen]]&gt;0.3,"länger",Lektionen[[#This Row],[Bearbeitungsdauer_abgewichen]]&lt;-0.3,"kürzer",TRUE,"keine Abweichung")</f>
        <v>keine Abweichung</v>
      </c>
      <c r="I1505">
        <v>1</v>
      </c>
    </row>
    <row r="1506" spans="1:9" hidden="1" x14ac:dyDescent="0.3">
      <c r="A1506" s="13">
        <v>235</v>
      </c>
      <c r="B1506" s="4">
        <v>1</v>
      </c>
      <c r="C1506" t="s">
        <v>526</v>
      </c>
      <c r="D1506" t="s">
        <v>527</v>
      </c>
      <c r="E1506">
        <v>4</v>
      </c>
      <c r="F1506">
        <v>4</v>
      </c>
      <c r="G1506" s="8">
        <f>Lektionen[[#This Row],[Bearbeitungsdauer_real]]/Lektionen[[#This Row],[Bearbeitungsdauer_geschätzt]]-1</f>
        <v>0</v>
      </c>
      <c r="H1506" s="8" t="str" cm="1">
        <f t="array" ref="H1506">_xlfn.IFS(Lektionen[[#This Row],[Bearbeitungsdauer_abgewichen]]&gt;0.6,"viel länger",Lektionen[[#This Row],[Bearbeitungsdauer_abgewichen]]&gt;0.3,"länger",Lektionen[[#This Row],[Bearbeitungsdauer_abgewichen]]&lt;-0.3,"kürzer",TRUE,"keine Abweichung")</f>
        <v>keine Abweichung</v>
      </c>
      <c r="I1506">
        <v>1</v>
      </c>
    </row>
    <row r="1507" spans="1:9" hidden="1" x14ac:dyDescent="0.3">
      <c r="A1507" s="13">
        <v>235</v>
      </c>
      <c r="B1507" s="4">
        <v>2</v>
      </c>
      <c r="C1507" t="s">
        <v>528</v>
      </c>
      <c r="D1507" t="s">
        <v>529</v>
      </c>
      <c r="E1507">
        <v>15</v>
      </c>
      <c r="F1507">
        <v>15</v>
      </c>
      <c r="G1507" s="8">
        <f>Lektionen[[#This Row],[Bearbeitungsdauer_real]]/Lektionen[[#This Row],[Bearbeitungsdauer_geschätzt]]-1</f>
        <v>0</v>
      </c>
      <c r="H1507" s="8" t="str" cm="1">
        <f t="array" ref="H1507">_xlfn.IFS(Lektionen[[#This Row],[Bearbeitungsdauer_abgewichen]]&gt;0.6,"viel länger",Lektionen[[#This Row],[Bearbeitungsdauer_abgewichen]]&gt;0.3,"länger",Lektionen[[#This Row],[Bearbeitungsdauer_abgewichen]]&lt;-0.3,"kürzer",TRUE,"keine Abweichung")</f>
        <v>keine Abweichung</v>
      </c>
      <c r="I1507">
        <v>1</v>
      </c>
    </row>
    <row r="1508" spans="1:9" hidden="1" x14ac:dyDescent="0.3">
      <c r="A1508" s="13">
        <v>235</v>
      </c>
      <c r="B1508" s="4">
        <v>3</v>
      </c>
      <c r="C1508" t="s">
        <v>552</v>
      </c>
      <c r="D1508" t="s">
        <v>530</v>
      </c>
      <c r="E1508">
        <v>30</v>
      </c>
      <c r="F1508">
        <v>29</v>
      </c>
      <c r="G1508" s="8">
        <f>Lektionen[[#This Row],[Bearbeitungsdauer_real]]/Lektionen[[#This Row],[Bearbeitungsdauer_geschätzt]]-1</f>
        <v>-3.3333333333333326E-2</v>
      </c>
      <c r="H1508" s="8" t="str" cm="1">
        <f t="array" ref="H1508">_xlfn.IFS(Lektionen[[#This Row],[Bearbeitungsdauer_abgewichen]]&gt;0.6,"viel länger",Lektionen[[#This Row],[Bearbeitungsdauer_abgewichen]]&gt;0.3,"länger",Lektionen[[#This Row],[Bearbeitungsdauer_abgewichen]]&lt;-0.3,"kürzer",TRUE,"keine Abweichung")</f>
        <v>keine Abweichung</v>
      </c>
      <c r="I1508">
        <v>2</v>
      </c>
    </row>
    <row r="1509" spans="1:9" hidden="1" x14ac:dyDescent="0.3">
      <c r="A1509" s="13">
        <v>235</v>
      </c>
      <c r="B1509" s="4">
        <v>4</v>
      </c>
      <c r="C1509" t="s">
        <v>531</v>
      </c>
      <c r="D1509" t="s">
        <v>530</v>
      </c>
      <c r="E1509">
        <v>30</v>
      </c>
      <c r="F1509">
        <v>24</v>
      </c>
      <c r="G1509" s="8">
        <f>Lektionen[[#This Row],[Bearbeitungsdauer_real]]/Lektionen[[#This Row],[Bearbeitungsdauer_geschätzt]]-1</f>
        <v>-0.19999999999999996</v>
      </c>
      <c r="H1509" s="8" t="str" cm="1">
        <f t="array" ref="H1509">_xlfn.IFS(Lektionen[[#This Row],[Bearbeitungsdauer_abgewichen]]&gt;0.6,"viel länger",Lektionen[[#This Row],[Bearbeitungsdauer_abgewichen]]&gt;0.3,"länger",Lektionen[[#This Row],[Bearbeitungsdauer_abgewichen]]&lt;-0.3,"kürzer",TRUE,"keine Abweichung")</f>
        <v>keine Abweichung</v>
      </c>
      <c r="I1509">
        <v>3</v>
      </c>
    </row>
    <row r="1510" spans="1:9" x14ac:dyDescent="0.3">
      <c r="A1510" s="13">
        <v>235</v>
      </c>
      <c r="B1510" s="4">
        <v>5</v>
      </c>
      <c r="C1510" t="s">
        <v>532</v>
      </c>
      <c r="D1510" t="s">
        <v>530</v>
      </c>
      <c r="E1510">
        <v>30</v>
      </c>
      <c r="F1510">
        <v>42</v>
      </c>
      <c r="G1510" s="8">
        <f>Lektionen[[#This Row],[Bearbeitungsdauer_real]]/Lektionen[[#This Row],[Bearbeitungsdauer_geschätzt]]-1</f>
        <v>0.39999999999999991</v>
      </c>
      <c r="H1510" s="8" t="str" cm="1">
        <f t="array" ref="H1510">_xlfn.IFS(Lektionen[[#This Row],[Bearbeitungsdauer_abgewichen]]&gt;0.6,"viel länger",Lektionen[[#This Row],[Bearbeitungsdauer_abgewichen]]&gt;0.3,"länger",Lektionen[[#This Row],[Bearbeitungsdauer_abgewichen]]&lt;-0.3,"kürzer",TRUE,"keine Abweichung")</f>
        <v>länger</v>
      </c>
      <c r="I1510">
        <v>3</v>
      </c>
    </row>
    <row r="1511" spans="1:9" hidden="1" x14ac:dyDescent="0.3">
      <c r="A1511" s="13">
        <v>235</v>
      </c>
      <c r="B1511" s="4">
        <v>6</v>
      </c>
      <c r="C1511" t="s">
        <v>533</v>
      </c>
      <c r="D1511" t="s">
        <v>534</v>
      </c>
      <c r="E1511">
        <v>5</v>
      </c>
      <c r="F1511">
        <v>1</v>
      </c>
      <c r="G1511" s="8">
        <f>Lektionen[[#This Row],[Bearbeitungsdauer_real]]/Lektionen[[#This Row],[Bearbeitungsdauer_geschätzt]]-1</f>
        <v>-0.8</v>
      </c>
      <c r="H1511" s="8" t="str" cm="1">
        <f t="array" ref="H1511">_xlfn.IFS(Lektionen[[#This Row],[Bearbeitungsdauer_abgewichen]]&gt;0.6,"viel länger",Lektionen[[#This Row],[Bearbeitungsdauer_abgewichen]]&gt;0.3,"länger",Lektionen[[#This Row],[Bearbeitungsdauer_abgewichen]]&lt;-0.3,"kürzer",TRUE,"keine Abweichung")</f>
        <v>kürzer</v>
      </c>
      <c r="I1511">
        <v>2</v>
      </c>
    </row>
    <row r="1512" spans="1:9" hidden="1" x14ac:dyDescent="0.3">
      <c r="A1512" s="13">
        <v>235</v>
      </c>
      <c r="B1512" s="4">
        <v>7</v>
      </c>
      <c r="C1512" t="s">
        <v>535</v>
      </c>
      <c r="D1512" t="s">
        <v>536</v>
      </c>
      <c r="E1512">
        <v>10</v>
      </c>
      <c r="F1512">
        <v>10</v>
      </c>
      <c r="G1512" s="8">
        <f>Lektionen[[#This Row],[Bearbeitungsdauer_real]]/Lektionen[[#This Row],[Bearbeitungsdauer_geschätzt]]-1</f>
        <v>0</v>
      </c>
      <c r="H1512" s="8" t="str" cm="1">
        <f t="array" ref="H1512">_xlfn.IFS(Lektionen[[#This Row],[Bearbeitungsdauer_abgewichen]]&gt;0.6,"viel länger",Lektionen[[#This Row],[Bearbeitungsdauer_abgewichen]]&gt;0.3,"länger",Lektionen[[#This Row],[Bearbeitungsdauer_abgewichen]]&lt;-0.3,"kürzer",TRUE,"keine Abweichung")</f>
        <v>keine Abweichung</v>
      </c>
      <c r="I1512">
        <v>3</v>
      </c>
    </row>
    <row r="1513" spans="1:9" hidden="1" x14ac:dyDescent="0.3">
      <c r="A1513" s="13">
        <v>235</v>
      </c>
      <c r="B1513" s="4">
        <v>8</v>
      </c>
      <c r="C1513" t="s">
        <v>537</v>
      </c>
      <c r="D1513" t="s">
        <v>527</v>
      </c>
      <c r="E1513">
        <v>5</v>
      </c>
      <c r="F1513">
        <v>5</v>
      </c>
      <c r="G1513" s="8">
        <f>Lektionen[[#This Row],[Bearbeitungsdauer_real]]/Lektionen[[#This Row],[Bearbeitungsdauer_geschätzt]]-1</f>
        <v>0</v>
      </c>
      <c r="H1513" s="8" t="str" cm="1">
        <f t="array" ref="H1513">_xlfn.IFS(Lektionen[[#This Row],[Bearbeitungsdauer_abgewichen]]&gt;0.6,"viel länger",Lektionen[[#This Row],[Bearbeitungsdauer_abgewichen]]&gt;0.3,"länger",Lektionen[[#This Row],[Bearbeitungsdauer_abgewichen]]&lt;-0.3,"kürzer",TRUE,"keine Abweichung")</f>
        <v>keine Abweichung</v>
      </c>
      <c r="I1513">
        <v>2</v>
      </c>
    </row>
    <row r="1514" spans="1:9" hidden="1" x14ac:dyDescent="0.3">
      <c r="A1514" s="13">
        <v>236</v>
      </c>
      <c r="B1514" s="4">
        <v>1</v>
      </c>
      <c r="C1514" t="s">
        <v>526</v>
      </c>
      <c r="D1514" t="s">
        <v>527</v>
      </c>
      <c r="E1514">
        <v>4</v>
      </c>
      <c r="F1514">
        <v>4</v>
      </c>
      <c r="G1514" s="8">
        <f>Lektionen[[#This Row],[Bearbeitungsdauer_real]]/Lektionen[[#This Row],[Bearbeitungsdauer_geschätzt]]-1</f>
        <v>0</v>
      </c>
      <c r="H1514" s="8" t="str" cm="1">
        <f t="array" ref="H1514">_xlfn.IFS(Lektionen[[#This Row],[Bearbeitungsdauer_abgewichen]]&gt;0.6,"viel länger",Lektionen[[#This Row],[Bearbeitungsdauer_abgewichen]]&gt;0.3,"länger",Lektionen[[#This Row],[Bearbeitungsdauer_abgewichen]]&lt;-0.3,"kürzer",TRUE,"keine Abweichung")</f>
        <v>keine Abweichung</v>
      </c>
      <c r="I1514">
        <v>1</v>
      </c>
    </row>
    <row r="1515" spans="1:9" hidden="1" x14ac:dyDescent="0.3">
      <c r="A1515" s="13">
        <v>236</v>
      </c>
      <c r="B1515" s="4">
        <v>2</v>
      </c>
      <c r="C1515" t="s">
        <v>528</v>
      </c>
      <c r="D1515" t="s">
        <v>529</v>
      </c>
      <c r="E1515">
        <v>15</v>
      </c>
      <c r="F1515">
        <v>19</v>
      </c>
      <c r="G1515" s="8">
        <f>Lektionen[[#This Row],[Bearbeitungsdauer_real]]/Lektionen[[#This Row],[Bearbeitungsdauer_geschätzt]]-1</f>
        <v>0.26666666666666661</v>
      </c>
      <c r="H1515" s="8" t="str" cm="1">
        <f t="array" ref="H1515">_xlfn.IFS(Lektionen[[#This Row],[Bearbeitungsdauer_abgewichen]]&gt;0.6,"viel länger",Lektionen[[#This Row],[Bearbeitungsdauer_abgewichen]]&gt;0.3,"länger",Lektionen[[#This Row],[Bearbeitungsdauer_abgewichen]]&lt;-0.3,"kürzer",TRUE,"keine Abweichung")</f>
        <v>keine Abweichung</v>
      </c>
      <c r="I1515">
        <v>1</v>
      </c>
    </row>
    <row r="1516" spans="1:9" hidden="1" x14ac:dyDescent="0.3">
      <c r="A1516" s="13">
        <v>236</v>
      </c>
      <c r="B1516" s="4">
        <v>3</v>
      </c>
      <c r="C1516" t="s">
        <v>552</v>
      </c>
      <c r="D1516" t="s">
        <v>530</v>
      </c>
      <c r="E1516">
        <v>30</v>
      </c>
      <c r="F1516">
        <v>28</v>
      </c>
      <c r="G1516" s="8">
        <f>Lektionen[[#This Row],[Bearbeitungsdauer_real]]/Lektionen[[#This Row],[Bearbeitungsdauer_geschätzt]]-1</f>
        <v>-6.6666666666666652E-2</v>
      </c>
      <c r="H1516" s="8" t="str" cm="1">
        <f t="array" ref="H1516">_xlfn.IFS(Lektionen[[#This Row],[Bearbeitungsdauer_abgewichen]]&gt;0.6,"viel länger",Lektionen[[#This Row],[Bearbeitungsdauer_abgewichen]]&gt;0.3,"länger",Lektionen[[#This Row],[Bearbeitungsdauer_abgewichen]]&lt;-0.3,"kürzer",TRUE,"keine Abweichung")</f>
        <v>keine Abweichung</v>
      </c>
      <c r="I1516">
        <v>3</v>
      </c>
    </row>
    <row r="1517" spans="1:9" hidden="1" x14ac:dyDescent="0.3">
      <c r="A1517" s="13">
        <v>236</v>
      </c>
      <c r="B1517" s="4">
        <v>4</v>
      </c>
      <c r="C1517" t="s">
        <v>531</v>
      </c>
      <c r="D1517" t="s">
        <v>530</v>
      </c>
      <c r="E1517">
        <v>30</v>
      </c>
      <c r="F1517">
        <v>22</v>
      </c>
      <c r="G1517" s="8">
        <f>Lektionen[[#This Row],[Bearbeitungsdauer_real]]/Lektionen[[#This Row],[Bearbeitungsdauer_geschätzt]]-1</f>
        <v>-0.26666666666666672</v>
      </c>
      <c r="H1517" s="8" t="str" cm="1">
        <f t="array" ref="H1517">_xlfn.IFS(Lektionen[[#This Row],[Bearbeitungsdauer_abgewichen]]&gt;0.6,"viel länger",Lektionen[[#This Row],[Bearbeitungsdauer_abgewichen]]&gt;0.3,"länger",Lektionen[[#This Row],[Bearbeitungsdauer_abgewichen]]&lt;-0.3,"kürzer",TRUE,"keine Abweichung")</f>
        <v>keine Abweichung</v>
      </c>
      <c r="I1517">
        <v>4</v>
      </c>
    </row>
    <row r="1518" spans="1:9" x14ac:dyDescent="0.3">
      <c r="A1518" s="13">
        <v>236</v>
      </c>
      <c r="B1518" s="4">
        <v>5</v>
      </c>
      <c r="C1518" t="s">
        <v>532</v>
      </c>
      <c r="D1518" t="s">
        <v>530</v>
      </c>
      <c r="E1518">
        <v>30</v>
      </c>
      <c r="F1518">
        <v>46</v>
      </c>
      <c r="G1518" s="8">
        <f>Lektionen[[#This Row],[Bearbeitungsdauer_real]]/Lektionen[[#This Row],[Bearbeitungsdauer_geschätzt]]-1</f>
        <v>0.53333333333333344</v>
      </c>
      <c r="H1518" s="8" t="str" cm="1">
        <f t="array" ref="H1518">_xlfn.IFS(Lektionen[[#This Row],[Bearbeitungsdauer_abgewichen]]&gt;0.6,"viel länger",Lektionen[[#This Row],[Bearbeitungsdauer_abgewichen]]&gt;0.3,"länger",Lektionen[[#This Row],[Bearbeitungsdauer_abgewichen]]&lt;-0.3,"kürzer",TRUE,"keine Abweichung")</f>
        <v>länger</v>
      </c>
      <c r="I1518">
        <v>4</v>
      </c>
    </row>
    <row r="1519" spans="1:9" hidden="1" x14ac:dyDescent="0.3">
      <c r="A1519" s="13">
        <v>236</v>
      </c>
      <c r="B1519" s="4">
        <v>6</v>
      </c>
      <c r="C1519" t="s">
        <v>533</v>
      </c>
      <c r="D1519" t="s">
        <v>534</v>
      </c>
      <c r="E1519">
        <v>5</v>
      </c>
      <c r="F1519">
        <v>2</v>
      </c>
      <c r="G1519" s="8">
        <f>Lektionen[[#This Row],[Bearbeitungsdauer_real]]/Lektionen[[#This Row],[Bearbeitungsdauer_geschätzt]]-1</f>
        <v>-0.6</v>
      </c>
      <c r="H1519" s="8" t="str" cm="1">
        <f t="array" ref="H1519">_xlfn.IFS(Lektionen[[#This Row],[Bearbeitungsdauer_abgewichen]]&gt;0.6,"viel länger",Lektionen[[#This Row],[Bearbeitungsdauer_abgewichen]]&gt;0.3,"länger",Lektionen[[#This Row],[Bearbeitungsdauer_abgewichen]]&lt;-0.3,"kürzer",TRUE,"keine Abweichung")</f>
        <v>kürzer</v>
      </c>
      <c r="I1519">
        <v>2</v>
      </c>
    </row>
    <row r="1520" spans="1:9" hidden="1" x14ac:dyDescent="0.3">
      <c r="A1520" s="13">
        <v>236</v>
      </c>
      <c r="B1520" s="4">
        <v>7</v>
      </c>
      <c r="C1520" t="s">
        <v>535</v>
      </c>
      <c r="D1520" t="s">
        <v>536</v>
      </c>
      <c r="E1520">
        <v>10</v>
      </c>
      <c r="F1520">
        <v>9</v>
      </c>
      <c r="G1520" s="8">
        <f>Lektionen[[#This Row],[Bearbeitungsdauer_real]]/Lektionen[[#This Row],[Bearbeitungsdauer_geschätzt]]-1</f>
        <v>-9.9999999999999978E-2</v>
      </c>
      <c r="H1520" s="8" t="str" cm="1">
        <f t="array" ref="H1520">_xlfn.IFS(Lektionen[[#This Row],[Bearbeitungsdauer_abgewichen]]&gt;0.6,"viel länger",Lektionen[[#This Row],[Bearbeitungsdauer_abgewichen]]&gt;0.3,"länger",Lektionen[[#This Row],[Bearbeitungsdauer_abgewichen]]&lt;-0.3,"kürzer",TRUE,"keine Abweichung")</f>
        <v>keine Abweichung</v>
      </c>
      <c r="I1520">
        <v>4</v>
      </c>
    </row>
    <row r="1521" spans="1:9" hidden="1" x14ac:dyDescent="0.3">
      <c r="A1521" s="13">
        <v>236</v>
      </c>
      <c r="B1521" s="4">
        <v>8</v>
      </c>
      <c r="C1521" t="s">
        <v>537</v>
      </c>
      <c r="D1521" t="s">
        <v>527</v>
      </c>
      <c r="E1521">
        <v>5</v>
      </c>
      <c r="F1521">
        <v>5</v>
      </c>
      <c r="G1521" s="8">
        <f>Lektionen[[#This Row],[Bearbeitungsdauer_real]]/Lektionen[[#This Row],[Bearbeitungsdauer_geschätzt]]-1</f>
        <v>0</v>
      </c>
      <c r="H1521" s="8" t="str" cm="1">
        <f t="array" ref="H1521">_xlfn.IFS(Lektionen[[#This Row],[Bearbeitungsdauer_abgewichen]]&gt;0.6,"viel länger",Lektionen[[#This Row],[Bearbeitungsdauer_abgewichen]]&gt;0.3,"länger",Lektionen[[#This Row],[Bearbeitungsdauer_abgewichen]]&lt;-0.3,"kürzer",TRUE,"keine Abweichung")</f>
        <v>keine Abweichung</v>
      </c>
      <c r="I1521">
        <v>1</v>
      </c>
    </row>
    <row r="1522" spans="1:9" hidden="1" x14ac:dyDescent="0.3">
      <c r="A1522" s="13">
        <v>237</v>
      </c>
      <c r="B1522" s="4">
        <v>1</v>
      </c>
      <c r="C1522" t="s">
        <v>526</v>
      </c>
      <c r="D1522" t="s">
        <v>527</v>
      </c>
      <c r="E1522">
        <v>4</v>
      </c>
      <c r="F1522">
        <v>4</v>
      </c>
      <c r="G1522" s="8">
        <f>Lektionen[[#This Row],[Bearbeitungsdauer_real]]/Lektionen[[#This Row],[Bearbeitungsdauer_geschätzt]]-1</f>
        <v>0</v>
      </c>
      <c r="H1522" s="8" t="str" cm="1">
        <f t="array" ref="H1522">_xlfn.IFS(Lektionen[[#This Row],[Bearbeitungsdauer_abgewichen]]&gt;0.6,"viel länger",Lektionen[[#This Row],[Bearbeitungsdauer_abgewichen]]&gt;0.3,"länger",Lektionen[[#This Row],[Bearbeitungsdauer_abgewichen]]&lt;-0.3,"kürzer",TRUE,"keine Abweichung")</f>
        <v>keine Abweichung</v>
      </c>
      <c r="I1522">
        <v>1</v>
      </c>
    </row>
    <row r="1523" spans="1:9" hidden="1" x14ac:dyDescent="0.3">
      <c r="A1523" s="13">
        <v>237</v>
      </c>
      <c r="B1523" s="4">
        <v>2</v>
      </c>
      <c r="C1523" t="s">
        <v>528</v>
      </c>
      <c r="D1523" t="s">
        <v>529</v>
      </c>
      <c r="E1523">
        <v>15</v>
      </c>
      <c r="F1523">
        <v>20</v>
      </c>
      <c r="G1523" s="8">
        <f>Lektionen[[#This Row],[Bearbeitungsdauer_real]]/Lektionen[[#This Row],[Bearbeitungsdauer_geschätzt]]-1</f>
        <v>0.33333333333333326</v>
      </c>
      <c r="H1523" s="8" t="str" cm="1">
        <f t="array" ref="H1523">_xlfn.IFS(Lektionen[[#This Row],[Bearbeitungsdauer_abgewichen]]&gt;0.6,"viel länger",Lektionen[[#This Row],[Bearbeitungsdauer_abgewichen]]&gt;0.3,"länger",Lektionen[[#This Row],[Bearbeitungsdauer_abgewichen]]&lt;-0.3,"kürzer",TRUE,"keine Abweichung")</f>
        <v>länger</v>
      </c>
      <c r="I1523">
        <v>2</v>
      </c>
    </row>
    <row r="1524" spans="1:9" hidden="1" x14ac:dyDescent="0.3">
      <c r="A1524" s="13">
        <v>237</v>
      </c>
      <c r="B1524" s="4">
        <v>3</v>
      </c>
      <c r="C1524" t="s">
        <v>552</v>
      </c>
      <c r="D1524" t="s">
        <v>530</v>
      </c>
      <c r="E1524">
        <v>30</v>
      </c>
      <c r="F1524">
        <v>22</v>
      </c>
      <c r="G1524" s="8">
        <f>Lektionen[[#This Row],[Bearbeitungsdauer_real]]/Lektionen[[#This Row],[Bearbeitungsdauer_geschätzt]]-1</f>
        <v>-0.26666666666666672</v>
      </c>
      <c r="H1524" s="8" t="str" cm="1">
        <f t="array" ref="H1524">_xlfn.IFS(Lektionen[[#This Row],[Bearbeitungsdauer_abgewichen]]&gt;0.6,"viel länger",Lektionen[[#This Row],[Bearbeitungsdauer_abgewichen]]&gt;0.3,"länger",Lektionen[[#This Row],[Bearbeitungsdauer_abgewichen]]&lt;-0.3,"kürzer",TRUE,"keine Abweichung")</f>
        <v>keine Abweichung</v>
      </c>
      <c r="I1524">
        <v>2</v>
      </c>
    </row>
    <row r="1525" spans="1:9" hidden="1" x14ac:dyDescent="0.3">
      <c r="A1525" s="13">
        <v>237</v>
      </c>
      <c r="B1525" s="4">
        <v>4</v>
      </c>
      <c r="C1525" t="s">
        <v>531</v>
      </c>
      <c r="D1525" t="s">
        <v>530</v>
      </c>
      <c r="E1525">
        <v>30</v>
      </c>
      <c r="F1525">
        <v>32</v>
      </c>
      <c r="G1525" s="8">
        <f>Lektionen[[#This Row],[Bearbeitungsdauer_real]]/Lektionen[[#This Row],[Bearbeitungsdauer_geschätzt]]-1</f>
        <v>6.6666666666666652E-2</v>
      </c>
      <c r="H1525" s="8" t="str" cm="1">
        <f t="array" ref="H1525">_xlfn.IFS(Lektionen[[#This Row],[Bearbeitungsdauer_abgewichen]]&gt;0.6,"viel länger",Lektionen[[#This Row],[Bearbeitungsdauer_abgewichen]]&gt;0.3,"länger",Lektionen[[#This Row],[Bearbeitungsdauer_abgewichen]]&lt;-0.3,"kürzer",TRUE,"keine Abweichung")</f>
        <v>keine Abweichung</v>
      </c>
      <c r="I1525">
        <v>2</v>
      </c>
    </row>
    <row r="1526" spans="1:9" x14ac:dyDescent="0.3">
      <c r="A1526" s="13">
        <v>237</v>
      </c>
      <c r="B1526" s="4">
        <v>5</v>
      </c>
      <c r="C1526" t="s">
        <v>532</v>
      </c>
      <c r="D1526" t="s">
        <v>530</v>
      </c>
      <c r="E1526">
        <v>30</v>
      </c>
      <c r="F1526">
        <v>42</v>
      </c>
      <c r="G1526" s="8">
        <f>Lektionen[[#This Row],[Bearbeitungsdauer_real]]/Lektionen[[#This Row],[Bearbeitungsdauer_geschätzt]]-1</f>
        <v>0.39999999999999991</v>
      </c>
      <c r="H1526" s="8" t="str" cm="1">
        <f t="array" ref="H1526">_xlfn.IFS(Lektionen[[#This Row],[Bearbeitungsdauer_abgewichen]]&gt;0.6,"viel länger",Lektionen[[#This Row],[Bearbeitungsdauer_abgewichen]]&gt;0.3,"länger",Lektionen[[#This Row],[Bearbeitungsdauer_abgewichen]]&lt;-0.3,"kürzer",TRUE,"keine Abweichung")</f>
        <v>länger</v>
      </c>
      <c r="I1526">
        <v>3</v>
      </c>
    </row>
    <row r="1527" spans="1:9" hidden="1" x14ac:dyDescent="0.3">
      <c r="A1527" s="13">
        <v>237</v>
      </c>
      <c r="B1527" s="4">
        <v>6</v>
      </c>
      <c r="C1527" t="s">
        <v>533</v>
      </c>
      <c r="D1527" t="s">
        <v>534</v>
      </c>
      <c r="E1527">
        <v>5</v>
      </c>
      <c r="F1527">
        <v>2</v>
      </c>
      <c r="G1527" s="8">
        <f>Lektionen[[#This Row],[Bearbeitungsdauer_real]]/Lektionen[[#This Row],[Bearbeitungsdauer_geschätzt]]-1</f>
        <v>-0.6</v>
      </c>
      <c r="H1527" s="8" t="str" cm="1">
        <f t="array" ref="H1527">_xlfn.IFS(Lektionen[[#This Row],[Bearbeitungsdauer_abgewichen]]&gt;0.6,"viel länger",Lektionen[[#This Row],[Bearbeitungsdauer_abgewichen]]&gt;0.3,"länger",Lektionen[[#This Row],[Bearbeitungsdauer_abgewichen]]&lt;-0.3,"kürzer",TRUE,"keine Abweichung")</f>
        <v>kürzer</v>
      </c>
      <c r="I1527">
        <v>2</v>
      </c>
    </row>
    <row r="1528" spans="1:9" hidden="1" x14ac:dyDescent="0.3">
      <c r="A1528" s="13">
        <v>237</v>
      </c>
      <c r="B1528" s="4">
        <v>7</v>
      </c>
      <c r="C1528" t="s">
        <v>535</v>
      </c>
      <c r="D1528" t="s">
        <v>536</v>
      </c>
      <c r="E1528">
        <v>10</v>
      </c>
      <c r="F1528">
        <v>10</v>
      </c>
      <c r="G1528" s="8">
        <f>Lektionen[[#This Row],[Bearbeitungsdauer_real]]/Lektionen[[#This Row],[Bearbeitungsdauer_geschätzt]]-1</f>
        <v>0</v>
      </c>
      <c r="H1528" s="8" t="str" cm="1">
        <f t="array" ref="H1528">_xlfn.IFS(Lektionen[[#This Row],[Bearbeitungsdauer_abgewichen]]&gt;0.6,"viel länger",Lektionen[[#This Row],[Bearbeitungsdauer_abgewichen]]&gt;0.3,"länger",Lektionen[[#This Row],[Bearbeitungsdauer_abgewichen]]&lt;-0.3,"kürzer",TRUE,"keine Abweichung")</f>
        <v>keine Abweichung</v>
      </c>
      <c r="I1528">
        <v>3</v>
      </c>
    </row>
    <row r="1529" spans="1:9" hidden="1" x14ac:dyDescent="0.3">
      <c r="A1529" s="13">
        <v>237</v>
      </c>
      <c r="B1529" s="4">
        <v>8</v>
      </c>
      <c r="C1529" t="s">
        <v>537</v>
      </c>
      <c r="D1529" t="s">
        <v>527</v>
      </c>
      <c r="E1529">
        <v>5</v>
      </c>
      <c r="F1529">
        <v>9</v>
      </c>
      <c r="G1529" s="8">
        <f>Lektionen[[#This Row],[Bearbeitungsdauer_real]]/Lektionen[[#This Row],[Bearbeitungsdauer_geschätzt]]-1</f>
        <v>0.8</v>
      </c>
      <c r="H1529" s="8" t="str" cm="1">
        <f t="array" ref="H1529">_xlfn.IFS(Lektionen[[#This Row],[Bearbeitungsdauer_abgewichen]]&gt;0.6,"viel länger",Lektionen[[#This Row],[Bearbeitungsdauer_abgewichen]]&gt;0.3,"länger",Lektionen[[#This Row],[Bearbeitungsdauer_abgewichen]]&lt;-0.3,"kürzer",TRUE,"keine Abweichung")</f>
        <v>viel länger</v>
      </c>
      <c r="I1529">
        <v>1</v>
      </c>
    </row>
    <row r="1530" spans="1:9" hidden="1" x14ac:dyDescent="0.3">
      <c r="A1530" s="13">
        <v>239</v>
      </c>
      <c r="B1530" s="4">
        <v>1</v>
      </c>
      <c r="C1530" t="s">
        <v>526</v>
      </c>
      <c r="D1530" t="s">
        <v>527</v>
      </c>
      <c r="E1530">
        <v>4</v>
      </c>
      <c r="F1530">
        <v>4</v>
      </c>
      <c r="G1530" s="8">
        <f>Lektionen[[#This Row],[Bearbeitungsdauer_real]]/Lektionen[[#This Row],[Bearbeitungsdauer_geschätzt]]-1</f>
        <v>0</v>
      </c>
      <c r="H1530" s="8" t="str" cm="1">
        <f t="array" ref="H1530">_xlfn.IFS(Lektionen[[#This Row],[Bearbeitungsdauer_abgewichen]]&gt;0.6,"viel länger",Lektionen[[#This Row],[Bearbeitungsdauer_abgewichen]]&gt;0.3,"länger",Lektionen[[#This Row],[Bearbeitungsdauer_abgewichen]]&lt;-0.3,"kürzer",TRUE,"keine Abweichung")</f>
        <v>keine Abweichung</v>
      </c>
      <c r="I1530">
        <v>1</v>
      </c>
    </row>
    <row r="1531" spans="1:9" hidden="1" x14ac:dyDescent="0.3">
      <c r="A1531" s="13">
        <v>239</v>
      </c>
      <c r="B1531" s="4">
        <v>2</v>
      </c>
      <c r="C1531" t="s">
        <v>528</v>
      </c>
      <c r="D1531" t="s">
        <v>529</v>
      </c>
      <c r="E1531">
        <v>15</v>
      </c>
      <c r="F1531">
        <v>20</v>
      </c>
      <c r="G1531" s="8">
        <f>Lektionen[[#This Row],[Bearbeitungsdauer_real]]/Lektionen[[#This Row],[Bearbeitungsdauer_geschätzt]]-1</f>
        <v>0.33333333333333326</v>
      </c>
      <c r="H1531" s="8" t="str" cm="1">
        <f t="array" ref="H1531">_xlfn.IFS(Lektionen[[#This Row],[Bearbeitungsdauer_abgewichen]]&gt;0.6,"viel länger",Lektionen[[#This Row],[Bearbeitungsdauer_abgewichen]]&gt;0.3,"länger",Lektionen[[#This Row],[Bearbeitungsdauer_abgewichen]]&lt;-0.3,"kürzer",TRUE,"keine Abweichung")</f>
        <v>länger</v>
      </c>
      <c r="I1531">
        <v>2</v>
      </c>
    </row>
    <row r="1532" spans="1:9" hidden="1" x14ac:dyDescent="0.3">
      <c r="A1532" s="13">
        <v>239</v>
      </c>
      <c r="B1532" s="4">
        <v>3</v>
      </c>
      <c r="C1532" t="s">
        <v>552</v>
      </c>
      <c r="D1532" t="s">
        <v>530</v>
      </c>
      <c r="E1532">
        <v>30</v>
      </c>
      <c r="F1532">
        <v>29</v>
      </c>
      <c r="G1532" s="8">
        <f>Lektionen[[#This Row],[Bearbeitungsdauer_real]]/Lektionen[[#This Row],[Bearbeitungsdauer_geschätzt]]-1</f>
        <v>-3.3333333333333326E-2</v>
      </c>
      <c r="H1532" s="8" t="str" cm="1">
        <f t="array" ref="H1532">_xlfn.IFS(Lektionen[[#This Row],[Bearbeitungsdauer_abgewichen]]&gt;0.6,"viel länger",Lektionen[[#This Row],[Bearbeitungsdauer_abgewichen]]&gt;0.3,"länger",Lektionen[[#This Row],[Bearbeitungsdauer_abgewichen]]&lt;-0.3,"kürzer",TRUE,"keine Abweichung")</f>
        <v>keine Abweichung</v>
      </c>
      <c r="I1532">
        <v>3</v>
      </c>
    </row>
    <row r="1533" spans="1:9" hidden="1" x14ac:dyDescent="0.3">
      <c r="A1533" s="13">
        <v>239</v>
      </c>
      <c r="B1533" s="4">
        <v>4</v>
      </c>
      <c r="C1533" t="s">
        <v>531</v>
      </c>
      <c r="D1533" t="s">
        <v>530</v>
      </c>
      <c r="E1533">
        <v>30</v>
      </c>
      <c r="F1533">
        <v>31</v>
      </c>
      <c r="G1533" s="8">
        <f>Lektionen[[#This Row],[Bearbeitungsdauer_real]]/Lektionen[[#This Row],[Bearbeitungsdauer_geschätzt]]-1</f>
        <v>3.3333333333333437E-2</v>
      </c>
      <c r="H1533" s="8" t="str" cm="1">
        <f t="array" ref="H1533">_xlfn.IFS(Lektionen[[#This Row],[Bearbeitungsdauer_abgewichen]]&gt;0.6,"viel länger",Lektionen[[#This Row],[Bearbeitungsdauer_abgewichen]]&gt;0.3,"länger",Lektionen[[#This Row],[Bearbeitungsdauer_abgewichen]]&lt;-0.3,"kürzer",TRUE,"keine Abweichung")</f>
        <v>keine Abweichung</v>
      </c>
      <c r="I1533">
        <v>3</v>
      </c>
    </row>
    <row r="1534" spans="1:9" x14ac:dyDescent="0.3">
      <c r="A1534" s="13">
        <v>239</v>
      </c>
      <c r="B1534" s="4">
        <v>5</v>
      </c>
      <c r="C1534" t="s">
        <v>532</v>
      </c>
      <c r="D1534" t="s">
        <v>530</v>
      </c>
      <c r="E1534">
        <v>30</v>
      </c>
      <c r="F1534">
        <v>38</v>
      </c>
      <c r="G1534" s="8">
        <f>Lektionen[[#This Row],[Bearbeitungsdauer_real]]/Lektionen[[#This Row],[Bearbeitungsdauer_geschätzt]]-1</f>
        <v>0.26666666666666661</v>
      </c>
      <c r="H1534" s="8" t="str" cm="1">
        <f t="array" ref="H1534">_xlfn.IFS(Lektionen[[#This Row],[Bearbeitungsdauer_abgewichen]]&gt;0.6,"viel länger",Lektionen[[#This Row],[Bearbeitungsdauer_abgewichen]]&gt;0.3,"länger",Lektionen[[#This Row],[Bearbeitungsdauer_abgewichen]]&lt;-0.3,"kürzer",TRUE,"keine Abweichung")</f>
        <v>keine Abweichung</v>
      </c>
      <c r="I1534">
        <v>3</v>
      </c>
    </row>
    <row r="1535" spans="1:9" hidden="1" x14ac:dyDescent="0.3">
      <c r="A1535" s="13">
        <v>239</v>
      </c>
      <c r="B1535" s="4">
        <v>6</v>
      </c>
      <c r="C1535" t="s">
        <v>533</v>
      </c>
      <c r="D1535" t="s">
        <v>534</v>
      </c>
      <c r="E1535">
        <v>5</v>
      </c>
      <c r="F1535">
        <v>3</v>
      </c>
      <c r="G1535" s="8">
        <f>Lektionen[[#This Row],[Bearbeitungsdauer_real]]/Lektionen[[#This Row],[Bearbeitungsdauer_geschätzt]]-1</f>
        <v>-0.4</v>
      </c>
      <c r="H1535" s="8" t="str" cm="1">
        <f t="array" ref="H1535">_xlfn.IFS(Lektionen[[#This Row],[Bearbeitungsdauer_abgewichen]]&gt;0.6,"viel länger",Lektionen[[#This Row],[Bearbeitungsdauer_abgewichen]]&gt;0.3,"länger",Lektionen[[#This Row],[Bearbeitungsdauer_abgewichen]]&lt;-0.3,"kürzer",TRUE,"keine Abweichung")</f>
        <v>kürzer</v>
      </c>
      <c r="I1535">
        <v>2</v>
      </c>
    </row>
    <row r="1536" spans="1:9" hidden="1" x14ac:dyDescent="0.3">
      <c r="A1536" s="13">
        <v>239</v>
      </c>
      <c r="B1536" s="4">
        <v>7</v>
      </c>
      <c r="C1536" t="s">
        <v>535</v>
      </c>
      <c r="D1536" t="s">
        <v>536</v>
      </c>
      <c r="E1536">
        <v>10</v>
      </c>
      <c r="F1536">
        <v>10</v>
      </c>
      <c r="G1536" s="8">
        <f>Lektionen[[#This Row],[Bearbeitungsdauer_real]]/Lektionen[[#This Row],[Bearbeitungsdauer_geschätzt]]-1</f>
        <v>0</v>
      </c>
      <c r="H1536" s="8" t="str" cm="1">
        <f t="array" ref="H1536">_xlfn.IFS(Lektionen[[#This Row],[Bearbeitungsdauer_abgewichen]]&gt;0.6,"viel länger",Lektionen[[#This Row],[Bearbeitungsdauer_abgewichen]]&gt;0.3,"länger",Lektionen[[#This Row],[Bearbeitungsdauer_abgewichen]]&lt;-0.3,"kürzer",TRUE,"keine Abweichung")</f>
        <v>keine Abweichung</v>
      </c>
      <c r="I1536">
        <v>5</v>
      </c>
    </row>
    <row r="1537" spans="1:9" hidden="1" x14ac:dyDescent="0.3">
      <c r="A1537" s="13">
        <v>239</v>
      </c>
      <c r="B1537" s="4">
        <v>8</v>
      </c>
      <c r="C1537" t="s">
        <v>537</v>
      </c>
      <c r="D1537" t="s">
        <v>527</v>
      </c>
      <c r="E1537">
        <v>5</v>
      </c>
      <c r="F1537">
        <v>5</v>
      </c>
      <c r="G1537" s="8">
        <f>Lektionen[[#This Row],[Bearbeitungsdauer_real]]/Lektionen[[#This Row],[Bearbeitungsdauer_geschätzt]]-1</f>
        <v>0</v>
      </c>
      <c r="H1537" s="8" t="str" cm="1">
        <f t="array" ref="H1537">_xlfn.IFS(Lektionen[[#This Row],[Bearbeitungsdauer_abgewichen]]&gt;0.6,"viel länger",Lektionen[[#This Row],[Bearbeitungsdauer_abgewichen]]&gt;0.3,"länger",Lektionen[[#This Row],[Bearbeitungsdauer_abgewichen]]&lt;-0.3,"kürzer",TRUE,"keine Abweichung")</f>
        <v>keine Abweichung</v>
      </c>
      <c r="I1537">
        <v>1</v>
      </c>
    </row>
    <row r="1538" spans="1:9" hidden="1" x14ac:dyDescent="0.3">
      <c r="A1538" s="13">
        <v>240</v>
      </c>
      <c r="B1538" s="4">
        <v>1</v>
      </c>
      <c r="C1538" t="s">
        <v>526</v>
      </c>
      <c r="D1538" t="s">
        <v>527</v>
      </c>
      <c r="E1538">
        <v>4</v>
      </c>
      <c r="F1538">
        <v>4</v>
      </c>
      <c r="G1538" s="8">
        <f>Lektionen[[#This Row],[Bearbeitungsdauer_real]]/Lektionen[[#This Row],[Bearbeitungsdauer_geschätzt]]-1</f>
        <v>0</v>
      </c>
      <c r="H1538" s="8" t="str" cm="1">
        <f t="array" ref="H1538">_xlfn.IFS(Lektionen[[#This Row],[Bearbeitungsdauer_abgewichen]]&gt;0.6,"viel länger",Lektionen[[#This Row],[Bearbeitungsdauer_abgewichen]]&gt;0.3,"länger",Lektionen[[#This Row],[Bearbeitungsdauer_abgewichen]]&lt;-0.3,"kürzer",TRUE,"keine Abweichung")</f>
        <v>keine Abweichung</v>
      </c>
      <c r="I1538">
        <v>1</v>
      </c>
    </row>
    <row r="1539" spans="1:9" hidden="1" x14ac:dyDescent="0.3">
      <c r="A1539" s="13">
        <v>240</v>
      </c>
      <c r="B1539" s="4">
        <v>2</v>
      </c>
      <c r="C1539" t="s">
        <v>528</v>
      </c>
      <c r="D1539" t="s">
        <v>529</v>
      </c>
      <c r="E1539">
        <v>15</v>
      </c>
      <c r="F1539">
        <v>16</v>
      </c>
      <c r="G1539" s="8">
        <f>Lektionen[[#This Row],[Bearbeitungsdauer_real]]/Lektionen[[#This Row],[Bearbeitungsdauer_geschätzt]]-1</f>
        <v>6.6666666666666652E-2</v>
      </c>
      <c r="H1539" s="8" t="str" cm="1">
        <f t="array" ref="H1539">_xlfn.IFS(Lektionen[[#This Row],[Bearbeitungsdauer_abgewichen]]&gt;0.6,"viel länger",Lektionen[[#This Row],[Bearbeitungsdauer_abgewichen]]&gt;0.3,"länger",Lektionen[[#This Row],[Bearbeitungsdauer_abgewichen]]&lt;-0.3,"kürzer",TRUE,"keine Abweichung")</f>
        <v>keine Abweichung</v>
      </c>
      <c r="I1539">
        <v>1</v>
      </c>
    </row>
    <row r="1540" spans="1:9" hidden="1" x14ac:dyDescent="0.3">
      <c r="A1540" s="13">
        <v>240</v>
      </c>
      <c r="B1540" s="4">
        <v>3</v>
      </c>
      <c r="C1540" t="s">
        <v>552</v>
      </c>
      <c r="D1540" t="s">
        <v>530</v>
      </c>
      <c r="E1540">
        <v>30</v>
      </c>
      <c r="F1540">
        <v>27</v>
      </c>
      <c r="G1540" s="8">
        <f>Lektionen[[#This Row],[Bearbeitungsdauer_real]]/Lektionen[[#This Row],[Bearbeitungsdauer_geschätzt]]-1</f>
        <v>-9.9999999999999978E-2</v>
      </c>
      <c r="H1540" s="8" t="str" cm="1">
        <f t="array" ref="H1540">_xlfn.IFS(Lektionen[[#This Row],[Bearbeitungsdauer_abgewichen]]&gt;0.6,"viel länger",Lektionen[[#This Row],[Bearbeitungsdauer_abgewichen]]&gt;0.3,"länger",Lektionen[[#This Row],[Bearbeitungsdauer_abgewichen]]&lt;-0.3,"kürzer",TRUE,"keine Abweichung")</f>
        <v>keine Abweichung</v>
      </c>
      <c r="I1540">
        <v>2</v>
      </c>
    </row>
    <row r="1541" spans="1:9" hidden="1" x14ac:dyDescent="0.3">
      <c r="A1541" s="13">
        <v>240</v>
      </c>
      <c r="B1541" s="4">
        <v>4</v>
      </c>
      <c r="C1541" t="s">
        <v>531</v>
      </c>
      <c r="D1541" t="s">
        <v>530</v>
      </c>
      <c r="E1541">
        <v>30</v>
      </c>
      <c r="F1541">
        <v>35</v>
      </c>
      <c r="G1541" s="8">
        <f>Lektionen[[#This Row],[Bearbeitungsdauer_real]]/Lektionen[[#This Row],[Bearbeitungsdauer_geschätzt]]-1</f>
        <v>0.16666666666666674</v>
      </c>
      <c r="H1541" s="8" t="str" cm="1">
        <f t="array" ref="H1541">_xlfn.IFS(Lektionen[[#This Row],[Bearbeitungsdauer_abgewichen]]&gt;0.6,"viel länger",Lektionen[[#This Row],[Bearbeitungsdauer_abgewichen]]&gt;0.3,"länger",Lektionen[[#This Row],[Bearbeitungsdauer_abgewichen]]&lt;-0.3,"kürzer",TRUE,"keine Abweichung")</f>
        <v>keine Abweichung</v>
      </c>
      <c r="I1541">
        <v>3</v>
      </c>
    </row>
    <row r="1542" spans="1:9" x14ac:dyDescent="0.3">
      <c r="A1542" s="13">
        <v>240</v>
      </c>
      <c r="B1542" s="4">
        <v>5</v>
      </c>
      <c r="C1542" t="s">
        <v>532</v>
      </c>
      <c r="D1542" t="s">
        <v>530</v>
      </c>
      <c r="E1542">
        <v>30</v>
      </c>
      <c r="F1542">
        <v>51</v>
      </c>
      <c r="G1542" s="8">
        <f>Lektionen[[#This Row],[Bearbeitungsdauer_real]]/Lektionen[[#This Row],[Bearbeitungsdauer_geschätzt]]-1</f>
        <v>0.7</v>
      </c>
      <c r="H1542" s="8" t="str" cm="1">
        <f t="array" ref="H1542">_xlfn.IFS(Lektionen[[#This Row],[Bearbeitungsdauer_abgewichen]]&gt;0.6,"viel länger",Lektionen[[#This Row],[Bearbeitungsdauer_abgewichen]]&gt;0.3,"länger",Lektionen[[#This Row],[Bearbeitungsdauer_abgewichen]]&lt;-0.3,"kürzer",TRUE,"keine Abweichung")</f>
        <v>viel länger</v>
      </c>
      <c r="I1542">
        <v>3</v>
      </c>
    </row>
    <row r="1543" spans="1:9" hidden="1" x14ac:dyDescent="0.3">
      <c r="A1543" s="13">
        <v>240</v>
      </c>
      <c r="B1543" s="4">
        <v>6</v>
      </c>
      <c r="C1543" t="s">
        <v>533</v>
      </c>
      <c r="D1543" t="s">
        <v>534</v>
      </c>
      <c r="E1543">
        <v>5</v>
      </c>
      <c r="F1543">
        <v>1</v>
      </c>
      <c r="G1543" s="8">
        <f>Lektionen[[#This Row],[Bearbeitungsdauer_real]]/Lektionen[[#This Row],[Bearbeitungsdauer_geschätzt]]-1</f>
        <v>-0.8</v>
      </c>
      <c r="H1543" s="8" t="str" cm="1">
        <f t="array" ref="H1543">_xlfn.IFS(Lektionen[[#This Row],[Bearbeitungsdauer_abgewichen]]&gt;0.6,"viel länger",Lektionen[[#This Row],[Bearbeitungsdauer_abgewichen]]&gt;0.3,"länger",Lektionen[[#This Row],[Bearbeitungsdauer_abgewichen]]&lt;-0.3,"kürzer",TRUE,"keine Abweichung")</f>
        <v>kürzer</v>
      </c>
      <c r="I1543">
        <v>1</v>
      </c>
    </row>
    <row r="1544" spans="1:9" hidden="1" x14ac:dyDescent="0.3">
      <c r="A1544" s="13">
        <v>240</v>
      </c>
      <c r="B1544" s="4">
        <v>7</v>
      </c>
      <c r="C1544" t="s">
        <v>535</v>
      </c>
      <c r="D1544" t="s">
        <v>536</v>
      </c>
      <c r="E1544">
        <v>10</v>
      </c>
      <c r="F1544">
        <v>8</v>
      </c>
      <c r="G1544" s="8">
        <f>Lektionen[[#This Row],[Bearbeitungsdauer_real]]/Lektionen[[#This Row],[Bearbeitungsdauer_geschätzt]]-1</f>
        <v>-0.19999999999999996</v>
      </c>
      <c r="H1544" s="8" t="str" cm="1">
        <f t="array" ref="H1544">_xlfn.IFS(Lektionen[[#This Row],[Bearbeitungsdauer_abgewichen]]&gt;0.6,"viel länger",Lektionen[[#This Row],[Bearbeitungsdauer_abgewichen]]&gt;0.3,"länger",Lektionen[[#This Row],[Bearbeitungsdauer_abgewichen]]&lt;-0.3,"kürzer",TRUE,"keine Abweichung")</f>
        <v>keine Abweichung</v>
      </c>
      <c r="I1544">
        <v>3</v>
      </c>
    </row>
    <row r="1545" spans="1:9" hidden="1" x14ac:dyDescent="0.3">
      <c r="A1545" s="13">
        <v>240</v>
      </c>
      <c r="B1545" s="4">
        <v>8</v>
      </c>
      <c r="C1545" t="s">
        <v>537</v>
      </c>
      <c r="D1545" t="s">
        <v>527</v>
      </c>
      <c r="E1545">
        <v>5</v>
      </c>
      <c r="F1545">
        <v>5</v>
      </c>
      <c r="G1545" s="8">
        <f>Lektionen[[#This Row],[Bearbeitungsdauer_real]]/Lektionen[[#This Row],[Bearbeitungsdauer_geschätzt]]-1</f>
        <v>0</v>
      </c>
      <c r="H1545" s="8" t="str" cm="1">
        <f t="array" ref="H1545">_xlfn.IFS(Lektionen[[#This Row],[Bearbeitungsdauer_abgewichen]]&gt;0.6,"viel länger",Lektionen[[#This Row],[Bearbeitungsdauer_abgewichen]]&gt;0.3,"länger",Lektionen[[#This Row],[Bearbeitungsdauer_abgewichen]]&lt;-0.3,"kürzer",TRUE,"keine Abweichung")</f>
        <v>keine Abweichung</v>
      </c>
      <c r="I1545">
        <v>1</v>
      </c>
    </row>
    <row r="1546" spans="1:9" hidden="1" x14ac:dyDescent="0.3">
      <c r="A1546" s="13">
        <v>241</v>
      </c>
      <c r="B1546" s="4">
        <v>1</v>
      </c>
      <c r="C1546" t="s">
        <v>526</v>
      </c>
      <c r="D1546" t="s">
        <v>527</v>
      </c>
      <c r="E1546">
        <v>4</v>
      </c>
      <c r="F1546">
        <v>4</v>
      </c>
      <c r="G1546" s="8">
        <f>Lektionen[[#This Row],[Bearbeitungsdauer_real]]/Lektionen[[#This Row],[Bearbeitungsdauer_geschätzt]]-1</f>
        <v>0</v>
      </c>
      <c r="H1546" s="8" t="str" cm="1">
        <f t="array" ref="H1546">_xlfn.IFS(Lektionen[[#This Row],[Bearbeitungsdauer_abgewichen]]&gt;0.6,"viel länger",Lektionen[[#This Row],[Bearbeitungsdauer_abgewichen]]&gt;0.3,"länger",Lektionen[[#This Row],[Bearbeitungsdauer_abgewichen]]&lt;-0.3,"kürzer",TRUE,"keine Abweichung")</f>
        <v>keine Abweichung</v>
      </c>
      <c r="I1546">
        <v>1</v>
      </c>
    </row>
    <row r="1547" spans="1:9" hidden="1" x14ac:dyDescent="0.3">
      <c r="A1547" s="13">
        <v>241</v>
      </c>
      <c r="B1547" s="4">
        <v>2</v>
      </c>
      <c r="C1547" t="s">
        <v>528</v>
      </c>
      <c r="D1547" t="s">
        <v>529</v>
      </c>
      <c r="E1547">
        <v>15</v>
      </c>
      <c r="F1547">
        <v>16</v>
      </c>
      <c r="G1547" s="8">
        <f>Lektionen[[#This Row],[Bearbeitungsdauer_real]]/Lektionen[[#This Row],[Bearbeitungsdauer_geschätzt]]-1</f>
        <v>6.6666666666666652E-2</v>
      </c>
      <c r="H1547" s="8" t="str" cm="1">
        <f t="array" ref="H1547">_xlfn.IFS(Lektionen[[#This Row],[Bearbeitungsdauer_abgewichen]]&gt;0.6,"viel länger",Lektionen[[#This Row],[Bearbeitungsdauer_abgewichen]]&gt;0.3,"länger",Lektionen[[#This Row],[Bearbeitungsdauer_abgewichen]]&lt;-0.3,"kürzer",TRUE,"keine Abweichung")</f>
        <v>keine Abweichung</v>
      </c>
      <c r="I1547">
        <v>1</v>
      </c>
    </row>
    <row r="1548" spans="1:9" hidden="1" x14ac:dyDescent="0.3">
      <c r="A1548" s="13">
        <v>241</v>
      </c>
      <c r="B1548" s="4">
        <v>3</v>
      </c>
      <c r="C1548" t="s">
        <v>552</v>
      </c>
      <c r="D1548" t="s">
        <v>530</v>
      </c>
      <c r="E1548">
        <v>30</v>
      </c>
      <c r="F1548">
        <v>29</v>
      </c>
      <c r="G1548" s="8">
        <f>Lektionen[[#This Row],[Bearbeitungsdauer_real]]/Lektionen[[#This Row],[Bearbeitungsdauer_geschätzt]]-1</f>
        <v>-3.3333333333333326E-2</v>
      </c>
      <c r="H1548" s="8" t="str" cm="1">
        <f t="array" ref="H1548">_xlfn.IFS(Lektionen[[#This Row],[Bearbeitungsdauer_abgewichen]]&gt;0.6,"viel länger",Lektionen[[#This Row],[Bearbeitungsdauer_abgewichen]]&gt;0.3,"länger",Lektionen[[#This Row],[Bearbeitungsdauer_abgewichen]]&lt;-0.3,"kürzer",TRUE,"keine Abweichung")</f>
        <v>keine Abweichung</v>
      </c>
      <c r="I1548">
        <v>2</v>
      </c>
    </row>
    <row r="1549" spans="1:9" hidden="1" x14ac:dyDescent="0.3">
      <c r="A1549" s="13">
        <v>241</v>
      </c>
      <c r="B1549" s="4">
        <v>4</v>
      </c>
      <c r="C1549" t="s">
        <v>531</v>
      </c>
      <c r="D1549" t="s">
        <v>530</v>
      </c>
      <c r="E1549">
        <v>30</v>
      </c>
      <c r="F1549">
        <v>20</v>
      </c>
      <c r="G1549" s="8">
        <f>Lektionen[[#This Row],[Bearbeitungsdauer_real]]/Lektionen[[#This Row],[Bearbeitungsdauer_geschätzt]]-1</f>
        <v>-0.33333333333333337</v>
      </c>
      <c r="H1549" s="8" t="str" cm="1">
        <f t="array" ref="H1549">_xlfn.IFS(Lektionen[[#This Row],[Bearbeitungsdauer_abgewichen]]&gt;0.6,"viel länger",Lektionen[[#This Row],[Bearbeitungsdauer_abgewichen]]&gt;0.3,"länger",Lektionen[[#This Row],[Bearbeitungsdauer_abgewichen]]&lt;-0.3,"kürzer",TRUE,"keine Abweichung")</f>
        <v>kürzer</v>
      </c>
      <c r="I1549">
        <v>3</v>
      </c>
    </row>
    <row r="1550" spans="1:9" x14ac:dyDescent="0.3">
      <c r="A1550" s="13">
        <v>241</v>
      </c>
      <c r="B1550" s="4">
        <v>5</v>
      </c>
      <c r="C1550" t="s">
        <v>532</v>
      </c>
      <c r="D1550" t="s">
        <v>530</v>
      </c>
      <c r="E1550">
        <v>30</v>
      </c>
      <c r="F1550">
        <v>46</v>
      </c>
      <c r="G1550" s="8">
        <f>Lektionen[[#This Row],[Bearbeitungsdauer_real]]/Lektionen[[#This Row],[Bearbeitungsdauer_geschätzt]]-1</f>
        <v>0.53333333333333344</v>
      </c>
      <c r="H1550" s="8" t="str" cm="1">
        <f t="array" ref="H1550">_xlfn.IFS(Lektionen[[#This Row],[Bearbeitungsdauer_abgewichen]]&gt;0.6,"viel länger",Lektionen[[#This Row],[Bearbeitungsdauer_abgewichen]]&gt;0.3,"länger",Lektionen[[#This Row],[Bearbeitungsdauer_abgewichen]]&lt;-0.3,"kürzer",TRUE,"keine Abweichung")</f>
        <v>länger</v>
      </c>
      <c r="I1550">
        <v>4</v>
      </c>
    </row>
    <row r="1551" spans="1:9" hidden="1" x14ac:dyDescent="0.3">
      <c r="A1551" s="13">
        <v>241</v>
      </c>
      <c r="B1551" s="4">
        <v>6</v>
      </c>
      <c r="C1551" t="s">
        <v>533</v>
      </c>
      <c r="D1551" t="s">
        <v>534</v>
      </c>
      <c r="E1551">
        <v>5</v>
      </c>
      <c r="F1551">
        <v>3</v>
      </c>
      <c r="G1551" s="8">
        <f>Lektionen[[#This Row],[Bearbeitungsdauer_real]]/Lektionen[[#This Row],[Bearbeitungsdauer_geschätzt]]-1</f>
        <v>-0.4</v>
      </c>
      <c r="H1551" s="8" t="str" cm="1">
        <f t="array" ref="H1551">_xlfn.IFS(Lektionen[[#This Row],[Bearbeitungsdauer_abgewichen]]&gt;0.6,"viel länger",Lektionen[[#This Row],[Bearbeitungsdauer_abgewichen]]&gt;0.3,"länger",Lektionen[[#This Row],[Bearbeitungsdauer_abgewichen]]&lt;-0.3,"kürzer",TRUE,"keine Abweichung")</f>
        <v>kürzer</v>
      </c>
      <c r="I1551">
        <v>2</v>
      </c>
    </row>
    <row r="1552" spans="1:9" hidden="1" x14ac:dyDescent="0.3">
      <c r="A1552" s="13">
        <v>241</v>
      </c>
      <c r="B1552" s="4">
        <v>7</v>
      </c>
      <c r="C1552" t="s">
        <v>535</v>
      </c>
      <c r="D1552" t="s">
        <v>536</v>
      </c>
      <c r="E1552">
        <v>10</v>
      </c>
      <c r="F1552">
        <v>9</v>
      </c>
      <c r="G1552" s="8">
        <f>Lektionen[[#This Row],[Bearbeitungsdauer_real]]/Lektionen[[#This Row],[Bearbeitungsdauer_geschätzt]]-1</f>
        <v>-9.9999999999999978E-2</v>
      </c>
      <c r="H1552" s="8" t="str" cm="1">
        <f t="array" ref="H1552">_xlfn.IFS(Lektionen[[#This Row],[Bearbeitungsdauer_abgewichen]]&gt;0.6,"viel länger",Lektionen[[#This Row],[Bearbeitungsdauer_abgewichen]]&gt;0.3,"länger",Lektionen[[#This Row],[Bearbeitungsdauer_abgewichen]]&lt;-0.3,"kürzer",TRUE,"keine Abweichung")</f>
        <v>keine Abweichung</v>
      </c>
      <c r="I1552">
        <v>4</v>
      </c>
    </row>
    <row r="1553" spans="1:9" hidden="1" x14ac:dyDescent="0.3">
      <c r="A1553" s="13">
        <v>241</v>
      </c>
      <c r="B1553" s="4">
        <v>8</v>
      </c>
      <c r="C1553" t="s">
        <v>537</v>
      </c>
      <c r="D1553" t="s">
        <v>527</v>
      </c>
      <c r="E1553">
        <v>5</v>
      </c>
      <c r="F1553">
        <v>6</v>
      </c>
      <c r="G1553" s="8">
        <f>Lektionen[[#This Row],[Bearbeitungsdauer_real]]/Lektionen[[#This Row],[Bearbeitungsdauer_geschätzt]]-1</f>
        <v>0.19999999999999996</v>
      </c>
      <c r="H1553" s="8" t="str" cm="1">
        <f t="array" ref="H1553">_xlfn.IFS(Lektionen[[#This Row],[Bearbeitungsdauer_abgewichen]]&gt;0.6,"viel länger",Lektionen[[#This Row],[Bearbeitungsdauer_abgewichen]]&gt;0.3,"länger",Lektionen[[#This Row],[Bearbeitungsdauer_abgewichen]]&lt;-0.3,"kürzer",TRUE,"keine Abweichung")</f>
        <v>keine Abweichung</v>
      </c>
      <c r="I1553">
        <v>1</v>
      </c>
    </row>
    <row r="1554" spans="1:9" hidden="1" x14ac:dyDescent="0.3">
      <c r="A1554" s="13">
        <v>243</v>
      </c>
      <c r="B1554" s="4">
        <v>1</v>
      </c>
      <c r="C1554" t="s">
        <v>526</v>
      </c>
      <c r="D1554" t="s">
        <v>527</v>
      </c>
      <c r="E1554">
        <v>4</v>
      </c>
      <c r="F1554">
        <v>4</v>
      </c>
      <c r="G1554" s="8">
        <f>Lektionen[[#This Row],[Bearbeitungsdauer_real]]/Lektionen[[#This Row],[Bearbeitungsdauer_geschätzt]]-1</f>
        <v>0</v>
      </c>
      <c r="H1554" s="8" t="str" cm="1">
        <f t="array" ref="H1554">_xlfn.IFS(Lektionen[[#This Row],[Bearbeitungsdauer_abgewichen]]&gt;0.6,"viel länger",Lektionen[[#This Row],[Bearbeitungsdauer_abgewichen]]&gt;0.3,"länger",Lektionen[[#This Row],[Bearbeitungsdauer_abgewichen]]&lt;-0.3,"kürzer",TRUE,"keine Abweichung")</f>
        <v>keine Abweichung</v>
      </c>
      <c r="I1554">
        <v>1</v>
      </c>
    </row>
    <row r="1555" spans="1:9" hidden="1" x14ac:dyDescent="0.3">
      <c r="A1555" s="13">
        <v>243</v>
      </c>
      <c r="B1555" s="4">
        <v>2</v>
      </c>
      <c r="C1555" t="s">
        <v>528</v>
      </c>
      <c r="D1555" t="s">
        <v>529</v>
      </c>
      <c r="E1555">
        <v>15</v>
      </c>
      <c r="F1555">
        <v>16</v>
      </c>
      <c r="G1555" s="8">
        <f>Lektionen[[#This Row],[Bearbeitungsdauer_real]]/Lektionen[[#This Row],[Bearbeitungsdauer_geschätzt]]-1</f>
        <v>6.6666666666666652E-2</v>
      </c>
      <c r="H1555" s="8" t="str" cm="1">
        <f t="array" ref="H1555">_xlfn.IFS(Lektionen[[#This Row],[Bearbeitungsdauer_abgewichen]]&gt;0.6,"viel länger",Lektionen[[#This Row],[Bearbeitungsdauer_abgewichen]]&gt;0.3,"länger",Lektionen[[#This Row],[Bearbeitungsdauer_abgewichen]]&lt;-0.3,"kürzer",TRUE,"keine Abweichung")</f>
        <v>keine Abweichung</v>
      </c>
      <c r="I1555">
        <v>2</v>
      </c>
    </row>
    <row r="1556" spans="1:9" hidden="1" x14ac:dyDescent="0.3">
      <c r="A1556" s="13">
        <v>243</v>
      </c>
      <c r="B1556" s="4">
        <v>3</v>
      </c>
      <c r="C1556" t="s">
        <v>552</v>
      </c>
      <c r="D1556" t="s">
        <v>530</v>
      </c>
      <c r="E1556">
        <v>30</v>
      </c>
      <c r="F1556">
        <v>28</v>
      </c>
      <c r="G1556" s="8">
        <f>Lektionen[[#This Row],[Bearbeitungsdauer_real]]/Lektionen[[#This Row],[Bearbeitungsdauer_geschätzt]]-1</f>
        <v>-6.6666666666666652E-2</v>
      </c>
      <c r="H1556" s="8" t="str" cm="1">
        <f t="array" ref="H1556">_xlfn.IFS(Lektionen[[#This Row],[Bearbeitungsdauer_abgewichen]]&gt;0.6,"viel länger",Lektionen[[#This Row],[Bearbeitungsdauer_abgewichen]]&gt;0.3,"länger",Lektionen[[#This Row],[Bearbeitungsdauer_abgewichen]]&lt;-0.3,"kürzer",TRUE,"keine Abweichung")</f>
        <v>keine Abweichung</v>
      </c>
      <c r="I1556">
        <v>3</v>
      </c>
    </row>
    <row r="1557" spans="1:9" hidden="1" x14ac:dyDescent="0.3">
      <c r="A1557" s="13">
        <v>243</v>
      </c>
      <c r="B1557" s="4">
        <v>4</v>
      </c>
      <c r="C1557" t="s">
        <v>531</v>
      </c>
      <c r="D1557" t="s">
        <v>530</v>
      </c>
      <c r="E1557">
        <v>30</v>
      </c>
      <c r="F1557">
        <v>25</v>
      </c>
      <c r="G1557" s="8">
        <f>Lektionen[[#This Row],[Bearbeitungsdauer_real]]/Lektionen[[#This Row],[Bearbeitungsdauer_geschätzt]]-1</f>
        <v>-0.16666666666666663</v>
      </c>
      <c r="H1557" s="8" t="str" cm="1">
        <f t="array" ref="H1557">_xlfn.IFS(Lektionen[[#This Row],[Bearbeitungsdauer_abgewichen]]&gt;0.6,"viel länger",Lektionen[[#This Row],[Bearbeitungsdauer_abgewichen]]&gt;0.3,"länger",Lektionen[[#This Row],[Bearbeitungsdauer_abgewichen]]&lt;-0.3,"kürzer",TRUE,"keine Abweichung")</f>
        <v>keine Abweichung</v>
      </c>
      <c r="I1557">
        <v>3</v>
      </c>
    </row>
    <row r="1558" spans="1:9" x14ac:dyDescent="0.3">
      <c r="A1558" s="13">
        <v>243</v>
      </c>
      <c r="B1558" s="4">
        <v>5</v>
      </c>
      <c r="C1558" t="s">
        <v>532</v>
      </c>
      <c r="D1558" t="s">
        <v>530</v>
      </c>
      <c r="E1558">
        <v>30</v>
      </c>
      <c r="F1558">
        <v>50</v>
      </c>
      <c r="G1558" s="8">
        <f>Lektionen[[#This Row],[Bearbeitungsdauer_real]]/Lektionen[[#This Row],[Bearbeitungsdauer_geschätzt]]-1</f>
        <v>0.66666666666666674</v>
      </c>
      <c r="H1558" s="8" t="str" cm="1">
        <f t="array" ref="H1558">_xlfn.IFS(Lektionen[[#This Row],[Bearbeitungsdauer_abgewichen]]&gt;0.6,"viel länger",Lektionen[[#This Row],[Bearbeitungsdauer_abgewichen]]&gt;0.3,"länger",Lektionen[[#This Row],[Bearbeitungsdauer_abgewichen]]&lt;-0.3,"kürzer",TRUE,"keine Abweichung")</f>
        <v>viel länger</v>
      </c>
      <c r="I1558">
        <v>3</v>
      </c>
    </row>
    <row r="1559" spans="1:9" hidden="1" x14ac:dyDescent="0.3">
      <c r="A1559" s="13">
        <v>243</v>
      </c>
      <c r="B1559" s="4">
        <v>6</v>
      </c>
      <c r="C1559" t="s">
        <v>533</v>
      </c>
      <c r="D1559" t="s">
        <v>534</v>
      </c>
      <c r="E1559">
        <v>5</v>
      </c>
      <c r="F1559">
        <v>1</v>
      </c>
      <c r="G1559" s="8">
        <f>Lektionen[[#This Row],[Bearbeitungsdauer_real]]/Lektionen[[#This Row],[Bearbeitungsdauer_geschätzt]]-1</f>
        <v>-0.8</v>
      </c>
      <c r="H1559" s="8" t="str" cm="1">
        <f t="array" ref="H1559">_xlfn.IFS(Lektionen[[#This Row],[Bearbeitungsdauer_abgewichen]]&gt;0.6,"viel länger",Lektionen[[#This Row],[Bearbeitungsdauer_abgewichen]]&gt;0.3,"länger",Lektionen[[#This Row],[Bearbeitungsdauer_abgewichen]]&lt;-0.3,"kürzer",TRUE,"keine Abweichung")</f>
        <v>kürzer</v>
      </c>
      <c r="I1559">
        <v>3</v>
      </c>
    </row>
    <row r="1560" spans="1:9" hidden="1" x14ac:dyDescent="0.3">
      <c r="A1560" s="13">
        <v>243</v>
      </c>
      <c r="B1560" s="4">
        <v>7</v>
      </c>
      <c r="C1560" t="s">
        <v>535</v>
      </c>
      <c r="D1560" t="s">
        <v>536</v>
      </c>
      <c r="E1560">
        <v>10</v>
      </c>
      <c r="F1560">
        <v>11</v>
      </c>
      <c r="G1560" s="8">
        <f>Lektionen[[#This Row],[Bearbeitungsdauer_real]]/Lektionen[[#This Row],[Bearbeitungsdauer_geschätzt]]-1</f>
        <v>0.10000000000000009</v>
      </c>
      <c r="H1560" s="8" t="str" cm="1">
        <f t="array" ref="H1560">_xlfn.IFS(Lektionen[[#This Row],[Bearbeitungsdauer_abgewichen]]&gt;0.6,"viel länger",Lektionen[[#This Row],[Bearbeitungsdauer_abgewichen]]&gt;0.3,"länger",Lektionen[[#This Row],[Bearbeitungsdauer_abgewichen]]&lt;-0.3,"kürzer",TRUE,"keine Abweichung")</f>
        <v>keine Abweichung</v>
      </c>
      <c r="I1560">
        <v>4</v>
      </c>
    </row>
    <row r="1561" spans="1:9" hidden="1" x14ac:dyDescent="0.3">
      <c r="A1561" s="13">
        <v>243</v>
      </c>
      <c r="B1561" s="4">
        <v>8</v>
      </c>
      <c r="C1561" t="s">
        <v>537</v>
      </c>
      <c r="D1561" t="s">
        <v>527</v>
      </c>
      <c r="E1561">
        <v>5</v>
      </c>
      <c r="F1561">
        <v>5</v>
      </c>
      <c r="G1561" s="8">
        <f>Lektionen[[#This Row],[Bearbeitungsdauer_real]]/Lektionen[[#This Row],[Bearbeitungsdauer_geschätzt]]-1</f>
        <v>0</v>
      </c>
      <c r="H1561" s="8" t="str" cm="1">
        <f t="array" ref="H1561">_xlfn.IFS(Lektionen[[#This Row],[Bearbeitungsdauer_abgewichen]]&gt;0.6,"viel länger",Lektionen[[#This Row],[Bearbeitungsdauer_abgewichen]]&gt;0.3,"länger",Lektionen[[#This Row],[Bearbeitungsdauer_abgewichen]]&lt;-0.3,"kürzer",TRUE,"keine Abweichung")</f>
        <v>keine Abweichung</v>
      </c>
      <c r="I1561">
        <v>1</v>
      </c>
    </row>
    <row r="1562" spans="1:9" hidden="1" x14ac:dyDescent="0.3">
      <c r="A1562" s="13">
        <v>245</v>
      </c>
      <c r="B1562" s="4">
        <v>1</v>
      </c>
      <c r="C1562" t="s">
        <v>526</v>
      </c>
      <c r="D1562" t="s">
        <v>527</v>
      </c>
      <c r="E1562">
        <v>4</v>
      </c>
      <c r="F1562">
        <v>4</v>
      </c>
      <c r="G1562" s="8">
        <f>Lektionen[[#This Row],[Bearbeitungsdauer_real]]/Lektionen[[#This Row],[Bearbeitungsdauer_geschätzt]]-1</f>
        <v>0</v>
      </c>
      <c r="H1562" s="8" t="str" cm="1">
        <f t="array" ref="H1562">_xlfn.IFS(Lektionen[[#This Row],[Bearbeitungsdauer_abgewichen]]&gt;0.6,"viel länger",Lektionen[[#This Row],[Bearbeitungsdauer_abgewichen]]&gt;0.3,"länger",Lektionen[[#This Row],[Bearbeitungsdauer_abgewichen]]&lt;-0.3,"kürzer",TRUE,"keine Abweichung")</f>
        <v>keine Abweichung</v>
      </c>
      <c r="I1562">
        <v>1</v>
      </c>
    </row>
    <row r="1563" spans="1:9" hidden="1" x14ac:dyDescent="0.3">
      <c r="A1563" s="13">
        <v>245</v>
      </c>
      <c r="B1563" s="4">
        <v>2</v>
      </c>
      <c r="C1563" t="s">
        <v>528</v>
      </c>
      <c r="D1563" t="s">
        <v>529</v>
      </c>
      <c r="E1563">
        <v>15</v>
      </c>
      <c r="F1563">
        <v>19</v>
      </c>
      <c r="G1563" s="8">
        <f>Lektionen[[#This Row],[Bearbeitungsdauer_real]]/Lektionen[[#This Row],[Bearbeitungsdauer_geschätzt]]-1</f>
        <v>0.26666666666666661</v>
      </c>
      <c r="H1563" s="8" t="str" cm="1">
        <f t="array" ref="H1563">_xlfn.IFS(Lektionen[[#This Row],[Bearbeitungsdauer_abgewichen]]&gt;0.6,"viel länger",Lektionen[[#This Row],[Bearbeitungsdauer_abgewichen]]&gt;0.3,"länger",Lektionen[[#This Row],[Bearbeitungsdauer_abgewichen]]&lt;-0.3,"kürzer",TRUE,"keine Abweichung")</f>
        <v>keine Abweichung</v>
      </c>
      <c r="I1563">
        <v>2</v>
      </c>
    </row>
    <row r="1564" spans="1:9" hidden="1" x14ac:dyDescent="0.3">
      <c r="A1564" s="13">
        <v>245</v>
      </c>
      <c r="B1564" s="4">
        <v>3</v>
      </c>
      <c r="C1564" t="s">
        <v>552</v>
      </c>
      <c r="D1564" t="s">
        <v>530</v>
      </c>
      <c r="E1564">
        <v>30</v>
      </c>
      <c r="F1564">
        <v>29</v>
      </c>
      <c r="G1564" s="8">
        <f>Lektionen[[#This Row],[Bearbeitungsdauer_real]]/Lektionen[[#This Row],[Bearbeitungsdauer_geschätzt]]-1</f>
        <v>-3.3333333333333326E-2</v>
      </c>
      <c r="H1564" s="8" t="str" cm="1">
        <f t="array" ref="H1564">_xlfn.IFS(Lektionen[[#This Row],[Bearbeitungsdauer_abgewichen]]&gt;0.6,"viel länger",Lektionen[[#This Row],[Bearbeitungsdauer_abgewichen]]&gt;0.3,"länger",Lektionen[[#This Row],[Bearbeitungsdauer_abgewichen]]&lt;-0.3,"kürzer",TRUE,"keine Abweichung")</f>
        <v>keine Abweichung</v>
      </c>
      <c r="I1564">
        <v>2</v>
      </c>
    </row>
    <row r="1565" spans="1:9" hidden="1" x14ac:dyDescent="0.3">
      <c r="A1565" s="13">
        <v>245</v>
      </c>
      <c r="B1565" s="4">
        <v>4</v>
      </c>
      <c r="C1565" t="s">
        <v>531</v>
      </c>
      <c r="D1565" t="s">
        <v>530</v>
      </c>
      <c r="E1565">
        <v>30</v>
      </c>
      <c r="F1565">
        <v>24</v>
      </c>
      <c r="G1565" s="8">
        <f>Lektionen[[#This Row],[Bearbeitungsdauer_real]]/Lektionen[[#This Row],[Bearbeitungsdauer_geschätzt]]-1</f>
        <v>-0.19999999999999996</v>
      </c>
      <c r="H1565" s="8" t="str" cm="1">
        <f t="array" ref="H1565">_xlfn.IFS(Lektionen[[#This Row],[Bearbeitungsdauer_abgewichen]]&gt;0.6,"viel länger",Lektionen[[#This Row],[Bearbeitungsdauer_abgewichen]]&gt;0.3,"länger",Lektionen[[#This Row],[Bearbeitungsdauer_abgewichen]]&lt;-0.3,"kürzer",TRUE,"keine Abweichung")</f>
        <v>keine Abweichung</v>
      </c>
      <c r="I1565">
        <v>4</v>
      </c>
    </row>
    <row r="1566" spans="1:9" x14ac:dyDescent="0.3">
      <c r="A1566" s="13">
        <v>245</v>
      </c>
      <c r="B1566" s="4">
        <v>5</v>
      </c>
      <c r="C1566" t="s">
        <v>532</v>
      </c>
      <c r="D1566" t="s">
        <v>530</v>
      </c>
      <c r="E1566">
        <v>30</v>
      </c>
      <c r="F1566">
        <v>44</v>
      </c>
      <c r="G1566" s="8">
        <f>Lektionen[[#This Row],[Bearbeitungsdauer_real]]/Lektionen[[#This Row],[Bearbeitungsdauer_geschätzt]]-1</f>
        <v>0.46666666666666656</v>
      </c>
      <c r="H1566" s="8" t="str" cm="1">
        <f t="array" ref="H1566">_xlfn.IFS(Lektionen[[#This Row],[Bearbeitungsdauer_abgewichen]]&gt;0.6,"viel länger",Lektionen[[#This Row],[Bearbeitungsdauer_abgewichen]]&gt;0.3,"länger",Lektionen[[#This Row],[Bearbeitungsdauer_abgewichen]]&lt;-0.3,"kürzer",TRUE,"keine Abweichung")</f>
        <v>länger</v>
      </c>
      <c r="I1566">
        <v>3</v>
      </c>
    </row>
    <row r="1567" spans="1:9" hidden="1" x14ac:dyDescent="0.3">
      <c r="A1567" s="13">
        <v>245</v>
      </c>
      <c r="B1567" s="4">
        <v>6</v>
      </c>
      <c r="C1567" t="s">
        <v>533</v>
      </c>
      <c r="D1567" t="s">
        <v>534</v>
      </c>
      <c r="E1567">
        <v>5</v>
      </c>
      <c r="F1567">
        <v>3</v>
      </c>
      <c r="G1567" s="8">
        <f>Lektionen[[#This Row],[Bearbeitungsdauer_real]]/Lektionen[[#This Row],[Bearbeitungsdauer_geschätzt]]-1</f>
        <v>-0.4</v>
      </c>
      <c r="H1567" s="8" t="str" cm="1">
        <f t="array" ref="H1567">_xlfn.IFS(Lektionen[[#This Row],[Bearbeitungsdauer_abgewichen]]&gt;0.6,"viel länger",Lektionen[[#This Row],[Bearbeitungsdauer_abgewichen]]&gt;0.3,"länger",Lektionen[[#This Row],[Bearbeitungsdauer_abgewichen]]&lt;-0.3,"kürzer",TRUE,"keine Abweichung")</f>
        <v>kürzer</v>
      </c>
      <c r="I1567">
        <v>2</v>
      </c>
    </row>
    <row r="1568" spans="1:9" hidden="1" x14ac:dyDescent="0.3">
      <c r="A1568" s="13">
        <v>245</v>
      </c>
      <c r="B1568" s="4">
        <v>7</v>
      </c>
      <c r="C1568" t="s">
        <v>535</v>
      </c>
      <c r="D1568" t="s">
        <v>536</v>
      </c>
      <c r="E1568">
        <v>10</v>
      </c>
      <c r="F1568">
        <v>9</v>
      </c>
      <c r="G1568" s="8">
        <f>Lektionen[[#This Row],[Bearbeitungsdauer_real]]/Lektionen[[#This Row],[Bearbeitungsdauer_geschätzt]]-1</f>
        <v>-9.9999999999999978E-2</v>
      </c>
      <c r="H1568" s="8" t="str" cm="1">
        <f t="array" ref="H1568">_xlfn.IFS(Lektionen[[#This Row],[Bearbeitungsdauer_abgewichen]]&gt;0.6,"viel länger",Lektionen[[#This Row],[Bearbeitungsdauer_abgewichen]]&gt;0.3,"länger",Lektionen[[#This Row],[Bearbeitungsdauer_abgewichen]]&lt;-0.3,"kürzer",TRUE,"keine Abweichung")</f>
        <v>keine Abweichung</v>
      </c>
      <c r="I1568">
        <v>3</v>
      </c>
    </row>
    <row r="1569" spans="1:9" hidden="1" x14ac:dyDescent="0.3">
      <c r="A1569" s="13">
        <v>245</v>
      </c>
      <c r="B1569" s="4">
        <v>8</v>
      </c>
      <c r="C1569" t="s">
        <v>537</v>
      </c>
      <c r="D1569" t="s">
        <v>527</v>
      </c>
      <c r="E1569">
        <v>5</v>
      </c>
      <c r="F1569">
        <v>5</v>
      </c>
      <c r="G1569" s="8">
        <f>Lektionen[[#This Row],[Bearbeitungsdauer_real]]/Lektionen[[#This Row],[Bearbeitungsdauer_geschätzt]]-1</f>
        <v>0</v>
      </c>
      <c r="H1569" s="8" t="str" cm="1">
        <f t="array" ref="H1569">_xlfn.IFS(Lektionen[[#This Row],[Bearbeitungsdauer_abgewichen]]&gt;0.6,"viel länger",Lektionen[[#This Row],[Bearbeitungsdauer_abgewichen]]&gt;0.3,"länger",Lektionen[[#This Row],[Bearbeitungsdauer_abgewichen]]&lt;-0.3,"kürzer",TRUE,"keine Abweichung")</f>
        <v>keine Abweichung</v>
      </c>
      <c r="I1569">
        <v>1</v>
      </c>
    </row>
    <row r="1570" spans="1:9" hidden="1" x14ac:dyDescent="0.3">
      <c r="A1570" s="13">
        <v>246</v>
      </c>
      <c r="B1570" s="4">
        <v>1</v>
      </c>
      <c r="C1570" t="s">
        <v>526</v>
      </c>
      <c r="D1570" t="s">
        <v>527</v>
      </c>
      <c r="E1570">
        <v>4</v>
      </c>
      <c r="F1570">
        <v>5</v>
      </c>
      <c r="G1570" s="8">
        <f>Lektionen[[#This Row],[Bearbeitungsdauer_real]]/Lektionen[[#This Row],[Bearbeitungsdauer_geschätzt]]-1</f>
        <v>0.25</v>
      </c>
      <c r="H1570" s="8" t="str" cm="1">
        <f t="array" ref="H1570">_xlfn.IFS(Lektionen[[#This Row],[Bearbeitungsdauer_abgewichen]]&gt;0.6,"viel länger",Lektionen[[#This Row],[Bearbeitungsdauer_abgewichen]]&gt;0.3,"länger",Lektionen[[#This Row],[Bearbeitungsdauer_abgewichen]]&lt;-0.3,"kürzer",TRUE,"keine Abweichung")</f>
        <v>keine Abweichung</v>
      </c>
      <c r="I1570">
        <v>1</v>
      </c>
    </row>
    <row r="1571" spans="1:9" hidden="1" x14ac:dyDescent="0.3">
      <c r="A1571" s="13">
        <v>246</v>
      </c>
      <c r="B1571" s="4">
        <v>2</v>
      </c>
      <c r="C1571" t="s">
        <v>528</v>
      </c>
      <c r="D1571" t="s">
        <v>529</v>
      </c>
      <c r="E1571">
        <v>15</v>
      </c>
      <c r="F1571">
        <v>15</v>
      </c>
      <c r="G1571" s="8">
        <f>Lektionen[[#This Row],[Bearbeitungsdauer_real]]/Lektionen[[#This Row],[Bearbeitungsdauer_geschätzt]]-1</f>
        <v>0</v>
      </c>
      <c r="H1571" s="8" t="str" cm="1">
        <f t="array" ref="H1571">_xlfn.IFS(Lektionen[[#This Row],[Bearbeitungsdauer_abgewichen]]&gt;0.6,"viel länger",Lektionen[[#This Row],[Bearbeitungsdauer_abgewichen]]&gt;0.3,"länger",Lektionen[[#This Row],[Bearbeitungsdauer_abgewichen]]&lt;-0.3,"kürzer",TRUE,"keine Abweichung")</f>
        <v>keine Abweichung</v>
      </c>
      <c r="I1571">
        <v>1</v>
      </c>
    </row>
    <row r="1572" spans="1:9" hidden="1" x14ac:dyDescent="0.3">
      <c r="A1572" s="13">
        <v>246</v>
      </c>
      <c r="B1572" s="4">
        <v>3</v>
      </c>
      <c r="C1572" t="s">
        <v>552</v>
      </c>
      <c r="D1572" t="s">
        <v>530</v>
      </c>
      <c r="E1572">
        <v>30</v>
      </c>
      <c r="F1572">
        <v>29</v>
      </c>
      <c r="G1572" s="8">
        <f>Lektionen[[#This Row],[Bearbeitungsdauer_real]]/Lektionen[[#This Row],[Bearbeitungsdauer_geschätzt]]-1</f>
        <v>-3.3333333333333326E-2</v>
      </c>
      <c r="H1572" s="8" t="str" cm="1">
        <f t="array" ref="H1572">_xlfn.IFS(Lektionen[[#This Row],[Bearbeitungsdauer_abgewichen]]&gt;0.6,"viel länger",Lektionen[[#This Row],[Bearbeitungsdauer_abgewichen]]&gt;0.3,"länger",Lektionen[[#This Row],[Bearbeitungsdauer_abgewichen]]&lt;-0.3,"kürzer",TRUE,"keine Abweichung")</f>
        <v>keine Abweichung</v>
      </c>
      <c r="I1572">
        <v>3</v>
      </c>
    </row>
    <row r="1573" spans="1:9" hidden="1" x14ac:dyDescent="0.3">
      <c r="A1573" s="13">
        <v>246</v>
      </c>
      <c r="B1573" s="4">
        <v>4</v>
      </c>
      <c r="C1573" t="s">
        <v>531</v>
      </c>
      <c r="D1573" t="s">
        <v>530</v>
      </c>
      <c r="E1573">
        <v>30</v>
      </c>
      <c r="F1573">
        <v>31</v>
      </c>
      <c r="G1573" s="8">
        <f>Lektionen[[#This Row],[Bearbeitungsdauer_real]]/Lektionen[[#This Row],[Bearbeitungsdauer_geschätzt]]-1</f>
        <v>3.3333333333333437E-2</v>
      </c>
      <c r="H1573" s="8" t="str" cm="1">
        <f t="array" ref="H1573">_xlfn.IFS(Lektionen[[#This Row],[Bearbeitungsdauer_abgewichen]]&gt;0.6,"viel länger",Lektionen[[#This Row],[Bearbeitungsdauer_abgewichen]]&gt;0.3,"länger",Lektionen[[#This Row],[Bearbeitungsdauer_abgewichen]]&lt;-0.3,"kürzer",TRUE,"keine Abweichung")</f>
        <v>keine Abweichung</v>
      </c>
      <c r="I1573">
        <v>4</v>
      </c>
    </row>
    <row r="1574" spans="1:9" x14ac:dyDescent="0.3">
      <c r="A1574" s="13">
        <v>246</v>
      </c>
      <c r="B1574" s="4">
        <v>5</v>
      </c>
      <c r="C1574" t="s">
        <v>532</v>
      </c>
      <c r="D1574" t="s">
        <v>530</v>
      </c>
      <c r="E1574">
        <v>30</v>
      </c>
      <c r="F1574">
        <v>43</v>
      </c>
      <c r="G1574" s="8">
        <f>Lektionen[[#This Row],[Bearbeitungsdauer_real]]/Lektionen[[#This Row],[Bearbeitungsdauer_geschätzt]]-1</f>
        <v>0.43333333333333335</v>
      </c>
      <c r="H1574" s="8" t="str" cm="1">
        <f t="array" ref="H1574">_xlfn.IFS(Lektionen[[#This Row],[Bearbeitungsdauer_abgewichen]]&gt;0.6,"viel länger",Lektionen[[#This Row],[Bearbeitungsdauer_abgewichen]]&gt;0.3,"länger",Lektionen[[#This Row],[Bearbeitungsdauer_abgewichen]]&lt;-0.3,"kürzer",TRUE,"keine Abweichung")</f>
        <v>länger</v>
      </c>
      <c r="I1574">
        <v>3</v>
      </c>
    </row>
    <row r="1575" spans="1:9" hidden="1" x14ac:dyDescent="0.3">
      <c r="A1575" s="13">
        <v>246</v>
      </c>
      <c r="B1575" s="4">
        <v>6</v>
      </c>
      <c r="C1575" t="s">
        <v>533</v>
      </c>
      <c r="D1575" t="s">
        <v>534</v>
      </c>
      <c r="E1575">
        <v>5</v>
      </c>
      <c r="F1575">
        <v>1</v>
      </c>
      <c r="G1575" s="8">
        <f>Lektionen[[#This Row],[Bearbeitungsdauer_real]]/Lektionen[[#This Row],[Bearbeitungsdauer_geschätzt]]-1</f>
        <v>-0.8</v>
      </c>
      <c r="H1575" s="8" t="str" cm="1">
        <f t="array" ref="H1575">_xlfn.IFS(Lektionen[[#This Row],[Bearbeitungsdauer_abgewichen]]&gt;0.6,"viel länger",Lektionen[[#This Row],[Bearbeitungsdauer_abgewichen]]&gt;0.3,"länger",Lektionen[[#This Row],[Bearbeitungsdauer_abgewichen]]&lt;-0.3,"kürzer",TRUE,"keine Abweichung")</f>
        <v>kürzer</v>
      </c>
      <c r="I1575">
        <v>2</v>
      </c>
    </row>
    <row r="1576" spans="1:9" hidden="1" x14ac:dyDescent="0.3">
      <c r="A1576" s="13">
        <v>246</v>
      </c>
      <c r="B1576" s="4">
        <v>7</v>
      </c>
      <c r="C1576" t="s">
        <v>535</v>
      </c>
      <c r="D1576" t="s">
        <v>536</v>
      </c>
      <c r="E1576">
        <v>10</v>
      </c>
      <c r="F1576">
        <v>11</v>
      </c>
      <c r="G1576" s="8">
        <f>Lektionen[[#This Row],[Bearbeitungsdauer_real]]/Lektionen[[#This Row],[Bearbeitungsdauer_geschätzt]]-1</f>
        <v>0.10000000000000009</v>
      </c>
      <c r="H1576" s="8" t="str" cm="1">
        <f t="array" ref="H1576">_xlfn.IFS(Lektionen[[#This Row],[Bearbeitungsdauer_abgewichen]]&gt;0.6,"viel länger",Lektionen[[#This Row],[Bearbeitungsdauer_abgewichen]]&gt;0.3,"länger",Lektionen[[#This Row],[Bearbeitungsdauer_abgewichen]]&lt;-0.3,"kürzer",TRUE,"keine Abweichung")</f>
        <v>keine Abweichung</v>
      </c>
      <c r="I1576">
        <v>3</v>
      </c>
    </row>
    <row r="1577" spans="1:9" hidden="1" x14ac:dyDescent="0.3">
      <c r="A1577" s="13">
        <v>246</v>
      </c>
      <c r="B1577" s="4">
        <v>8</v>
      </c>
      <c r="C1577" t="s">
        <v>537</v>
      </c>
      <c r="D1577" t="s">
        <v>527</v>
      </c>
      <c r="E1577">
        <v>5</v>
      </c>
      <c r="F1577">
        <v>5</v>
      </c>
      <c r="G1577" s="8">
        <f>Lektionen[[#This Row],[Bearbeitungsdauer_real]]/Lektionen[[#This Row],[Bearbeitungsdauer_geschätzt]]-1</f>
        <v>0</v>
      </c>
      <c r="H1577" s="8" t="str" cm="1">
        <f t="array" ref="H1577">_xlfn.IFS(Lektionen[[#This Row],[Bearbeitungsdauer_abgewichen]]&gt;0.6,"viel länger",Lektionen[[#This Row],[Bearbeitungsdauer_abgewichen]]&gt;0.3,"länger",Lektionen[[#This Row],[Bearbeitungsdauer_abgewichen]]&lt;-0.3,"kürzer",TRUE,"keine Abweichung")</f>
        <v>keine Abweichung</v>
      </c>
      <c r="I1577">
        <v>2</v>
      </c>
    </row>
    <row r="1578" spans="1:9" hidden="1" x14ac:dyDescent="0.3">
      <c r="A1578" s="13">
        <v>247</v>
      </c>
      <c r="B1578" s="4">
        <v>1</v>
      </c>
      <c r="C1578" t="s">
        <v>526</v>
      </c>
      <c r="D1578" t="s">
        <v>527</v>
      </c>
      <c r="E1578">
        <v>4</v>
      </c>
      <c r="F1578">
        <v>4</v>
      </c>
      <c r="G1578" s="8">
        <f>Lektionen[[#This Row],[Bearbeitungsdauer_real]]/Lektionen[[#This Row],[Bearbeitungsdauer_geschätzt]]-1</f>
        <v>0</v>
      </c>
      <c r="H1578" s="8" t="str" cm="1">
        <f t="array" ref="H1578">_xlfn.IFS(Lektionen[[#This Row],[Bearbeitungsdauer_abgewichen]]&gt;0.6,"viel länger",Lektionen[[#This Row],[Bearbeitungsdauer_abgewichen]]&gt;0.3,"länger",Lektionen[[#This Row],[Bearbeitungsdauer_abgewichen]]&lt;-0.3,"kürzer",TRUE,"keine Abweichung")</f>
        <v>keine Abweichung</v>
      </c>
      <c r="I1578">
        <v>1</v>
      </c>
    </row>
    <row r="1579" spans="1:9" hidden="1" x14ac:dyDescent="0.3">
      <c r="A1579" s="13">
        <v>247</v>
      </c>
      <c r="B1579" s="4">
        <v>2</v>
      </c>
      <c r="C1579" t="s">
        <v>528</v>
      </c>
      <c r="D1579" t="s">
        <v>529</v>
      </c>
      <c r="E1579">
        <v>15</v>
      </c>
      <c r="F1579">
        <v>20</v>
      </c>
      <c r="G1579" s="8">
        <f>Lektionen[[#This Row],[Bearbeitungsdauer_real]]/Lektionen[[#This Row],[Bearbeitungsdauer_geschätzt]]-1</f>
        <v>0.33333333333333326</v>
      </c>
      <c r="H1579" s="8" t="str" cm="1">
        <f t="array" ref="H1579">_xlfn.IFS(Lektionen[[#This Row],[Bearbeitungsdauer_abgewichen]]&gt;0.6,"viel länger",Lektionen[[#This Row],[Bearbeitungsdauer_abgewichen]]&gt;0.3,"länger",Lektionen[[#This Row],[Bearbeitungsdauer_abgewichen]]&lt;-0.3,"kürzer",TRUE,"keine Abweichung")</f>
        <v>länger</v>
      </c>
      <c r="I1579">
        <v>1</v>
      </c>
    </row>
    <row r="1580" spans="1:9" hidden="1" x14ac:dyDescent="0.3">
      <c r="A1580" s="13">
        <v>247</v>
      </c>
      <c r="B1580" s="4">
        <v>3</v>
      </c>
      <c r="C1580" t="s">
        <v>552</v>
      </c>
      <c r="D1580" t="s">
        <v>530</v>
      </c>
      <c r="E1580">
        <v>30</v>
      </c>
      <c r="F1580">
        <v>28</v>
      </c>
      <c r="G1580" s="8">
        <f>Lektionen[[#This Row],[Bearbeitungsdauer_real]]/Lektionen[[#This Row],[Bearbeitungsdauer_geschätzt]]-1</f>
        <v>-6.6666666666666652E-2</v>
      </c>
      <c r="H1580" s="8" t="str" cm="1">
        <f t="array" ref="H1580">_xlfn.IFS(Lektionen[[#This Row],[Bearbeitungsdauer_abgewichen]]&gt;0.6,"viel länger",Lektionen[[#This Row],[Bearbeitungsdauer_abgewichen]]&gt;0.3,"länger",Lektionen[[#This Row],[Bearbeitungsdauer_abgewichen]]&lt;-0.3,"kürzer",TRUE,"keine Abweichung")</f>
        <v>keine Abweichung</v>
      </c>
      <c r="I1580">
        <v>2</v>
      </c>
    </row>
    <row r="1581" spans="1:9" hidden="1" x14ac:dyDescent="0.3">
      <c r="A1581" s="13">
        <v>247</v>
      </c>
      <c r="B1581" s="4">
        <v>4</v>
      </c>
      <c r="C1581" t="s">
        <v>531</v>
      </c>
      <c r="D1581" t="s">
        <v>530</v>
      </c>
      <c r="E1581">
        <v>30</v>
      </c>
      <c r="F1581">
        <v>22</v>
      </c>
      <c r="G1581" s="8">
        <f>Lektionen[[#This Row],[Bearbeitungsdauer_real]]/Lektionen[[#This Row],[Bearbeitungsdauer_geschätzt]]-1</f>
        <v>-0.26666666666666672</v>
      </c>
      <c r="H1581" s="8" t="str" cm="1">
        <f t="array" ref="H1581">_xlfn.IFS(Lektionen[[#This Row],[Bearbeitungsdauer_abgewichen]]&gt;0.6,"viel länger",Lektionen[[#This Row],[Bearbeitungsdauer_abgewichen]]&gt;0.3,"länger",Lektionen[[#This Row],[Bearbeitungsdauer_abgewichen]]&lt;-0.3,"kürzer",TRUE,"keine Abweichung")</f>
        <v>keine Abweichung</v>
      </c>
      <c r="I1581">
        <v>3</v>
      </c>
    </row>
    <row r="1582" spans="1:9" x14ac:dyDescent="0.3">
      <c r="A1582" s="13">
        <v>247</v>
      </c>
      <c r="B1582" s="4">
        <v>5</v>
      </c>
      <c r="C1582" t="s">
        <v>532</v>
      </c>
      <c r="D1582" t="s">
        <v>530</v>
      </c>
      <c r="E1582">
        <v>30</v>
      </c>
      <c r="F1582">
        <v>47</v>
      </c>
      <c r="G1582" s="8">
        <f>Lektionen[[#This Row],[Bearbeitungsdauer_real]]/Lektionen[[#This Row],[Bearbeitungsdauer_geschätzt]]-1</f>
        <v>0.56666666666666665</v>
      </c>
      <c r="H1582" s="8" t="str" cm="1">
        <f t="array" ref="H1582">_xlfn.IFS(Lektionen[[#This Row],[Bearbeitungsdauer_abgewichen]]&gt;0.6,"viel länger",Lektionen[[#This Row],[Bearbeitungsdauer_abgewichen]]&gt;0.3,"länger",Lektionen[[#This Row],[Bearbeitungsdauer_abgewichen]]&lt;-0.3,"kürzer",TRUE,"keine Abweichung")</f>
        <v>länger</v>
      </c>
      <c r="I1582">
        <v>3</v>
      </c>
    </row>
    <row r="1583" spans="1:9" hidden="1" x14ac:dyDescent="0.3">
      <c r="A1583" s="13">
        <v>247</v>
      </c>
      <c r="B1583" s="4">
        <v>6</v>
      </c>
      <c r="C1583" t="s">
        <v>533</v>
      </c>
      <c r="D1583" t="s">
        <v>534</v>
      </c>
      <c r="E1583">
        <v>5</v>
      </c>
      <c r="F1583">
        <v>1</v>
      </c>
      <c r="G1583" s="8">
        <f>Lektionen[[#This Row],[Bearbeitungsdauer_real]]/Lektionen[[#This Row],[Bearbeitungsdauer_geschätzt]]-1</f>
        <v>-0.8</v>
      </c>
      <c r="H1583" s="8" t="str" cm="1">
        <f t="array" ref="H1583">_xlfn.IFS(Lektionen[[#This Row],[Bearbeitungsdauer_abgewichen]]&gt;0.6,"viel länger",Lektionen[[#This Row],[Bearbeitungsdauer_abgewichen]]&gt;0.3,"länger",Lektionen[[#This Row],[Bearbeitungsdauer_abgewichen]]&lt;-0.3,"kürzer",TRUE,"keine Abweichung")</f>
        <v>kürzer</v>
      </c>
      <c r="I1583">
        <v>2</v>
      </c>
    </row>
    <row r="1584" spans="1:9" hidden="1" x14ac:dyDescent="0.3">
      <c r="A1584" s="13">
        <v>247</v>
      </c>
      <c r="B1584" s="4">
        <v>7</v>
      </c>
      <c r="C1584" t="s">
        <v>535</v>
      </c>
      <c r="D1584" t="s">
        <v>536</v>
      </c>
      <c r="E1584">
        <v>10</v>
      </c>
      <c r="F1584">
        <v>10</v>
      </c>
      <c r="G1584" s="8">
        <f>Lektionen[[#This Row],[Bearbeitungsdauer_real]]/Lektionen[[#This Row],[Bearbeitungsdauer_geschätzt]]-1</f>
        <v>0</v>
      </c>
      <c r="H1584" s="8" t="str" cm="1">
        <f t="array" ref="H1584">_xlfn.IFS(Lektionen[[#This Row],[Bearbeitungsdauer_abgewichen]]&gt;0.6,"viel länger",Lektionen[[#This Row],[Bearbeitungsdauer_abgewichen]]&gt;0.3,"länger",Lektionen[[#This Row],[Bearbeitungsdauer_abgewichen]]&lt;-0.3,"kürzer",TRUE,"keine Abweichung")</f>
        <v>keine Abweichung</v>
      </c>
      <c r="I1584">
        <v>3</v>
      </c>
    </row>
    <row r="1585" spans="1:9" hidden="1" x14ac:dyDescent="0.3">
      <c r="A1585" s="13">
        <v>247</v>
      </c>
      <c r="B1585" s="4">
        <v>8</v>
      </c>
      <c r="C1585" t="s">
        <v>537</v>
      </c>
      <c r="D1585" t="s">
        <v>527</v>
      </c>
      <c r="E1585">
        <v>5</v>
      </c>
      <c r="F1585">
        <v>5</v>
      </c>
      <c r="G1585" s="8">
        <f>Lektionen[[#This Row],[Bearbeitungsdauer_real]]/Lektionen[[#This Row],[Bearbeitungsdauer_geschätzt]]-1</f>
        <v>0</v>
      </c>
      <c r="H1585" s="8" t="str" cm="1">
        <f t="array" ref="H1585">_xlfn.IFS(Lektionen[[#This Row],[Bearbeitungsdauer_abgewichen]]&gt;0.6,"viel länger",Lektionen[[#This Row],[Bearbeitungsdauer_abgewichen]]&gt;0.3,"länger",Lektionen[[#This Row],[Bearbeitungsdauer_abgewichen]]&lt;-0.3,"kürzer",TRUE,"keine Abweichung")</f>
        <v>keine Abweichung</v>
      </c>
      <c r="I1585">
        <v>1</v>
      </c>
    </row>
    <row r="1586" spans="1:9" hidden="1" x14ac:dyDescent="0.3">
      <c r="A1586" s="13">
        <v>248</v>
      </c>
      <c r="B1586" s="4">
        <v>1</v>
      </c>
      <c r="C1586" t="s">
        <v>526</v>
      </c>
      <c r="D1586" t="s">
        <v>527</v>
      </c>
      <c r="E1586">
        <v>4</v>
      </c>
      <c r="F1586">
        <v>6</v>
      </c>
      <c r="G1586" s="8">
        <f>Lektionen[[#This Row],[Bearbeitungsdauer_real]]/Lektionen[[#This Row],[Bearbeitungsdauer_geschätzt]]-1</f>
        <v>0.5</v>
      </c>
      <c r="H1586" s="8" t="str" cm="1">
        <f t="array" ref="H1586">_xlfn.IFS(Lektionen[[#This Row],[Bearbeitungsdauer_abgewichen]]&gt;0.6,"viel länger",Lektionen[[#This Row],[Bearbeitungsdauer_abgewichen]]&gt;0.3,"länger",Lektionen[[#This Row],[Bearbeitungsdauer_abgewichen]]&lt;-0.3,"kürzer",TRUE,"keine Abweichung")</f>
        <v>länger</v>
      </c>
      <c r="I1586">
        <v>1</v>
      </c>
    </row>
    <row r="1587" spans="1:9" hidden="1" x14ac:dyDescent="0.3">
      <c r="A1587" s="13">
        <v>248</v>
      </c>
      <c r="B1587" s="4">
        <v>2</v>
      </c>
      <c r="C1587" t="s">
        <v>528</v>
      </c>
      <c r="D1587" t="s">
        <v>529</v>
      </c>
      <c r="E1587">
        <v>15</v>
      </c>
      <c r="F1587">
        <v>18</v>
      </c>
      <c r="G1587" s="8">
        <f>Lektionen[[#This Row],[Bearbeitungsdauer_real]]/Lektionen[[#This Row],[Bearbeitungsdauer_geschätzt]]-1</f>
        <v>0.19999999999999996</v>
      </c>
      <c r="H1587" s="8" t="str" cm="1">
        <f t="array" ref="H1587">_xlfn.IFS(Lektionen[[#This Row],[Bearbeitungsdauer_abgewichen]]&gt;0.6,"viel länger",Lektionen[[#This Row],[Bearbeitungsdauer_abgewichen]]&gt;0.3,"länger",Lektionen[[#This Row],[Bearbeitungsdauer_abgewichen]]&lt;-0.3,"kürzer",TRUE,"keine Abweichung")</f>
        <v>keine Abweichung</v>
      </c>
      <c r="I1587">
        <v>2</v>
      </c>
    </row>
    <row r="1588" spans="1:9" hidden="1" x14ac:dyDescent="0.3">
      <c r="A1588" s="13">
        <v>248</v>
      </c>
      <c r="B1588" s="4">
        <v>3</v>
      </c>
      <c r="C1588" t="s">
        <v>552</v>
      </c>
      <c r="D1588" t="s">
        <v>530</v>
      </c>
      <c r="E1588">
        <v>30</v>
      </c>
      <c r="F1588">
        <v>28</v>
      </c>
      <c r="G1588" s="8">
        <f>Lektionen[[#This Row],[Bearbeitungsdauer_real]]/Lektionen[[#This Row],[Bearbeitungsdauer_geschätzt]]-1</f>
        <v>-6.6666666666666652E-2</v>
      </c>
      <c r="H1588" s="8" t="str" cm="1">
        <f t="array" ref="H1588">_xlfn.IFS(Lektionen[[#This Row],[Bearbeitungsdauer_abgewichen]]&gt;0.6,"viel länger",Lektionen[[#This Row],[Bearbeitungsdauer_abgewichen]]&gt;0.3,"länger",Lektionen[[#This Row],[Bearbeitungsdauer_abgewichen]]&lt;-0.3,"kürzer",TRUE,"keine Abweichung")</f>
        <v>keine Abweichung</v>
      </c>
      <c r="I1588">
        <v>3</v>
      </c>
    </row>
    <row r="1589" spans="1:9" hidden="1" x14ac:dyDescent="0.3">
      <c r="A1589" s="13">
        <v>248</v>
      </c>
      <c r="B1589" s="4">
        <v>4</v>
      </c>
      <c r="C1589" t="s">
        <v>531</v>
      </c>
      <c r="D1589" t="s">
        <v>530</v>
      </c>
      <c r="E1589">
        <v>30</v>
      </c>
      <c r="F1589">
        <v>21</v>
      </c>
      <c r="G1589" s="8">
        <f>Lektionen[[#This Row],[Bearbeitungsdauer_real]]/Lektionen[[#This Row],[Bearbeitungsdauer_geschätzt]]-1</f>
        <v>-0.30000000000000004</v>
      </c>
      <c r="H1589" s="8" t="str" cm="1">
        <f t="array" ref="H1589">_xlfn.IFS(Lektionen[[#This Row],[Bearbeitungsdauer_abgewichen]]&gt;0.6,"viel länger",Lektionen[[#This Row],[Bearbeitungsdauer_abgewichen]]&gt;0.3,"länger",Lektionen[[#This Row],[Bearbeitungsdauer_abgewichen]]&lt;-0.3,"kürzer",TRUE,"keine Abweichung")</f>
        <v>keine Abweichung</v>
      </c>
      <c r="I1589">
        <v>3</v>
      </c>
    </row>
    <row r="1590" spans="1:9" x14ac:dyDescent="0.3">
      <c r="A1590" s="13">
        <v>248</v>
      </c>
      <c r="B1590" s="4">
        <v>5</v>
      </c>
      <c r="C1590" t="s">
        <v>532</v>
      </c>
      <c r="D1590" t="s">
        <v>530</v>
      </c>
      <c r="E1590">
        <v>30</v>
      </c>
      <c r="F1590">
        <v>47</v>
      </c>
      <c r="G1590" s="8">
        <f>Lektionen[[#This Row],[Bearbeitungsdauer_real]]/Lektionen[[#This Row],[Bearbeitungsdauer_geschätzt]]-1</f>
        <v>0.56666666666666665</v>
      </c>
      <c r="H1590" s="8" t="str" cm="1">
        <f t="array" ref="H1590">_xlfn.IFS(Lektionen[[#This Row],[Bearbeitungsdauer_abgewichen]]&gt;0.6,"viel länger",Lektionen[[#This Row],[Bearbeitungsdauer_abgewichen]]&gt;0.3,"länger",Lektionen[[#This Row],[Bearbeitungsdauer_abgewichen]]&lt;-0.3,"kürzer",TRUE,"keine Abweichung")</f>
        <v>länger</v>
      </c>
      <c r="I1590">
        <v>3</v>
      </c>
    </row>
    <row r="1591" spans="1:9" hidden="1" x14ac:dyDescent="0.3">
      <c r="A1591" s="13">
        <v>248</v>
      </c>
      <c r="B1591" s="4">
        <v>6</v>
      </c>
      <c r="C1591" t="s">
        <v>533</v>
      </c>
      <c r="D1591" t="s">
        <v>534</v>
      </c>
      <c r="E1591">
        <v>5</v>
      </c>
      <c r="F1591">
        <v>3</v>
      </c>
      <c r="G1591" s="8">
        <f>Lektionen[[#This Row],[Bearbeitungsdauer_real]]/Lektionen[[#This Row],[Bearbeitungsdauer_geschätzt]]-1</f>
        <v>-0.4</v>
      </c>
      <c r="H1591" s="8" t="str" cm="1">
        <f t="array" ref="H1591">_xlfn.IFS(Lektionen[[#This Row],[Bearbeitungsdauer_abgewichen]]&gt;0.6,"viel länger",Lektionen[[#This Row],[Bearbeitungsdauer_abgewichen]]&gt;0.3,"länger",Lektionen[[#This Row],[Bearbeitungsdauer_abgewichen]]&lt;-0.3,"kürzer",TRUE,"keine Abweichung")</f>
        <v>kürzer</v>
      </c>
      <c r="I1591">
        <v>2</v>
      </c>
    </row>
    <row r="1592" spans="1:9" hidden="1" x14ac:dyDescent="0.3">
      <c r="A1592" s="13">
        <v>248</v>
      </c>
      <c r="B1592" s="4">
        <v>7</v>
      </c>
      <c r="C1592" t="s">
        <v>535</v>
      </c>
      <c r="D1592" t="s">
        <v>536</v>
      </c>
      <c r="E1592">
        <v>10</v>
      </c>
      <c r="F1592">
        <v>11</v>
      </c>
      <c r="G1592" s="8">
        <f>Lektionen[[#This Row],[Bearbeitungsdauer_real]]/Lektionen[[#This Row],[Bearbeitungsdauer_geschätzt]]-1</f>
        <v>0.10000000000000009</v>
      </c>
      <c r="H1592" s="8" t="str" cm="1">
        <f t="array" ref="H1592">_xlfn.IFS(Lektionen[[#This Row],[Bearbeitungsdauer_abgewichen]]&gt;0.6,"viel länger",Lektionen[[#This Row],[Bearbeitungsdauer_abgewichen]]&gt;0.3,"länger",Lektionen[[#This Row],[Bearbeitungsdauer_abgewichen]]&lt;-0.3,"kürzer",TRUE,"keine Abweichung")</f>
        <v>keine Abweichung</v>
      </c>
      <c r="I1592">
        <v>3</v>
      </c>
    </row>
    <row r="1593" spans="1:9" hidden="1" x14ac:dyDescent="0.3">
      <c r="A1593" s="13">
        <v>248</v>
      </c>
      <c r="B1593" s="4">
        <v>8</v>
      </c>
      <c r="C1593" t="s">
        <v>537</v>
      </c>
      <c r="D1593" t="s">
        <v>527</v>
      </c>
      <c r="E1593">
        <v>5</v>
      </c>
      <c r="F1593">
        <v>5</v>
      </c>
      <c r="G1593" s="8">
        <f>Lektionen[[#This Row],[Bearbeitungsdauer_real]]/Lektionen[[#This Row],[Bearbeitungsdauer_geschätzt]]-1</f>
        <v>0</v>
      </c>
      <c r="H1593" s="8" t="str" cm="1">
        <f t="array" ref="H1593">_xlfn.IFS(Lektionen[[#This Row],[Bearbeitungsdauer_abgewichen]]&gt;0.6,"viel länger",Lektionen[[#This Row],[Bearbeitungsdauer_abgewichen]]&gt;0.3,"länger",Lektionen[[#This Row],[Bearbeitungsdauer_abgewichen]]&lt;-0.3,"kürzer",TRUE,"keine Abweichung")</f>
        <v>keine Abweichung</v>
      </c>
      <c r="I1593">
        <v>1</v>
      </c>
    </row>
    <row r="1594" spans="1:9" hidden="1" x14ac:dyDescent="0.3">
      <c r="A1594" s="13">
        <v>249</v>
      </c>
      <c r="B1594" s="4">
        <v>1</v>
      </c>
      <c r="C1594" t="s">
        <v>526</v>
      </c>
      <c r="D1594" t="s">
        <v>527</v>
      </c>
      <c r="E1594">
        <v>4</v>
      </c>
      <c r="F1594">
        <v>4</v>
      </c>
      <c r="G1594" s="8">
        <f>Lektionen[[#This Row],[Bearbeitungsdauer_real]]/Lektionen[[#This Row],[Bearbeitungsdauer_geschätzt]]-1</f>
        <v>0</v>
      </c>
      <c r="H1594" s="8" t="str" cm="1">
        <f t="array" ref="H1594">_xlfn.IFS(Lektionen[[#This Row],[Bearbeitungsdauer_abgewichen]]&gt;0.6,"viel länger",Lektionen[[#This Row],[Bearbeitungsdauer_abgewichen]]&gt;0.3,"länger",Lektionen[[#This Row],[Bearbeitungsdauer_abgewichen]]&lt;-0.3,"kürzer",TRUE,"keine Abweichung")</f>
        <v>keine Abweichung</v>
      </c>
      <c r="I1594">
        <v>1</v>
      </c>
    </row>
    <row r="1595" spans="1:9" hidden="1" x14ac:dyDescent="0.3">
      <c r="A1595" s="13">
        <v>249</v>
      </c>
      <c r="B1595" s="4">
        <v>2</v>
      </c>
      <c r="C1595" t="s">
        <v>528</v>
      </c>
      <c r="D1595" t="s">
        <v>529</v>
      </c>
      <c r="E1595">
        <v>15</v>
      </c>
      <c r="F1595">
        <v>17</v>
      </c>
      <c r="G1595" s="8">
        <f>Lektionen[[#This Row],[Bearbeitungsdauer_real]]/Lektionen[[#This Row],[Bearbeitungsdauer_geschätzt]]-1</f>
        <v>0.1333333333333333</v>
      </c>
      <c r="H1595" s="8" t="str" cm="1">
        <f t="array" ref="H1595">_xlfn.IFS(Lektionen[[#This Row],[Bearbeitungsdauer_abgewichen]]&gt;0.6,"viel länger",Lektionen[[#This Row],[Bearbeitungsdauer_abgewichen]]&gt;0.3,"länger",Lektionen[[#This Row],[Bearbeitungsdauer_abgewichen]]&lt;-0.3,"kürzer",TRUE,"keine Abweichung")</f>
        <v>keine Abweichung</v>
      </c>
      <c r="I1595">
        <v>1</v>
      </c>
    </row>
    <row r="1596" spans="1:9" hidden="1" x14ac:dyDescent="0.3">
      <c r="A1596" s="13">
        <v>249</v>
      </c>
      <c r="B1596" s="4">
        <v>3</v>
      </c>
      <c r="C1596" t="s">
        <v>552</v>
      </c>
      <c r="D1596" t="s">
        <v>530</v>
      </c>
      <c r="E1596">
        <v>30</v>
      </c>
      <c r="F1596">
        <v>28</v>
      </c>
      <c r="G1596" s="8">
        <f>Lektionen[[#This Row],[Bearbeitungsdauer_real]]/Lektionen[[#This Row],[Bearbeitungsdauer_geschätzt]]-1</f>
        <v>-6.6666666666666652E-2</v>
      </c>
      <c r="H1596" s="8" t="str" cm="1">
        <f t="array" ref="H1596">_xlfn.IFS(Lektionen[[#This Row],[Bearbeitungsdauer_abgewichen]]&gt;0.6,"viel länger",Lektionen[[#This Row],[Bearbeitungsdauer_abgewichen]]&gt;0.3,"länger",Lektionen[[#This Row],[Bearbeitungsdauer_abgewichen]]&lt;-0.3,"kürzer",TRUE,"keine Abweichung")</f>
        <v>keine Abweichung</v>
      </c>
      <c r="I1596">
        <v>3</v>
      </c>
    </row>
    <row r="1597" spans="1:9" hidden="1" x14ac:dyDescent="0.3">
      <c r="A1597" s="13">
        <v>249</v>
      </c>
      <c r="B1597" s="4">
        <v>4</v>
      </c>
      <c r="C1597" t="s">
        <v>531</v>
      </c>
      <c r="D1597" t="s">
        <v>530</v>
      </c>
      <c r="E1597">
        <v>30</v>
      </c>
      <c r="F1597">
        <v>31</v>
      </c>
      <c r="G1597" s="8">
        <f>Lektionen[[#This Row],[Bearbeitungsdauer_real]]/Lektionen[[#This Row],[Bearbeitungsdauer_geschätzt]]-1</f>
        <v>3.3333333333333437E-2</v>
      </c>
      <c r="H1597" s="8" t="str" cm="1">
        <f t="array" ref="H1597">_xlfn.IFS(Lektionen[[#This Row],[Bearbeitungsdauer_abgewichen]]&gt;0.6,"viel länger",Lektionen[[#This Row],[Bearbeitungsdauer_abgewichen]]&gt;0.3,"länger",Lektionen[[#This Row],[Bearbeitungsdauer_abgewichen]]&lt;-0.3,"kürzer",TRUE,"keine Abweichung")</f>
        <v>keine Abweichung</v>
      </c>
      <c r="I1597">
        <v>4</v>
      </c>
    </row>
    <row r="1598" spans="1:9" x14ac:dyDescent="0.3">
      <c r="A1598" s="13">
        <v>249</v>
      </c>
      <c r="B1598" s="4">
        <v>5</v>
      </c>
      <c r="C1598" t="s">
        <v>532</v>
      </c>
      <c r="D1598" t="s">
        <v>530</v>
      </c>
      <c r="E1598">
        <v>30</v>
      </c>
      <c r="F1598">
        <v>44</v>
      </c>
      <c r="G1598" s="8">
        <f>Lektionen[[#This Row],[Bearbeitungsdauer_real]]/Lektionen[[#This Row],[Bearbeitungsdauer_geschätzt]]-1</f>
        <v>0.46666666666666656</v>
      </c>
      <c r="H1598" s="8" t="str" cm="1">
        <f t="array" ref="H1598">_xlfn.IFS(Lektionen[[#This Row],[Bearbeitungsdauer_abgewichen]]&gt;0.6,"viel länger",Lektionen[[#This Row],[Bearbeitungsdauer_abgewichen]]&gt;0.3,"länger",Lektionen[[#This Row],[Bearbeitungsdauer_abgewichen]]&lt;-0.3,"kürzer",TRUE,"keine Abweichung")</f>
        <v>länger</v>
      </c>
      <c r="I1598">
        <v>3</v>
      </c>
    </row>
    <row r="1599" spans="1:9" hidden="1" x14ac:dyDescent="0.3">
      <c r="A1599" s="13">
        <v>249</v>
      </c>
      <c r="B1599" s="4">
        <v>6</v>
      </c>
      <c r="C1599" t="s">
        <v>533</v>
      </c>
      <c r="D1599" t="s">
        <v>534</v>
      </c>
      <c r="E1599">
        <v>5</v>
      </c>
      <c r="F1599">
        <v>1</v>
      </c>
      <c r="G1599" s="8">
        <f>Lektionen[[#This Row],[Bearbeitungsdauer_real]]/Lektionen[[#This Row],[Bearbeitungsdauer_geschätzt]]-1</f>
        <v>-0.8</v>
      </c>
      <c r="H1599" s="8" t="str" cm="1">
        <f t="array" ref="H1599">_xlfn.IFS(Lektionen[[#This Row],[Bearbeitungsdauer_abgewichen]]&gt;0.6,"viel länger",Lektionen[[#This Row],[Bearbeitungsdauer_abgewichen]]&gt;0.3,"länger",Lektionen[[#This Row],[Bearbeitungsdauer_abgewichen]]&lt;-0.3,"kürzer",TRUE,"keine Abweichung")</f>
        <v>kürzer</v>
      </c>
      <c r="I1599">
        <v>3</v>
      </c>
    </row>
    <row r="1600" spans="1:9" hidden="1" x14ac:dyDescent="0.3">
      <c r="A1600" s="13">
        <v>249</v>
      </c>
      <c r="B1600" s="4">
        <v>7</v>
      </c>
      <c r="C1600" t="s">
        <v>535</v>
      </c>
      <c r="D1600" t="s">
        <v>536</v>
      </c>
      <c r="E1600">
        <v>10</v>
      </c>
      <c r="F1600">
        <v>10</v>
      </c>
      <c r="G1600" s="8">
        <f>Lektionen[[#This Row],[Bearbeitungsdauer_real]]/Lektionen[[#This Row],[Bearbeitungsdauer_geschätzt]]-1</f>
        <v>0</v>
      </c>
      <c r="H1600" s="8" t="str" cm="1">
        <f t="array" ref="H1600">_xlfn.IFS(Lektionen[[#This Row],[Bearbeitungsdauer_abgewichen]]&gt;0.6,"viel länger",Lektionen[[#This Row],[Bearbeitungsdauer_abgewichen]]&gt;0.3,"länger",Lektionen[[#This Row],[Bearbeitungsdauer_abgewichen]]&lt;-0.3,"kürzer",TRUE,"keine Abweichung")</f>
        <v>keine Abweichung</v>
      </c>
      <c r="I1600">
        <v>3</v>
      </c>
    </row>
    <row r="1601" spans="1:9" hidden="1" x14ac:dyDescent="0.3">
      <c r="A1601" s="13">
        <v>249</v>
      </c>
      <c r="B1601" s="4">
        <v>8</v>
      </c>
      <c r="C1601" t="s">
        <v>537</v>
      </c>
      <c r="D1601" t="s">
        <v>527</v>
      </c>
      <c r="E1601">
        <v>5</v>
      </c>
      <c r="F1601">
        <v>7</v>
      </c>
      <c r="G1601" s="8">
        <f>Lektionen[[#This Row],[Bearbeitungsdauer_real]]/Lektionen[[#This Row],[Bearbeitungsdauer_geschätzt]]-1</f>
        <v>0.39999999999999991</v>
      </c>
      <c r="H1601" s="8" t="str" cm="1">
        <f t="array" ref="H1601">_xlfn.IFS(Lektionen[[#This Row],[Bearbeitungsdauer_abgewichen]]&gt;0.6,"viel länger",Lektionen[[#This Row],[Bearbeitungsdauer_abgewichen]]&gt;0.3,"länger",Lektionen[[#This Row],[Bearbeitungsdauer_abgewichen]]&lt;-0.3,"kürzer",TRUE,"keine Abweichung")</f>
        <v>länger</v>
      </c>
      <c r="I1601">
        <v>1</v>
      </c>
    </row>
    <row r="1602" spans="1:9" hidden="1" x14ac:dyDescent="0.3">
      <c r="A1602" s="13">
        <v>251</v>
      </c>
      <c r="B1602" s="4">
        <v>1</v>
      </c>
      <c r="C1602" t="s">
        <v>526</v>
      </c>
      <c r="D1602" t="s">
        <v>527</v>
      </c>
      <c r="E1602">
        <v>4</v>
      </c>
      <c r="F1602">
        <v>7</v>
      </c>
      <c r="G1602" s="8">
        <f>Lektionen[[#This Row],[Bearbeitungsdauer_real]]/Lektionen[[#This Row],[Bearbeitungsdauer_geschätzt]]-1</f>
        <v>0.75</v>
      </c>
      <c r="H1602" s="8" t="str" cm="1">
        <f t="array" ref="H1602">_xlfn.IFS(Lektionen[[#This Row],[Bearbeitungsdauer_abgewichen]]&gt;0.6,"viel länger",Lektionen[[#This Row],[Bearbeitungsdauer_abgewichen]]&gt;0.3,"länger",Lektionen[[#This Row],[Bearbeitungsdauer_abgewichen]]&lt;-0.3,"kürzer",TRUE,"keine Abweichung")</f>
        <v>viel länger</v>
      </c>
      <c r="I1602">
        <v>1</v>
      </c>
    </row>
    <row r="1603" spans="1:9" hidden="1" x14ac:dyDescent="0.3">
      <c r="A1603" s="13">
        <v>251</v>
      </c>
      <c r="B1603" s="4">
        <v>2</v>
      </c>
      <c r="C1603" t="s">
        <v>528</v>
      </c>
      <c r="D1603" t="s">
        <v>529</v>
      </c>
      <c r="E1603">
        <v>15</v>
      </c>
      <c r="F1603">
        <v>19</v>
      </c>
      <c r="G1603" s="8">
        <f>Lektionen[[#This Row],[Bearbeitungsdauer_real]]/Lektionen[[#This Row],[Bearbeitungsdauer_geschätzt]]-1</f>
        <v>0.26666666666666661</v>
      </c>
      <c r="H1603" s="8" t="str" cm="1">
        <f t="array" ref="H1603">_xlfn.IFS(Lektionen[[#This Row],[Bearbeitungsdauer_abgewichen]]&gt;0.6,"viel länger",Lektionen[[#This Row],[Bearbeitungsdauer_abgewichen]]&gt;0.3,"länger",Lektionen[[#This Row],[Bearbeitungsdauer_abgewichen]]&lt;-0.3,"kürzer",TRUE,"keine Abweichung")</f>
        <v>keine Abweichung</v>
      </c>
      <c r="I1603">
        <v>2</v>
      </c>
    </row>
    <row r="1604" spans="1:9" hidden="1" x14ac:dyDescent="0.3">
      <c r="A1604" s="13">
        <v>251</v>
      </c>
      <c r="B1604" s="4">
        <v>3</v>
      </c>
      <c r="C1604" t="s">
        <v>552</v>
      </c>
      <c r="D1604" t="s">
        <v>530</v>
      </c>
      <c r="E1604">
        <v>30</v>
      </c>
      <c r="F1604">
        <v>30</v>
      </c>
      <c r="G1604" s="8">
        <f>Lektionen[[#This Row],[Bearbeitungsdauer_real]]/Lektionen[[#This Row],[Bearbeitungsdauer_geschätzt]]-1</f>
        <v>0</v>
      </c>
      <c r="H1604" s="8" t="str" cm="1">
        <f t="array" ref="H1604">_xlfn.IFS(Lektionen[[#This Row],[Bearbeitungsdauer_abgewichen]]&gt;0.6,"viel länger",Lektionen[[#This Row],[Bearbeitungsdauer_abgewichen]]&gt;0.3,"länger",Lektionen[[#This Row],[Bearbeitungsdauer_abgewichen]]&lt;-0.3,"kürzer",TRUE,"keine Abweichung")</f>
        <v>keine Abweichung</v>
      </c>
      <c r="I1604">
        <v>3</v>
      </c>
    </row>
    <row r="1605" spans="1:9" hidden="1" x14ac:dyDescent="0.3">
      <c r="A1605" s="13">
        <v>251</v>
      </c>
      <c r="B1605" s="4">
        <v>4</v>
      </c>
      <c r="C1605" t="s">
        <v>531</v>
      </c>
      <c r="D1605" t="s">
        <v>530</v>
      </c>
      <c r="E1605">
        <v>30</v>
      </c>
      <c r="F1605">
        <v>26</v>
      </c>
      <c r="G1605" s="8">
        <f>Lektionen[[#This Row],[Bearbeitungsdauer_real]]/Lektionen[[#This Row],[Bearbeitungsdauer_geschätzt]]-1</f>
        <v>-0.1333333333333333</v>
      </c>
      <c r="H1605" s="8" t="str" cm="1">
        <f t="array" ref="H1605">_xlfn.IFS(Lektionen[[#This Row],[Bearbeitungsdauer_abgewichen]]&gt;0.6,"viel länger",Lektionen[[#This Row],[Bearbeitungsdauer_abgewichen]]&gt;0.3,"länger",Lektionen[[#This Row],[Bearbeitungsdauer_abgewichen]]&lt;-0.3,"kürzer",TRUE,"keine Abweichung")</f>
        <v>keine Abweichung</v>
      </c>
      <c r="I1605">
        <v>2</v>
      </c>
    </row>
    <row r="1606" spans="1:9" x14ac:dyDescent="0.3">
      <c r="A1606" s="13">
        <v>251</v>
      </c>
      <c r="B1606" s="4">
        <v>5</v>
      </c>
      <c r="C1606" t="s">
        <v>532</v>
      </c>
      <c r="D1606" t="s">
        <v>530</v>
      </c>
      <c r="E1606">
        <v>30</v>
      </c>
      <c r="F1606">
        <v>50</v>
      </c>
      <c r="G1606" s="8">
        <f>Lektionen[[#This Row],[Bearbeitungsdauer_real]]/Lektionen[[#This Row],[Bearbeitungsdauer_geschätzt]]-1</f>
        <v>0.66666666666666674</v>
      </c>
      <c r="H1606" s="8" t="str" cm="1">
        <f t="array" ref="H1606">_xlfn.IFS(Lektionen[[#This Row],[Bearbeitungsdauer_abgewichen]]&gt;0.6,"viel länger",Lektionen[[#This Row],[Bearbeitungsdauer_abgewichen]]&gt;0.3,"länger",Lektionen[[#This Row],[Bearbeitungsdauer_abgewichen]]&lt;-0.3,"kürzer",TRUE,"keine Abweichung")</f>
        <v>viel länger</v>
      </c>
      <c r="I1606">
        <v>4</v>
      </c>
    </row>
    <row r="1607" spans="1:9" hidden="1" x14ac:dyDescent="0.3">
      <c r="A1607" s="13">
        <v>251</v>
      </c>
      <c r="B1607" s="4">
        <v>6</v>
      </c>
      <c r="C1607" t="s">
        <v>533</v>
      </c>
      <c r="D1607" t="s">
        <v>534</v>
      </c>
      <c r="E1607">
        <v>5</v>
      </c>
      <c r="F1607">
        <v>2</v>
      </c>
      <c r="G1607" s="8">
        <f>Lektionen[[#This Row],[Bearbeitungsdauer_real]]/Lektionen[[#This Row],[Bearbeitungsdauer_geschätzt]]-1</f>
        <v>-0.6</v>
      </c>
      <c r="H1607" s="8" t="str" cm="1">
        <f t="array" ref="H1607">_xlfn.IFS(Lektionen[[#This Row],[Bearbeitungsdauer_abgewichen]]&gt;0.6,"viel länger",Lektionen[[#This Row],[Bearbeitungsdauer_abgewichen]]&gt;0.3,"länger",Lektionen[[#This Row],[Bearbeitungsdauer_abgewichen]]&lt;-0.3,"kürzer",TRUE,"keine Abweichung")</f>
        <v>kürzer</v>
      </c>
      <c r="I1607">
        <v>1</v>
      </c>
    </row>
    <row r="1608" spans="1:9" hidden="1" x14ac:dyDescent="0.3">
      <c r="A1608" s="13">
        <v>251</v>
      </c>
      <c r="B1608" s="4">
        <v>7</v>
      </c>
      <c r="C1608" t="s">
        <v>535</v>
      </c>
      <c r="D1608" t="s">
        <v>536</v>
      </c>
      <c r="E1608">
        <v>10</v>
      </c>
      <c r="F1608">
        <v>11</v>
      </c>
      <c r="G1608" s="8">
        <f>Lektionen[[#This Row],[Bearbeitungsdauer_real]]/Lektionen[[#This Row],[Bearbeitungsdauer_geschätzt]]-1</f>
        <v>0.10000000000000009</v>
      </c>
      <c r="H1608" s="8" t="str" cm="1">
        <f t="array" ref="H1608">_xlfn.IFS(Lektionen[[#This Row],[Bearbeitungsdauer_abgewichen]]&gt;0.6,"viel länger",Lektionen[[#This Row],[Bearbeitungsdauer_abgewichen]]&gt;0.3,"länger",Lektionen[[#This Row],[Bearbeitungsdauer_abgewichen]]&lt;-0.3,"kürzer",TRUE,"keine Abweichung")</f>
        <v>keine Abweichung</v>
      </c>
      <c r="I1608">
        <v>3</v>
      </c>
    </row>
    <row r="1609" spans="1:9" hidden="1" x14ac:dyDescent="0.3">
      <c r="A1609" s="13">
        <v>251</v>
      </c>
      <c r="B1609" s="4">
        <v>8</v>
      </c>
      <c r="C1609" t="s">
        <v>537</v>
      </c>
      <c r="D1609" t="s">
        <v>527</v>
      </c>
      <c r="E1609">
        <v>5</v>
      </c>
      <c r="F1609">
        <v>5</v>
      </c>
      <c r="G1609" s="8">
        <f>Lektionen[[#This Row],[Bearbeitungsdauer_real]]/Lektionen[[#This Row],[Bearbeitungsdauer_geschätzt]]-1</f>
        <v>0</v>
      </c>
      <c r="H1609" s="8" t="str" cm="1">
        <f t="array" ref="H1609">_xlfn.IFS(Lektionen[[#This Row],[Bearbeitungsdauer_abgewichen]]&gt;0.6,"viel länger",Lektionen[[#This Row],[Bearbeitungsdauer_abgewichen]]&gt;0.3,"länger",Lektionen[[#This Row],[Bearbeitungsdauer_abgewichen]]&lt;-0.3,"kürzer",TRUE,"keine Abweichung")</f>
        <v>keine Abweichung</v>
      </c>
      <c r="I1609">
        <v>1</v>
      </c>
    </row>
    <row r="1610" spans="1:9" hidden="1" x14ac:dyDescent="0.3">
      <c r="A1610" s="13">
        <v>252</v>
      </c>
      <c r="B1610" s="4">
        <v>1</v>
      </c>
      <c r="C1610" t="s">
        <v>526</v>
      </c>
      <c r="D1610" t="s">
        <v>527</v>
      </c>
      <c r="E1610">
        <v>4</v>
      </c>
      <c r="F1610">
        <v>4</v>
      </c>
      <c r="G1610" s="8">
        <f>Lektionen[[#This Row],[Bearbeitungsdauer_real]]/Lektionen[[#This Row],[Bearbeitungsdauer_geschätzt]]-1</f>
        <v>0</v>
      </c>
      <c r="H1610" s="8" t="str" cm="1">
        <f t="array" ref="H1610">_xlfn.IFS(Lektionen[[#This Row],[Bearbeitungsdauer_abgewichen]]&gt;0.6,"viel länger",Lektionen[[#This Row],[Bearbeitungsdauer_abgewichen]]&gt;0.3,"länger",Lektionen[[#This Row],[Bearbeitungsdauer_abgewichen]]&lt;-0.3,"kürzer",TRUE,"keine Abweichung")</f>
        <v>keine Abweichung</v>
      </c>
      <c r="I1610">
        <v>1</v>
      </c>
    </row>
    <row r="1611" spans="1:9" hidden="1" x14ac:dyDescent="0.3">
      <c r="A1611" s="13">
        <v>252</v>
      </c>
      <c r="B1611" s="4">
        <v>2</v>
      </c>
      <c r="C1611" t="s">
        <v>528</v>
      </c>
      <c r="D1611" t="s">
        <v>529</v>
      </c>
      <c r="E1611">
        <v>15</v>
      </c>
      <c r="F1611">
        <v>18</v>
      </c>
      <c r="G1611" s="8">
        <f>Lektionen[[#This Row],[Bearbeitungsdauer_real]]/Lektionen[[#This Row],[Bearbeitungsdauer_geschätzt]]-1</f>
        <v>0.19999999999999996</v>
      </c>
      <c r="H1611" s="8" t="str" cm="1">
        <f t="array" ref="H1611">_xlfn.IFS(Lektionen[[#This Row],[Bearbeitungsdauer_abgewichen]]&gt;0.6,"viel länger",Lektionen[[#This Row],[Bearbeitungsdauer_abgewichen]]&gt;0.3,"länger",Lektionen[[#This Row],[Bearbeitungsdauer_abgewichen]]&lt;-0.3,"kürzer",TRUE,"keine Abweichung")</f>
        <v>keine Abweichung</v>
      </c>
      <c r="I1611">
        <v>2</v>
      </c>
    </row>
    <row r="1612" spans="1:9" hidden="1" x14ac:dyDescent="0.3">
      <c r="A1612" s="13">
        <v>252</v>
      </c>
      <c r="B1612" s="4">
        <v>3</v>
      </c>
      <c r="C1612" t="s">
        <v>552</v>
      </c>
      <c r="D1612" t="s">
        <v>530</v>
      </c>
      <c r="E1612">
        <v>30</v>
      </c>
      <c r="F1612">
        <v>27</v>
      </c>
      <c r="G1612" s="8">
        <f>Lektionen[[#This Row],[Bearbeitungsdauer_real]]/Lektionen[[#This Row],[Bearbeitungsdauer_geschätzt]]-1</f>
        <v>-9.9999999999999978E-2</v>
      </c>
      <c r="H1612" s="8" t="str" cm="1">
        <f t="array" ref="H1612">_xlfn.IFS(Lektionen[[#This Row],[Bearbeitungsdauer_abgewichen]]&gt;0.6,"viel länger",Lektionen[[#This Row],[Bearbeitungsdauer_abgewichen]]&gt;0.3,"länger",Lektionen[[#This Row],[Bearbeitungsdauer_abgewichen]]&lt;-0.3,"kürzer",TRUE,"keine Abweichung")</f>
        <v>keine Abweichung</v>
      </c>
      <c r="I1612">
        <v>3</v>
      </c>
    </row>
    <row r="1613" spans="1:9" hidden="1" x14ac:dyDescent="0.3">
      <c r="A1613" s="13">
        <v>252</v>
      </c>
      <c r="B1613" s="4">
        <v>4</v>
      </c>
      <c r="C1613" t="s">
        <v>531</v>
      </c>
      <c r="D1613" t="s">
        <v>530</v>
      </c>
      <c r="E1613">
        <v>30</v>
      </c>
      <c r="F1613">
        <v>24</v>
      </c>
      <c r="G1613" s="8">
        <f>Lektionen[[#This Row],[Bearbeitungsdauer_real]]/Lektionen[[#This Row],[Bearbeitungsdauer_geschätzt]]-1</f>
        <v>-0.19999999999999996</v>
      </c>
      <c r="H1613" s="8" t="str" cm="1">
        <f t="array" ref="H1613">_xlfn.IFS(Lektionen[[#This Row],[Bearbeitungsdauer_abgewichen]]&gt;0.6,"viel länger",Lektionen[[#This Row],[Bearbeitungsdauer_abgewichen]]&gt;0.3,"länger",Lektionen[[#This Row],[Bearbeitungsdauer_abgewichen]]&lt;-0.3,"kürzer",TRUE,"keine Abweichung")</f>
        <v>keine Abweichung</v>
      </c>
      <c r="I1613">
        <v>3</v>
      </c>
    </row>
    <row r="1614" spans="1:9" x14ac:dyDescent="0.3">
      <c r="A1614" s="13">
        <v>252</v>
      </c>
      <c r="B1614" s="4">
        <v>5</v>
      </c>
      <c r="C1614" t="s">
        <v>532</v>
      </c>
      <c r="D1614" t="s">
        <v>530</v>
      </c>
      <c r="E1614">
        <v>30</v>
      </c>
      <c r="F1614">
        <v>45</v>
      </c>
      <c r="G1614" s="8">
        <f>Lektionen[[#This Row],[Bearbeitungsdauer_real]]/Lektionen[[#This Row],[Bearbeitungsdauer_geschätzt]]-1</f>
        <v>0.5</v>
      </c>
      <c r="H1614" s="8" t="str" cm="1">
        <f t="array" ref="H1614">_xlfn.IFS(Lektionen[[#This Row],[Bearbeitungsdauer_abgewichen]]&gt;0.6,"viel länger",Lektionen[[#This Row],[Bearbeitungsdauer_abgewichen]]&gt;0.3,"länger",Lektionen[[#This Row],[Bearbeitungsdauer_abgewichen]]&lt;-0.3,"kürzer",TRUE,"keine Abweichung")</f>
        <v>länger</v>
      </c>
      <c r="I1614">
        <v>3</v>
      </c>
    </row>
    <row r="1615" spans="1:9" hidden="1" x14ac:dyDescent="0.3">
      <c r="A1615" s="13">
        <v>252</v>
      </c>
      <c r="B1615" s="4">
        <v>6</v>
      </c>
      <c r="C1615" t="s">
        <v>533</v>
      </c>
      <c r="D1615" t="s">
        <v>534</v>
      </c>
      <c r="E1615">
        <v>5</v>
      </c>
      <c r="F1615">
        <v>3</v>
      </c>
      <c r="G1615" s="8">
        <f>Lektionen[[#This Row],[Bearbeitungsdauer_real]]/Lektionen[[#This Row],[Bearbeitungsdauer_geschätzt]]-1</f>
        <v>-0.4</v>
      </c>
      <c r="H1615" s="8" t="str" cm="1">
        <f t="array" ref="H1615">_xlfn.IFS(Lektionen[[#This Row],[Bearbeitungsdauer_abgewichen]]&gt;0.6,"viel länger",Lektionen[[#This Row],[Bearbeitungsdauer_abgewichen]]&gt;0.3,"länger",Lektionen[[#This Row],[Bearbeitungsdauer_abgewichen]]&lt;-0.3,"kürzer",TRUE,"keine Abweichung")</f>
        <v>kürzer</v>
      </c>
      <c r="I1615">
        <v>1</v>
      </c>
    </row>
    <row r="1616" spans="1:9" hidden="1" x14ac:dyDescent="0.3">
      <c r="A1616" s="13">
        <v>252</v>
      </c>
      <c r="B1616" s="4">
        <v>7</v>
      </c>
      <c r="C1616" t="s">
        <v>535</v>
      </c>
      <c r="D1616" t="s">
        <v>536</v>
      </c>
      <c r="E1616">
        <v>10</v>
      </c>
      <c r="F1616">
        <v>10</v>
      </c>
      <c r="G1616" s="8">
        <f>Lektionen[[#This Row],[Bearbeitungsdauer_real]]/Lektionen[[#This Row],[Bearbeitungsdauer_geschätzt]]-1</f>
        <v>0</v>
      </c>
      <c r="H1616" s="8" t="str" cm="1">
        <f t="array" ref="H1616">_xlfn.IFS(Lektionen[[#This Row],[Bearbeitungsdauer_abgewichen]]&gt;0.6,"viel länger",Lektionen[[#This Row],[Bearbeitungsdauer_abgewichen]]&gt;0.3,"länger",Lektionen[[#This Row],[Bearbeitungsdauer_abgewichen]]&lt;-0.3,"kürzer",TRUE,"keine Abweichung")</f>
        <v>keine Abweichung</v>
      </c>
      <c r="I1616">
        <v>3</v>
      </c>
    </row>
    <row r="1617" spans="1:9" hidden="1" x14ac:dyDescent="0.3">
      <c r="A1617" s="13">
        <v>252</v>
      </c>
      <c r="B1617" s="4">
        <v>8</v>
      </c>
      <c r="C1617" t="s">
        <v>537</v>
      </c>
      <c r="D1617" t="s">
        <v>527</v>
      </c>
      <c r="E1617">
        <v>5</v>
      </c>
      <c r="F1617">
        <v>5</v>
      </c>
      <c r="G1617" s="8">
        <f>Lektionen[[#This Row],[Bearbeitungsdauer_real]]/Lektionen[[#This Row],[Bearbeitungsdauer_geschätzt]]-1</f>
        <v>0</v>
      </c>
      <c r="H1617" s="8" t="str" cm="1">
        <f t="array" ref="H1617">_xlfn.IFS(Lektionen[[#This Row],[Bearbeitungsdauer_abgewichen]]&gt;0.6,"viel länger",Lektionen[[#This Row],[Bearbeitungsdauer_abgewichen]]&gt;0.3,"länger",Lektionen[[#This Row],[Bearbeitungsdauer_abgewichen]]&lt;-0.3,"kürzer",TRUE,"keine Abweichung")</f>
        <v>keine Abweichung</v>
      </c>
      <c r="I1617">
        <v>1</v>
      </c>
    </row>
    <row r="1618" spans="1:9" hidden="1" x14ac:dyDescent="0.3">
      <c r="A1618" s="13">
        <v>253</v>
      </c>
      <c r="B1618" s="4">
        <v>1</v>
      </c>
      <c r="C1618" t="s">
        <v>526</v>
      </c>
      <c r="D1618" t="s">
        <v>527</v>
      </c>
      <c r="E1618">
        <v>4</v>
      </c>
      <c r="F1618">
        <v>4</v>
      </c>
      <c r="G1618" s="8">
        <f>Lektionen[[#This Row],[Bearbeitungsdauer_real]]/Lektionen[[#This Row],[Bearbeitungsdauer_geschätzt]]-1</f>
        <v>0</v>
      </c>
      <c r="H1618" s="8" t="str" cm="1">
        <f t="array" ref="H1618">_xlfn.IFS(Lektionen[[#This Row],[Bearbeitungsdauer_abgewichen]]&gt;0.6,"viel länger",Lektionen[[#This Row],[Bearbeitungsdauer_abgewichen]]&gt;0.3,"länger",Lektionen[[#This Row],[Bearbeitungsdauer_abgewichen]]&lt;-0.3,"kürzer",TRUE,"keine Abweichung")</f>
        <v>keine Abweichung</v>
      </c>
      <c r="I1618">
        <v>1</v>
      </c>
    </row>
    <row r="1619" spans="1:9" hidden="1" x14ac:dyDescent="0.3">
      <c r="A1619" s="13">
        <v>253</v>
      </c>
      <c r="B1619" s="4">
        <v>2</v>
      </c>
      <c r="C1619" t="s">
        <v>528</v>
      </c>
      <c r="D1619" t="s">
        <v>529</v>
      </c>
      <c r="E1619">
        <v>15</v>
      </c>
      <c r="F1619">
        <v>20</v>
      </c>
      <c r="G1619" s="8">
        <f>Lektionen[[#This Row],[Bearbeitungsdauer_real]]/Lektionen[[#This Row],[Bearbeitungsdauer_geschätzt]]-1</f>
        <v>0.33333333333333326</v>
      </c>
      <c r="H1619" s="8" t="str" cm="1">
        <f t="array" ref="H1619">_xlfn.IFS(Lektionen[[#This Row],[Bearbeitungsdauer_abgewichen]]&gt;0.6,"viel länger",Lektionen[[#This Row],[Bearbeitungsdauer_abgewichen]]&gt;0.3,"länger",Lektionen[[#This Row],[Bearbeitungsdauer_abgewichen]]&lt;-0.3,"kürzer",TRUE,"keine Abweichung")</f>
        <v>länger</v>
      </c>
      <c r="I1619">
        <v>2</v>
      </c>
    </row>
    <row r="1620" spans="1:9" hidden="1" x14ac:dyDescent="0.3">
      <c r="A1620" s="13">
        <v>253</v>
      </c>
      <c r="B1620" s="4">
        <v>3</v>
      </c>
      <c r="C1620" t="s">
        <v>552</v>
      </c>
      <c r="D1620" t="s">
        <v>530</v>
      </c>
      <c r="E1620">
        <v>30</v>
      </c>
      <c r="F1620">
        <v>28</v>
      </c>
      <c r="G1620" s="8">
        <f>Lektionen[[#This Row],[Bearbeitungsdauer_real]]/Lektionen[[#This Row],[Bearbeitungsdauer_geschätzt]]-1</f>
        <v>-6.6666666666666652E-2</v>
      </c>
      <c r="H1620" s="8" t="str" cm="1">
        <f t="array" ref="H1620">_xlfn.IFS(Lektionen[[#This Row],[Bearbeitungsdauer_abgewichen]]&gt;0.6,"viel länger",Lektionen[[#This Row],[Bearbeitungsdauer_abgewichen]]&gt;0.3,"länger",Lektionen[[#This Row],[Bearbeitungsdauer_abgewichen]]&lt;-0.3,"kürzer",TRUE,"keine Abweichung")</f>
        <v>keine Abweichung</v>
      </c>
      <c r="I1620">
        <v>2</v>
      </c>
    </row>
    <row r="1621" spans="1:9" hidden="1" x14ac:dyDescent="0.3">
      <c r="A1621" s="13">
        <v>253</v>
      </c>
      <c r="B1621" s="4">
        <v>4</v>
      </c>
      <c r="C1621" t="s">
        <v>531</v>
      </c>
      <c r="D1621" t="s">
        <v>530</v>
      </c>
      <c r="E1621">
        <v>30</v>
      </c>
      <c r="F1621">
        <v>35</v>
      </c>
      <c r="G1621" s="8">
        <f>Lektionen[[#This Row],[Bearbeitungsdauer_real]]/Lektionen[[#This Row],[Bearbeitungsdauer_geschätzt]]-1</f>
        <v>0.16666666666666674</v>
      </c>
      <c r="H1621" s="8" t="str" cm="1">
        <f t="array" ref="H1621">_xlfn.IFS(Lektionen[[#This Row],[Bearbeitungsdauer_abgewichen]]&gt;0.6,"viel länger",Lektionen[[#This Row],[Bearbeitungsdauer_abgewichen]]&gt;0.3,"länger",Lektionen[[#This Row],[Bearbeitungsdauer_abgewichen]]&lt;-0.3,"kürzer",TRUE,"keine Abweichung")</f>
        <v>keine Abweichung</v>
      </c>
      <c r="I1621">
        <v>3</v>
      </c>
    </row>
    <row r="1622" spans="1:9" x14ac:dyDescent="0.3">
      <c r="A1622" s="13">
        <v>253</v>
      </c>
      <c r="B1622" s="4">
        <v>5</v>
      </c>
      <c r="C1622" t="s">
        <v>532</v>
      </c>
      <c r="D1622" t="s">
        <v>530</v>
      </c>
      <c r="E1622">
        <v>30</v>
      </c>
      <c r="F1622">
        <v>49</v>
      </c>
      <c r="G1622" s="8">
        <f>Lektionen[[#This Row],[Bearbeitungsdauer_real]]/Lektionen[[#This Row],[Bearbeitungsdauer_geschätzt]]-1</f>
        <v>0.6333333333333333</v>
      </c>
      <c r="H1622" s="8" t="str" cm="1">
        <f t="array" ref="H1622">_xlfn.IFS(Lektionen[[#This Row],[Bearbeitungsdauer_abgewichen]]&gt;0.6,"viel länger",Lektionen[[#This Row],[Bearbeitungsdauer_abgewichen]]&gt;0.3,"länger",Lektionen[[#This Row],[Bearbeitungsdauer_abgewichen]]&lt;-0.3,"kürzer",TRUE,"keine Abweichung")</f>
        <v>viel länger</v>
      </c>
      <c r="I1622">
        <v>4</v>
      </c>
    </row>
    <row r="1623" spans="1:9" hidden="1" x14ac:dyDescent="0.3">
      <c r="A1623" s="13">
        <v>253</v>
      </c>
      <c r="B1623" s="4">
        <v>6</v>
      </c>
      <c r="C1623" t="s">
        <v>533</v>
      </c>
      <c r="D1623" t="s">
        <v>534</v>
      </c>
      <c r="E1623">
        <v>5</v>
      </c>
      <c r="F1623">
        <v>4</v>
      </c>
      <c r="G1623" s="8">
        <f>Lektionen[[#This Row],[Bearbeitungsdauer_real]]/Lektionen[[#This Row],[Bearbeitungsdauer_geschätzt]]-1</f>
        <v>-0.19999999999999996</v>
      </c>
      <c r="H1623" s="8" t="str" cm="1">
        <f t="array" ref="H1623">_xlfn.IFS(Lektionen[[#This Row],[Bearbeitungsdauer_abgewichen]]&gt;0.6,"viel länger",Lektionen[[#This Row],[Bearbeitungsdauer_abgewichen]]&gt;0.3,"länger",Lektionen[[#This Row],[Bearbeitungsdauer_abgewichen]]&lt;-0.3,"kürzer",TRUE,"keine Abweichung")</f>
        <v>keine Abweichung</v>
      </c>
      <c r="I1623">
        <v>3</v>
      </c>
    </row>
    <row r="1624" spans="1:9" hidden="1" x14ac:dyDescent="0.3">
      <c r="A1624" s="13">
        <v>253</v>
      </c>
      <c r="B1624" s="4">
        <v>7</v>
      </c>
      <c r="C1624" t="s">
        <v>535</v>
      </c>
      <c r="D1624" t="s">
        <v>536</v>
      </c>
      <c r="E1624">
        <v>10</v>
      </c>
      <c r="F1624">
        <v>9</v>
      </c>
      <c r="G1624" s="8">
        <f>Lektionen[[#This Row],[Bearbeitungsdauer_real]]/Lektionen[[#This Row],[Bearbeitungsdauer_geschätzt]]-1</f>
        <v>-9.9999999999999978E-2</v>
      </c>
      <c r="H1624" s="8" t="str" cm="1">
        <f t="array" ref="H1624">_xlfn.IFS(Lektionen[[#This Row],[Bearbeitungsdauer_abgewichen]]&gt;0.6,"viel länger",Lektionen[[#This Row],[Bearbeitungsdauer_abgewichen]]&gt;0.3,"länger",Lektionen[[#This Row],[Bearbeitungsdauer_abgewichen]]&lt;-0.3,"kürzer",TRUE,"keine Abweichung")</f>
        <v>keine Abweichung</v>
      </c>
      <c r="I1624">
        <v>5</v>
      </c>
    </row>
    <row r="1625" spans="1:9" hidden="1" x14ac:dyDescent="0.3">
      <c r="A1625" s="13">
        <v>253</v>
      </c>
      <c r="B1625" s="4">
        <v>8</v>
      </c>
      <c r="C1625" t="s">
        <v>537</v>
      </c>
      <c r="D1625" t="s">
        <v>527</v>
      </c>
      <c r="E1625">
        <v>5</v>
      </c>
      <c r="F1625">
        <v>8</v>
      </c>
      <c r="G1625" s="8">
        <f>Lektionen[[#This Row],[Bearbeitungsdauer_real]]/Lektionen[[#This Row],[Bearbeitungsdauer_geschätzt]]-1</f>
        <v>0.60000000000000009</v>
      </c>
      <c r="H1625" s="8" t="str" cm="1">
        <f t="array" ref="H1625">_xlfn.IFS(Lektionen[[#This Row],[Bearbeitungsdauer_abgewichen]]&gt;0.6,"viel länger",Lektionen[[#This Row],[Bearbeitungsdauer_abgewichen]]&gt;0.3,"länger",Lektionen[[#This Row],[Bearbeitungsdauer_abgewichen]]&lt;-0.3,"kürzer",TRUE,"keine Abweichung")</f>
        <v>länger</v>
      </c>
      <c r="I1625">
        <v>1</v>
      </c>
    </row>
    <row r="1626" spans="1:9" hidden="1" x14ac:dyDescent="0.3">
      <c r="A1626" s="13">
        <v>255</v>
      </c>
      <c r="B1626" s="4">
        <v>1</v>
      </c>
      <c r="C1626" t="s">
        <v>526</v>
      </c>
      <c r="D1626" t="s">
        <v>527</v>
      </c>
      <c r="E1626">
        <v>4</v>
      </c>
      <c r="F1626">
        <v>4</v>
      </c>
      <c r="G1626" s="8">
        <f>Lektionen[[#This Row],[Bearbeitungsdauer_real]]/Lektionen[[#This Row],[Bearbeitungsdauer_geschätzt]]-1</f>
        <v>0</v>
      </c>
      <c r="H1626" s="8" t="str" cm="1">
        <f t="array" ref="H1626">_xlfn.IFS(Lektionen[[#This Row],[Bearbeitungsdauer_abgewichen]]&gt;0.6,"viel länger",Lektionen[[#This Row],[Bearbeitungsdauer_abgewichen]]&gt;0.3,"länger",Lektionen[[#This Row],[Bearbeitungsdauer_abgewichen]]&lt;-0.3,"kürzer",TRUE,"keine Abweichung")</f>
        <v>keine Abweichung</v>
      </c>
      <c r="I1626">
        <v>1</v>
      </c>
    </row>
    <row r="1627" spans="1:9" hidden="1" x14ac:dyDescent="0.3">
      <c r="A1627" s="13">
        <v>255</v>
      </c>
      <c r="B1627" s="4">
        <v>2</v>
      </c>
      <c r="C1627" t="s">
        <v>528</v>
      </c>
      <c r="D1627" t="s">
        <v>529</v>
      </c>
      <c r="E1627">
        <v>15</v>
      </c>
      <c r="F1627">
        <v>17</v>
      </c>
      <c r="G1627" s="8">
        <f>Lektionen[[#This Row],[Bearbeitungsdauer_real]]/Lektionen[[#This Row],[Bearbeitungsdauer_geschätzt]]-1</f>
        <v>0.1333333333333333</v>
      </c>
      <c r="H1627" s="8" t="str" cm="1">
        <f t="array" ref="H1627">_xlfn.IFS(Lektionen[[#This Row],[Bearbeitungsdauer_abgewichen]]&gt;0.6,"viel länger",Lektionen[[#This Row],[Bearbeitungsdauer_abgewichen]]&gt;0.3,"länger",Lektionen[[#This Row],[Bearbeitungsdauer_abgewichen]]&lt;-0.3,"kürzer",TRUE,"keine Abweichung")</f>
        <v>keine Abweichung</v>
      </c>
      <c r="I1627">
        <v>1</v>
      </c>
    </row>
    <row r="1628" spans="1:9" hidden="1" x14ac:dyDescent="0.3">
      <c r="A1628" s="13">
        <v>255</v>
      </c>
      <c r="B1628" s="4">
        <v>3</v>
      </c>
      <c r="C1628" t="s">
        <v>552</v>
      </c>
      <c r="D1628" t="s">
        <v>530</v>
      </c>
      <c r="E1628">
        <v>30</v>
      </c>
      <c r="F1628">
        <v>28</v>
      </c>
      <c r="G1628" s="8">
        <f>Lektionen[[#This Row],[Bearbeitungsdauer_real]]/Lektionen[[#This Row],[Bearbeitungsdauer_geschätzt]]-1</f>
        <v>-6.6666666666666652E-2</v>
      </c>
      <c r="H1628" s="8" t="str" cm="1">
        <f t="array" ref="H1628">_xlfn.IFS(Lektionen[[#This Row],[Bearbeitungsdauer_abgewichen]]&gt;0.6,"viel länger",Lektionen[[#This Row],[Bearbeitungsdauer_abgewichen]]&gt;0.3,"länger",Lektionen[[#This Row],[Bearbeitungsdauer_abgewichen]]&lt;-0.3,"kürzer",TRUE,"keine Abweichung")</f>
        <v>keine Abweichung</v>
      </c>
      <c r="I1628">
        <v>3</v>
      </c>
    </row>
    <row r="1629" spans="1:9" hidden="1" x14ac:dyDescent="0.3">
      <c r="A1629" s="13">
        <v>255</v>
      </c>
      <c r="B1629" s="4">
        <v>4</v>
      </c>
      <c r="C1629" t="s">
        <v>531</v>
      </c>
      <c r="D1629" t="s">
        <v>530</v>
      </c>
      <c r="E1629">
        <v>30</v>
      </c>
      <c r="F1629">
        <v>32</v>
      </c>
      <c r="G1629" s="8">
        <f>Lektionen[[#This Row],[Bearbeitungsdauer_real]]/Lektionen[[#This Row],[Bearbeitungsdauer_geschätzt]]-1</f>
        <v>6.6666666666666652E-2</v>
      </c>
      <c r="H1629" s="8" t="str" cm="1">
        <f t="array" ref="H1629">_xlfn.IFS(Lektionen[[#This Row],[Bearbeitungsdauer_abgewichen]]&gt;0.6,"viel länger",Lektionen[[#This Row],[Bearbeitungsdauer_abgewichen]]&gt;0.3,"länger",Lektionen[[#This Row],[Bearbeitungsdauer_abgewichen]]&lt;-0.3,"kürzer",TRUE,"keine Abweichung")</f>
        <v>keine Abweichung</v>
      </c>
      <c r="I1629">
        <v>3</v>
      </c>
    </row>
    <row r="1630" spans="1:9" x14ac:dyDescent="0.3">
      <c r="A1630" s="13">
        <v>255</v>
      </c>
      <c r="B1630" s="4">
        <v>5</v>
      </c>
      <c r="C1630" t="s">
        <v>532</v>
      </c>
      <c r="D1630" t="s">
        <v>530</v>
      </c>
      <c r="E1630">
        <v>30</v>
      </c>
      <c r="F1630">
        <v>43</v>
      </c>
      <c r="G1630" s="8">
        <f>Lektionen[[#This Row],[Bearbeitungsdauer_real]]/Lektionen[[#This Row],[Bearbeitungsdauer_geschätzt]]-1</f>
        <v>0.43333333333333335</v>
      </c>
      <c r="H1630" s="8" t="str" cm="1">
        <f t="array" ref="H1630">_xlfn.IFS(Lektionen[[#This Row],[Bearbeitungsdauer_abgewichen]]&gt;0.6,"viel länger",Lektionen[[#This Row],[Bearbeitungsdauer_abgewichen]]&gt;0.3,"länger",Lektionen[[#This Row],[Bearbeitungsdauer_abgewichen]]&lt;-0.3,"kürzer",TRUE,"keine Abweichung")</f>
        <v>länger</v>
      </c>
      <c r="I1630">
        <v>3</v>
      </c>
    </row>
    <row r="1631" spans="1:9" hidden="1" x14ac:dyDescent="0.3">
      <c r="A1631" s="13">
        <v>255</v>
      </c>
      <c r="B1631" s="4">
        <v>6</v>
      </c>
      <c r="C1631" t="s">
        <v>533</v>
      </c>
      <c r="D1631" t="s">
        <v>534</v>
      </c>
      <c r="E1631">
        <v>5</v>
      </c>
      <c r="F1631">
        <v>2</v>
      </c>
      <c r="G1631" s="8">
        <f>Lektionen[[#This Row],[Bearbeitungsdauer_real]]/Lektionen[[#This Row],[Bearbeitungsdauer_geschätzt]]-1</f>
        <v>-0.6</v>
      </c>
      <c r="H1631" s="8" t="str" cm="1">
        <f t="array" ref="H1631">_xlfn.IFS(Lektionen[[#This Row],[Bearbeitungsdauer_abgewichen]]&gt;0.6,"viel länger",Lektionen[[#This Row],[Bearbeitungsdauer_abgewichen]]&gt;0.3,"länger",Lektionen[[#This Row],[Bearbeitungsdauer_abgewichen]]&lt;-0.3,"kürzer",TRUE,"keine Abweichung")</f>
        <v>kürzer</v>
      </c>
      <c r="I1631">
        <v>1</v>
      </c>
    </row>
    <row r="1632" spans="1:9" hidden="1" x14ac:dyDescent="0.3">
      <c r="A1632" s="13">
        <v>255</v>
      </c>
      <c r="B1632" s="4">
        <v>7</v>
      </c>
      <c r="C1632" t="s">
        <v>535</v>
      </c>
      <c r="D1632" t="s">
        <v>536</v>
      </c>
      <c r="E1632">
        <v>10</v>
      </c>
      <c r="F1632">
        <v>9</v>
      </c>
      <c r="G1632" s="8">
        <f>Lektionen[[#This Row],[Bearbeitungsdauer_real]]/Lektionen[[#This Row],[Bearbeitungsdauer_geschätzt]]-1</f>
        <v>-9.9999999999999978E-2</v>
      </c>
      <c r="H1632" s="8" t="str" cm="1">
        <f t="array" ref="H1632">_xlfn.IFS(Lektionen[[#This Row],[Bearbeitungsdauer_abgewichen]]&gt;0.6,"viel länger",Lektionen[[#This Row],[Bearbeitungsdauer_abgewichen]]&gt;0.3,"länger",Lektionen[[#This Row],[Bearbeitungsdauer_abgewichen]]&lt;-0.3,"kürzer",TRUE,"keine Abweichung")</f>
        <v>keine Abweichung</v>
      </c>
      <c r="I1632">
        <v>4</v>
      </c>
    </row>
    <row r="1633" spans="1:9" hidden="1" x14ac:dyDescent="0.3">
      <c r="A1633" s="13">
        <v>255</v>
      </c>
      <c r="B1633" s="4">
        <v>8</v>
      </c>
      <c r="C1633" t="s">
        <v>537</v>
      </c>
      <c r="D1633" t="s">
        <v>527</v>
      </c>
      <c r="E1633">
        <v>5</v>
      </c>
      <c r="F1633">
        <v>5</v>
      </c>
      <c r="G1633" s="8">
        <f>Lektionen[[#This Row],[Bearbeitungsdauer_real]]/Lektionen[[#This Row],[Bearbeitungsdauer_geschätzt]]-1</f>
        <v>0</v>
      </c>
      <c r="H1633" s="8" t="str" cm="1">
        <f t="array" ref="H1633">_xlfn.IFS(Lektionen[[#This Row],[Bearbeitungsdauer_abgewichen]]&gt;0.6,"viel länger",Lektionen[[#This Row],[Bearbeitungsdauer_abgewichen]]&gt;0.3,"länger",Lektionen[[#This Row],[Bearbeitungsdauer_abgewichen]]&lt;-0.3,"kürzer",TRUE,"keine Abweichung")</f>
        <v>keine Abweichung</v>
      </c>
      <c r="I1633">
        <v>1</v>
      </c>
    </row>
    <row r="1634" spans="1:9" hidden="1" x14ac:dyDescent="0.3">
      <c r="A1634" s="13">
        <v>256</v>
      </c>
      <c r="B1634" s="4">
        <v>1</v>
      </c>
      <c r="C1634" t="s">
        <v>526</v>
      </c>
      <c r="D1634" t="s">
        <v>527</v>
      </c>
      <c r="E1634">
        <v>4</v>
      </c>
      <c r="F1634">
        <v>4</v>
      </c>
      <c r="G1634" s="8">
        <f>Lektionen[[#This Row],[Bearbeitungsdauer_real]]/Lektionen[[#This Row],[Bearbeitungsdauer_geschätzt]]-1</f>
        <v>0</v>
      </c>
      <c r="H1634" s="8" t="str" cm="1">
        <f t="array" ref="H1634">_xlfn.IFS(Lektionen[[#This Row],[Bearbeitungsdauer_abgewichen]]&gt;0.6,"viel länger",Lektionen[[#This Row],[Bearbeitungsdauer_abgewichen]]&gt;0.3,"länger",Lektionen[[#This Row],[Bearbeitungsdauer_abgewichen]]&lt;-0.3,"kürzer",TRUE,"keine Abweichung")</f>
        <v>keine Abweichung</v>
      </c>
      <c r="I1634">
        <v>1</v>
      </c>
    </row>
    <row r="1635" spans="1:9" hidden="1" x14ac:dyDescent="0.3">
      <c r="A1635" s="13">
        <v>256</v>
      </c>
      <c r="B1635" s="4">
        <v>2</v>
      </c>
      <c r="C1635" t="s">
        <v>528</v>
      </c>
      <c r="D1635" t="s">
        <v>529</v>
      </c>
      <c r="E1635">
        <v>15</v>
      </c>
      <c r="F1635">
        <v>19</v>
      </c>
      <c r="G1635" s="8">
        <f>Lektionen[[#This Row],[Bearbeitungsdauer_real]]/Lektionen[[#This Row],[Bearbeitungsdauer_geschätzt]]-1</f>
        <v>0.26666666666666661</v>
      </c>
      <c r="H1635" s="8" t="str" cm="1">
        <f t="array" ref="H1635">_xlfn.IFS(Lektionen[[#This Row],[Bearbeitungsdauer_abgewichen]]&gt;0.6,"viel länger",Lektionen[[#This Row],[Bearbeitungsdauer_abgewichen]]&gt;0.3,"länger",Lektionen[[#This Row],[Bearbeitungsdauer_abgewichen]]&lt;-0.3,"kürzer",TRUE,"keine Abweichung")</f>
        <v>keine Abweichung</v>
      </c>
      <c r="I1635">
        <v>1</v>
      </c>
    </row>
    <row r="1636" spans="1:9" hidden="1" x14ac:dyDescent="0.3">
      <c r="A1636" s="13">
        <v>256</v>
      </c>
      <c r="B1636" s="4">
        <v>3</v>
      </c>
      <c r="C1636" t="s">
        <v>552</v>
      </c>
      <c r="D1636" t="s">
        <v>530</v>
      </c>
      <c r="E1636">
        <v>30</v>
      </c>
      <c r="F1636">
        <v>28</v>
      </c>
      <c r="G1636" s="8">
        <f>Lektionen[[#This Row],[Bearbeitungsdauer_real]]/Lektionen[[#This Row],[Bearbeitungsdauer_geschätzt]]-1</f>
        <v>-6.6666666666666652E-2</v>
      </c>
      <c r="H1636" s="8" t="str" cm="1">
        <f t="array" ref="H1636">_xlfn.IFS(Lektionen[[#This Row],[Bearbeitungsdauer_abgewichen]]&gt;0.6,"viel länger",Lektionen[[#This Row],[Bearbeitungsdauer_abgewichen]]&gt;0.3,"länger",Lektionen[[#This Row],[Bearbeitungsdauer_abgewichen]]&lt;-0.3,"kürzer",TRUE,"keine Abweichung")</f>
        <v>keine Abweichung</v>
      </c>
      <c r="I1636">
        <v>3</v>
      </c>
    </row>
    <row r="1637" spans="1:9" hidden="1" x14ac:dyDescent="0.3">
      <c r="A1637" s="13">
        <v>256</v>
      </c>
      <c r="B1637" s="4">
        <v>4</v>
      </c>
      <c r="C1637" t="s">
        <v>531</v>
      </c>
      <c r="D1637" t="s">
        <v>530</v>
      </c>
      <c r="E1637">
        <v>30</v>
      </c>
      <c r="F1637">
        <v>24</v>
      </c>
      <c r="G1637" s="8">
        <f>Lektionen[[#This Row],[Bearbeitungsdauer_real]]/Lektionen[[#This Row],[Bearbeitungsdauer_geschätzt]]-1</f>
        <v>-0.19999999999999996</v>
      </c>
      <c r="H1637" s="8" t="str" cm="1">
        <f t="array" ref="H1637">_xlfn.IFS(Lektionen[[#This Row],[Bearbeitungsdauer_abgewichen]]&gt;0.6,"viel länger",Lektionen[[#This Row],[Bearbeitungsdauer_abgewichen]]&gt;0.3,"länger",Lektionen[[#This Row],[Bearbeitungsdauer_abgewichen]]&lt;-0.3,"kürzer",TRUE,"keine Abweichung")</f>
        <v>keine Abweichung</v>
      </c>
      <c r="I1637">
        <v>3</v>
      </c>
    </row>
    <row r="1638" spans="1:9" x14ac:dyDescent="0.3">
      <c r="A1638" s="13">
        <v>256</v>
      </c>
      <c r="B1638" s="4">
        <v>5</v>
      </c>
      <c r="C1638" t="s">
        <v>532</v>
      </c>
      <c r="D1638" t="s">
        <v>530</v>
      </c>
      <c r="E1638">
        <v>30</v>
      </c>
      <c r="F1638">
        <v>41</v>
      </c>
      <c r="G1638" s="8">
        <f>Lektionen[[#This Row],[Bearbeitungsdauer_real]]/Lektionen[[#This Row],[Bearbeitungsdauer_geschätzt]]-1</f>
        <v>0.3666666666666667</v>
      </c>
      <c r="H1638" s="8" t="str" cm="1">
        <f t="array" ref="H1638">_xlfn.IFS(Lektionen[[#This Row],[Bearbeitungsdauer_abgewichen]]&gt;0.6,"viel länger",Lektionen[[#This Row],[Bearbeitungsdauer_abgewichen]]&gt;0.3,"länger",Lektionen[[#This Row],[Bearbeitungsdauer_abgewichen]]&lt;-0.3,"kürzer",TRUE,"keine Abweichung")</f>
        <v>länger</v>
      </c>
      <c r="I1638">
        <v>4</v>
      </c>
    </row>
    <row r="1639" spans="1:9" hidden="1" x14ac:dyDescent="0.3">
      <c r="A1639" s="13">
        <v>256</v>
      </c>
      <c r="B1639" s="4">
        <v>6</v>
      </c>
      <c r="C1639" t="s">
        <v>533</v>
      </c>
      <c r="D1639" t="s">
        <v>534</v>
      </c>
      <c r="E1639">
        <v>5</v>
      </c>
      <c r="F1639">
        <v>2</v>
      </c>
      <c r="G1639" s="8">
        <f>Lektionen[[#This Row],[Bearbeitungsdauer_real]]/Lektionen[[#This Row],[Bearbeitungsdauer_geschätzt]]-1</f>
        <v>-0.6</v>
      </c>
      <c r="H1639" s="8" t="str" cm="1">
        <f t="array" ref="H1639">_xlfn.IFS(Lektionen[[#This Row],[Bearbeitungsdauer_abgewichen]]&gt;0.6,"viel länger",Lektionen[[#This Row],[Bearbeitungsdauer_abgewichen]]&gt;0.3,"länger",Lektionen[[#This Row],[Bearbeitungsdauer_abgewichen]]&lt;-0.3,"kürzer",TRUE,"keine Abweichung")</f>
        <v>kürzer</v>
      </c>
      <c r="I1639">
        <v>2</v>
      </c>
    </row>
    <row r="1640" spans="1:9" hidden="1" x14ac:dyDescent="0.3">
      <c r="A1640" s="13">
        <v>256</v>
      </c>
      <c r="B1640" s="4">
        <v>7</v>
      </c>
      <c r="C1640" t="s">
        <v>535</v>
      </c>
      <c r="D1640" t="s">
        <v>536</v>
      </c>
      <c r="E1640">
        <v>10</v>
      </c>
      <c r="F1640">
        <v>9</v>
      </c>
      <c r="G1640" s="8">
        <f>Lektionen[[#This Row],[Bearbeitungsdauer_real]]/Lektionen[[#This Row],[Bearbeitungsdauer_geschätzt]]-1</f>
        <v>-9.9999999999999978E-2</v>
      </c>
      <c r="H1640" s="8" t="str" cm="1">
        <f t="array" ref="H1640">_xlfn.IFS(Lektionen[[#This Row],[Bearbeitungsdauer_abgewichen]]&gt;0.6,"viel länger",Lektionen[[#This Row],[Bearbeitungsdauer_abgewichen]]&gt;0.3,"länger",Lektionen[[#This Row],[Bearbeitungsdauer_abgewichen]]&lt;-0.3,"kürzer",TRUE,"keine Abweichung")</f>
        <v>keine Abweichung</v>
      </c>
      <c r="I1640">
        <v>4</v>
      </c>
    </row>
    <row r="1641" spans="1:9" hidden="1" x14ac:dyDescent="0.3">
      <c r="A1641" s="13">
        <v>256</v>
      </c>
      <c r="B1641" s="4">
        <v>8</v>
      </c>
      <c r="C1641" t="s">
        <v>537</v>
      </c>
      <c r="D1641" t="s">
        <v>527</v>
      </c>
      <c r="E1641">
        <v>5</v>
      </c>
      <c r="F1641">
        <v>5</v>
      </c>
      <c r="G1641" s="8">
        <f>Lektionen[[#This Row],[Bearbeitungsdauer_real]]/Lektionen[[#This Row],[Bearbeitungsdauer_geschätzt]]-1</f>
        <v>0</v>
      </c>
      <c r="H1641" s="8" t="str" cm="1">
        <f t="array" ref="H1641">_xlfn.IFS(Lektionen[[#This Row],[Bearbeitungsdauer_abgewichen]]&gt;0.6,"viel länger",Lektionen[[#This Row],[Bearbeitungsdauer_abgewichen]]&gt;0.3,"länger",Lektionen[[#This Row],[Bearbeitungsdauer_abgewichen]]&lt;-0.3,"kürzer",TRUE,"keine Abweichung")</f>
        <v>keine Abweichung</v>
      </c>
      <c r="I1641">
        <v>1</v>
      </c>
    </row>
    <row r="1642" spans="1:9" hidden="1" x14ac:dyDescent="0.3">
      <c r="A1642" s="13">
        <v>257</v>
      </c>
      <c r="B1642" s="4">
        <v>1</v>
      </c>
      <c r="C1642" t="s">
        <v>526</v>
      </c>
      <c r="D1642" t="s">
        <v>527</v>
      </c>
      <c r="E1642">
        <v>4</v>
      </c>
      <c r="F1642">
        <v>4</v>
      </c>
      <c r="G1642" s="8">
        <f>Lektionen[[#This Row],[Bearbeitungsdauer_real]]/Lektionen[[#This Row],[Bearbeitungsdauer_geschätzt]]-1</f>
        <v>0</v>
      </c>
      <c r="H1642" s="8" t="str" cm="1">
        <f t="array" ref="H1642">_xlfn.IFS(Lektionen[[#This Row],[Bearbeitungsdauer_abgewichen]]&gt;0.6,"viel länger",Lektionen[[#This Row],[Bearbeitungsdauer_abgewichen]]&gt;0.3,"länger",Lektionen[[#This Row],[Bearbeitungsdauer_abgewichen]]&lt;-0.3,"kürzer",TRUE,"keine Abweichung")</f>
        <v>keine Abweichung</v>
      </c>
      <c r="I1642">
        <v>1</v>
      </c>
    </row>
    <row r="1643" spans="1:9" hidden="1" x14ac:dyDescent="0.3">
      <c r="A1643" s="13">
        <v>257</v>
      </c>
      <c r="B1643" s="4">
        <v>2</v>
      </c>
      <c r="C1643" t="s">
        <v>528</v>
      </c>
      <c r="D1643" t="s">
        <v>529</v>
      </c>
      <c r="E1643">
        <v>15</v>
      </c>
      <c r="F1643">
        <v>16</v>
      </c>
      <c r="G1643" s="8">
        <f>Lektionen[[#This Row],[Bearbeitungsdauer_real]]/Lektionen[[#This Row],[Bearbeitungsdauer_geschätzt]]-1</f>
        <v>6.6666666666666652E-2</v>
      </c>
      <c r="H1643" s="8" t="str" cm="1">
        <f t="array" ref="H1643">_xlfn.IFS(Lektionen[[#This Row],[Bearbeitungsdauer_abgewichen]]&gt;0.6,"viel länger",Lektionen[[#This Row],[Bearbeitungsdauer_abgewichen]]&gt;0.3,"länger",Lektionen[[#This Row],[Bearbeitungsdauer_abgewichen]]&lt;-0.3,"kürzer",TRUE,"keine Abweichung")</f>
        <v>keine Abweichung</v>
      </c>
      <c r="I1643">
        <v>1</v>
      </c>
    </row>
    <row r="1644" spans="1:9" hidden="1" x14ac:dyDescent="0.3">
      <c r="A1644" s="13">
        <v>257</v>
      </c>
      <c r="B1644" s="4">
        <v>3</v>
      </c>
      <c r="C1644" t="s">
        <v>552</v>
      </c>
      <c r="D1644" t="s">
        <v>530</v>
      </c>
      <c r="E1644">
        <v>30</v>
      </c>
      <c r="F1644">
        <v>28</v>
      </c>
      <c r="G1644" s="8">
        <f>Lektionen[[#This Row],[Bearbeitungsdauer_real]]/Lektionen[[#This Row],[Bearbeitungsdauer_geschätzt]]-1</f>
        <v>-6.6666666666666652E-2</v>
      </c>
      <c r="H1644" s="8" t="str" cm="1">
        <f t="array" ref="H1644">_xlfn.IFS(Lektionen[[#This Row],[Bearbeitungsdauer_abgewichen]]&gt;0.6,"viel länger",Lektionen[[#This Row],[Bearbeitungsdauer_abgewichen]]&gt;0.3,"länger",Lektionen[[#This Row],[Bearbeitungsdauer_abgewichen]]&lt;-0.3,"kürzer",TRUE,"keine Abweichung")</f>
        <v>keine Abweichung</v>
      </c>
      <c r="I1644">
        <v>2</v>
      </c>
    </row>
    <row r="1645" spans="1:9" hidden="1" x14ac:dyDescent="0.3">
      <c r="A1645" s="13">
        <v>257</v>
      </c>
      <c r="B1645" s="4">
        <v>4</v>
      </c>
      <c r="C1645" t="s">
        <v>531</v>
      </c>
      <c r="D1645" t="s">
        <v>530</v>
      </c>
      <c r="E1645">
        <v>30</v>
      </c>
      <c r="F1645">
        <v>27</v>
      </c>
      <c r="G1645" s="8">
        <f>Lektionen[[#This Row],[Bearbeitungsdauer_real]]/Lektionen[[#This Row],[Bearbeitungsdauer_geschätzt]]-1</f>
        <v>-9.9999999999999978E-2</v>
      </c>
      <c r="H1645" s="8" t="str" cm="1">
        <f t="array" ref="H1645">_xlfn.IFS(Lektionen[[#This Row],[Bearbeitungsdauer_abgewichen]]&gt;0.6,"viel länger",Lektionen[[#This Row],[Bearbeitungsdauer_abgewichen]]&gt;0.3,"länger",Lektionen[[#This Row],[Bearbeitungsdauer_abgewichen]]&lt;-0.3,"kürzer",TRUE,"keine Abweichung")</f>
        <v>keine Abweichung</v>
      </c>
      <c r="I1645">
        <v>3</v>
      </c>
    </row>
    <row r="1646" spans="1:9" x14ac:dyDescent="0.3">
      <c r="A1646" s="13">
        <v>257</v>
      </c>
      <c r="B1646" s="4">
        <v>5</v>
      </c>
      <c r="C1646" t="s">
        <v>532</v>
      </c>
      <c r="D1646" t="s">
        <v>530</v>
      </c>
      <c r="E1646">
        <v>30</v>
      </c>
      <c r="F1646">
        <v>47</v>
      </c>
      <c r="G1646" s="8">
        <f>Lektionen[[#This Row],[Bearbeitungsdauer_real]]/Lektionen[[#This Row],[Bearbeitungsdauer_geschätzt]]-1</f>
        <v>0.56666666666666665</v>
      </c>
      <c r="H1646" s="8" t="str" cm="1">
        <f t="array" ref="H1646">_xlfn.IFS(Lektionen[[#This Row],[Bearbeitungsdauer_abgewichen]]&gt;0.6,"viel länger",Lektionen[[#This Row],[Bearbeitungsdauer_abgewichen]]&gt;0.3,"länger",Lektionen[[#This Row],[Bearbeitungsdauer_abgewichen]]&lt;-0.3,"kürzer",TRUE,"keine Abweichung")</f>
        <v>länger</v>
      </c>
      <c r="I1646">
        <v>5</v>
      </c>
    </row>
    <row r="1647" spans="1:9" hidden="1" x14ac:dyDescent="0.3">
      <c r="A1647" s="13">
        <v>257</v>
      </c>
      <c r="B1647" s="4">
        <v>6</v>
      </c>
      <c r="C1647" t="s">
        <v>533</v>
      </c>
      <c r="D1647" t="s">
        <v>534</v>
      </c>
      <c r="E1647">
        <v>5</v>
      </c>
      <c r="F1647">
        <v>2</v>
      </c>
      <c r="G1647" s="8">
        <f>Lektionen[[#This Row],[Bearbeitungsdauer_real]]/Lektionen[[#This Row],[Bearbeitungsdauer_geschätzt]]-1</f>
        <v>-0.6</v>
      </c>
      <c r="H1647" s="8" t="str" cm="1">
        <f t="array" ref="H1647">_xlfn.IFS(Lektionen[[#This Row],[Bearbeitungsdauer_abgewichen]]&gt;0.6,"viel länger",Lektionen[[#This Row],[Bearbeitungsdauer_abgewichen]]&gt;0.3,"länger",Lektionen[[#This Row],[Bearbeitungsdauer_abgewichen]]&lt;-0.3,"kürzer",TRUE,"keine Abweichung")</f>
        <v>kürzer</v>
      </c>
      <c r="I1647">
        <v>2</v>
      </c>
    </row>
    <row r="1648" spans="1:9" hidden="1" x14ac:dyDescent="0.3">
      <c r="A1648" s="13">
        <v>257</v>
      </c>
      <c r="B1648" s="4">
        <v>7</v>
      </c>
      <c r="C1648" t="s">
        <v>535</v>
      </c>
      <c r="D1648" t="s">
        <v>536</v>
      </c>
      <c r="E1648">
        <v>10</v>
      </c>
      <c r="F1648">
        <v>10</v>
      </c>
      <c r="G1648" s="8">
        <f>Lektionen[[#This Row],[Bearbeitungsdauer_real]]/Lektionen[[#This Row],[Bearbeitungsdauer_geschätzt]]-1</f>
        <v>0</v>
      </c>
      <c r="H1648" s="8" t="str" cm="1">
        <f t="array" ref="H1648">_xlfn.IFS(Lektionen[[#This Row],[Bearbeitungsdauer_abgewichen]]&gt;0.6,"viel länger",Lektionen[[#This Row],[Bearbeitungsdauer_abgewichen]]&gt;0.3,"länger",Lektionen[[#This Row],[Bearbeitungsdauer_abgewichen]]&lt;-0.3,"kürzer",TRUE,"keine Abweichung")</f>
        <v>keine Abweichung</v>
      </c>
      <c r="I1648">
        <v>3</v>
      </c>
    </row>
    <row r="1649" spans="1:9" hidden="1" x14ac:dyDescent="0.3">
      <c r="A1649" s="13">
        <v>257</v>
      </c>
      <c r="B1649" s="4">
        <v>8</v>
      </c>
      <c r="C1649" t="s">
        <v>537</v>
      </c>
      <c r="D1649" t="s">
        <v>527</v>
      </c>
      <c r="E1649">
        <v>5</v>
      </c>
      <c r="F1649">
        <v>5</v>
      </c>
      <c r="G1649" s="8">
        <f>Lektionen[[#This Row],[Bearbeitungsdauer_real]]/Lektionen[[#This Row],[Bearbeitungsdauer_geschätzt]]-1</f>
        <v>0</v>
      </c>
      <c r="H1649" s="8" t="str" cm="1">
        <f t="array" ref="H1649">_xlfn.IFS(Lektionen[[#This Row],[Bearbeitungsdauer_abgewichen]]&gt;0.6,"viel länger",Lektionen[[#This Row],[Bearbeitungsdauer_abgewichen]]&gt;0.3,"länger",Lektionen[[#This Row],[Bearbeitungsdauer_abgewichen]]&lt;-0.3,"kürzer",TRUE,"keine Abweichung")</f>
        <v>keine Abweichung</v>
      </c>
      <c r="I1649">
        <v>1</v>
      </c>
    </row>
    <row r="1650" spans="1:9" hidden="1" x14ac:dyDescent="0.3">
      <c r="A1650" s="13">
        <v>258</v>
      </c>
      <c r="B1650" s="4">
        <v>1</v>
      </c>
      <c r="C1650" t="s">
        <v>526</v>
      </c>
      <c r="D1650" t="s">
        <v>527</v>
      </c>
      <c r="E1650">
        <v>4</v>
      </c>
      <c r="F1650">
        <v>4</v>
      </c>
      <c r="G1650" s="8">
        <f>Lektionen[[#This Row],[Bearbeitungsdauer_real]]/Lektionen[[#This Row],[Bearbeitungsdauer_geschätzt]]-1</f>
        <v>0</v>
      </c>
      <c r="H1650" s="8" t="str" cm="1">
        <f t="array" ref="H1650">_xlfn.IFS(Lektionen[[#This Row],[Bearbeitungsdauer_abgewichen]]&gt;0.6,"viel länger",Lektionen[[#This Row],[Bearbeitungsdauer_abgewichen]]&gt;0.3,"länger",Lektionen[[#This Row],[Bearbeitungsdauer_abgewichen]]&lt;-0.3,"kürzer",TRUE,"keine Abweichung")</f>
        <v>keine Abweichung</v>
      </c>
      <c r="I1650">
        <v>1</v>
      </c>
    </row>
    <row r="1651" spans="1:9" hidden="1" x14ac:dyDescent="0.3">
      <c r="A1651" s="13">
        <v>258</v>
      </c>
      <c r="B1651" s="4">
        <v>2</v>
      </c>
      <c r="C1651" t="s">
        <v>528</v>
      </c>
      <c r="D1651" t="s">
        <v>529</v>
      </c>
      <c r="E1651">
        <v>15</v>
      </c>
      <c r="F1651">
        <v>15</v>
      </c>
      <c r="G1651" s="8">
        <f>Lektionen[[#This Row],[Bearbeitungsdauer_real]]/Lektionen[[#This Row],[Bearbeitungsdauer_geschätzt]]-1</f>
        <v>0</v>
      </c>
      <c r="H1651" s="8" t="str" cm="1">
        <f t="array" ref="H1651">_xlfn.IFS(Lektionen[[#This Row],[Bearbeitungsdauer_abgewichen]]&gt;0.6,"viel länger",Lektionen[[#This Row],[Bearbeitungsdauer_abgewichen]]&gt;0.3,"länger",Lektionen[[#This Row],[Bearbeitungsdauer_abgewichen]]&lt;-0.3,"kürzer",TRUE,"keine Abweichung")</f>
        <v>keine Abweichung</v>
      </c>
      <c r="I1651">
        <v>2</v>
      </c>
    </row>
    <row r="1652" spans="1:9" hidden="1" x14ac:dyDescent="0.3">
      <c r="A1652" s="13">
        <v>258</v>
      </c>
      <c r="B1652" s="4">
        <v>3</v>
      </c>
      <c r="C1652" t="s">
        <v>552</v>
      </c>
      <c r="D1652" t="s">
        <v>530</v>
      </c>
      <c r="E1652">
        <v>30</v>
      </c>
      <c r="F1652">
        <v>30</v>
      </c>
      <c r="G1652" s="8">
        <f>Lektionen[[#This Row],[Bearbeitungsdauer_real]]/Lektionen[[#This Row],[Bearbeitungsdauer_geschätzt]]-1</f>
        <v>0</v>
      </c>
      <c r="H1652" s="8" t="str" cm="1">
        <f t="array" ref="H1652">_xlfn.IFS(Lektionen[[#This Row],[Bearbeitungsdauer_abgewichen]]&gt;0.6,"viel länger",Lektionen[[#This Row],[Bearbeitungsdauer_abgewichen]]&gt;0.3,"länger",Lektionen[[#This Row],[Bearbeitungsdauer_abgewichen]]&lt;-0.3,"kürzer",TRUE,"keine Abweichung")</f>
        <v>keine Abweichung</v>
      </c>
      <c r="I1652">
        <v>2</v>
      </c>
    </row>
    <row r="1653" spans="1:9" hidden="1" x14ac:dyDescent="0.3">
      <c r="A1653" s="13">
        <v>258</v>
      </c>
      <c r="B1653" s="4">
        <v>4</v>
      </c>
      <c r="C1653" t="s">
        <v>531</v>
      </c>
      <c r="D1653" t="s">
        <v>530</v>
      </c>
      <c r="E1653">
        <v>30</v>
      </c>
      <c r="F1653">
        <v>17</v>
      </c>
      <c r="G1653" s="8">
        <f>Lektionen[[#This Row],[Bearbeitungsdauer_real]]/Lektionen[[#This Row],[Bearbeitungsdauer_geschätzt]]-1</f>
        <v>-0.43333333333333335</v>
      </c>
      <c r="H1653" s="8" t="str" cm="1">
        <f t="array" ref="H1653">_xlfn.IFS(Lektionen[[#This Row],[Bearbeitungsdauer_abgewichen]]&gt;0.6,"viel länger",Lektionen[[#This Row],[Bearbeitungsdauer_abgewichen]]&gt;0.3,"länger",Lektionen[[#This Row],[Bearbeitungsdauer_abgewichen]]&lt;-0.3,"kürzer",TRUE,"keine Abweichung")</f>
        <v>kürzer</v>
      </c>
      <c r="I1653">
        <v>3</v>
      </c>
    </row>
    <row r="1654" spans="1:9" x14ac:dyDescent="0.3">
      <c r="A1654" s="13">
        <v>258</v>
      </c>
      <c r="B1654" s="4">
        <v>5</v>
      </c>
      <c r="C1654" t="s">
        <v>532</v>
      </c>
      <c r="D1654" t="s">
        <v>530</v>
      </c>
      <c r="E1654">
        <v>30</v>
      </c>
      <c r="F1654">
        <v>50</v>
      </c>
      <c r="G1654" s="8">
        <f>Lektionen[[#This Row],[Bearbeitungsdauer_real]]/Lektionen[[#This Row],[Bearbeitungsdauer_geschätzt]]-1</f>
        <v>0.66666666666666674</v>
      </c>
      <c r="H1654" s="8" t="str" cm="1">
        <f t="array" ref="H1654">_xlfn.IFS(Lektionen[[#This Row],[Bearbeitungsdauer_abgewichen]]&gt;0.6,"viel länger",Lektionen[[#This Row],[Bearbeitungsdauer_abgewichen]]&gt;0.3,"länger",Lektionen[[#This Row],[Bearbeitungsdauer_abgewichen]]&lt;-0.3,"kürzer",TRUE,"keine Abweichung")</f>
        <v>viel länger</v>
      </c>
      <c r="I1654">
        <v>4</v>
      </c>
    </row>
    <row r="1655" spans="1:9" hidden="1" x14ac:dyDescent="0.3">
      <c r="A1655" s="13">
        <v>258</v>
      </c>
      <c r="B1655" s="4">
        <v>6</v>
      </c>
      <c r="C1655" t="s">
        <v>533</v>
      </c>
      <c r="D1655" t="s">
        <v>534</v>
      </c>
      <c r="E1655">
        <v>5</v>
      </c>
      <c r="F1655">
        <v>3</v>
      </c>
      <c r="G1655" s="8">
        <f>Lektionen[[#This Row],[Bearbeitungsdauer_real]]/Lektionen[[#This Row],[Bearbeitungsdauer_geschätzt]]-1</f>
        <v>-0.4</v>
      </c>
      <c r="H1655" s="8" t="str" cm="1">
        <f t="array" ref="H1655">_xlfn.IFS(Lektionen[[#This Row],[Bearbeitungsdauer_abgewichen]]&gt;0.6,"viel länger",Lektionen[[#This Row],[Bearbeitungsdauer_abgewichen]]&gt;0.3,"länger",Lektionen[[#This Row],[Bearbeitungsdauer_abgewichen]]&lt;-0.3,"kürzer",TRUE,"keine Abweichung")</f>
        <v>kürzer</v>
      </c>
      <c r="I1655">
        <v>1</v>
      </c>
    </row>
    <row r="1656" spans="1:9" hidden="1" x14ac:dyDescent="0.3">
      <c r="A1656" s="13">
        <v>258</v>
      </c>
      <c r="B1656" s="4">
        <v>7</v>
      </c>
      <c r="C1656" t="s">
        <v>535</v>
      </c>
      <c r="D1656" t="s">
        <v>536</v>
      </c>
      <c r="E1656">
        <v>10</v>
      </c>
      <c r="F1656">
        <v>10</v>
      </c>
      <c r="G1656" s="8">
        <f>Lektionen[[#This Row],[Bearbeitungsdauer_real]]/Lektionen[[#This Row],[Bearbeitungsdauer_geschätzt]]-1</f>
        <v>0</v>
      </c>
      <c r="H1656" s="8" t="str" cm="1">
        <f t="array" ref="H1656">_xlfn.IFS(Lektionen[[#This Row],[Bearbeitungsdauer_abgewichen]]&gt;0.6,"viel länger",Lektionen[[#This Row],[Bearbeitungsdauer_abgewichen]]&gt;0.3,"länger",Lektionen[[#This Row],[Bearbeitungsdauer_abgewichen]]&lt;-0.3,"kürzer",TRUE,"keine Abweichung")</f>
        <v>keine Abweichung</v>
      </c>
      <c r="I1656">
        <v>4</v>
      </c>
    </row>
    <row r="1657" spans="1:9" hidden="1" x14ac:dyDescent="0.3">
      <c r="A1657" s="13">
        <v>258</v>
      </c>
      <c r="B1657" s="4">
        <v>8</v>
      </c>
      <c r="C1657" t="s">
        <v>537</v>
      </c>
      <c r="D1657" t="s">
        <v>527</v>
      </c>
      <c r="E1657">
        <v>5</v>
      </c>
      <c r="F1657">
        <v>5</v>
      </c>
      <c r="G1657" s="8">
        <f>Lektionen[[#This Row],[Bearbeitungsdauer_real]]/Lektionen[[#This Row],[Bearbeitungsdauer_geschätzt]]-1</f>
        <v>0</v>
      </c>
      <c r="H1657" s="8" t="str" cm="1">
        <f t="array" ref="H1657">_xlfn.IFS(Lektionen[[#This Row],[Bearbeitungsdauer_abgewichen]]&gt;0.6,"viel länger",Lektionen[[#This Row],[Bearbeitungsdauer_abgewichen]]&gt;0.3,"länger",Lektionen[[#This Row],[Bearbeitungsdauer_abgewichen]]&lt;-0.3,"kürzer",TRUE,"keine Abweichung")</f>
        <v>keine Abweichung</v>
      </c>
      <c r="I1657">
        <v>1</v>
      </c>
    </row>
    <row r="1658" spans="1:9" hidden="1" x14ac:dyDescent="0.3">
      <c r="A1658" s="13">
        <v>259</v>
      </c>
      <c r="B1658" s="4">
        <v>1</v>
      </c>
      <c r="C1658" t="s">
        <v>526</v>
      </c>
      <c r="D1658" t="s">
        <v>527</v>
      </c>
      <c r="E1658">
        <v>4</v>
      </c>
      <c r="F1658">
        <v>4</v>
      </c>
      <c r="G1658" s="8">
        <f>Lektionen[[#This Row],[Bearbeitungsdauer_real]]/Lektionen[[#This Row],[Bearbeitungsdauer_geschätzt]]-1</f>
        <v>0</v>
      </c>
      <c r="H1658" s="8" t="str" cm="1">
        <f t="array" ref="H1658">_xlfn.IFS(Lektionen[[#This Row],[Bearbeitungsdauer_abgewichen]]&gt;0.6,"viel länger",Lektionen[[#This Row],[Bearbeitungsdauer_abgewichen]]&gt;0.3,"länger",Lektionen[[#This Row],[Bearbeitungsdauer_abgewichen]]&lt;-0.3,"kürzer",TRUE,"keine Abweichung")</f>
        <v>keine Abweichung</v>
      </c>
      <c r="I1658">
        <v>1</v>
      </c>
    </row>
    <row r="1659" spans="1:9" hidden="1" x14ac:dyDescent="0.3">
      <c r="A1659" s="13">
        <v>259</v>
      </c>
      <c r="B1659" s="4">
        <v>2</v>
      </c>
      <c r="C1659" t="s">
        <v>528</v>
      </c>
      <c r="D1659" t="s">
        <v>529</v>
      </c>
      <c r="E1659">
        <v>15</v>
      </c>
      <c r="F1659">
        <v>19</v>
      </c>
      <c r="G1659" s="8">
        <f>Lektionen[[#This Row],[Bearbeitungsdauer_real]]/Lektionen[[#This Row],[Bearbeitungsdauer_geschätzt]]-1</f>
        <v>0.26666666666666661</v>
      </c>
      <c r="H1659" s="8" t="str" cm="1">
        <f t="array" ref="H1659">_xlfn.IFS(Lektionen[[#This Row],[Bearbeitungsdauer_abgewichen]]&gt;0.6,"viel länger",Lektionen[[#This Row],[Bearbeitungsdauer_abgewichen]]&gt;0.3,"länger",Lektionen[[#This Row],[Bearbeitungsdauer_abgewichen]]&lt;-0.3,"kürzer",TRUE,"keine Abweichung")</f>
        <v>keine Abweichung</v>
      </c>
      <c r="I1659">
        <v>2</v>
      </c>
    </row>
    <row r="1660" spans="1:9" hidden="1" x14ac:dyDescent="0.3">
      <c r="A1660" s="13">
        <v>259</v>
      </c>
      <c r="B1660" s="4">
        <v>3</v>
      </c>
      <c r="C1660" t="s">
        <v>552</v>
      </c>
      <c r="D1660" t="s">
        <v>530</v>
      </c>
      <c r="E1660">
        <v>30</v>
      </c>
      <c r="F1660">
        <v>29</v>
      </c>
      <c r="G1660" s="8">
        <f>Lektionen[[#This Row],[Bearbeitungsdauer_real]]/Lektionen[[#This Row],[Bearbeitungsdauer_geschätzt]]-1</f>
        <v>-3.3333333333333326E-2</v>
      </c>
      <c r="H1660" s="8" t="str" cm="1">
        <f t="array" ref="H1660">_xlfn.IFS(Lektionen[[#This Row],[Bearbeitungsdauer_abgewichen]]&gt;0.6,"viel länger",Lektionen[[#This Row],[Bearbeitungsdauer_abgewichen]]&gt;0.3,"länger",Lektionen[[#This Row],[Bearbeitungsdauer_abgewichen]]&lt;-0.3,"kürzer",TRUE,"keine Abweichung")</f>
        <v>keine Abweichung</v>
      </c>
      <c r="I1660">
        <v>3</v>
      </c>
    </row>
    <row r="1661" spans="1:9" hidden="1" x14ac:dyDescent="0.3">
      <c r="A1661" s="13">
        <v>259</v>
      </c>
      <c r="B1661" s="4">
        <v>4</v>
      </c>
      <c r="C1661" t="s">
        <v>531</v>
      </c>
      <c r="D1661" t="s">
        <v>530</v>
      </c>
      <c r="E1661">
        <v>30</v>
      </c>
      <c r="F1661">
        <v>25</v>
      </c>
      <c r="G1661" s="8">
        <f>Lektionen[[#This Row],[Bearbeitungsdauer_real]]/Lektionen[[#This Row],[Bearbeitungsdauer_geschätzt]]-1</f>
        <v>-0.16666666666666663</v>
      </c>
      <c r="H1661" s="8" t="str" cm="1">
        <f t="array" ref="H1661">_xlfn.IFS(Lektionen[[#This Row],[Bearbeitungsdauer_abgewichen]]&gt;0.6,"viel länger",Lektionen[[#This Row],[Bearbeitungsdauer_abgewichen]]&gt;0.3,"länger",Lektionen[[#This Row],[Bearbeitungsdauer_abgewichen]]&lt;-0.3,"kürzer",TRUE,"keine Abweichung")</f>
        <v>keine Abweichung</v>
      </c>
      <c r="I1661">
        <v>3</v>
      </c>
    </row>
    <row r="1662" spans="1:9" x14ac:dyDescent="0.3">
      <c r="A1662" s="13">
        <v>259</v>
      </c>
      <c r="B1662" s="4">
        <v>5</v>
      </c>
      <c r="C1662" t="s">
        <v>532</v>
      </c>
      <c r="D1662" t="s">
        <v>530</v>
      </c>
      <c r="E1662">
        <v>30</v>
      </c>
      <c r="F1662">
        <v>41</v>
      </c>
      <c r="G1662" s="8">
        <f>Lektionen[[#This Row],[Bearbeitungsdauer_real]]/Lektionen[[#This Row],[Bearbeitungsdauer_geschätzt]]-1</f>
        <v>0.3666666666666667</v>
      </c>
      <c r="H1662" s="8" t="str" cm="1">
        <f t="array" ref="H1662">_xlfn.IFS(Lektionen[[#This Row],[Bearbeitungsdauer_abgewichen]]&gt;0.6,"viel länger",Lektionen[[#This Row],[Bearbeitungsdauer_abgewichen]]&gt;0.3,"länger",Lektionen[[#This Row],[Bearbeitungsdauer_abgewichen]]&lt;-0.3,"kürzer",TRUE,"keine Abweichung")</f>
        <v>länger</v>
      </c>
      <c r="I1662">
        <v>3</v>
      </c>
    </row>
    <row r="1663" spans="1:9" hidden="1" x14ac:dyDescent="0.3">
      <c r="A1663" s="13">
        <v>259</v>
      </c>
      <c r="B1663" s="4">
        <v>6</v>
      </c>
      <c r="C1663" t="s">
        <v>533</v>
      </c>
      <c r="D1663" t="s">
        <v>534</v>
      </c>
      <c r="E1663">
        <v>5</v>
      </c>
      <c r="F1663">
        <v>1</v>
      </c>
      <c r="G1663" s="8">
        <f>Lektionen[[#This Row],[Bearbeitungsdauer_real]]/Lektionen[[#This Row],[Bearbeitungsdauer_geschätzt]]-1</f>
        <v>-0.8</v>
      </c>
      <c r="H1663" s="8" t="str" cm="1">
        <f t="array" ref="H1663">_xlfn.IFS(Lektionen[[#This Row],[Bearbeitungsdauer_abgewichen]]&gt;0.6,"viel länger",Lektionen[[#This Row],[Bearbeitungsdauer_abgewichen]]&gt;0.3,"länger",Lektionen[[#This Row],[Bearbeitungsdauer_abgewichen]]&lt;-0.3,"kürzer",TRUE,"keine Abweichung")</f>
        <v>kürzer</v>
      </c>
      <c r="I1663">
        <v>2</v>
      </c>
    </row>
    <row r="1664" spans="1:9" hidden="1" x14ac:dyDescent="0.3">
      <c r="A1664" s="13">
        <v>259</v>
      </c>
      <c r="B1664" s="4">
        <v>7</v>
      </c>
      <c r="C1664" t="s">
        <v>535</v>
      </c>
      <c r="D1664" t="s">
        <v>536</v>
      </c>
      <c r="E1664">
        <v>10</v>
      </c>
      <c r="F1664">
        <v>10</v>
      </c>
      <c r="G1664" s="8">
        <f>Lektionen[[#This Row],[Bearbeitungsdauer_real]]/Lektionen[[#This Row],[Bearbeitungsdauer_geschätzt]]-1</f>
        <v>0</v>
      </c>
      <c r="H1664" s="8" t="str" cm="1">
        <f t="array" ref="H1664">_xlfn.IFS(Lektionen[[#This Row],[Bearbeitungsdauer_abgewichen]]&gt;0.6,"viel länger",Lektionen[[#This Row],[Bearbeitungsdauer_abgewichen]]&gt;0.3,"länger",Lektionen[[#This Row],[Bearbeitungsdauer_abgewichen]]&lt;-0.3,"kürzer",TRUE,"keine Abweichung")</f>
        <v>keine Abweichung</v>
      </c>
      <c r="I1664">
        <v>3</v>
      </c>
    </row>
    <row r="1665" spans="1:9" hidden="1" x14ac:dyDescent="0.3">
      <c r="A1665" s="13">
        <v>259</v>
      </c>
      <c r="B1665" s="4">
        <v>8</v>
      </c>
      <c r="C1665" t="s">
        <v>537</v>
      </c>
      <c r="D1665" t="s">
        <v>527</v>
      </c>
      <c r="E1665">
        <v>5</v>
      </c>
      <c r="F1665">
        <v>5</v>
      </c>
      <c r="G1665" s="8">
        <f>Lektionen[[#This Row],[Bearbeitungsdauer_real]]/Lektionen[[#This Row],[Bearbeitungsdauer_geschätzt]]-1</f>
        <v>0</v>
      </c>
      <c r="H1665" s="8" t="str" cm="1">
        <f t="array" ref="H1665">_xlfn.IFS(Lektionen[[#This Row],[Bearbeitungsdauer_abgewichen]]&gt;0.6,"viel länger",Lektionen[[#This Row],[Bearbeitungsdauer_abgewichen]]&gt;0.3,"länger",Lektionen[[#This Row],[Bearbeitungsdauer_abgewichen]]&lt;-0.3,"kürzer",TRUE,"keine Abweichung")</f>
        <v>keine Abweichung</v>
      </c>
      <c r="I1665">
        <v>1</v>
      </c>
    </row>
    <row r="1666" spans="1:9" hidden="1" x14ac:dyDescent="0.3">
      <c r="A1666" s="13">
        <v>260</v>
      </c>
      <c r="B1666" s="4">
        <v>1</v>
      </c>
      <c r="C1666" t="s">
        <v>526</v>
      </c>
      <c r="D1666" t="s">
        <v>527</v>
      </c>
      <c r="E1666">
        <v>4</v>
      </c>
      <c r="F1666">
        <v>7</v>
      </c>
      <c r="G1666" s="8">
        <f>Lektionen[[#This Row],[Bearbeitungsdauer_real]]/Lektionen[[#This Row],[Bearbeitungsdauer_geschätzt]]-1</f>
        <v>0.75</v>
      </c>
      <c r="H1666" s="8" t="str" cm="1">
        <f t="array" ref="H1666">_xlfn.IFS(Lektionen[[#This Row],[Bearbeitungsdauer_abgewichen]]&gt;0.6,"viel länger",Lektionen[[#This Row],[Bearbeitungsdauer_abgewichen]]&gt;0.3,"länger",Lektionen[[#This Row],[Bearbeitungsdauer_abgewichen]]&lt;-0.3,"kürzer",TRUE,"keine Abweichung")</f>
        <v>viel länger</v>
      </c>
      <c r="I1666">
        <v>1</v>
      </c>
    </row>
    <row r="1667" spans="1:9" hidden="1" x14ac:dyDescent="0.3">
      <c r="A1667" s="13">
        <v>260</v>
      </c>
      <c r="B1667" s="4">
        <v>2</v>
      </c>
      <c r="C1667" t="s">
        <v>528</v>
      </c>
      <c r="D1667" t="s">
        <v>529</v>
      </c>
      <c r="E1667">
        <v>15</v>
      </c>
      <c r="F1667">
        <v>20</v>
      </c>
      <c r="G1667" s="8">
        <f>Lektionen[[#This Row],[Bearbeitungsdauer_real]]/Lektionen[[#This Row],[Bearbeitungsdauer_geschätzt]]-1</f>
        <v>0.33333333333333326</v>
      </c>
      <c r="H1667" s="8" t="str" cm="1">
        <f t="array" ref="H1667">_xlfn.IFS(Lektionen[[#This Row],[Bearbeitungsdauer_abgewichen]]&gt;0.6,"viel länger",Lektionen[[#This Row],[Bearbeitungsdauer_abgewichen]]&gt;0.3,"länger",Lektionen[[#This Row],[Bearbeitungsdauer_abgewichen]]&lt;-0.3,"kürzer",TRUE,"keine Abweichung")</f>
        <v>länger</v>
      </c>
      <c r="I1667">
        <v>1</v>
      </c>
    </row>
    <row r="1668" spans="1:9" hidden="1" x14ac:dyDescent="0.3">
      <c r="A1668" s="13">
        <v>260</v>
      </c>
      <c r="B1668" s="4">
        <v>3</v>
      </c>
      <c r="C1668" t="s">
        <v>552</v>
      </c>
      <c r="D1668" t="s">
        <v>530</v>
      </c>
      <c r="E1668">
        <v>30</v>
      </c>
      <c r="F1668">
        <v>27</v>
      </c>
      <c r="G1668" s="8">
        <f>Lektionen[[#This Row],[Bearbeitungsdauer_real]]/Lektionen[[#This Row],[Bearbeitungsdauer_geschätzt]]-1</f>
        <v>-9.9999999999999978E-2</v>
      </c>
      <c r="H1668" s="8" t="str" cm="1">
        <f t="array" ref="H1668">_xlfn.IFS(Lektionen[[#This Row],[Bearbeitungsdauer_abgewichen]]&gt;0.6,"viel länger",Lektionen[[#This Row],[Bearbeitungsdauer_abgewichen]]&gt;0.3,"länger",Lektionen[[#This Row],[Bearbeitungsdauer_abgewichen]]&lt;-0.3,"kürzer",TRUE,"keine Abweichung")</f>
        <v>keine Abweichung</v>
      </c>
      <c r="I1668">
        <v>3</v>
      </c>
    </row>
    <row r="1669" spans="1:9" hidden="1" x14ac:dyDescent="0.3">
      <c r="A1669" s="13">
        <v>260</v>
      </c>
      <c r="B1669" s="4">
        <v>4</v>
      </c>
      <c r="C1669" t="s">
        <v>531</v>
      </c>
      <c r="D1669" t="s">
        <v>530</v>
      </c>
      <c r="E1669">
        <v>30</v>
      </c>
      <c r="F1669">
        <v>27</v>
      </c>
      <c r="G1669" s="8">
        <f>Lektionen[[#This Row],[Bearbeitungsdauer_real]]/Lektionen[[#This Row],[Bearbeitungsdauer_geschätzt]]-1</f>
        <v>-9.9999999999999978E-2</v>
      </c>
      <c r="H1669" s="8" t="str" cm="1">
        <f t="array" ref="H1669">_xlfn.IFS(Lektionen[[#This Row],[Bearbeitungsdauer_abgewichen]]&gt;0.6,"viel länger",Lektionen[[#This Row],[Bearbeitungsdauer_abgewichen]]&gt;0.3,"länger",Lektionen[[#This Row],[Bearbeitungsdauer_abgewichen]]&lt;-0.3,"kürzer",TRUE,"keine Abweichung")</f>
        <v>keine Abweichung</v>
      </c>
      <c r="I1669">
        <v>3</v>
      </c>
    </row>
    <row r="1670" spans="1:9" x14ac:dyDescent="0.3">
      <c r="A1670" s="13">
        <v>260</v>
      </c>
      <c r="B1670" s="4">
        <v>5</v>
      </c>
      <c r="C1670" t="s">
        <v>532</v>
      </c>
      <c r="D1670" t="s">
        <v>530</v>
      </c>
      <c r="E1670">
        <v>30</v>
      </c>
      <c r="F1670">
        <v>51</v>
      </c>
      <c r="G1670" s="8">
        <f>Lektionen[[#This Row],[Bearbeitungsdauer_real]]/Lektionen[[#This Row],[Bearbeitungsdauer_geschätzt]]-1</f>
        <v>0.7</v>
      </c>
      <c r="H1670" s="8" t="str" cm="1">
        <f t="array" ref="H1670">_xlfn.IFS(Lektionen[[#This Row],[Bearbeitungsdauer_abgewichen]]&gt;0.6,"viel länger",Lektionen[[#This Row],[Bearbeitungsdauer_abgewichen]]&gt;0.3,"länger",Lektionen[[#This Row],[Bearbeitungsdauer_abgewichen]]&lt;-0.3,"kürzer",TRUE,"keine Abweichung")</f>
        <v>viel länger</v>
      </c>
      <c r="I1670">
        <v>4</v>
      </c>
    </row>
    <row r="1671" spans="1:9" hidden="1" x14ac:dyDescent="0.3">
      <c r="A1671" s="13">
        <v>260</v>
      </c>
      <c r="B1671" s="4">
        <v>6</v>
      </c>
      <c r="C1671" t="s">
        <v>533</v>
      </c>
      <c r="D1671" t="s">
        <v>534</v>
      </c>
      <c r="E1671">
        <v>5</v>
      </c>
      <c r="F1671">
        <v>2</v>
      </c>
      <c r="G1671" s="8">
        <f>Lektionen[[#This Row],[Bearbeitungsdauer_real]]/Lektionen[[#This Row],[Bearbeitungsdauer_geschätzt]]-1</f>
        <v>-0.6</v>
      </c>
      <c r="H1671" s="8" t="str" cm="1">
        <f t="array" ref="H1671">_xlfn.IFS(Lektionen[[#This Row],[Bearbeitungsdauer_abgewichen]]&gt;0.6,"viel länger",Lektionen[[#This Row],[Bearbeitungsdauer_abgewichen]]&gt;0.3,"länger",Lektionen[[#This Row],[Bearbeitungsdauer_abgewichen]]&lt;-0.3,"kürzer",TRUE,"keine Abweichung")</f>
        <v>kürzer</v>
      </c>
      <c r="I1671">
        <v>2</v>
      </c>
    </row>
    <row r="1672" spans="1:9" hidden="1" x14ac:dyDescent="0.3">
      <c r="A1672" s="13">
        <v>260</v>
      </c>
      <c r="B1672" s="4">
        <v>7</v>
      </c>
      <c r="C1672" t="s">
        <v>535</v>
      </c>
      <c r="D1672" t="s">
        <v>536</v>
      </c>
      <c r="E1672">
        <v>10</v>
      </c>
      <c r="F1672">
        <v>10</v>
      </c>
      <c r="G1672" s="8">
        <f>Lektionen[[#This Row],[Bearbeitungsdauer_real]]/Lektionen[[#This Row],[Bearbeitungsdauer_geschätzt]]-1</f>
        <v>0</v>
      </c>
      <c r="H1672" s="8" t="str" cm="1">
        <f t="array" ref="H1672">_xlfn.IFS(Lektionen[[#This Row],[Bearbeitungsdauer_abgewichen]]&gt;0.6,"viel länger",Lektionen[[#This Row],[Bearbeitungsdauer_abgewichen]]&gt;0.3,"länger",Lektionen[[#This Row],[Bearbeitungsdauer_abgewichen]]&lt;-0.3,"kürzer",TRUE,"keine Abweichung")</f>
        <v>keine Abweichung</v>
      </c>
      <c r="I1672">
        <v>3</v>
      </c>
    </row>
    <row r="1673" spans="1:9" hidden="1" x14ac:dyDescent="0.3">
      <c r="A1673" s="13">
        <v>260</v>
      </c>
      <c r="B1673" s="4">
        <v>8</v>
      </c>
      <c r="C1673" t="s">
        <v>537</v>
      </c>
      <c r="D1673" t="s">
        <v>527</v>
      </c>
      <c r="E1673">
        <v>5</v>
      </c>
      <c r="F1673">
        <v>5</v>
      </c>
      <c r="G1673" s="8">
        <f>Lektionen[[#This Row],[Bearbeitungsdauer_real]]/Lektionen[[#This Row],[Bearbeitungsdauer_geschätzt]]-1</f>
        <v>0</v>
      </c>
      <c r="H1673" s="8" t="str" cm="1">
        <f t="array" ref="H1673">_xlfn.IFS(Lektionen[[#This Row],[Bearbeitungsdauer_abgewichen]]&gt;0.6,"viel länger",Lektionen[[#This Row],[Bearbeitungsdauer_abgewichen]]&gt;0.3,"länger",Lektionen[[#This Row],[Bearbeitungsdauer_abgewichen]]&lt;-0.3,"kürzer",TRUE,"keine Abweichung")</f>
        <v>keine Abweichung</v>
      </c>
      <c r="I1673">
        <v>1</v>
      </c>
    </row>
    <row r="1674" spans="1:9" hidden="1" x14ac:dyDescent="0.3">
      <c r="A1674" s="13">
        <v>261</v>
      </c>
      <c r="B1674" s="4">
        <v>1</v>
      </c>
      <c r="C1674" t="s">
        <v>526</v>
      </c>
      <c r="D1674" t="s">
        <v>527</v>
      </c>
      <c r="E1674">
        <v>4</v>
      </c>
      <c r="F1674">
        <v>4</v>
      </c>
      <c r="G1674" s="8">
        <f>Lektionen[[#This Row],[Bearbeitungsdauer_real]]/Lektionen[[#This Row],[Bearbeitungsdauer_geschätzt]]-1</f>
        <v>0</v>
      </c>
      <c r="H1674" s="8" t="str" cm="1">
        <f t="array" ref="H1674">_xlfn.IFS(Lektionen[[#This Row],[Bearbeitungsdauer_abgewichen]]&gt;0.6,"viel länger",Lektionen[[#This Row],[Bearbeitungsdauer_abgewichen]]&gt;0.3,"länger",Lektionen[[#This Row],[Bearbeitungsdauer_abgewichen]]&lt;-0.3,"kürzer",TRUE,"keine Abweichung")</f>
        <v>keine Abweichung</v>
      </c>
      <c r="I1674">
        <v>1</v>
      </c>
    </row>
    <row r="1675" spans="1:9" hidden="1" x14ac:dyDescent="0.3">
      <c r="A1675" s="13">
        <v>261</v>
      </c>
      <c r="B1675" s="4">
        <v>2</v>
      </c>
      <c r="C1675" t="s">
        <v>528</v>
      </c>
      <c r="D1675" t="s">
        <v>529</v>
      </c>
      <c r="E1675">
        <v>15</v>
      </c>
      <c r="F1675">
        <v>18</v>
      </c>
      <c r="G1675" s="8">
        <f>Lektionen[[#This Row],[Bearbeitungsdauer_real]]/Lektionen[[#This Row],[Bearbeitungsdauer_geschätzt]]-1</f>
        <v>0.19999999999999996</v>
      </c>
      <c r="H1675" s="8" t="str" cm="1">
        <f t="array" ref="H1675">_xlfn.IFS(Lektionen[[#This Row],[Bearbeitungsdauer_abgewichen]]&gt;0.6,"viel länger",Lektionen[[#This Row],[Bearbeitungsdauer_abgewichen]]&gt;0.3,"länger",Lektionen[[#This Row],[Bearbeitungsdauer_abgewichen]]&lt;-0.3,"kürzer",TRUE,"keine Abweichung")</f>
        <v>keine Abweichung</v>
      </c>
      <c r="I1675">
        <v>1</v>
      </c>
    </row>
    <row r="1676" spans="1:9" hidden="1" x14ac:dyDescent="0.3">
      <c r="A1676" s="13">
        <v>261</v>
      </c>
      <c r="B1676" s="4">
        <v>3</v>
      </c>
      <c r="C1676" t="s">
        <v>552</v>
      </c>
      <c r="D1676" t="s">
        <v>530</v>
      </c>
      <c r="E1676">
        <v>30</v>
      </c>
      <c r="F1676">
        <v>28</v>
      </c>
      <c r="G1676" s="8">
        <f>Lektionen[[#This Row],[Bearbeitungsdauer_real]]/Lektionen[[#This Row],[Bearbeitungsdauer_geschätzt]]-1</f>
        <v>-6.6666666666666652E-2</v>
      </c>
      <c r="H1676" s="8" t="str" cm="1">
        <f t="array" ref="H1676">_xlfn.IFS(Lektionen[[#This Row],[Bearbeitungsdauer_abgewichen]]&gt;0.6,"viel länger",Lektionen[[#This Row],[Bearbeitungsdauer_abgewichen]]&gt;0.3,"länger",Lektionen[[#This Row],[Bearbeitungsdauer_abgewichen]]&lt;-0.3,"kürzer",TRUE,"keine Abweichung")</f>
        <v>keine Abweichung</v>
      </c>
      <c r="I1676">
        <v>4</v>
      </c>
    </row>
    <row r="1677" spans="1:9" hidden="1" x14ac:dyDescent="0.3">
      <c r="A1677" s="13">
        <v>261</v>
      </c>
      <c r="B1677" s="4">
        <v>4</v>
      </c>
      <c r="C1677" t="s">
        <v>531</v>
      </c>
      <c r="D1677" t="s">
        <v>530</v>
      </c>
      <c r="E1677">
        <v>30</v>
      </c>
      <c r="F1677">
        <v>24</v>
      </c>
      <c r="G1677" s="8">
        <f>Lektionen[[#This Row],[Bearbeitungsdauer_real]]/Lektionen[[#This Row],[Bearbeitungsdauer_geschätzt]]-1</f>
        <v>-0.19999999999999996</v>
      </c>
      <c r="H1677" s="8" t="str" cm="1">
        <f t="array" ref="H1677">_xlfn.IFS(Lektionen[[#This Row],[Bearbeitungsdauer_abgewichen]]&gt;0.6,"viel länger",Lektionen[[#This Row],[Bearbeitungsdauer_abgewichen]]&gt;0.3,"länger",Lektionen[[#This Row],[Bearbeitungsdauer_abgewichen]]&lt;-0.3,"kürzer",TRUE,"keine Abweichung")</f>
        <v>keine Abweichung</v>
      </c>
      <c r="I1677">
        <v>3</v>
      </c>
    </row>
    <row r="1678" spans="1:9" x14ac:dyDescent="0.3">
      <c r="A1678" s="13">
        <v>261</v>
      </c>
      <c r="B1678" s="4">
        <v>5</v>
      </c>
      <c r="C1678" t="s">
        <v>532</v>
      </c>
      <c r="D1678" t="s">
        <v>530</v>
      </c>
      <c r="E1678">
        <v>30</v>
      </c>
      <c r="F1678">
        <v>43</v>
      </c>
      <c r="G1678" s="8">
        <f>Lektionen[[#This Row],[Bearbeitungsdauer_real]]/Lektionen[[#This Row],[Bearbeitungsdauer_geschätzt]]-1</f>
        <v>0.43333333333333335</v>
      </c>
      <c r="H1678" s="8" t="str" cm="1">
        <f t="array" ref="H1678">_xlfn.IFS(Lektionen[[#This Row],[Bearbeitungsdauer_abgewichen]]&gt;0.6,"viel länger",Lektionen[[#This Row],[Bearbeitungsdauer_abgewichen]]&gt;0.3,"länger",Lektionen[[#This Row],[Bearbeitungsdauer_abgewichen]]&lt;-0.3,"kürzer",TRUE,"keine Abweichung")</f>
        <v>länger</v>
      </c>
      <c r="I1678">
        <v>4</v>
      </c>
    </row>
    <row r="1679" spans="1:9" hidden="1" x14ac:dyDescent="0.3">
      <c r="A1679" s="13">
        <v>261</v>
      </c>
      <c r="B1679" s="4">
        <v>6</v>
      </c>
      <c r="C1679" t="s">
        <v>533</v>
      </c>
      <c r="D1679" t="s">
        <v>534</v>
      </c>
      <c r="E1679">
        <v>5</v>
      </c>
      <c r="F1679">
        <v>1</v>
      </c>
      <c r="G1679" s="8">
        <f>Lektionen[[#This Row],[Bearbeitungsdauer_real]]/Lektionen[[#This Row],[Bearbeitungsdauer_geschätzt]]-1</f>
        <v>-0.8</v>
      </c>
      <c r="H1679" s="8" t="str" cm="1">
        <f t="array" ref="H1679">_xlfn.IFS(Lektionen[[#This Row],[Bearbeitungsdauer_abgewichen]]&gt;0.6,"viel länger",Lektionen[[#This Row],[Bearbeitungsdauer_abgewichen]]&gt;0.3,"länger",Lektionen[[#This Row],[Bearbeitungsdauer_abgewichen]]&lt;-0.3,"kürzer",TRUE,"keine Abweichung")</f>
        <v>kürzer</v>
      </c>
      <c r="I1679">
        <v>2</v>
      </c>
    </row>
    <row r="1680" spans="1:9" hidden="1" x14ac:dyDescent="0.3">
      <c r="A1680" s="13">
        <v>261</v>
      </c>
      <c r="B1680" s="4">
        <v>7</v>
      </c>
      <c r="C1680" t="s">
        <v>535</v>
      </c>
      <c r="D1680" t="s">
        <v>536</v>
      </c>
      <c r="E1680">
        <v>10</v>
      </c>
      <c r="F1680">
        <v>9</v>
      </c>
      <c r="G1680" s="8">
        <f>Lektionen[[#This Row],[Bearbeitungsdauer_real]]/Lektionen[[#This Row],[Bearbeitungsdauer_geschätzt]]-1</f>
        <v>-9.9999999999999978E-2</v>
      </c>
      <c r="H1680" s="8" t="str" cm="1">
        <f t="array" ref="H1680">_xlfn.IFS(Lektionen[[#This Row],[Bearbeitungsdauer_abgewichen]]&gt;0.6,"viel länger",Lektionen[[#This Row],[Bearbeitungsdauer_abgewichen]]&gt;0.3,"länger",Lektionen[[#This Row],[Bearbeitungsdauer_abgewichen]]&lt;-0.3,"kürzer",TRUE,"keine Abweichung")</f>
        <v>keine Abweichung</v>
      </c>
      <c r="I1680">
        <v>3</v>
      </c>
    </row>
    <row r="1681" spans="1:9" hidden="1" x14ac:dyDescent="0.3">
      <c r="A1681" s="13">
        <v>261</v>
      </c>
      <c r="B1681" s="4">
        <v>8</v>
      </c>
      <c r="C1681" t="s">
        <v>537</v>
      </c>
      <c r="D1681" t="s">
        <v>527</v>
      </c>
      <c r="E1681">
        <v>5</v>
      </c>
      <c r="F1681">
        <v>5</v>
      </c>
      <c r="G1681" s="8">
        <f>Lektionen[[#This Row],[Bearbeitungsdauer_real]]/Lektionen[[#This Row],[Bearbeitungsdauer_geschätzt]]-1</f>
        <v>0</v>
      </c>
      <c r="H1681" s="8" t="str" cm="1">
        <f t="array" ref="H1681">_xlfn.IFS(Lektionen[[#This Row],[Bearbeitungsdauer_abgewichen]]&gt;0.6,"viel länger",Lektionen[[#This Row],[Bearbeitungsdauer_abgewichen]]&gt;0.3,"länger",Lektionen[[#This Row],[Bearbeitungsdauer_abgewichen]]&lt;-0.3,"kürzer",TRUE,"keine Abweichung")</f>
        <v>keine Abweichung</v>
      </c>
      <c r="I1681">
        <v>1</v>
      </c>
    </row>
    <row r="1682" spans="1:9" hidden="1" x14ac:dyDescent="0.3">
      <c r="A1682" s="13">
        <v>263</v>
      </c>
      <c r="B1682" s="4">
        <v>1</v>
      </c>
      <c r="C1682" t="s">
        <v>526</v>
      </c>
      <c r="D1682" t="s">
        <v>527</v>
      </c>
      <c r="E1682">
        <v>4</v>
      </c>
      <c r="F1682">
        <v>4</v>
      </c>
      <c r="G1682" s="8">
        <f>Lektionen[[#This Row],[Bearbeitungsdauer_real]]/Lektionen[[#This Row],[Bearbeitungsdauer_geschätzt]]-1</f>
        <v>0</v>
      </c>
      <c r="H1682" s="8" t="str" cm="1">
        <f t="array" ref="H1682">_xlfn.IFS(Lektionen[[#This Row],[Bearbeitungsdauer_abgewichen]]&gt;0.6,"viel länger",Lektionen[[#This Row],[Bearbeitungsdauer_abgewichen]]&gt;0.3,"länger",Lektionen[[#This Row],[Bearbeitungsdauer_abgewichen]]&lt;-0.3,"kürzer",TRUE,"keine Abweichung")</f>
        <v>keine Abweichung</v>
      </c>
      <c r="I1682">
        <v>1</v>
      </c>
    </row>
    <row r="1683" spans="1:9" hidden="1" x14ac:dyDescent="0.3">
      <c r="A1683" s="13">
        <v>263</v>
      </c>
      <c r="B1683" s="4">
        <v>2</v>
      </c>
      <c r="C1683" t="s">
        <v>528</v>
      </c>
      <c r="D1683" t="s">
        <v>529</v>
      </c>
      <c r="E1683">
        <v>15</v>
      </c>
      <c r="F1683">
        <v>18</v>
      </c>
      <c r="G1683" s="8">
        <f>Lektionen[[#This Row],[Bearbeitungsdauer_real]]/Lektionen[[#This Row],[Bearbeitungsdauer_geschätzt]]-1</f>
        <v>0.19999999999999996</v>
      </c>
      <c r="H1683" s="8" t="str" cm="1">
        <f t="array" ref="H1683">_xlfn.IFS(Lektionen[[#This Row],[Bearbeitungsdauer_abgewichen]]&gt;0.6,"viel länger",Lektionen[[#This Row],[Bearbeitungsdauer_abgewichen]]&gt;0.3,"länger",Lektionen[[#This Row],[Bearbeitungsdauer_abgewichen]]&lt;-0.3,"kürzer",TRUE,"keine Abweichung")</f>
        <v>keine Abweichung</v>
      </c>
      <c r="I1683">
        <v>1</v>
      </c>
    </row>
    <row r="1684" spans="1:9" hidden="1" x14ac:dyDescent="0.3">
      <c r="A1684" s="13">
        <v>263</v>
      </c>
      <c r="B1684" s="4">
        <v>3</v>
      </c>
      <c r="C1684" t="s">
        <v>552</v>
      </c>
      <c r="D1684" t="s">
        <v>530</v>
      </c>
      <c r="E1684">
        <v>30</v>
      </c>
      <c r="F1684">
        <v>29</v>
      </c>
      <c r="G1684" s="8">
        <f>Lektionen[[#This Row],[Bearbeitungsdauer_real]]/Lektionen[[#This Row],[Bearbeitungsdauer_geschätzt]]-1</f>
        <v>-3.3333333333333326E-2</v>
      </c>
      <c r="H1684" s="8" t="str" cm="1">
        <f t="array" ref="H1684">_xlfn.IFS(Lektionen[[#This Row],[Bearbeitungsdauer_abgewichen]]&gt;0.6,"viel länger",Lektionen[[#This Row],[Bearbeitungsdauer_abgewichen]]&gt;0.3,"länger",Lektionen[[#This Row],[Bearbeitungsdauer_abgewichen]]&lt;-0.3,"kürzer",TRUE,"keine Abweichung")</f>
        <v>keine Abweichung</v>
      </c>
      <c r="I1684">
        <v>2</v>
      </c>
    </row>
    <row r="1685" spans="1:9" hidden="1" x14ac:dyDescent="0.3">
      <c r="A1685" s="13">
        <v>263</v>
      </c>
      <c r="B1685" s="4">
        <v>4</v>
      </c>
      <c r="C1685" t="s">
        <v>531</v>
      </c>
      <c r="D1685" t="s">
        <v>530</v>
      </c>
      <c r="E1685">
        <v>30</v>
      </c>
      <c r="F1685">
        <v>29</v>
      </c>
      <c r="G1685" s="8">
        <f>Lektionen[[#This Row],[Bearbeitungsdauer_real]]/Lektionen[[#This Row],[Bearbeitungsdauer_geschätzt]]-1</f>
        <v>-3.3333333333333326E-2</v>
      </c>
      <c r="H1685" s="8" t="str" cm="1">
        <f t="array" ref="H1685">_xlfn.IFS(Lektionen[[#This Row],[Bearbeitungsdauer_abgewichen]]&gt;0.6,"viel länger",Lektionen[[#This Row],[Bearbeitungsdauer_abgewichen]]&gt;0.3,"länger",Lektionen[[#This Row],[Bearbeitungsdauer_abgewichen]]&lt;-0.3,"kürzer",TRUE,"keine Abweichung")</f>
        <v>keine Abweichung</v>
      </c>
      <c r="I1685">
        <v>3</v>
      </c>
    </row>
    <row r="1686" spans="1:9" x14ac:dyDescent="0.3">
      <c r="A1686" s="13">
        <v>263</v>
      </c>
      <c r="B1686" s="4">
        <v>5</v>
      </c>
      <c r="C1686" t="s">
        <v>532</v>
      </c>
      <c r="D1686" t="s">
        <v>530</v>
      </c>
      <c r="E1686">
        <v>30</v>
      </c>
      <c r="F1686">
        <v>43</v>
      </c>
      <c r="G1686" s="8">
        <f>Lektionen[[#This Row],[Bearbeitungsdauer_real]]/Lektionen[[#This Row],[Bearbeitungsdauer_geschätzt]]-1</f>
        <v>0.43333333333333335</v>
      </c>
      <c r="H1686" s="8" t="str" cm="1">
        <f t="array" ref="H1686">_xlfn.IFS(Lektionen[[#This Row],[Bearbeitungsdauer_abgewichen]]&gt;0.6,"viel länger",Lektionen[[#This Row],[Bearbeitungsdauer_abgewichen]]&gt;0.3,"länger",Lektionen[[#This Row],[Bearbeitungsdauer_abgewichen]]&lt;-0.3,"kürzer",TRUE,"keine Abweichung")</f>
        <v>länger</v>
      </c>
      <c r="I1686">
        <v>3</v>
      </c>
    </row>
    <row r="1687" spans="1:9" hidden="1" x14ac:dyDescent="0.3">
      <c r="A1687" s="13">
        <v>263</v>
      </c>
      <c r="B1687" s="4">
        <v>6</v>
      </c>
      <c r="C1687" t="s">
        <v>533</v>
      </c>
      <c r="D1687" t="s">
        <v>534</v>
      </c>
      <c r="E1687">
        <v>5</v>
      </c>
      <c r="F1687">
        <v>2</v>
      </c>
      <c r="G1687" s="8">
        <f>Lektionen[[#This Row],[Bearbeitungsdauer_real]]/Lektionen[[#This Row],[Bearbeitungsdauer_geschätzt]]-1</f>
        <v>-0.6</v>
      </c>
      <c r="H1687" s="8" t="str" cm="1">
        <f t="array" ref="H1687">_xlfn.IFS(Lektionen[[#This Row],[Bearbeitungsdauer_abgewichen]]&gt;0.6,"viel länger",Lektionen[[#This Row],[Bearbeitungsdauer_abgewichen]]&gt;0.3,"länger",Lektionen[[#This Row],[Bearbeitungsdauer_abgewichen]]&lt;-0.3,"kürzer",TRUE,"keine Abweichung")</f>
        <v>kürzer</v>
      </c>
      <c r="I1687">
        <v>2</v>
      </c>
    </row>
    <row r="1688" spans="1:9" hidden="1" x14ac:dyDescent="0.3">
      <c r="A1688" s="13">
        <v>263</v>
      </c>
      <c r="B1688" s="4">
        <v>7</v>
      </c>
      <c r="C1688" t="s">
        <v>535</v>
      </c>
      <c r="D1688" t="s">
        <v>536</v>
      </c>
      <c r="E1688">
        <v>10</v>
      </c>
      <c r="F1688">
        <v>9</v>
      </c>
      <c r="G1688" s="8">
        <f>Lektionen[[#This Row],[Bearbeitungsdauer_real]]/Lektionen[[#This Row],[Bearbeitungsdauer_geschätzt]]-1</f>
        <v>-9.9999999999999978E-2</v>
      </c>
      <c r="H1688" s="8" t="str" cm="1">
        <f t="array" ref="H1688">_xlfn.IFS(Lektionen[[#This Row],[Bearbeitungsdauer_abgewichen]]&gt;0.6,"viel länger",Lektionen[[#This Row],[Bearbeitungsdauer_abgewichen]]&gt;0.3,"länger",Lektionen[[#This Row],[Bearbeitungsdauer_abgewichen]]&lt;-0.3,"kürzer",TRUE,"keine Abweichung")</f>
        <v>keine Abweichung</v>
      </c>
      <c r="I1688">
        <v>3</v>
      </c>
    </row>
    <row r="1689" spans="1:9" hidden="1" x14ac:dyDescent="0.3">
      <c r="A1689" s="13">
        <v>263</v>
      </c>
      <c r="B1689" s="4">
        <v>8</v>
      </c>
      <c r="C1689" t="s">
        <v>537</v>
      </c>
      <c r="D1689" t="s">
        <v>527</v>
      </c>
      <c r="E1689">
        <v>5</v>
      </c>
      <c r="F1689">
        <v>5</v>
      </c>
      <c r="G1689" s="8">
        <f>Lektionen[[#This Row],[Bearbeitungsdauer_real]]/Lektionen[[#This Row],[Bearbeitungsdauer_geschätzt]]-1</f>
        <v>0</v>
      </c>
      <c r="H1689" s="8" t="str" cm="1">
        <f t="array" ref="H1689">_xlfn.IFS(Lektionen[[#This Row],[Bearbeitungsdauer_abgewichen]]&gt;0.6,"viel länger",Lektionen[[#This Row],[Bearbeitungsdauer_abgewichen]]&gt;0.3,"länger",Lektionen[[#This Row],[Bearbeitungsdauer_abgewichen]]&lt;-0.3,"kürzer",TRUE,"keine Abweichung")</f>
        <v>keine Abweichung</v>
      </c>
      <c r="I1689">
        <v>1</v>
      </c>
    </row>
    <row r="1690" spans="1:9" hidden="1" x14ac:dyDescent="0.3">
      <c r="A1690" s="13">
        <v>264</v>
      </c>
      <c r="B1690" s="4">
        <v>1</v>
      </c>
      <c r="C1690" t="s">
        <v>526</v>
      </c>
      <c r="D1690" t="s">
        <v>527</v>
      </c>
      <c r="E1690">
        <v>4</v>
      </c>
      <c r="F1690">
        <v>4</v>
      </c>
      <c r="G1690" s="8">
        <f>Lektionen[[#This Row],[Bearbeitungsdauer_real]]/Lektionen[[#This Row],[Bearbeitungsdauer_geschätzt]]-1</f>
        <v>0</v>
      </c>
      <c r="H1690" s="8" t="str" cm="1">
        <f t="array" ref="H1690">_xlfn.IFS(Lektionen[[#This Row],[Bearbeitungsdauer_abgewichen]]&gt;0.6,"viel länger",Lektionen[[#This Row],[Bearbeitungsdauer_abgewichen]]&gt;0.3,"länger",Lektionen[[#This Row],[Bearbeitungsdauer_abgewichen]]&lt;-0.3,"kürzer",TRUE,"keine Abweichung")</f>
        <v>keine Abweichung</v>
      </c>
      <c r="I1690">
        <v>1</v>
      </c>
    </row>
    <row r="1691" spans="1:9" hidden="1" x14ac:dyDescent="0.3">
      <c r="A1691" s="13">
        <v>264</v>
      </c>
      <c r="B1691" s="4">
        <v>2</v>
      </c>
      <c r="C1691" t="s">
        <v>528</v>
      </c>
      <c r="D1691" t="s">
        <v>529</v>
      </c>
      <c r="E1691">
        <v>15</v>
      </c>
      <c r="F1691">
        <v>15</v>
      </c>
      <c r="G1691" s="8">
        <f>Lektionen[[#This Row],[Bearbeitungsdauer_real]]/Lektionen[[#This Row],[Bearbeitungsdauer_geschätzt]]-1</f>
        <v>0</v>
      </c>
      <c r="H1691" s="8" t="str" cm="1">
        <f t="array" ref="H1691">_xlfn.IFS(Lektionen[[#This Row],[Bearbeitungsdauer_abgewichen]]&gt;0.6,"viel länger",Lektionen[[#This Row],[Bearbeitungsdauer_abgewichen]]&gt;0.3,"länger",Lektionen[[#This Row],[Bearbeitungsdauer_abgewichen]]&lt;-0.3,"kürzer",TRUE,"keine Abweichung")</f>
        <v>keine Abweichung</v>
      </c>
      <c r="I1691">
        <v>2</v>
      </c>
    </row>
    <row r="1692" spans="1:9" hidden="1" x14ac:dyDescent="0.3">
      <c r="A1692" s="13">
        <v>264</v>
      </c>
      <c r="B1692" s="4">
        <v>3</v>
      </c>
      <c r="C1692" t="s">
        <v>552</v>
      </c>
      <c r="D1692" t="s">
        <v>530</v>
      </c>
      <c r="E1692">
        <v>30</v>
      </c>
      <c r="F1692">
        <v>28</v>
      </c>
      <c r="G1692" s="8">
        <f>Lektionen[[#This Row],[Bearbeitungsdauer_real]]/Lektionen[[#This Row],[Bearbeitungsdauer_geschätzt]]-1</f>
        <v>-6.6666666666666652E-2</v>
      </c>
      <c r="H1692" s="8" t="str" cm="1">
        <f t="array" ref="H1692">_xlfn.IFS(Lektionen[[#This Row],[Bearbeitungsdauer_abgewichen]]&gt;0.6,"viel länger",Lektionen[[#This Row],[Bearbeitungsdauer_abgewichen]]&gt;0.3,"länger",Lektionen[[#This Row],[Bearbeitungsdauer_abgewichen]]&lt;-0.3,"kürzer",TRUE,"keine Abweichung")</f>
        <v>keine Abweichung</v>
      </c>
      <c r="I1692">
        <v>3</v>
      </c>
    </row>
    <row r="1693" spans="1:9" hidden="1" x14ac:dyDescent="0.3">
      <c r="A1693" s="13">
        <v>264</v>
      </c>
      <c r="B1693" s="4">
        <v>4</v>
      </c>
      <c r="C1693" t="s">
        <v>531</v>
      </c>
      <c r="D1693" t="s">
        <v>530</v>
      </c>
      <c r="E1693">
        <v>30</v>
      </c>
      <c r="F1693">
        <v>33</v>
      </c>
      <c r="G1693" s="8">
        <f>Lektionen[[#This Row],[Bearbeitungsdauer_real]]/Lektionen[[#This Row],[Bearbeitungsdauer_geschätzt]]-1</f>
        <v>0.10000000000000009</v>
      </c>
      <c r="H1693" s="8" t="str" cm="1">
        <f t="array" ref="H1693">_xlfn.IFS(Lektionen[[#This Row],[Bearbeitungsdauer_abgewichen]]&gt;0.6,"viel länger",Lektionen[[#This Row],[Bearbeitungsdauer_abgewichen]]&gt;0.3,"länger",Lektionen[[#This Row],[Bearbeitungsdauer_abgewichen]]&lt;-0.3,"kürzer",TRUE,"keine Abweichung")</f>
        <v>keine Abweichung</v>
      </c>
      <c r="I1693">
        <v>3</v>
      </c>
    </row>
    <row r="1694" spans="1:9" x14ac:dyDescent="0.3">
      <c r="A1694" s="13">
        <v>264</v>
      </c>
      <c r="B1694" s="4">
        <v>5</v>
      </c>
      <c r="C1694" t="s">
        <v>532</v>
      </c>
      <c r="D1694" t="s">
        <v>530</v>
      </c>
      <c r="E1694">
        <v>30</v>
      </c>
      <c r="F1694">
        <v>52</v>
      </c>
      <c r="G1694" s="8">
        <f>Lektionen[[#This Row],[Bearbeitungsdauer_real]]/Lektionen[[#This Row],[Bearbeitungsdauer_geschätzt]]-1</f>
        <v>0.73333333333333339</v>
      </c>
      <c r="H1694" s="8" t="str" cm="1">
        <f t="array" ref="H1694">_xlfn.IFS(Lektionen[[#This Row],[Bearbeitungsdauer_abgewichen]]&gt;0.6,"viel länger",Lektionen[[#This Row],[Bearbeitungsdauer_abgewichen]]&gt;0.3,"länger",Lektionen[[#This Row],[Bearbeitungsdauer_abgewichen]]&lt;-0.3,"kürzer",TRUE,"keine Abweichung")</f>
        <v>viel länger</v>
      </c>
      <c r="I1694">
        <v>4</v>
      </c>
    </row>
    <row r="1695" spans="1:9" hidden="1" x14ac:dyDescent="0.3">
      <c r="A1695" s="13">
        <v>264</v>
      </c>
      <c r="B1695" s="4">
        <v>6</v>
      </c>
      <c r="C1695" t="s">
        <v>533</v>
      </c>
      <c r="D1695" t="s">
        <v>534</v>
      </c>
      <c r="E1695">
        <v>5</v>
      </c>
      <c r="F1695">
        <v>1</v>
      </c>
      <c r="G1695" s="8">
        <f>Lektionen[[#This Row],[Bearbeitungsdauer_real]]/Lektionen[[#This Row],[Bearbeitungsdauer_geschätzt]]-1</f>
        <v>-0.8</v>
      </c>
      <c r="H1695" s="8" t="str" cm="1">
        <f t="array" ref="H1695">_xlfn.IFS(Lektionen[[#This Row],[Bearbeitungsdauer_abgewichen]]&gt;0.6,"viel länger",Lektionen[[#This Row],[Bearbeitungsdauer_abgewichen]]&gt;0.3,"länger",Lektionen[[#This Row],[Bearbeitungsdauer_abgewichen]]&lt;-0.3,"kürzer",TRUE,"keine Abweichung")</f>
        <v>kürzer</v>
      </c>
      <c r="I1695">
        <v>3</v>
      </c>
    </row>
    <row r="1696" spans="1:9" hidden="1" x14ac:dyDescent="0.3">
      <c r="A1696" s="13">
        <v>264</v>
      </c>
      <c r="B1696" s="4">
        <v>7</v>
      </c>
      <c r="C1696" t="s">
        <v>535</v>
      </c>
      <c r="D1696" t="s">
        <v>536</v>
      </c>
      <c r="E1696">
        <v>10</v>
      </c>
      <c r="F1696">
        <v>9</v>
      </c>
      <c r="G1696" s="8">
        <f>Lektionen[[#This Row],[Bearbeitungsdauer_real]]/Lektionen[[#This Row],[Bearbeitungsdauer_geschätzt]]-1</f>
        <v>-9.9999999999999978E-2</v>
      </c>
      <c r="H1696" s="8" t="str" cm="1">
        <f t="array" ref="H1696">_xlfn.IFS(Lektionen[[#This Row],[Bearbeitungsdauer_abgewichen]]&gt;0.6,"viel länger",Lektionen[[#This Row],[Bearbeitungsdauer_abgewichen]]&gt;0.3,"länger",Lektionen[[#This Row],[Bearbeitungsdauer_abgewichen]]&lt;-0.3,"kürzer",TRUE,"keine Abweichung")</f>
        <v>keine Abweichung</v>
      </c>
      <c r="I1696">
        <v>3</v>
      </c>
    </row>
    <row r="1697" spans="1:9" hidden="1" x14ac:dyDescent="0.3">
      <c r="A1697" s="13">
        <v>264</v>
      </c>
      <c r="B1697" s="4">
        <v>8</v>
      </c>
      <c r="C1697" t="s">
        <v>537</v>
      </c>
      <c r="D1697" t="s">
        <v>527</v>
      </c>
      <c r="E1697">
        <v>5</v>
      </c>
      <c r="F1697">
        <v>5</v>
      </c>
      <c r="G1697" s="8">
        <f>Lektionen[[#This Row],[Bearbeitungsdauer_real]]/Lektionen[[#This Row],[Bearbeitungsdauer_geschätzt]]-1</f>
        <v>0</v>
      </c>
      <c r="H1697" s="8" t="str" cm="1">
        <f t="array" ref="H1697">_xlfn.IFS(Lektionen[[#This Row],[Bearbeitungsdauer_abgewichen]]&gt;0.6,"viel länger",Lektionen[[#This Row],[Bearbeitungsdauer_abgewichen]]&gt;0.3,"länger",Lektionen[[#This Row],[Bearbeitungsdauer_abgewichen]]&lt;-0.3,"kürzer",TRUE,"keine Abweichung")</f>
        <v>keine Abweichung</v>
      </c>
      <c r="I1697">
        <v>1</v>
      </c>
    </row>
    <row r="1698" spans="1:9" hidden="1" x14ac:dyDescent="0.3">
      <c r="A1698" s="13">
        <v>265</v>
      </c>
      <c r="B1698" s="4">
        <v>1</v>
      </c>
      <c r="C1698" t="s">
        <v>526</v>
      </c>
      <c r="D1698" t="s">
        <v>527</v>
      </c>
      <c r="E1698">
        <v>4</v>
      </c>
      <c r="F1698">
        <v>4</v>
      </c>
      <c r="G1698" s="8">
        <f>Lektionen[[#This Row],[Bearbeitungsdauer_real]]/Lektionen[[#This Row],[Bearbeitungsdauer_geschätzt]]-1</f>
        <v>0</v>
      </c>
      <c r="H1698" s="8" t="str" cm="1">
        <f t="array" ref="H1698">_xlfn.IFS(Lektionen[[#This Row],[Bearbeitungsdauer_abgewichen]]&gt;0.6,"viel länger",Lektionen[[#This Row],[Bearbeitungsdauer_abgewichen]]&gt;0.3,"länger",Lektionen[[#This Row],[Bearbeitungsdauer_abgewichen]]&lt;-0.3,"kürzer",TRUE,"keine Abweichung")</f>
        <v>keine Abweichung</v>
      </c>
      <c r="I1698">
        <v>2</v>
      </c>
    </row>
    <row r="1699" spans="1:9" hidden="1" x14ac:dyDescent="0.3">
      <c r="A1699" s="13">
        <v>265</v>
      </c>
      <c r="B1699" s="4">
        <v>2</v>
      </c>
      <c r="C1699" t="s">
        <v>528</v>
      </c>
      <c r="D1699" t="s">
        <v>529</v>
      </c>
      <c r="E1699">
        <v>15</v>
      </c>
      <c r="F1699">
        <v>15</v>
      </c>
      <c r="G1699" s="8">
        <f>Lektionen[[#This Row],[Bearbeitungsdauer_real]]/Lektionen[[#This Row],[Bearbeitungsdauer_geschätzt]]-1</f>
        <v>0</v>
      </c>
      <c r="H1699" s="8" t="str" cm="1">
        <f t="array" ref="H1699">_xlfn.IFS(Lektionen[[#This Row],[Bearbeitungsdauer_abgewichen]]&gt;0.6,"viel länger",Lektionen[[#This Row],[Bearbeitungsdauer_abgewichen]]&gt;0.3,"länger",Lektionen[[#This Row],[Bearbeitungsdauer_abgewichen]]&lt;-0.3,"kürzer",TRUE,"keine Abweichung")</f>
        <v>keine Abweichung</v>
      </c>
      <c r="I1699">
        <v>2</v>
      </c>
    </row>
    <row r="1700" spans="1:9" hidden="1" x14ac:dyDescent="0.3">
      <c r="A1700" s="13">
        <v>265</v>
      </c>
      <c r="B1700" s="4">
        <v>3</v>
      </c>
      <c r="C1700" t="s">
        <v>552</v>
      </c>
      <c r="D1700" t="s">
        <v>530</v>
      </c>
      <c r="E1700">
        <v>30</v>
      </c>
      <c r="F1700">
        <v>29</v>
      </c>
      <c r="G1700" s="8">
        <f>Lektionen[[#This Row],[Bearbeitungsdauer_real]]/Lektionen[[#This Row],[Bearbeitungsdauer_geschätzt]]-1</f>
        <v>-3.3333333333333326E-2</v>
      </c>
      <c r="H1700" s="8" t="str" cm="1">
        <f t="array" ref="H1700">_xlfn.IFS(Lektionen[[#This Row],[Bearbeitungsdauer_abgewichen]]&gt;0.6,"viel länger",Lektionen[[#This Row],[Bearbeitungsdauer_abgewichen]]&gt;0.3,"länger",Lektionen[[#This Row],[Bearbeitungsdauer_abgewichen]]&lt;-0.3,"kürzer",TRUE,"keine Abweichung")</f>
        <v>keine Abweichung</v>
      </c>
      <c r="I1700">
        <v>2</v>
      </c>
    </row>
    <row r="1701" spans="1:9" hidden="1" x14ac:dyDescent="0.3">
      <c r="A1701" s="13">
        <v>265</v>
      </c>
      <c r="B1701" s="4">
        <v>4</v>
      </c>
      <c r="C1701" t="s">
        <v>531</v>
      </c>
      <c r="D1701" t="s">
        <v>530</v>
      </c>
      <c r="E1701">
        <v>30</v>
      </c>
      <c r="F1701">
        <v>28</v>
      </c>
      <c r="G1701" s="8">
        <f>Lektionen[[#This Row],[Bearbeitungsdauer_real]]/Lektionen[[#This Row],[Bearbeitungsdauer_geschätzt]]-1</f>
        <v>-6.6666666666666652E-2</v>
      </c>
      <c r="H1701" s="8" t="str" cm="1">
        <f t="array" ref="H1701">_xlfn.IFS(Lektionen[[#This Row],[Bearbeitungsdauer_abgewichen]]&gt;0.6,"viel länger",Lektionen[[#This Row],[Bearbeitungsdauer_abgewichen]]&gt;0.3,"länger",Lektionen[[#This Row],[Bearbeitungsdauer_abgewichen]]&lt;-0.3,"kürzer",TRUE,"keine Abweichung")</f>
        <v>keine Abweichung</v>
      </c>
      <c r="I1701">
        <v>3</v>
      </c>
    </row>
    <row r="1702" spans="1:9" x14ac:dyDescent="0.3">
      <c r="A1702" s="13">
        <v>265</v>
      </c>
      <c r="B1702" s="4">
        <v>5</v>
      </c>
      <c r="C1702" t="s">
        <v>532</v>
      </c>
      <c r="D1702" t="s">
        <v>530</v>
      </c>
      <c r="E1702">
        <v>30</v>
      </c>
      <c r="F1702">
        <v>48</v>
      </c>
      <c r="G1702" s="8">
        <f>Lektionen[[#This Row],[Bearbeitungsdauer_real]]/Lektionen[[#This Row],[Bearbeitungsdauer_geschätzt]]-1</f>
        <v>0.60000000000000009</v>
      </c>
      <c r="H1702" s="8" t="str" cm="1">
        <f t="array" ref="H1702">_xlfn.IFS(Lektionen[[#This Row],[Bearbeitungsdauer_abgewichen]]&gt;0.6,"viel länger",Lektionen[[#This Row],[Bearbeitungsdauer_abgewichen]]&gt;0.3,"länger",Lektionen[[#This Row],[Bearbeitungsdauer_abgewichen]]&lt;-0.3,"kürzer",TRUE,"keine Abweichung")</f>
        <v>länger</v>
      </c>
      <c r="I1702">
        <v>4</v>
      </c>
    </row>
    <row r="1703" spans="1:9" hidden="1" x14ac:dyDescent="0.3">
      <c r="A1703" s="13">
        <v>265</v>
      </c>
      <c r="B1703" s="4">
        <v>6</v>
      </c>
      <c r="C1703" t="s">
        <v>533</v>
      </c>
      <c r="D1703" t="s">
        <v>534</v>
      </c>
      <c r="E1703">
        <v>5</v>
      </c>
      <c r="F1703">
        <v>2</v>
      </c>
      <c r="G1703" s="8">
        <f>Lektionen[[#This Row],[Bearbeitungsdauer_real]]/Lektionen[[#This Row],[Bearbeitungsdauer_geschätzt]]-1</f>
        <v>-0.6</v>
      </c>
      <c r="H1703" s="8" t="str" cm="1">
        <f t="array" ref="H1703">_xlfn.IFS(Lektionen[[#This Row],[Bearbeitungsdauer_abgewichen]]&gt;0.6,"viel länger",Lektionen[[#This Row],[Bearbeitungsdauer_abgewichen]]&gt;0.3,"länger",Lektionen[[#This Row],[Bearbeitungsdauer_abgewichen]]&lt;-0.3,"kürzer",TRUE,"keine Abweichung")</f>
        <v>kürzer</v>
      </c>
      <c r="I1703">
        <v>2</v>
      </c>
    </row>
    <row r="1704" spans="1:9" hidden="1" x14ac:dyDescent="0.3">
      <c r="A1704" s="13">
        <v>265</v>
      </c>
      <c r="B1704" s="4">
        <v>7</v>
      </c>
      <c r="C1704" t="s">
        <v>535</v>
      </c>
      <c r="D1704" t="s">
        <v>536</v>
      </c>
      <c r="E1704">
        <v>10</v>
      </c>
      <c r="F1704">
        <v>8</v>
      </c>
      <c r="G1704" s="8">
        <f>Lektionen[[#This Row],[Bearbeitungsdauer_real]]/Lektionen[[#This Row],[Bearbeitungsdauer_geschätzt]]-1</f>
        <v>-0.19999999999999996</v>
      </c>
      <c r="H1704" s="8" t="str" cm="1">
        <f t="array" ref="H1704">_xlfn.IFS(Lektionen[[#This Row],[Bearbeitungsdauer_abgewichen]]&gt;0.6,"viel länger",Lektionen[[#This Row],[Bearbeitungsdauer_abgewichen]]&gt;0.3,"länger",Lektionen[[#This Row],[Bearbeitungsdauer_abgewichen]]&lt;-0.3,"kürzer",TRUE,"keine Abweichung")</f>
        <v>keine Abweichung</v>
      </c>
      <c r="I1704">
        <v>3</v>
      </c>
    </row>
    <row r="1705" spans="1:9" hidden="1" x14ac:dyDescent="0.3">
      <c r="A1705" s="13">
        <v>265</v>
      </c>
      <c r="B1705" s="4">
        <v>8</v>
      </c>
      <c r="C1705" t="s">
        <v>537</v>
      </c>
      <c r="D1705" t="s">
        <v>527</v>
      </c>
      <c r="E1705">
        <v>5</v>
      </c>
      <c r="F1705">
        <v>5</v>
      </c>
      <c r="G1705" s="8">
        <f>Lektionen[[#This Row],[Bearbeitungsdauer_real]]/Lektionen[[#This Row],[Bearbeitungsdauer_geschätzt]]-1</f>
        <v>0</v>
      </c>
      <c r="H1705" s="8" t="str" cm="1">
        <f t="array" ref="H1705">_xlfn.IFS(Lektionen[[#This Row],[Bearbeitungsdauer_abgewichen]]&gt;0.6,"viel länger",Lektionen[[#This Row],[Bearbeitungsdauer_abgewichen]]&gt;0.3,"länger",Lektionen[[#This Row],[Bearbeitungsdauer_abgewichen]]&lt;-0.3,"kürzer",TRUE,"keine Abweichung")</f>
        <v>keine Abweichung</v>
      </c>
      <c r="I1705">
        <v>1</v>
      </c>
    </row>
    <row r="1706" spans="1:9" hidden="1" x14ac:dyDescent="0.3">
      <c r="A1706" s="13">
        <v>266</v>
      </c>
      <c r="B1706" s="4">
        <v>1</v>
      </c>
      <c r="C1706" t="s">
        <v>526</v>
      </c>
      <c r="D1706" t="s">
        <v>527</v>
      </c>
      <c r="E1706">
        <v>4</v>
      </c>
      <c r="F1706">
        <v>4</v>
      </c>
      <c r="G1706" s="8">
        <f>Lektionen[[#This Row],[Bearbeitungsdauer_real]]/Lektionen[[#This Row],[Bearbeitungsdauer_geschätzt]]-1</f>
        <v>0</v>
      </c>
      <c r="H1706" s="8" t="str" cm="1">
        <f t="array" ref="H1706">_xlfn.IFS(Lektionen[[#This Row],[Bearbeitungsdauer_abgewichen]]&gt;0.6,"viel länger",Lektionen[[#This Row],[Bearbeitungsdauer_abgewichen]]&gt;0.3,"länger",Lektionen[[#This Row],[Bearbeitungsdauer_abgewichen]]&lt;-0.3,"kürzer",TRUE,"keine Abweichung")</f>
        <v>keine Abweichung</v>
      </c>
      <c r="I1706">
        <v>1</v>
      </c>
    </row>
    <row r="1707" spans="1:9" hidden="1" x14ac:dyDescent="0.3">
      <c r="A1707" s="13">
        <v>266</v>
      </c>
      <c r="B1707" s="4">
        <v>2</v>
      </c>
      <c r="C1707" t="s">
        <v>528</v>
      </c>
      <c r="D1707" t="s">
        <v>529</v>
      </c>
      <c r="E1707">
        <v>15</v>
      </c>
      <c r="F1707">
        <v>17</v>
      </c>
      <c r="G1707" s="8">
        <f>Lektionen[[#This Row],[Bearbeitungsdauer_real]]/Lektionen[[#This Row],[Bearbeitungsdauer_geschätzt]]-1</f>
        <v>0.1333333333333333</v>
      </c>
      <c r="H1707" s="8" t="str" cm="1">
        <f t="array" ref="H1707">_xlfn.IFS(Lektionen[[#This Row],[Bearbeitungsdauer_abgewichen]]&gt;0.6,"viel länger",Lektionen[[#This Row],[Bearbeitungsdauer_abgewichen]]&gt;0.3,"länger",Lektionen[[#This Row],[Bearbeitungsdauer_abgewichen]]&lt;-0.3,"kürzer",TRUE,"keine Abweichung")</f>
        <v>keine Abweichung</v>
      </c>
      <c r="I1707">
        <v>2</v>
      </c>
    </row>
    <row r="1708" spans="1:9" hidden="1" x14ac:dyDescent="0.3">
      <c r="A1708" s="13">
        <v>266</v>
      </c>
      <c r="B1708" s="4">
        <v>3</v>
      </c>
      <c r="C1708" t="s">
        <v>552</v>
      </c>
      <c r="D1708" t="s">
        <v>530</v>
      </c>
      <c r="E1708">
        <v>30</v>
      </c>
      <c r="F1708">
        <v>24</v>
      </c>
      <c r="G1708" s="8">
        <f>Lektionen[[#This Row],[Bearbeitungsdauer_real]]/Lektionen[[#This Row],[Bearbeitungsdauer_geschätzt]]-1</f>
        <v>-0.19999999999999996</v>
      </c>
      <c r="H1708" s="8" t="str" cm="1">
        <f t="array" ref="H1708">_xlfn.IFS(Lektionen[[#This Row],[Bearbeitungsdauer_abgewichen]]&gt;0.6,"viel länger",Lektionen[[#This Row],[Bearbeitungsdauer_abgewichen]]&gt;0.3,"länger",Lektionen[[#This Row],[Bearbeitungsdauer_abgewichen]]&lt;-0.3,"kürzer",TRUE,"keine Abweichung")</f>
        <v>keine Abweichung</v>
      </c>
      <c r="I1708">
        <v>3</v>
      </c>
    </row>
    <row r="1709" spans="1:9" hidden="1" x14ac:dyDescent="0.3">
      <c r="A1709" s="13">
        <v>266</v>
      </c>
      <c r="B1709" s="4">
        <v>4</v>
      </c>
      <c r="C1709" t="s">
        <v>531</v>
      </c>
      <c r="D1709" t="s">
        <v>530</v>
      </c>
      <c r="E1709">
        <v>30</v>
      </c>
      <c r="F1709">
        <v>24</v>
      </c>
      <c r="G1709" s="8">
        <f>Lektionen[[#This Row],[Bearbeitungsdauer_real]]/Lektionen[[#This Row],[Bearbeitungsdauer_geschätzt]]-1</f>
        <v>-0.19999999999999996</v>
      </c>
      <c r="H1709" s="8" t="str" cm="1">
        <f t="array" ref="H1709">_xlfn.IFS(Lektionen[[#This Row],[Bearbeitungsdauer_abgewichen]]&gt;0.6,"viel länger",Lektionen[[#This Row],[Bearbeitungsdauer_abgewichen]]&gt;0.3,"länger",Lektionen[[#This Row],[Bearbeitungsdauer_abgewichen]]&lt;-0.3,"kürzer",TRUE,"keine Abweichung")</f>
        <v>keine Abweichung</v>
      </c>
      <c r="I1709">
        <v>3</v>
      </c>
    </row>
    <row r="1710" spans="1:9" x14ac:dyDescent="0.3">
      <c r="A1710" s="13">
        <v>266</v>
      </c>
      <c r="B1710" s="4">
        <v>5</v>
      </c>
      <c r="C1710" t="s">
        <v>532</v>
      </c>
      <c r="D1710" t="s">
        <v>530</v>
      </c>
      <c r="E1710">
        <v>30</v>
      </c>
      <c r="F1710">
        <v>41</v>
      </c>
      <c r="G1710" s="8">
        <f>Lektionen[[#This Row],[Bearbeitungsdauer_real]]/Lektionen[[#This Row],[Bearbeitungsdauer_geschätzt]]-1</f>
        <v>0.3666666666666667</v>
      </c>
      <c r="H1710" s="8" t="str" cm="1">
        <f t="array" ref="H1710">_xlfn.IFS(Lektionen[[#This Row],[Bearbeitungsdauer_abgewichen]]&gt;0.6,"viel länger",Lektionen[[#This Row],[Bearbeitungsdauer_abgewichen]]&gt;0.3,"länger",Lektionen[[#This Row],[Bearbeitungsdauer_abgewichen]]&lt;-0.3,"kürzer",TRUE,"keine Abweichung")</f>
        <v>länger</v>
      </c>
      <c r="I1710">
        <v>4</v>
      </c>
    </row>
    <row r="1711" spans="1:9" hidden="1" x14ac:dyDescent="0.3">
      <c r="A1711" s="13">
        <v>266</v>
      </c>
      <c r="B1711" s="4">
        <v>6</v>
      </c>
      <c r="C1711" t="s">
        <v>533</v>
      </c>
      <c r="D1711" t="s">
        <v>534</v>
      </c>
      <c r="E1711">
        <v>5</v>
      </c>
      <c r="F1711">
        <v>1</v>
      </c>
      <c r="G1711" s="8">
        <f>Lektionen[[#This Row],[Bearbeitungsdauer_real]]/Lektionen[[#This Row],[Bearbeitungsdauer_geschätzt]]-1</f>
        <v>-0.8</v>
      </c>
      <c r="H1711" s="8" t="str" cm="1">
        <f t="array" ref="H1711">_xlfn.IFS(Lektionen[[#This Row],[Bearbeitungsdauer_abgewichen]]&gt;0.6,"viel länger",Lektionen[[#This Row],[Bearbeitungsdauer_abgewichen]]&gt;0.3,"länger",Lektionen[[#This Row],[Bearbeitungsdauer_abgewichen]]&lt;-0.3,"kürzer",TRUE,"keine Abweichung")</f>
        <v>kürzer</v>
      </c>
      <c r="I1711">
        <v>1</v>
      </c>
    </row>
    <row r="1712" spans="1:9" hidden="1" x14ac:dyDescent="0.3">
      <c r="A1712" s="13">
        <v>266</v>
      </c>
      <c r="B1712" s="4">
        <v>7</v>
      </c>
      <c r="C1712" t="s">
        <v>535</v>
      </c>
      <c r="D1712" t="s">
        <v>536</v>
      </c>
      <c r="E1712">
        <v>10</v>
      </c>
      <c r="F1712">
        <v>11</v>
      </c>
      <c r="G1712" s="8">
        <f>Lektionen[[#This Row],[Bearbeitungsdauer_real]]/Lektionen[[#This Row],[Bearbeitungsdauer_geschätzt]]-1</f>
        <v>0.10000000000000009</v>
      </c>
      <c r="H1712" s="8" t="str" cm="1">
        <f t="array" ref="H1712">_xlfn.IFS(Lektionen[[#This Row],[Bearbeitungsdauer_abgewichen]]&gt;0.6,"viel länger",Lektionen[[#This Row],[Bearbeitungsdauer_abgewichen]]&gt;0.3,"länger",Lektionen[[#This Row],[Bearbeitungsdauer_abgewichen]]&lt;-0.3,"kürzer",TRUE,"keine Abweichung")</f>
        <v>keine Abweichung</v>
      </c>
      <c r="I1712">
        <v>3</v>
      </c>
    </row>
    <row r="1713" spans="1:9" hidden="1" x14ac:dyDescent="0.3">
      <c r="A1713" s="13">
        <v>266</v>
      </c>
      <c r="B1713" s="4">
        <v>8</v>
      </c>
      <c r="C1713" t="s">
        <v>537</v>
      </c>
      <c r="D1713" t="s">
        <v>527</v>
      </c>
      <c r="E1713">
        <v>5</v>
      </c>
      <c r="F1713">
        <v>5</v>
      </c>
      <c r="G1713" s="8">
        <f>Lektionen[[#This Row],[Bearbeitungsdauer_real]]/Lektionen[[#This Row],[Bearbeitungsdauer_geschätzt]]-1</f>
        <v>0</v>
      </c>
      <c r="H1713" s="8" t="str" cm="1">
        <f t="array" ref="H1713">_xlfn.IFS(Lektionen[[#This Row],[Bearbeitungsdauer_abgewichen]]&gt;0.6,"viel länger",Lektionen[[#This Row],[Bearbeitungsdauer_abgewichen]]&gt;0.3,"länger",Lektionen[[#This Row],[Bearbeitungsdauer_abgewichen]]&lt;-0.3,"kürzer",TRUE,"keine Abweichung")</f>
        <v>keine Abweichung</v>
      </c>
      <c r="I1713">
        <v>1</v>
      </c>
    </row>
    <row r="1714" spans="1:9" hidden="1" x14ac:dyDescent="0.3">
      <c r="A1714" s="13">
        <v>269</v>
      </c>
      <c r="B1714" s="4">
        <v>1</v>
      </c>
      <c r="C1714" t="s">
        <v>526</v>
      </c>
      <c r="D1714" t="s">
        <v>527</v>
      </c>
      <c r="E1714">
        <v>4</v>
      </c>
      <c r="F1714">
        <v>4</v>
      </c>
      <c r="G1714" s="8">
        <f>Lektionen[[#This Row],[Bearbeitungsdauer_real]]/Lektionen[[#This Row],[Bearbeitungsdauer_geschätzt]]-1</f>
        <v>0</v>
      </c>
      <c r="H1714" s="8" t="str" cm="1">
        <f t="array" ref="H1714">_xlfn.IFS(Lektionen[[#This Row],[Bearbeitungsdauer_abgewichen]]&gt;0.6,"viel länger",Lektionen[[#This Row],[Bearbeitungsdauer_abgewichen]]&gt;0.3,"länger",Lektionen[[#This Row],[Bearbeitungsdauer_abgewichen]]&lt;-0.3,"kürzer",TRUE,"keine Abweichung")</f>
        <v>keine Abweichung</v>
      </c>
      <c r="I1714">
        <v>1</v>
      </c>
    </row>
    <row r="1715" spans="1:9" hidden="1" x14ac:dyDescent="0.3">
      <c r="A1715" s="13">
        <v>269</v>
      </c>
      <c r="B1715" s="4">
        <v>2</v>
      </c>
      <c r="C1715" t="s">
        <v>528</v>
      </c>
      <c r="D1715" t="s">
        <v>529</v>
      </c>
      <c r="E1715">
        <v>15</v>
      </c>
      <c r="F1715">
        <v>18</v>
      </c>
      <c r="G1715" s="8">
        <f>Lektionen[[#This Row],[Bearbeitungsdauer_real]]/Lektionen[[#This Row],[Bearbeitungsdauer_geschätzt]]-1</f>
        <v>0.19999999999999996</v>
      </c>
      <c r="H1715" s="8" t="str" cm="1">
        <f t="array" ref="H1715">_xlfn.IFS(Lektionen[[#This Row],[Bearbeitungsdauer_abgewichen]]&gt;0.6,"viel länger",Lektionen[[#This Row],[Bearbeitungsdauer_abgewichen]]&gt;0.3,"länger",Lektionen[[#This Row],[Bearbeitungsdauer_abgewichen]]&lt;-0.3,"kürzer",TRUE,"keine Abweichung")</f>
        <v>keine Abweichung</v>
      </c>
      <c r="I1715">
        <v>2</v>
      </c>
    </row>
    <row r="1716" spans="1:9" hidden="1" x14ac:dyDescent="0.3">
      <c r="A1716" s="13">
        <v>269</v>
      </c>
      <c r="B1716" s="4">
        <v>3</v>
      </c>
      <c r="C1716" t="s">
        <v>552</v>
      </c>
      <c r="D1716" t="s">
        <v>530</v>
      </c>
      <c r="E1716">
        <v>30</v>
      </c>
      <c r="F1716">
        <v>29</v>
      </c>
      <c r="G1716" s="8">
        <f>Lektionen[[#This Row],[Bearbeitungsdauer_real]]/Lektionen[[#This Row],[Bearbeitungsdauer_geschätzt]]-1</f>
        <v>-3.3333333333333326E-2</v>
      </c>
      <c r="H1716" s="8" t="str" cm="1">
        <f t="array" ref="H1716">_xlfn.IFS(Lektionen[[#This Row],[Bearbeitungsdauer_abgewichen]]&gt;0.6,"viel länger",Lektionen[[#This Row],[Bearbeitungsdauer_abgewichen]]&gt;0.3,"länger",Lektionen[[#This Row],[Bearbeitungsdauer_abgewichen]]&lt;-0.3,"kürzer",TRUE,"keine Abweichung")</f>
        <v>keine Abweichung</v>
      </c>
      <c r="I1716">
        <v>2</v>
      </c>
    </row>
    <row r="1717" spans="1:9" hidden="1" x14ac:dyDescent="0.3">
      <c r="A1717" s="13">
        <v>269</v>
      </c>
      <c r="B1717" s="4">
        <v>4</v>
      </c>
      <c r="C1717" t="s">
        <v>531</v>
      </c>
      <c r="D1717" t="s">
        <v>530</v>
      </c>
      <c r="E1717">
        <v>30</v>
      </c>
      <c r="F1717">
        <v>24</v>
      </c>
      <c r="G1717" s="8">
        <f>Lektionen[[#This Row],[Bearbeitungsdauer_real]]/Lektionen[[#This Row],[Bearbeitungsdauer_geschätzt]]-1</f>
        <v>-0.19999999999999996</v>
      </c>
      <c r="H1717" s="8" t="str" cm="1">
        <f t="array" ref="H1717">_xlfn.IFS(Lektionen[[#This Row],[Bearbeitungsdauer_abgewichen]]&gt;0.6,"viel länger",Lektionen[[#This Row],[Bearbeitungsdauer_abgewichen]]&gt;0.3,"länger",Lektionen[[#This Row],[Bearbeitungsdauer_abgewichen]]&lt;-0.3,"kürzer",TRUE,"keine Abweichung")</f>
        <v>keine Abweichung</v>
      </c>
      <c r="I1717">
        <v>2</v>
      </c>
    </row>
    <row r="1718" spans="1:9" x14ac:dyDescent="0.3">
      <c r="A1718" s="13">
        <v>269</v>
      </c>
      <c r="B1718" s="4">
        <v>5</v>
      </c>
      <c r="C1718" t="s">
        <v>532</v>
      </c>
      <c r="D1718" t="s">
        <v>530</v>
      </c>
      <c r="E1718">
        <v>30</v>
      </c>
      <c r="F1718">
        <v>41</v>
      </c>
      <c r="G1718" s="8">
        <f>Lektionen[[#This Row],[Bearbeitungsdauer_real]]/Lektionen[[#This Row],[Bearbeitungsdauer_geschätzt]]-1</f>
        <v>0.3666666666666667</v>
      </c>
      <c r="H1718" s="8" t="str" cm="1">
        <f t="array" ref="H1718">_xlfn.IFS(Lektionen[[#This Row],[Bearbeitungsdauer_abgewichen]]&gt;0.6,"viel länger",Lektionen[[#This Row],[Bearbeitungsdauer_abgewichen]]&gt;0.3,"länger",Lektionen[[#This Row],[Bearbeitungsdauer_abgewichen]]&lt;-0.3,"kürzer",TRUE,"keine Abweichung")</f>
        <v>länger</v>
      </c>
      <c r="I1718">
        <v>4</v>
      </c>
    </row>
    <row r="1719" spans="1:9" hidden="1" x14ac:dyDescent="0.3">
      <c r="A1719" s="13">
        <v>269</v>
      </c>
      <c r="B1719" s="4">
        <v>6</v>
      </c>
      <c r="C1719" t="s">
        <v>533</v>
      </c>
      <c r="D1719" t="s">
        <v>534</v>
      </c>
      <c r="E1719">
        <v>5</v>
      </c>
      <c r="F1719">
        <v>3</v>
      </c>
      <c r="G1719" s="8">
        <f>Lektionen[[#This Row],[Bearbeitungsdauer_real]]/Lektionen[[#This Row],[Bearbeitungsdauer_geschätzt]]-1</f>
        <v>-0.4</v>
      </c>
      <c r="H1719" s="8" t="str" cm="1">
        <f t="array" ref="H1719">_xlfn.IFS(Lektionen[[#This Row],[Bearbeitungsdauer_abgewichen]]&gt;0.6,"viel länger",Lektionen[[#This Row],[Bearbeitungsdauer_abgewichen]]&gt;0.3,"länger",Lektionen[[#This Row],[Bearbeitungsdauer_abgewichen]]&lt;-0.3,"kürzer",TRUE,"keine Abweichung")</f>
        <v>kürzer</v>
      </c>
      <c r="I1719">
        <v>2</v>
      </c>
    </row>
    <row r="1720" spans="1:9" hidden="1" x14ac:dyDescent="0.3">
      <c r="A1720" s="13">
        <v>269</v>
      </c>
      <c r="B1720" s="4">
        <v>7</v>
      </c>
      <c r="C1720" t="s">
        <v>535</v>
      </c>
      <c r="D1720" t="s">
        <v>536</v>
      </c>
      <c r="E1720">
        <v>10</v>
      </c>
      <c r="F1720">
        <v>11</v>
      </c>
      <c r="G1720" s="8">
        <f>Lektionen[[#This Row],[Bearbeitungsdauer_real]]/Lektionen[[#This Row],[Bearbeitungsdauer_geschätzt]]-1</f>
        <v>0.10000000000000009</v>
      </c>
      <c r="H1720" s="8" t="str" cm="1">
        <f t="array" ref="H1720">_xlfn.IFS(Lektionen[[#This Row],[Bearbeitungsdauer_abgewichen]]&gt;0.6,"viel länger",Lektionen[[#This Row],[Bearbeitungsdauer_abgewichen]]&gt;0.3,"länger",Lektionen[[#This Row],[Bearbeitungsdauer_abgewichen]]&lt;-0.3,"kürzer",TRUE,"keine Abweichung")</f>
        <v>keine Abweichung</v>
      </c>
      <c r="I1720">
        <v>3</v>
      </c>
    </row>
    <row r="1721" spans="1:9" hidden="1" x14ac:dyDescent="0.3">
      <c r="A1721" s="13">
        <v>269</v>
      </c>
      <c r="B1721" s="4">
        <v>8</v>
      </c>
      <c r="C1721" t="s">
        <v>537</v>
      </c>
      <c r="D1721" t="s">
        <v>527</v>
      </c>
      <c r="E1721">
        <v>5</v>
      </c>
      <c r="F1721">
        <v>5</v>
      </c>
      <c r="G1721" s="8">
        <f>Lektionen[[#This Row],[Bearbeitungsdauer_real]]/Lektionen[[#This Row],[Bearbeitungsdauer_geschätzt]]-1</f>
        <v>0</v>
      </c>
      <c r="H1721" s="8" t="str" cm="1">
        <f t="array" ref="H1721">_xlfn.IFS(Lektionen[[#This Row],[Bearbeitungsdauer_abgewichen]]&gt;0.6,"viel länger",Lektionen[[#This Row],[Bearbeitungsdauer_abgewichen]]&gt;0.3,"länger",Lektionen[[#This Row],[Bearbeitungsdauer_abgewichen]]&lt;-0.3,"kürzer",TRUE,"keine Abweichung")</f>
        <v>keine Abweichung</v>
      </c>
      <c r="I1721">
        <v>1</v>
      </c>
    </row>
    <row r="1722" spans="1:9" hidden="1" x14ac:dyDescent="0.3">
      <c r="A1722" s="13">
        <v>271</v>
      </c>
      <c r="B1722" s="4">
        <v>1</v>
      </c>
      <c r="C1722" t="s">
        <v>526</v>
      </c>
      <c r="D1722" t="s">
        <v>527</v>
      </c>
      <c r="E1722">
        <v>4</v>
      </c>
      <c r="F1722">
        <v>4</v>
      </c>
      <c r="G1722" s="8">
        <f>Lektionen[[#This Row],[Bearbeitungsdauer_real]]/Lektionen[[#This Row],[Bearbeitungsdauer_geschätzt]]-1</f>
        <v>0</v>
      </c>
      <c r="H1722" s="8" t="str" cm="1">
        <f t="array" ref="H1722">_xlfn.IFS(Lektionen[[#This Row],[Bearbeitungsdauer_abgewichen]]&gt;0.6,"viel länger",Lektionen[[#This Row],[Bearbeitungsdauer_abgewichen]]&gt;0.3,"länger",Lektionen[[#This Row],[Bearbeitungsdauer_abgewichen]]&lt;-0.3,"kürzer",TRUE,"keine Abweichung")</f>
        <v>keine Abweichung</v>
      </c>
      <c r="I1722">
        <v>1</v>
      </c>
    </row>
    <row r="1723" spans="1:9" hidden="1" x14ac:dyDescent="0.3">
      <c r="A1723" s="13">
        <v>271</v>
      </c>
      <c r="B1723" s="4">
        <v>2</v>
      </c>
      <c r="C1723" t="s">
        <v>528</v>
      </c>
      <c r="D1723" t="s">
        <v>529</v>
      </c>
      <c r="E1723">
        <v>15</v>
      </c>
      <c r="F1723">
        <v>19</v>
      </c>
      <c r="G1723" s="8">
        <f>Lektionen[[#This Row],[Bearbeitungsdauer_real]]/Lektionen[[#This Row],[Bearbeitungsdauer_geschätzt]]-1</f>
        <v>0.26666666666666661</v>
      </c>
      <c r="H1723" s="8" t="str" cm="1">
        <f t="array" ref="H1723">_xlfn.IFS(Lektionen[[#This Row],[Bearbeitungsdauer_abgewichen]]&gt;0.6,"viel länger",Lektionen[[#This Row],[Bearbeitungsdauer_abgewichen]]&gt;0.3,"länger",Lektionen[[#This Row],[Bearbeitungsdauer_abgewichen]]&lt;-0.3,"kürzer",TRUE,"keine Abweichung")</f>
        <v>keine Abweichung</v>
      </c>
      <c r="I1723">
        <v>1</v>
      </c>
    </row>
    <row r="1724" spans="1:9" hidden="1" x14ac:dyDescent="0.3">
      <c r="A1724" s="13">
        <v>271</v>
      </c>
      <c r="B1724" s="4">
        <v>3</v>
      </c>
      <c r="C1724" t="s">
        <v>552</v>
      </c>
      <c r="D1724" t="s">
        <v>530</v>
      </c>
      <c r="E1724">
        <v>30</v>
      </c>
      <c r="F1724">
        <v>27</v>
      </c>
      <c r="G1724" s="8">
        <f>Lektionen[[#This Row],[Bearbeitungsdauer_real]]/Lektionen[[#This Row],[Bearbeitungsdauer_geschätzt]]-1</f>
        <v>-9.9999999999999978E-2</v>
      </c>
      <c r="H1724" s="8" t="str" cm="1">
        <f t="array" ref="H1724">_xlfn.IFS(Lektionen[[#This Row],[Bearbeitungsdauer_abgewichen]]&gt;0.6,"viel länger",Lektionen[[#This Row],[Bearbeitungsdauer_abgewichen]]&gt;0.3,"länger",Lektionen[[#This Row],[Bearbeitungsdauer_abgewichen]]&lt;-0.3,"kürzer",TRUE,"keine Abweichung")</f>
        <v>keine Abweichung</v>
      </c>
      <c r="I1724">
        <v>3</v>
      </c>
    </row>
    <row r="1725" spans="1:9" hidden="1" x14ac:dyDescent="0.3">
      <c r="A1725" s="13">
        <v>271</v>
      </c>
      <c r="B1725" s="4">
        <v>4</v>
      </c>
      <c r="C1725" t="s">
        <v>531</v>
      </c>
      <c r="D1725" t="s">
        <v>530</v>
      </c>
      <c r="E1725">
        <v>30</v>
      </c>
      <c r="F1725">
        <v>27</v>
      </c>
      <c r="G1725" s="8">
        <f>Lektionen[[#This Row],[Bearbeitungsdauer_real]]/Lektionen[[#This Row],[Bearbeitungsdauer_geschätzt]]-1</f>
        <v>-9.9999999999999978E-2</v>
      </c>
      <c r="H1725" s="8" t="str" cm="1">
        <f t="array" ref="H1725">_xlfn.IFS(Lektionen[[#This Row],[Bearbeitungsdauer_abgewichen]]&gt;0.6,"viel länger",Lektionen[[#This Row],[Bearbeitungsdauer_abgewichen]]&gt;0.3,"länger",Lektionen[[#This Row],[Bearbeitungsdauer_abgewichen]]&lt;-0.3,"kürzer",TRUE,"keine Abweichung")</f>
        <v>keine Abweichung</v>
      </c>
      <c r="I1725">
        <v>3</v>
      </c>
    </row>
    <row r="1726" spans="1:9" x14ac:dyDescent="0.3">
      <c r="A1726" s="13">
        <v>271</v>
      </c>
      <c r="B1726" s="4">
        <v>5</v>
      </c>
      <c r="C1726" t="s">
        <v>532</v>
      </c>
      <c r="D1726" t="s">
        <v>530</v>
      </c>
      <c r="E1726">
        <v>30</v>
      </c>
      <c r="F1726">
        <v>55</v>
      </c>
      <c r="G1726" s="8">
        <f>Lektionen[[#This Row],[Bearbeitungsdauer_real]]/Lektionen[[#This Row],[Bearbeitungsdauer_geschätzt]]-1</f>
        <v>0.83333333333333326</v>
      </c>
      <c r="H1726" s="8" t="str" cm="1">
        <f t="array" ref="H1726">_xlfn.IFS(Lektionen[[#This Row],[Bearbeitungsdauer_abgewichen]]&gt;0.6,"viel länger",Lektionen[[#This Row],[Bearbeitungsdauer_abgewichen]]&gt;0.3,"länger",Lektionen[[#This Row],[Bearbeitungsdauer_abgewichen]]&lt;-0.3,"kürzer",TRUE,"keine Abweichung")</f>
        <v>viel länger</v>
      </c>
      <c r="I1726">
        <v>3</v>
      </c>
    </row>
    <row r="1727" spans="1:9" hidden="1" x14ac:dyDescent="0.3">
      <c r="A1727" s="13">
        <v>271</v>
      </c>
      <c r="B1727" s="4">
        <v>6</v>
      </c>
      <c r="C1727" t="s">
        <v>533</v>
      </c>
      <c r="D1727" t="s">
        <v>534</v>
      </c>
      <c r="E1727">
        <v>5</v>
      </c>
      <c r="F1727">
        <v>2</v>
      </c>
      <c r="G1727" s="8">
        <f>Lektionen[[#This Row],[Bearbeitungsdauer_real]]/Lektionen[[#This Row],[Bearbeitungsdauer_geschätzt]]-1</f>
        <v>-0.6</v>
      </c>
      <c r="H1727" s="8" t="str" cm="1">
        <f t="array" ref="H1727">_xlfn.IFS(Lektionen[[#This Row],[Bearbeitungsdauer_abgewichen]]&gt;0.6,"viel länger",Lektionen[[#This Row],[Bearbeitungsdauer_abgewichen]]&gt;0.3,"länger",Lektionen[[#This Row],[Bearbeitungsdauer_abgewichen]]&lt;-0.3,"kürzer",TRUE,"keine Abweichung")</f>
        <v>kürzer</v>
      </c>
      <c r="I1727">
        <v>1</v>
      </c>
    </row>
    <row r="1728" spans="1:9" hidden="1" x14ac:dyDescent="0.3">
      <c r="A1728" s="13">
        <v>271</v>
      </c>
      <c r="B1728" s="4">
        <v>7</v>
      </c>
      <c r="C1728" t="s">
        <v>535</v>
      </c>
      <c r="D1728" t="s">
        <v>536</v>
      </c>
      <c r="E1728">
        <v>10</v>
      </c>
      <c r="F1728">
        <v>9</v>
      </c>
      <c r="G1728" s="8">
        <f>Lektionen[[#This Row],[Bearbeitungsdauer_real]]/Lektionen[[#This Row],[Bearbeitungsdauer_geschätzt]]-1</f>
        <v>-9.9999999999999978E-2</v>
      </c>
      <c r="H1728" s="8" t="str" cm="1">
        <f t="array" ref="H1728">_xlfn.IFS(Lektionen[[#This Row],[Bearbeitungsdauer_abgewichen]]&gt;0.6,"viel länger",Lektionen[[#This Row],[Bearbeitungsdauer_abgewichen]]&gt;0.3,"länger",Lektionen[[#This Row],[Bearbeitungsdauer_abgewichen]]&lt;-0.3,"kürzer",TRUE,"keine Abweichung")</f>
        <v>keine Abweichung</v>
      </c>
      <c r="I1728">
        <v>3</v>
      </c>
    </row>
    <row r="1729" spans="1:9" hidden="1" x14ac:dyDescent="0.3">
      <c r="A1729" s="13">
        <v>271</v>
      </c>
      <c r="B1729" s="4">
        <v>8</v>
      </c>
      <c r="C1729" t="s">
        <v>537</v>
      </c>
      <c r="D1729" t="s">
        <v>527</v>
      </c>
      <c r="E1729">
        <v>5</v>
      </c>
      <c r="F1729">
        <v>5</v>
      </c>
      <c r="G1729" s="8">
        <f>Lektionen[[#This Row],[Bearbeitungsdauer_real]]/Lektionen[[#This Row],[Bearbeitungsdauer_geschätzt]]-1</f>
        <v>0</v>
      </c>
      <c r="H1729" s="8" t="str" cm="1">
        <f t="array" ref="H1729">_xlfn.IFS(Lektionen[[#This Row],[Bearbeitungsdauer_abgewichen]]&gt;0.6,"viel länger",Lektionen[[#This Row],[Bearbeitungsdauer_abgewichen]]&gt;0.3,"länger",Lektionen[[#This Row],[Bearbeitungsdauer_abgewichen]]&lt;-0.3,"kürzer",TRUE,"keine Abweichung")</f>
        <v>keine Abweichung</v>
      </c>
      <c r="I1729">
        <v>1</v>
      </c>
    </row>
    <row r="1730" spans="1:9" hidden="1" x14ac:dyDescent="0.3">
      <c r="A1730" s="13">
        <v>273</v>
      </c>
      <c r="B1730" s="4">
        <v>1</v>
      </c>
      <c r="C1730" t="s">
        <v>526</v>
      </c>
      <c r="D1730" t="s">
        <v>527</v>
      </c>
      <c r="E1730">
        <v>4</v>
      </c>
      <c r="F1730">
        <v>5</v>
      </c>
      <c r="G1730" s="8">
        <f>Lektionen[[#This Row],[Bearbeitungsdauer_real]]/Lektionen[[#This Row],[Bearbeitungsdauer_geschätzt]]-1</f>
        <v>0.25</v>
      </c>
      <c r="H1730" s="8" t="str" cm="1">
        <f t="array" ref="H1730">_xlfn.IFS(Lektionen[[#This Row],[Bearbeitungsdauer_abgewichen]]&gt;0.6,"viel länger",Lektionen[[#This Row],[Bearbeitungsdauer_abgewichen]]&gt;0.3,"länger",Lektionen[[#This Row],[Bearbeitungsdauer_abgewichen]]&lt;-0.3,"kürzer",TRUE,"keine Abweichung")</f>
        <v>keine Abweichung</v>
      </c>
      <c r="I1730">
        <v>1</v>
      </c>
    </row>
    <row r="1731" spans="1:9" hidden="1" x14ac:dyDescent="0.3">
      <c r="A1731" s="13">
        <v>273</v>
      </c>
      <c r="B1731" s="4">
        <v>2</v>
      </c>
      <c r="C1731" t="s">
        <v>528</v>
      </c>
      <c r="D1731" t="s">
        <v>529</v>
      </c>
      <c r="E1731">
        <v>15</v>
      </c>
      <c r="F1731">
        <v>20</v>
      </c>
      <c r="G1731" s="8">
        <f>Lektionen[[#This Row],[Bearbeitungsdauer_real]]/Lektionen[[#This Row],[Bearbeitungsdauer_geschätzt]]-1</f>
        <v>0.33333333333333326</v>
      </c>
      <c r="H1731" s="8" t="str" cm="1">
        <f t="array" ref="H1731">_xlfn.IFS(Lektionen[[#This Row],[Bearbeitungsdauer_abgewichen]]&gt;0.6,"viel länger",Lektionen[[#This Row],[Bearbeitungsdauer_abgewichen]]&gt;0.3,"länger",Lektionen[[#This Row],[Bearbeitungsdauer_abgewichen]]&lt;-0.3,"kürzer",TRUE,"keine Abweichung")</f>
        <v>länger</v>
      </c>
      <c r="I1731">
        <v>2</v>
      </c>
    </row>
    <row r="1732" spans="1:9" hidden="1" x14ac:dyDescent="0.3">
      <c r="A1732" s="13">
        <v>273</v>
      </c>
      <c r="B1732" s="4">
        <v>3</v>
      </c>
      <c r="C1732" t="s">
        <v>552</v>
      </c>
      <c r="D1732" t="s">
        <v>530</v>
      </c>
      <c r="E1732">
        <v>30</v>
      </c>
      <c r="F1732">
        <v>29</v>
      </c>
      <c r="G1732" s="8">
        <f>Lektionen[[#This Row],[Bearbeitungsdauer_real]]/Lektionen[[#This Row],[Bearbeitungsdauer_geschätzt]]-1</f>
        <v>-3.3333333333333326E-2</v>
      </c>
      <c r="H1732" s="8" t="str" cm="1">
        <f t="array" ref="H1732">_xlfn.IFS(Lektionen[[#This Row],[Bearbeitungsdauer_abgewichen]]&gt;0.6,"viel länger",Lektionen[[#This Row],[Bearbeitungsdauer_abgewichen]]&gt;0.3,"länger",Lektionen[[#This Row],[Bearbeitungsdauer_abgewichen]]&lt;-0.3,"kürzer",TRUE,"keine Abweichung")</f>
        <v>keine Abweichung</v>
      </c>
      <c r="I1732">
        <v>3</v>
      </c>
    </row>
    <row r="1733" spans="1:9" hidden="1" x14ac:dyDescent="0.3">
      <c r="A1733" s="13">
        <v>273</v>
      </c>
      <c r="B1733" s="4">
        <v>4</v>
      </c>
      <c r="C1733" t="s">
        <v>531</v>
      </c>
      <c r="D1733" t="s">
        <v>530</v>
      </c>
      <c r="E1733">
        <v>30</v>
      </c>
      <c r="F1733">
        <v>22</v>
      </c>
      <c r="G1733" s="8">
        <f>Lektionen[[#This Row],[Bearbeitungsdauer_real]]/Lektionen[[#This Row],[Bearbeitungsdauer_geschätzt]]-1</f>
        <v>-0.26666666666666672</v>
      </c>
      <c r="H1733" s="8" t="str" cm="1">
        <f t="array" ref="H1733">_xlfn.IFS(Lektionen[[#This Row],[Bearbeitungsdauer_abgewichen]]&gt;0.6,"viel länger",Lektionen[[#This Row],[Bearbeitungsdauer_abgewichen]]&gt;0.3,"länger",Lektionen[[#This Row],[Bearbeitungsdauer_abgewichen]]&lt;-0.3,"kürzer",TRUE,"keine Abweichung")</f>
        <v>keine Abweichung</v>
      </c>
      <c r="I1733">
        <v>2</v>
      </c>
    </row>
    <row r="1734" spans="1:9" x14ac:dyDescent="0.3">
      <c r="A1734" s="13">
        <v>273</v>
      </c>
      <c r="B1734" s="4">
        <v>5</v>
      </c>
      <c r="C1734" t="s">
        <v>532</v>
      </c>
      <c r="D1734" t="s">
        <v>530</v>
      </c>
      <c r="E1734">
        <v>30</v>
      </c>
      <c r="F1734">
        <v>43</v>
      </c>
      <c r="G1734" s="8">
        <f>Lektionen[[#This Row],[Bearbeitungsdauer_real]]/Lektionen[[#This Row],[Bearbeitungsdauer_geschätzt]]-1</f>
        <v>0.43333333333333335</v>
      </c>
      <c r="H1734" s="8" t="str" cm="1">
        <f t="array" ref="H1734">_xlfn.IFS(Lektionen[[#This Row],[Bearbeitungsdauer_abgewichen]]&gt;0.6,"viel länger",Lektionen[[#This Row],[Bearbeitungsdauer_abgewichen]]&gt;0.3,"länger",Lektionen[[#This Row],[Bearbeitungsdauer_abgewichen]]&lt;-0.3,"kürzer",TRUE,"keine Abweichung")</f>
        <v>länger</v>
      </c>
      <c r="I1734">
        <v>4</v>
      </c>
    </row>
    <row r="1735" spans="1:9" hidden="1" x14ac:dyDescent="0.3">
      <c r="A1735" s="13">
        <v>273</v>
      </c>
      <c r="B1735" s="4">
        <v>6</v>
      </c>
      <c r="C1735" t="s">
        <v>533</v>
      </c>
      <c r="D1735" t="s">
        <v>534</v>
      </c>
      <c r="E1735">
        <v>5</v>
      </c>
      <c r="F1735">
        <v>1</v>
      </c>
      <c r="G1735" s="8">
        <f>Lektionen[[#This Row],[Bearbeitungsdauer_real]]/Lektionen[[#This Row],[Bearbeitungsdauer_geschätzt]]-1</f>
        <v>-0.8</v>
      </c>
      <c r="H1735" s="8" t="str" cm="1">
        <f t="array" ref="H1735">_xlfn.IFS(Lektionen[[#This Row],[Bearbeitungsdauer_abgewichen]]&gt;0.6,"viel länger",Lektionen[[#This Row],[Bearbeitungsdauer_abgewichen]]&gt;0.3,"länger",Lektionen[[#This Row],[Bearbeitungsdauer_abgewichen]]&lt;-0.3,"kürzer",TRUE,"keine Abweichung")</f>
        <v>kürzer</v>
      </c>
      <c r="I1735">
        <v>2</v>
      </c>
    </row>
    <row r="1736" spans="1:9" hidden="1" x14ac:dyDescent="0.3">
      <c r="A1736" s="13">
        <v>273</v>
      </c>
      <c r="B1736" s="4">
        <v>7</v>
      </c>
      <c r="C1736" t="s">
        <v>535</v>
      </c>
      <c r="D1736" t="s">
        <v>536</v>
      </c>
      <c r="E1736">
        <v>10</v>
      </c>
      <c r="F1736">
        <v>8</v>
      </c>
      <c r="G1736" s="8">
        <f>Lektionen[[#This Row],[Bearbeitungsdauer_real]]/Lektionen[[#This Row],[Bearbeitungsdauer_geschätzt]]-1</f>
        <v>-0.19999999999999996</v>
      </c>
      <c r="H1736" s="8" t="str" cm="1">
        <f t="array" ref="H1736">_xlfn.IFS(Lektionen[[#This Row],[Bearbeitungsdauer_abgewichen]]&gt;0.6,"viel länger",Lektionen[[#This Row],[Bearbeitungsdauer_abgewichen]]&gt;0.3,"länger",Lektionen[[#This Row],[Bearbeitungsdauer_abgewichen]]&lt;-0.3,"kürzer",TRUE,"keine Abweichung")</f>
        <v>keine Abweichung</v>
      </c>
      <c r="I1736">
        <v>3</v>
      </c>
    </row>
    <row r="1737" spans="1:9" hidden="1" x14ac:dyDescent="0.3">
      <c r="A1737" s="13">
        <v>273</v>
      </c>
      <c r="B1737" s="4">
        <v>8</v>
      </c>
      <c r="C1737" t="s">
        <v>537</v>
      </c>
      <c r="D1737" t="s">
        <v>527</v>
      </c>
      <c r="E1737">
        <v>5</v>
      </c>
      <c r="F1737">
        <v>5</v>
      </c>
      <c r="G1737" s="8">
        <f>Lektionen[[#This Row],[Bearbeitungsdauer_real]]/Lektionen[[#This Row],[Bearbeitungsdauer_geschätzt]]-1</f>
        <v>0</v>
      </c>
      <c r="H1737" s="8" t="str" cm="1">
        <f t="array" ref="H1737">_xlfn.IFS(Lektionen[[#This Row],[Bearbeitungsdauer_abgewichen]]&gt;0.6,"viel länger",Lektionen[[#This Row],[Bearbeitungsdauer_abgewichen]]&gt;0.3,"länger",Lektionen[[#This Row],[Bearbeitungsdauer_abgewichen]]&lt;-0.3,"kürzer",TRUE,"keine Abweichung")</f>
        <v>keine Abweichung</v>
      </c>
      <c r="I1737">
        <v>1</v>
      </c>
    </row>
    <row r="1738" spans="1:9" hidden="1" x14ac:dyDescent="0.3">
      <c r="A1738" s="13">
        <v>274</v>
      </c>
      <c r="B1738" s="4">
        <v>1</v>
      </c>
      <c r="C1738" t="s">
        <v>526</v>
      </c>
      <c r="D1738" t="s">
        <v>527</v>
      </c>
      <c r="E1738">
        <v>4</v>
      </c>
      <c r="F1738">
        <v>5</v>
      </c>
      <c r="G1738" s="8">
        <f>Lektionen[[#This Row],[Bearbeitungsdauer_real]]/Lektionen[[#This Row],[Bearbeitungsdauer_geschätzt]]-1</f>
        <v>0.25</v>
      </c>
      <c r="H1738" s="8" t="str" cm="1">
        <f t="array" ref="H1738">_xlfn.IFS(Lektionen[[#This Row],[Bearbeitungsdauer_abgewichen]]&gt;0.6,"viel länger",Lektionen[[#This Row],[Bearbeitungsdauer_abgewichen]]&gt;0.3,"länger",Lektionen[[#This Row],[Bearbeitungsdauer_abgewichen]]&lt;-0.3,"kürzer",TRUE,"keine Abweichung")</f>
        <v>keine Abweichung</v>
      </c>
      <c r="I1738">
        <v>1</v>
      </c>
    </row>
    <row r="1739" spans="1:9" hidden="1" x14ac:dyDescent="0.3">
      <c r="A1739" s="13">
        <v>274</v>
      </c>
      <c r="B1739" s="4">
        <v>2</v>
      </c>
      <c r="C1739" t="s">
        <v>528</v>
      </c>
      <c r="D1739" t="s">
        <v>529</v>
      </c>
      <c r="E1739">
        <v>15</v>
      </c>
      <c r="F1739">
        <v>18</v>
      </c>
      <c r="G1739" s="8">
        <f>Lektionen[[#This Row],[Bearbeitungsdauer_real]]/Lektionen[[#This Row],[Bearbeitungsdauer_geschätzt]]-1</f>
        <v>0.19999999999999996</v>
      </c>
      <c r="H1739" s="8" t="str" cm="1">
        <f t="array" ref="H1739">_xlfn.IFS(Lektionen[[#This Row],[Bearbeitungsdauer_abgewichen]]&gt;0.6,"viel länger",Lektionen[[#This Row],[Bearbeitungsdauer_abgewichen]]&gt;0.3,"länger",Lektionen[[#This Row],[Bearbeitungsdauer_abgewichen]]&lt;-0.3,"kürzer",TRUE,"keine Abweichung")</f>
        <v>keine Abweichung</v>
      </c>
      <c r="I1739">
        <v>2</v>
      </c>
    </row>
    <row r="1740" spans="1:9" hidden="1" x14ac:dyDescent="0.3">
      <c r="A1740" s="13">
        <v>274</v>
      </c>
      <c r="B1740" s="4">
        <v>3</v>
      </c>
      <c r="C1740" t="s">
        <v>552</v>
      </c>
      <c r="D1740" t="s">
        <v>530</v>
      </c>
      <c r="E1740">
        <v>30</v>
      </c>
      <c r="F1740">
        <v>28</v>
      </c>
      <c r="G1740" s="8">
        <f>Lektionen[[#This Row],[Bearbeitungsdauer_real]]/Lektionen[[#This Row],[Bearbeitungsdauer_geschätzt]]-1</f>
        <v>-6.6666666666666652E-2</v>
      </c>
      <c r="H1740" s="8" t="str" cm="1">
        <f t="array" ref="H1740">_xlfn.IFS(Lektionen[[#This Row],[Bearbeitungsdauer_abgewichen]]&gt;0.6,"viel länger",Lektionen[[#This Row],[Bearbeitungsdauer_abgewichen]]&gt;0.3,"länger",Lektionen[[#This Row],[Bearbeitungsdauer_abgewichen]]&lt;-0.3,"kürzer",TRUE,"keine Abweichung")</f>
        <v>keine Abweichung</v>
      </c>
      <c r="I1740">
        <v>2</v>
      </c>
    </row>
    <row r="1741" spans="1:9" hidden="1" x14ac:dyDescent="0.3">
      <c r="A1741" s="13">
        <v>274</v>
      </c>
      <c r="B1741" s="4">
        <v>4</v>
      </c>
      <c r="C1741" t="s">
        <v>531</v>
      </c>
      <c r="D1741" t="s">
        <v>530</v>
      </c>
      <c r="E1741">
        <v>30</v>
      </c>
      <c r="F1741">
        <v>15</v>
      </c>
      <c r="G1741" s="8">
        <f>Lektionen[[#This Row],[Bearbeitungsdauer_real]]/Lektionen[[#This Row],[Bearbeitungsdauer_geschätzt]]-1</f>
        <v>-0.5</v>
      </c>
      <c r="H1741" s="8" t="str" cm="1">
        <f t="array" ref="H1741">_xlfn.IFS(Lektionen[[#This Row],[Bearbeitungsdauer_abgewichen]]&gt;0.6,"viel länger",Lektionen[[#This Row],[Bearbeitungsdauer_abgewichen]]&gt;0.3,"länger",Lektionen[[#This Row],[Bearbeitungsdauer_abgewichen]]&lt;-0.3,"kürzer",TRUE,"keine Abweichung")</f>
        <v>kürzer</v>
      </c>
      <c r="I1741">
        <v>2</v>
      </c>
    </row>
    <row r="1742" spans="1:9" x14ac:dyDescent="0.3">
      <c r="A1742" s="13">
        <v>274</v>
      </c>
      <c r="B1742" s="4">
        <v>5</v>
      </c>
      <c r="C1742" t="s">
        <v>532</v>
      </c>
      <c r="D1742" t="s">
        <v>530</v>
      </c>
      <c r="E1742">
        <v>30</v>
      </c>
      <c r="F1742">
        <v>41</v>
      </c>
      <c r="G1742" s="8">
        <f>Lektionen[[#This Row],[Bearbeitungsdauer_real]]/Lektionen[[#This Row],[Bearbeitungsdauer_geschätzt]]-1</f>
        <v>0.3666666666666667</v>
      </c>
      <c r="H1742" s="8" t="str" cm="1">
        <f t="array" ref="H1742">_xlfn.IFS(Lektionen[[#This Row],[Bearbeitungsdauer_abgewichen]]&gt;0.6,"viel länger",Lektionen[[#This Row],[Bearbeitungsdauer_abgewichen]]&gt;0.3,"länger",Lektionen[[#This Row],[Bearbeitungsdauer_abgewichen]]&lt;-0.3,"kürzer",TRUE,"keine Abweichung")</f>
        <v>länger</v>
      </c>
      <c r="I1742">
        <v>3</v>
      </c>
    </row>
    <row r="1743" spans="1:9" hidden="1" x14ac:dyDescent="0.3">
      <c r="A1743" s="13">
        <v>274</v>
      </c>
      <c r="B1743" s="4">
        <v>6</v>
      </c>
      <c r="C1743" t="s">
        <v>533</v>
      </c>
      <c r="D1743" t="s">
        <v>534</v>
      </c>
      <c r="E1743">
        <v>5</v>
      </c>
      <c r="F1743">
        <v>1</v>
      </c>
      <c r="G1743" s="8">
        <f>Lektionen[[#This Row],[Bearbeitungsdauer_real]]/Lektionen[[#This Row],[Bearbeitungsdauer_geschätzt]]-1</f>
        <v>-0.8</v>
      </c>
      <c r="H1743" s="8" t="str" cm="1">
        <f t="array" ref="H1743">_xlfn.IFS(Lektionen[[#This Row],[Bearbeitungsdauer_abgewichen]]&gt;0.6,"viel länger",Lektionen[[#This Row],[Bearbeitungsdauer_abgewichen]]&gt;0.3,"länger",Lektionen[[#This Row],[Bearbeitungsdauer_abgewichen]]&lt;-0.3,"kürzer",TRUE,"keine Abweichung")</f>
        <v>kürzer</v>
      </c>
      <c r="I1743">
        <v>1</v>
      </c>
    </row>
    <row r="1744" spans="1:9" hidden="1" x14ac:dyDescent="0.3">
      <c r="A1744" s="13">
        <v>274</v>
      </c>
      <c r="B1744" s="4">
        <v>7</v>
      </c>
      <c r="C1744" t="s">
        <v>535</v>
      </c>
      <c r="D1744" t="s">
        <v>536</v>
      </c>
      <c r="E1744">
        <v>10</v>
      </c>
      <c r="F1744">
        <v>10</v>
      </c>
      <c r="G1744" s="8">
        <f>Lektionen[[#This Row],[Bearbeitungsdauer_real]]/Lektionen[[#This Row],[Bearbeitungsdauer_geschätzt]]-1</f>
        <v>0</v>
      </c>
      <c r="H1744" s="8" t="str" cm="1">
        <f t="array" ref="H1744">_xlfn.IFS(Lektionen[[#This Row],[Bearbeitungsdauer_abgewichen]]&gt;0.6,"viel länger",Lektionen[[#This Row],[Bearbeitungsdauer_abgewichen]]&gt;0.3,"länger",Lektionen[[#This Row],[Bearbeitungsdauer_abgewichen]]&lt;-0.3,"kürzer",TRUE,"keine Abweichung")</f>
        <v>keine Abweichung</v>
      </c>
      <c r="I1744">
        <v>3</v>
      </c>
    </row>
    <row r="1745" spans="1:9" hidden="1" x14ac:dyDescent="0.3">
      <c r="A1745" s="13">
        <v>274</v>
      </c>
      <c r="B1745" s="4">
        <v>8</v>
      </c>
      <c r="C1745" t="s">
        <v>537</v>
      </c>
      <c r="D1745" t="s">
        <v>527</v>
      </c>
      <c r="E1745">
        <v>5</v>
      </c>
      <c r="F1745">
        <v>5</v>
      </c>
      <c r="G1745" s="8">
        <f>Lektionen[[#This Row],[Bearbeitungsdauer_real]]/Lektionen[[#This Row],[Bearbeitungsdauer_geschätzt]]-1</f>
        <v>0</v>
      </c>
      <c r="H1745" s="8" t="str" cm="1">
        <f t="array" ref="H1745">_xlfn.IFS(Lektionen[[#This Row],[Bearbeitungsdauer_abgewichen]]&gt;0.6,"viel länger",Lektionen[[#This Row],[Bearbeitungsdauer_abgewichen]]&gt;0.3,"länger",Lektionen[[#This Row],[Bearbeitungsdauer_abgewichen]]&lt;-0.3,"kürzer",TRUE,"keine Abweichung")</f>
        <v>keine Abweichung</v>
      </c>
      <c r="I1745">
        <v>1</v>
      </c>
    </row>
    <row r="1746" spans="1:9" hidden="1" x14ac:dyDescent="0.3">
      <c r="A1746" s="13">
        <v>275</v>
      </c>
      <c r="B1746" s="4">
        <v>1</v>
      </c>
      <c r="C1746" t="s">
        <v>526</v>
      </c>
      <c r="D1746" t="s">
        <v>527</v>
      </c>
      <c r="E1746">
        <v>4</v>
      </c>
      <c r="F1746">
        <v>4</v>
      </c>
      <c r="G1746" s="8">
        <f>Lektionen[[#This Row],[Bearbeitungsdauer_real]]/Lektionen[[#This Row],[Bearbeitungsdauer_geschätzt]]-1</f>
        <v>0</v>
      </c>
      <c r="H1746" s="8" t="str" cm="1">
        <f t="array" ref="H1746">_xlfn.IFS(Lektionen[[#This Row],[Bearbeitungsdauer_abgewichen]]&gt;0.6,"viel länger",Lektionen[[#This Row],[Bearbeitungsdauer_abgewichen]]&gt;0.3,"länger",Lektionen[[#This Row],[Bearbeitungsdauer_abgewichen]]&lt;-0.3,"kürzer",TRUE,"keine Abweichung")</f>
        <v>keine Abweichung</v>
      </c>
      <c r="I1746">
        <v>1</v>
      </c>
    </row>
    <row r="1747" spans="1:9" hidden="1" x14ac:dyDescent="0.3">
      <c r="A1747" s="13">
        <v>275</v>
      </c>
      <c r="B1747" s="4">
        <v>2</v>
      </c>
      <c r="C1747" t="s">
        <v>528</v>
      </c>
      <c r="D1747" t="s">
        <v>529</v>
      </c>
      <c r="E1747">
        <v>15</v>
      </c>
      <c r="F1747">
        <v>19</v>
      </c>
      <c r="G1747" s="8">
        <f>Lektionen[[#This Row],[Bearbeitungsdauer_real]]/Lektionen[[#This Row],[Bearbeitungsdauer_geschätzt]]-1</f>
        <v>0.26666666666666661</v>
      </c>
      <c r="H1747" s="8" t="str" cm="1">
        <f t="array" ref="H1747">_xlfn.IFS(Lektionen[[#This Row],[Bearbeitungsdauer_abgewichen]]&gt;0.6,"viel länger",Lektionen[[#This Row],[Bearbeitungsdauer_abgewichen]]&gt;0.3,"länger",Lektionen[[#This Row],[Bearbeitungsdauer_abgewichen]]&lt;-0.3,"kürzer",TRUE,"keine Abweichung")</f>
        <v>keine Abweichung</v>
      </c>
      <c r="I1747">
        <v>2</v>
      </c>
    </row>
    <row r="1748" spans="1:9" hidden="1" x14ac:dyDescent="0.3">
      <c r="A1748" s="13">
        <v>275</v>
      </c>
      <c r="B1748" s="4">
        <v>3</v>
      </c>
      <c r="C1748" t="s">
        <v>552</v>
      </c>
      <c r="D1748" t="s">
        <v>530</v>
      </c>
      <c r="E1748">
        <v>30</v>
      </c>
      <c r="F1748">
        <v>30</v>
      </c>
      <c r="G1748" s="8">
        <f>Lektionen[[#This Row],[Bearbeitungsdauer_real]]/Lektionen[[#This Row],[Bearbeitungsdauer_geschätzt]]-1</f>
        <v>0</v>
      </c>
      <c r="H1748" s="8" t="str" cm="1">
        <f t="array" ref="H1748">_xlfn.IFS(Lektionen[[#This Row],[Bearbeitungsdauer_abgewichen]]&gt;0.6,"viel länger",Lektionen[[#This Row],[Bearbeitungsdauer_abgewichen]]&gt;0.3,"länger",Lektionen[[#This Row],[Bearbeitungsdauer_abgewichen]]&lt;-0.3,"kürzer",TRUE,"keine Abweichung")</f>
        <v>keine Abweichung</v>
      </c>
      <c r="I1748">
        <v>3</v>
      </c>
    </row>
    <row r="1749" spans="1:9" hidden="1" x14ac:dyDescent="0.3">
      <c r="A1749" s="13">
        <v>275</v>
      </c>
      <c r="B1749" s="4">
        <v>4</v>
      </c>
      <c r="C1749" t="s">
        <v>531</v>
      </c>
      <c r="D1749" t="s">
        <v>530</v>
      </c>
      <c r="E1749">
        <v>30</v>
      </c>
      <c r="F1749">
        <v>28</v>
      </c>
      <c r="G1749" s="8">
        <f>Lektionen[[#This Row],[Bearbeitungsdauer_real]]/Lektionen[[#This Row],[Bearbeitungsdauer_geschätzt]]-1</f>
        <v>-6.6666666666666652E-2</v>
      </c>
      <c r="H1749" s="8" t="str" cm="1">
        <f t="array" ref="H1749">_xlfn.IFS(Lektionen[[#This Row],[Bearbeitungsdauer_abgewichen]]&gt;0.6,"viel länger",Lektionen[[#This Row],[Bearbeitungsdauer_abgewichen]]&gt;0.3,"länger",Lektionen[[#This Row],[Bearbeitungsdauer_abgewichen]]&lt;-0.3,"kürzer",TRUE,"keine Abweichung")</f>
        <v>keine Abweichung</v>
      </c>
      <c r="I1749">
        <v>3</v>
      </c>
    </row>
    <row r="1750" spans="1:9" x14ac:dyDescent="0.3">
      <c r="A1750" s="13">
        <v>275</v>
      </c>
      <c r="B1750" s="4">
        <v>5</v>
      </c>
      <c r="C1750" t="s">
        <v>532</v>
      </c>
      <c r="D1750" t="s">
        <v>530</v>
      </c>
      <c r="E1750">
        <v>30</v>
      </c>
      <c r="F1750">
        <v>50</v>
      </c>
      <c r="G1750" s="8">
        <f>Lektionen[[#This Row],[Bearbeitungsdauer_real]]/Lektionen[[#This Row],[Bearbeitungsdauer_geschätzt]]-1</f>
        <v>0.66666666666666674</v>
      </c>
      <c r="H1750" s="8" t="str" cm="1">
        <f t="array" ref="H1750">_xlfn.IFS(Lektionen[[#This Row],[Bearbeitungsdauer_abgewichen]]&gt;0.6,"viel länger",Lektionen[[#This Row],[Bearbeitungsdauer_abgewichen]]&gt;0.3,"länger",Lektionen[[#This Row],[Bearbeitungsdauer_abgewichen]]&lt;-0.3,"kürzer",TRUE,"keine Abweichung")</f>
        <v>viel länger</v>
      </c>
      <c r="I1750">
        <v>4</v>
      </c>
    </row>
    <row r="1751" spans="1:9" hidden="1" x14ac:dyDescent="0.3">
      <c r="A1751" s="13">
        <v>275</v>
      </c>
      <c r="B1751" s="4">
        <v>6</v>
      </c>
      <c r="C1751" t="s">
        <v>533</v>
      </c>
      <c r="D1751" t="s">
        <v>534</v>
      </c>
      <c r="E1751">
        <v>5</v>
      </c>
      <c r="F1751">
        <v>1</v>
      </c>
      <c r="G1751" s="8">
        <f>Lektionen[[#This Row],[Bearbeitungsdauer_real]]/Lektionen[[#This Row],[Bearbeitungsdauer_geschätzt]]-1</f>
        <v>-0.8</v>
      </c>
      <c r="H1751" s="8" t="str" cm="1">
        <f t="array" ref="H1751">_xlfn.IFS(Lektionen[[#This Row],[Bearbeitungsdauer_abgewichen]]&gt;0.6,"viel länger",Lektionen[[#This Row],[Bearbeitungsdauer_abgewichen]]&gt;0.3,"länger",Lektionen[[#This Row],[Bearbeitungsdauer_abgewichen]]&lt;-0.3,"kürzer",TRUE,"keine Abweichung")</f>
        <v>kürzer</v>
      </c>
      <c r="I1751">
        <v>2</v>
      </c>
    </row>
    <row r="1752" spans="1:9" hidden="1" x14ac:dyDescent="0.3">
      <c r="A1752" s="13">
        <v>275</v>
      </c>
      <c r="B1752" s="4">
        <v>7</v>
      </c>
      <c r="C1752" t="s">
        <v>535</v>
      </c>
      <c r="D1752" t="s">
        <v>536</v>
      </c>
      <c r="E1752">
        <v>10</v>
      </c>
      <c r="F1752">
        <v>11</v>
      </c>
      <c r="G1752" s="8">
        <f>Lektionen[[#This Row],[Bearbeitungsdauer_real]]/Lektionen[[#This Row],[Bearbeitungsdauer_geschätzt]]-1</f>
        <v>0.10000000000000009</v>
      </c>
      <c r="H1752" s="8" t="str" cm="1">
        <f t="array" ref="H1752">_xlfn.IFS(Lektionen[[#This Row],[Bearbeitungsdauer_abgewichen]]&gt;0.6,"viel länger",Lektionen[[#This Row],[Bearbeitungsdauer_abgewichen]]&gt;0.3,"länger",Lektionen[[#This Row],[Bearbeitungsdauer_abgewichen]]&lt;-0.3,"kürzer",TRUE,"keine Abweichung")</f>
        <v>keine Abweichung</v>
      </c>
      <c r="I1752">
        <v>4</v>
      </c>
    </row>
    <row r="1753" spans="1:9" hidden="1" x14ac:dyDescent="0.3">
      <c r="A1753" s="13">
        <v>275</v>
      </c>
      <c r="B1753" s="4">
        <v>8</v>
      </c>
      <c r="C1753" t="s">
        <v>537</v>
      </c>
      <c r="D1753" t="s">
        <v>527</v>
      </c>
      <c r="E1753">
        <v>5</v>
      </c>
      <c r="F1753">
        <v>6</v>
      </c>
      <c r="G1753" s="8">
        <f>Lektionen[[#This Row],[Bearbeitungsdauer_real]]/Lektionen[[#This Row],[Bearbeitungsdauer_geschätzt]]-1</f>
        <v>0.19999999999999996</v>
      </c>
      <c r="H1753" s="8" t="str" cm="1">
        <f t="array" ref="H1753">_xlfn.IFS(Lektionen[[#This Row],[Bearbeitungsdauer_abgewichen]]&gt;0.6,"viel länger",Lektionen[[#This Row],[Bearbeitungsdauer_abgewichen]]&gt;0.3,"länger",Lektionen[[#This Row],[Bearbeitungsdauer_abgewichen]]&lt;-0.3,"kürzer",TRUE,"keine Abweichung")</f>
        <v>keine Abweichung</v>
      </c>
      <c r="I1753">
        <v>1</v>
      </c>
    </row>
    <row r="1754" spans="1:9" hidden="1" x14ac:dyDescent="0.3">
      <c r="A1754" s="13">
        <v>276</v>
      </c>
      <c r="B1754" s="4">
        <v>1</v>
      </c>
      <c r="C1754" t="s">
        <v>526</v>
      </c>
      <c r="D1754" t="s">
        <v>527</v>
      </c>
      <c r="E1754">
        <v>4</v>
      </c>
      <c r="F1754">
        <v>4</v>
      </c>
      <c r="G1754" s="8">
        <f>Lektionen[[#This Row],[Bearbeitungsdauer_real]]/Lektionen[[#This Row],[Bearbeitungsdauer_geschätzt]]-1</f>
        <v>0</v>
      </c>
      <c r="H1754" s="8" t="str" cm="1">
        <f t="array" ref="H1754">_xlfn.IFS(Lektionen[[#This Row],[Bearbeitungsdauer_abgewichen]]&gt;0.6,"viel länger",Lektionen[[#This Row],[Bearbeitungsdauer_abgewichen]]&gt;0.3,"länger",Lektionen[[#This Row],[Bearbeitungsdauer_abgewichen]]&lt;-0.3,"kürzer",TRUE,"keine Abweichung")</f>
        <v>keine Abweichung</v>
      </c>
      <c r="I1754">
        <v>1</v>
      </c>
    </row>
    <row r="1755" spans="1:9" hidden="1" x14ac:dyDescent="0.3">
      <c r="A1755" s="13">
        <v>276</v>
      </c>
      <c r="B1755" s="4">
        <v>2</v>
      </c>
      <c r="C1755" t="s">
        <v>528</v>
      </c>
      <c r="D1755" t="s">
        <v>529</v>
      </c>
      <c r="E1755">
        <v>15</v>
      </c>
      <c r="F1755">
        <v>19</v>
      </c>
      <c r="G1755" s="8">
        <f>Lektionen[[#This Row],[Bearbeitungsdauer_real]]/Lektionen[[#This Row],[Bearbeitungsdauer_geschätzt]]-1</f>
        <v>0.26666666666666661</v>
      </c>
      <c r="H1755" s="8" t="str" cm="1">
        <f t="array" ref="H1755">_xlfn.IFS(Lektionen[[#This Row],[Bearbeitungsdauer_abgewichen]]&gt;0.6,"viel länger",Lektionen[[#This Row],[Bearbeitungsdauer_abgewichen]]&gt;0.3,"länger",Lektionen[[#This Row],[Bearbeitungsdauer_abgewichen]]&lt;-0.3,"kürzer",TRUE,"keine Abweichung")</f>
        <v>keine Abweichung</v>
      </c>
      <c r="I1755">
        <v>2</v>
      </c>
    </row>
    <row r="1756" spans="1:9" hidden="1" x14ac:dyDescent="0.3">
      <c r="A1756" s="13">
        <v>276</v>
      </c>
      <c r="B1756" s="4">
        <v>3</v>
      </c>
      <c r="C1756" t="s">
        <v>552</v>
      </c>
      <c r="D1756" t="s">
        <v>530</v>
      </c>
      <c r="E1756">
        <v>30</v>
      </c>
      <c r="F1756">
        <v>36</v>
      </c>
      <c r="G1756" s="8">
        <f>Lektionen[[#This Row],[Bearbeitungsdauer_real]]/Lektionen[[#This Row],[Bearbeitungsdauer_geschätzt]]-1</f>
        <v>0.19999999999999996</v>
      </c>
      <c r="H1756" s="8" t="str" cm="1">
        <f t="array" ref="H1756">_xlfn.IFS(Lektionen[[#This Row],[Bearbeitungsdauer_abgewichen]]&gt;0.6,"viel länger",Lektionen[[#This Row],[Bearbeitungsdauer_abgewichen]]&gt;0.3,"länger",Lektionen[[#This Row],[Bearbeitungsdauer_abgewichen]]&lt;-0.3,"kürzer",TRUE,"keine Abweichung")</f>
        <v>keine Abweichung</v>
      </c>
      <c r="I1756">
        <v>3</v>
      </c>
    </row>
    <row r="1757" spans="1:9" hidden="1" x14ac:dyDescent="0.3">
      <c r="A1757" s="13">
        <v>276</v>
      </c>
      <c r="B1757" s="4">
        <v>4</v>
      </c>
      <c r="C1757" t="s">
        <v>531</v>
      </c>
      <c r="D1757" t="s">
        <v>530</v>
      </c>
      <c r="E1757">
        <v>30</v>
      </c>
      <c r="F1757">
        <v>18</v>
      </c>
      <c r="G1757" s="8">
        <f>Lektionen[[#This Row],[Bearbeitungsdauer_real]]/Lektionen[[#This Row],[Bearbeitungsdauer_geschätzt]]-1</f>
        <v>-0.4</v>
      </c>
      <c r="H1757" s="8" t="str" cm="1">
        <f t="array" ref="H1757">_xlfn.IFS(Lektionen[[#This Row],[Bearbeitungsdauer_abgewichen]]&gt;0.6,"viel länger",Lektionen[[#This Row],[Bearbeitungsdauer_abgewichen]]&gt;0.3,"länger",Lektionen[[#This Row],[Bearbeitungsdauer_abgewichen]]&lt;-0.3,"kürzer",TRUE,"keine Abweichung")</f>
        <v>kürzer</v>
      </c>
      <c r="I1757">
        <v>3</v>
      </c>
    </row>
    <row r="1758" spans="1:9" x14ac:dyDescent="0.3">
      <c r="A1758" s="13">
        <v>276</v>
      </c>
      <c r="B1758" s="4">
        <v>5</v>
      </c>
      <c r="C1758" t="s">
        <v>532</v>
      </c>
      <c r="D1758" t="s">
        <v>530</v>
      </c>
      <c r="E1758">
        <v>30</v>
      </c>
      <c r="F1758">
        <v>50</v>
      </c>
      <c r="G1758" s="8">
        <f>Lektionen[[#This Row],[Bearbeitungsdauer_real]]/Lektionen[[#This Row],[Bearbeitungsdauer_geschätzt]]-1</f>
        <v>0.66666666666666674</v>
      </c>
      <c r="H1758" s="8" t="str" cm="1">
        <f t="array" ref="H1758">_xlfn.IFS(Lektionen[[#This Row],[Bearbeitungsdauer_abgewichen]]&gt;0.6,"viel länger",Lektionen[[#This Row],[Bearbeitungsdauer_abgewichen]]&gt;0.3,"länger",Lektionen[[#This Row],[Bearbeitungsdauer_abgewichen]]&lt;-0.3,"kürzer",TRUE,"keine Abweichung")</f>
        <v>viel länger</v>
      </c>
      <c r="I1758">
        <v>4</v>
      </c>
    </row>
    <row r="1759" spans="1:9" hidden="1" x14ac:dyDescent="0.3">
      <c r="A1759" s="13">
        <v>276</v>
      </c>
      <c r="B1759" s="4">
        <v>6</v>
      </c>
      <c r="C1759" t="s">
        <v>533</v>
      </c>
      <c r="D1759" t="s">
        <v>534</v>
      </c>
      <c r="E1759">
        <v>5</v>
      </c>
      <c r="F1759">
        <v>1</v>
      </c>
      <c r="G1759" s="8">
        <f>Lektionen[[#This Row],[Bearbeitungsdauer_real]]/Lektionen[[#This Row],[Bearbeitungsdauer_geschätzt]]-1</f>
        <v>-0.8</v>
      </c>
      <c r="H1759" s="8" t="str" cm="1">
        <f t="array" ref="H1759">_xlfn.IFS(Lektionen[[#This Row],[Bearbeitungsdauer_abgewichen]]&gt;0.6,"viel länger",Lektionen[[#This Row],[Bearbeitungsdauer_abgewichen]]&gt;0.3,"länger",Lektionen[[#This Row],[Bearbeitungsdauer_abgewichen]]&lt;-0.3,"kürzer",TRUE,"keine Abweichung")</f>
        <v>kürzer</v>
      </c>
      <c r="I1759">
        <v>2</v>
      </c>
    </row>
    <row r="1760" spans="1:9" hidden="1" x14ac:dyDescent="0.3">
      <c r="A1760" s="13">
        <v>276</v>
      </c>
      <c r="B1760" s="4">
        <v>7</v>
      </c>
      <c r="C1760" t="s">
        <v>535</v>
      </c>
      <c r="D1760" t="s">
        <v>536</v>
      </c>
      <c r="E1760">
        <v>10</v>
      </c>
      <c r="F1760">
        <v>10</v>
      </c>
      <c r="G1760" s="8">
        <f>Lektionen[[#This Row],[Bearbeitungsdauer_real]]/Lektionen[[#This Row],[Bearbeitungsdauer_geschätzt]]-1</f>
        <v>0</v>
      </c>
      <c r="H1760" s="8" t="str" cm="1">
        <f t="array" ref="H1760">_xlfn.IFS(Lektionen[[#This Row],[Bearbeitungsdauer_abgewichen]]&gt;0.6,"viel länger",Lektionen[[#This Row],[Bearbeitungsdauer_abgewichen]]&gt;0.3,"länger",Lektionen[[#This Row],[Bearbeitungsdauer_abgewichen]]&lt;-0.3,"kürzer",TRUE,"keine Abweichung")</f>
        <v>keine Abweichung</v>
      </c>
      <c r="I1760">
        <v>4</v>
      </c>
    </row>
    <row r="1761" spans="1:9" hidden="1" x14ac:dyDescent="0.3">
      <c r="A1761" s="13">
        <v>276</v>
      </c>
      <c r="B1761" s="4">
        <v>8</v>
      </c>
      <c r="C1761" t="s">
        <v>537</v>
      </c>
      <c r="D1761" t="s">
        <v>527</v>
      </c>
      <c r="E1761">
        <v>5</v>
      </c>
      <c r="F1761">
        <v>8</v>
      </c>
      <c r="G1761" s="8">
        <f>Lektionen[[#This Row],[Bearbeitungsdauer_real]]/Lektionen[[#This Row],[Bearbeitungsdauer_geschätzt]]-1</f>
        <v>0.60000000000000009</v>
      </c>
      <c r="H1761" s="8" t="str" cm="1">
        <f t="array" ref="H1761">_xlfn.IFS(Lektionen[[#This Row],[Bearbeitungsdauer_abgewichen]]&gt;0.6,"viel länger",Lektionen[[#This Row],[Bearbeitungsdauer_abgewichen]]&gt;0.3,"länger",Lektionen[[#This Row],[Bearbeitungsdauer_abgewichen]]&lt;-0.3,"kürzer",TRUE,"keine Abweichung")</f>
        <v>länger</v>
      </c>
      <c r="I1761">
        <v>1</v>
      </c>
    </row>
    <row r="1762" spans="1:9" hidden="1" x14ac:dyDescent="0.3">
      <c r="A1762" s="13">
        <v>277</v>
      </c>
      <c r="B1762" s="4">
        <v>1</v>
      </c>
      <c r="C1762" t="s">
        <v>526</v>
      </c>
      <c r="D1762" t="s">
        <v>527</v>
      </c>
      <c r="E1762">
        <v>4</v>
      </c>
      <c r="F1762">
        <v>4</v>
      </c>
      <c r="G1762" s="8">
        <f>Lektionen[[#This Row],[Bearbeitungsdauer_real]]/Lektionen[[#This Row],[Bearbeitungsdauer_geschätzt]]-1</f>
        <v>0</v>
      </c>
      <c r="H1762" s="8" t="str" cm="1">
        <f t="array" ref="H1762">_xlfn.IFS(Lektionen[[#This Row],[Bearbeitungsdauer_abgewichen]]&gt;0.6,"viel länger",Lektionen[[#This Row],[Bearbeitungsdauer_abgewichen]]&gt;0.3,"länger",Lektionen[[#This Row],[Bearbeitungsdauer_abgewichen]]&lt;-0.3,"kürzer",TRUE,"keine Abweichung")</f>
        <v>keine Abweichung</v>
      </c>
      <c r="I1762">
        <v>1</v>
      </c>
    </row>
    <row r="1763" spans="1:9" hidden="1" x14ac:dyDescent="0.3">
      <c r="A1763" s="13">
        <v>277</v>
      </c>
      <c r="B1763" s="4">
        <v>2</v>
      </c>
      <c r="C1763" t="s">
        <v>528</v>
      </c>
      <c r="D1763" t="s">
        <v>529</v>
      </c>
      <c r="E1763">
        <v>15</v>
      </c>
      <c r="F1763">
        <v>15</v>
      </c>
      <c r="G1763" s="8">
        <f>Lektionen[[#This Row],[Bearbeitungsdauer_real]]/Lektionen[[#This Row],[Bearbeitungsdauer_geschätzt]]-1</f>
        <v>0</v>
      </c>
      <c r="H1763" s="8" t="str" cm="1">
        <f t="array" ref="H1763">_xlfn.IFS(Lektionen[[#This Row],[Bearbeitungsdauer_abgewichen]]&gt;0.6,"viel länger",Lektionen[[#This Row],[Bearbeitungsdauer_abgewichen]]&gt;0.3,"länger",Lektionen[[#This Row],[Bearbeitungsdauer_abgewichen]]&lt;-0.3,"kürzer",TRUE,"keine Abweichung")</f>
        <v>keine Abweichung</v>
      </c>
      <c r="I1763">
        <v>2</v>
      </c>
    </row>
    <row r="1764" spans="1:9" hidden="1" x14ac:dyDescent="0.3">
      <c r="A1764" s="13">
        <v>277</v>
      </c>
      <c r="B1764" s="4">
        <v>3</v>
      </c>
      <c r="C1764" t="s">
        <v>552</v>
      </c>
      <c r="D1764" t="s">
        <v>530</v>
      </c>
      <c r="E1764">
        <v>30</v>
      </c>
      <c r="F1764">
        <v>29</v>
      </c>
      <c r="G1764" s="8">
        <f>Lektionen[[#This Row],[Bearbeitungsdauer_real]]/Lektionen[[#This Row],[Bearbeitungsdauer_geschätzt]]-1</f>
        <v>-3.3333333333333326E-2</v>
      </c>
      <c r="H1764" s="8" t="str" cm="1">
        <f t="array" ref="H1764">_xlfn.IFS(Lektionen[[#This Row],[Bearbeitungsdauer_abgewichen]]&gt;0.6,"viel länger",Lektionen[[#This Row],[Bearbeitungsdauer_abgewichen]]&gt;0.3,"länger",Lektionen[[#This Row],[Bearbeitungsdauer_abgewichen]]&lt;-0.3,"kürzer",TRUE,"keine Abweichung")</f>
        <v>keine Abweichung</v>
      </c>
      <c r="I1764">
        <v>3</v>
      </c>
    </row>
    <row r="1765" spans="1:9" hidden="1" x14ac:dyDescent="0.3">
      <c r="A1765" s="13">
        <v>277</v>
      </c>
      <c r="B1765" s="4">
        <v>4</v>
      </c>
      <c r="C1765" t="s">
        <v>531</v>
      </c>
      <c r="D1765" t="s">
        <v>530</v>
      </c>
      <c r="E1765">
        <v>30</v>
      </c>
      <c r="F1765">
        <v>28</v>
      </c>
      <c r="G1765" s="8">
        <f>Lektionen[[#This Row],[Bearbeitungsdauer_real]]/Lektionen[[#This Row],[Bearbeitungsdauer_geschätzt]]-1</f>
        <v>-6.6666666666666652E-2</v>
      </c>
      <c r="H1765" s="8" t="str" cm="1">
        <f t="array" ref="H1765">_xlfn.IFS(Lektionen[[#This Row],[Bearbeitungsdauer_abgewichen]]&gt;0.6,"viel länger",Lektionen[[#This Row],[Bearbeitungsdauer_abgewichen]]&gt;0.3,"länger",Lektionen[[#This Row],[Bearbeitungsdauer_abgewichen]]&lt;-0.3,"kürzer",TRUE,"keine Abweichung")</f>
        <v>keine Abweichung</v>
      </c>
      <c r="I1765">
        <v>3</v>
      </c>
    </row>
    <row r="1766" spans="1:9" x14ac:dyDescent="0.3">
      <c r="A1766" s="13">
        <v>277</v>
      </c>
      <c r="B1766" s="4">
        <v>5</v>
      </c>
      <c r="C1766" t="s">
        <v>532</v>
      </c>
      <c r="D1766" t="s">
        <v>530</v>
      </c>
      <c r="E1766">
        <v>30</v>
      </c>
      <c r="F1766">
        <v>55</v>
      </c>
      <c r="G1766" s="8">
        <f>Lektionen[[#This Row],[Bearbeitungsdauer_real]]/Lektionen[[#This Row],[Bearbeitungsdauer_geschätzt]]-1</f>
        <v>0.83333333333333326</v>
      </c>
      <c r="H1766" s="8" t="str" cm="1">
        <f t="array" ref="H1766">_xlfn.IFS(Lektionen[[#This Row],[Bearbeitungsdauer_abgewichen]]&gt;0.6,"viel länger",Lektionen[[#This Row],[Bearbeitungsdauer_abgewichen]]&gt;0.3,"länger",Lektionen[[#This Row],[Bearbeitungsdauer_abgewichen]]&lt;-0.3,"kürzer",TRUE,"keine Abweichung")</f>
        <v>viel länger</v>
      </c>
      <c r="I1766">
        <v>3</v>
      </c>
    </row>
    <row r="1767" spans="1:9" hidden="1" x14ac:dyDescent="0.3">
      <c r="A1767" s="13">
        <v>277</v>
      </c>
      <c r="B1767" s="4">
        <v>6</v>
      </c>
      <c r="C1767" t="s">
        <v>533</v>
      </c>
      <c r="D1767" t="s">
        <v>534</v>
      </c>
      <c r="E1767">
        <v>5</v>
      </c>
      <c r="F1767">
        <v>1</v>
      </c>
      <c r="G1767" s="8">
        <f>Lektionen[[#This Row],[Bearbeitungsdauer_real]]/Lektionen[[#This Row],[Bearbeitungsdauer_geschätzt]]-1</f>
        <v>-0.8</v>
      </c>
      <c r="H1767" s="8" t="str" cm="1">
        <f t="array" ref="H1767">_xlfn.IFS(Lektionen[[#This Row],[Bearbeitungsdauer_abgewichen]]&gt;0.6,"viel länger",Lektionen[[#This Row],[Bearbeitungsdauer_abgewichen]]&gt;0.3,"länger",Lektionen[[#This Row],[Bearbeitungsdauer_abgewichen]]&lt;-0.3,"kürzer",TRUE,"keine Abweichung")</f>
        <v>kürzer</v>
      </c>
      <c r="I1767">
        <v>1</v>
      </c>
    </row>
    <row r="1768" spans="1:9" hidden="1" x14ac:dyDescent="0.3">
      <c r="A1768" s="13">
        <v>277</v>
      </c>
      <c r="B1768" s="4">
        <v>7</v>
      </c>
      <c r="C1768" t="s">
        <v>535</v>
      </c>
      <c r="D1768" t="s">
        <v>536</v>
      </c>
      <c r="E1768">
        <v>10</v>
      </c>
      <c r="F1768">
        <v>8</v>
      </c>
      <c r="G1768" s="8">
        <f>Lektionen[[#This Row],[Bearbeitungsdauer_real]]/Lektionen[[#This Row],[Bearbeitungsdauer_geschätzt]]-1</f>
        <v>-0.19999999999999996</v>
      </c>
      <c r="H1768" s="8" t="str" cm="1">
        <f t="array" ref="H1768">_xlfn.IFS(Lektionen[[#This Row],[Bearbeitungsdauer_abgewichen]]&gt;0.6,"viel länger",Lektionen[[#This Row],[Bearbeitungsdauer_abgewichen]]&gt;0.3,"länger",Lektionen[[#This Row],[Bearbeitungsdauer_abgewichen]]&lt;-0.3,"kürzer",TRUE,"keine Abweichung")</f>
        <v>keine Abweichung</v>
      </c>
      <c r="I1768">
        <v>3</v>
      </c>
    </row>
    <row r="1769" spans="1:9" hidden="1" x14ac:dyDescent="0.3">
      <c r="A1769" s="13">
        <v>277</v>
      </c>
      <c r="B1769" s="4">
        <v>8</v>
      </c>
      <c r="C1769" t="s">
        <v>537</v>
      </c>
      <c r="D1769" t="s">
        <v>527</v>
      </c>
      <c r="E1769">
        <v>5</v>
      </c>
      <c r="F1769">
        <v>5</v>
      </c>
      <c r="G1769" s="8">
        <f>Lektionen[[#This Row],[Bearbeitungsdauer_real]]/Lektionen[[#This Row],[Bearbeitungsdauer_geschätzt]]-1</f>
        <v>0</v>
      </c>
      <c r="H1769" s="8" t="str" cm="1">
        <f t="array" ref="H1769">_xlfn.IFS(Lektionen[[#This Row],[Bearbeitungsdauer_abgewichen]]&gt;0.6,"viel länger",Lektionen[[#This Row],[Bearbeitungsdauer_abgewichen]]&gt;0.3,"länger",Lektionen[[#This Row],[Bearbeitungsdauer_abgewichen]]&lt;-0.3,"kürzer",TRUE,"keine Abweichung")</f>
        <v>keine Abweichung</v>
      </c>
      <c r="I1769">
        <v>1</v>
      </c>
    </row>
    <row r="1770" spans="1:9" hidden="1" x14ac:dyDescent="0.3">
      <c r="A1770" s="13">
        <v>278</v>
      </c>
      <c r="B1770" s="4">
        <v>1</v>
      </c>
      <c r="C1770" t="s">
        <v>526</v>
      </c>
      <c r="D1770" t="s">
        <v>527</v>
      </c>
      <c r="E1770">
        <v>4</v>
      </c>
      <c r="F1770">
        <v>4</v>
      </c>
      <c r="G1770" s="8">
        <f>Lektionen[[#This Row],[Bearbeitungsdauer_real]]/Lektionen[[#This Row],[Bearbeitungsdauer_geschätzt]]-1</f>
        <v>0</v>
      </c>
      <c r="H1770" s="8" t="str" cm="1">
        <f t="array" ref="H1770">_xlfn.IFS(Lektionen[[#This Row],[Bearbeitungsdauer_abgewichen]]&gt;0.6,"viel länger",Lektionen[[#This Row],[Bearbeitungsdauer_abgewichen]]&gt;0.3,"länger",Lektionen[[#This Row],[Bearbeitungsdauer_abgewichen]]&lt;-0.3,"kürzer",TRUE,"keine Abweichung")</f>
        <v>keine Abweichung</v>
      </c>
      <c r="I1770">
        <v>1</v>
      </c>
    </row>
    <row r="1771" spans="1:9" hidden="1" x14ac:dyDescent="0.3">
      <c r="A1771" s="13">
        <v>278</v>
      </c>
      <c r="B1771" s="4">
        <v>2</v>
      </c>
      <c r="C1771" t="s">
        <v>528</v>
      </c>
      <c r="D1771" t="s">
        <v>529</v>
      </c>
      <c r="E1771">
        <v>15</v>
      </c>
      <c r="F1771">
        <v>18</v>
      </c>
      <c r="G1771" s="8">
        <f>Lektionen[[#This Row],[Bearbeitungsdauer_real]]/Lektionen[[#This Row],[Bearbeitungsdauer_geschätzt]]-1</f>
        <v>0.19999999999999996</v>
      </c>
      <c r="H1771" s="8" t="str" cm="1">
        <f t="array" ref="H1771">_xlfn.IFS(Lektionen[[#This Row],[Bearbeitungsdauer_abgewichen]]&gt;0.6,"viel länger",Lektionen[[#This Row],[Bearbeitungsdauer_abgewichen]]&gt;0.3,"länger",Lektionen[[#This Row],[Bearbeitungsdauer_abgewichen]]&lt;-0.3,"kürzer",TRUE,"keine Abweichung")</f>
        <v>keine Abweichung</v>
      </c>
      <c r="I1771">
        <v>2</v>
      </c>
    </row>
    <row r="1772" spans="1:9" hidden="1" x14ac:dyDescent="0.3">
      <c r="A1772" s="13">
        <v>278</v>
      </c>
      <c r="B1772" s="4">
        <v>3</v>
      </c>
      <c r="C1772" t="s">
        <v>552</v>
      </c>
      <c r="D1772" t="s">
        <v>530</v>
      </c>
      <c r="E1772">
        <v>30</v>
      </c>
      <c r="F1772">
        <v>28</v>
      </c>
      <c r="G1772" s="8">
        <f>Lektionen[[#This Row],[Bearbeitungsdauer_real]]/Lektionen[[#This Row],[Bearbeitungsdauer_geschätzt]]-1</f>
        <v>-6.6666666666666652E-2</v>
      </c>
      <c r="H1772" s="8" t="str" cm="1">
        <f t="array" ref="H1772">_xlfn.IFS(Lektionen[[#This Row],[Bearbeitungsdauer_abgewichen]]&gt;0.6,"viel länger",Lektionen[[#This Row],[Bearbeitungsdauer_abgewichen]]&gt;0.3,"länger",Lektionen[[#This Row],[Bearbeitungsdauer_abgewichen]]&lt;-0.3,"kürzer",TRUE,"keine Abweichung")</f>
        <v>keine Abweichung</v>
      </c>
      <c r="I1772">
        <v>3</v>
      </c>
    </row>
    <row r="1773" spans="1:9" hidden="1" x14ac:dyDescent="0.3">
      <c r="A1773" s="13">
        <v>278</v>
      </c>
      <c r="B1773" s="4">
        <v>4</v>
      </c>
      <c r="C1773" t="s">
        <v>531</v>
      </c>
      <c r="D1773" t="s">
        <v>530</v>
      </c>
      <c r="E1773">
        <v>30</v>
      </c>
      <c r="F1773">
        <v>22</v>
      </c>
      <c r="G1773" s="8">
        <f>Lektionen[[#This Row],[Bearbeitungsdauer_real]]/Lektionen[[#This Row],[Bearbeitungsdauer_geschätzt]]-1</f>
        <v>-0.26666666666666672</v>
      </c>
      <c r="H1773" s="8" t="str" cm="1">
        <f t="array" ref="H1773">_xlfn.IFS(Lektionen[[#This Row],[Bearbeitungsdauer_abgewichen]]&gt;0.6,"viel länger",Lektionen[[#This Row],[Bearbeitungsdauer_abgewichen]]&gt;0.3,"länger",Lektionen[[#This Row],[Bearbeitungsdauer_abgewichen]]&lt;-0.3,"kürzer",TRUE,"keine Abweichung")</f>
        <v>keine Abweichung</v>
      </c>
      <c r="I1773">
        <v>4</v>
      </c>
    </row>
    <row r="1774" spans="1:9" x14ac:dyDescent="0.3">
      <c r="A1774" s="13">
        <v>278</v>
      </c>
      <c r="B1774" s="4">
        <v>5</v>
      </c>
      <c r="C1774" t="s">
        <v>532</v>
      </c>
      <c r="D1774" t="s">
        <v>530</v>
      </c>
      <c r="E1774">
        <v>30</v>
      </c>
      <c r="F1774">
        <v>55</v>
      </c>
      <c r="G1774" s="8">
        <f>Lektionen[[#This Row],[Bearbeitungsdauer_real]]/Lektionen[[#This Row],[Bearbeitungsdauer_geschätzt]]-1</f>
        <v>0.83333333333333326</v>
      </c>
      <c r="H1774" s="8" t="str" cm="1">
        <f t="array" ref="H1774">_xlfn.IFS(Lektionen[[#This Row],[Bearbeitungsdauer_abgewichen]]&gt;0.6,"viel länger",Lektionen[[#This Row],[Bearbeitungsdauer_abgewichen]]&gt;0.3,"länger",Lektionen[[#This Row],[Bearbeitungsdauer_abgewichen]]&lt;-0.3,"kürzer",TRUE,"keine Abweichung")</f>
        <v>viel länger</v>
      </c>
      <c r="I1774">
        <v>4</v>
      </c>
    </row>
    <row r="1775" spans="1:9" hidden="1" x14ac:dyDescent="0.3">
      <c r="A1775" s="13">
        <v>278</v>
      </c>
      <c r="B1775" s="4">
        <v>6</v>
      </c>
      <c r="C1775" t="s">
        <v>533</v>
      </c>
      <c r="D1775" t="s">
        <v>534</v>
      </c>
      <c r="E1775">
        <v>5</v>
      </c>
      <c r="F1775">
        <v>2</v>
      </c>
      <c r="G1775" s="8">
        <f>Lektionen[[#This Row],[Bearbeitungsdauer_real]]/Lektionen[[#This Row],[Bearbeitungsdauer_geschätzt]]-1</f>
        <v>-0.6</v>
      </c>
      <c r="H1775" s="8" t="str" cm="1">
        <f t="array" ref="H1775">_xlfn.IFS(Lektionen[[#This Row],[Bearbeitungsdauer_abgewichen]]&gt;0.6,"viel länger",Lektionen[[#This Row],[Bearbeitungsdauer_abgewichen]]&gt;0.3,"länger",Lektionen[[#This Row],[Bearbeitungsdauer_abgewichen]]&lt;-0.3,"kürzer",TRUE,"keine Abweichung")</f>
        <v>kürzer</v>
      </c>
      <c r="I1775">
        <v>3</v>
      </c>
    </row>
    <row r="1776" spans="1:9" hidden="1" x14ac:dyDescent="0.3">
      <c r="A1776" s="13">
        <v>278</v>
      </c>
      <c r="B1776" s="4">
        <v>7</v>
      </c>
      <c r="C1776" t="s">
        <v>535</v>
      </c>
      <c r="D1776" t="s">
        <v>536</v>
      </c>
      <c r="E1776">
        <v>10</v>
      </c>
      <c r="F1776">
        <v>10</v>
      </c>
      <c r="G1776" s="8">
        <f>Lektionen[[#This Row],[Bearbeitungsdauer_real]]/Lektionen[[#This Row],[Bearbeitungsdauer_geschätzt]]-1</f>
        <v>0</v>
      </c>
      <c r="H1776" s="8" t="str" cm="1">
        <f t="array" ref="H1776">_xlfn.IFS(Lektionen[[#This Row],[Bearbeitungsdauer_abgewichen]]&gt;0.6,"viel länger",Lektionen[[#This Row],[Bearbeitungsdauer_abgewichen]]&gt;0.3,"länger",Lektionen[[#This Row],[Bearbeitungsdauer_abgewichen]]&lt;-0.3,"kürzer",TRUE,"keine Abweichung")</f>
        <v>keine Abweichung</v>
      </c>
      <c r="I1776">
        <v>3</v>
      </c>
    </row>
    <row r="1777" spans="1:9" hidden="1" x14ac:dyDescent="0.3">
      <c r="A1777" s="13">
        <v>278</v>
      </c>
      <c r="B1777" s="4">
        <v>8</v>
      </c>
      <c r="C1777" t="s">
        <v>537</v>
      </c>
      <c r="D1777" t="s">
        <v>527</v>
      </c>
      <c r="E1777">
        <v>5</v>
      </c>
      <c r="F1777">
        <v>5</v>
      </c>
      <c r="G1777" s="8">
        <f>Lektionen[[#This Row],[Bearbeitungsdauer_real]]/Lektionen[[#This Row],[Bearbeitungsdauer_geschätzt]]-1</f>
        <v>0</v>
      </c>
      <c r="H1777" s="8" t="str" cm="1">
        <f t="array" ref="H1777">_xlfn.IFS(Lektionen[[#This Row],[Bearbeitungsdauer_abgewichen]]&gt;0.6,"viel länger",Lektionen[[#This Row],[Bearbeitungsdauer_abgewichen]]&gt;0.3,"länger",Lektionen[[#This Row],[Bearbeitungsdauer_abgewichen]]&lt;-0.3,"kürzer",TRUE,"keine Abweichung")</f>
        <v>keine Abweichung</v>
      </c>
      <c r="I1777">
        <v>1</v>
      </c>
    </row>
    <row r="1778" spans="1:9" hidden="1" x14ac:dyDescent="0.3">
      <c r="A1778" s="13">
        <v>279</v>
      </c>
      <c r="B1778" s="4">
        <v>1</v>
      </c>
      <c r="C1778" t="s">
        <v>526</v>
      </c>
      <c r="D1778" t="s">
        <v>527</v>
      </c>
      <c r="E1778">
        <v>4</v>
      </c>
      <c r="F1778">
        <v>4</v>
      </c>
      <c r="G1778" s="8">
        <f>Lektionen[[#This Row],[Bearbeitungsdauer_real]]/Lektionen[[#This Row],[Bearbeitungsdauer_geschätzt]]-1</f>
        <v>0</v>
      </c>
      <c r="H1778" s="8" t="str" cm="1">
        <f t="array" ref="H1778">_xlfn.IFS(Lektionen[[#This Row],[Bearbeitungsdauer_abgewichen]]&gt;0.6,"viel länger",Lektionen[[#This Row],[Bearbeitungsdauer_abgewichen]]&gt;0.3,"länger",Lektionen[[#This Row],[Bearbeitungsdauer_abgewichen]]&lt;-0.3,"kürzer",TRUE,"keine Abweichung")</f>
        <v>keine Abweichung</v>
      </c>
      <c r="I1778">
        <v>1</v>
      </c>
    </row>
    <row r="1779" spans="1:9" hidden="1" x14ac:dyDescent="0.3">
      <c r="A1779" s="13">
        <v>279</v>
      </c>
      <c r="B1779" s="4">
        <v>2</v>
      </c>
      <c r="C1779" t="s">
        <v>528</v>
      </c>
      <c r="D1779" t="s">
        <v>529</v>
      </c>
      <c r="E1779">
        <v>15</v>
      </c>
      <c r="F1779">
        <v>19</v>
      </c>
      <c r="G1779" s="8">
        <f>Lektionen[[#This Row],[Bearbeitungsdauer_real]]/Lektionen[[#This Row],[Bearbeitungsdauer_geschätzt]]-1</f>
        <v>0.26666666666666661</v>
      </c>
      <c r="H1779" s="8" t="str" cm="1">
        <f t="array" ref="H1779">_xlfn.IFS(Lektionen[[#This Row],[Bearbeitungsdauer_abgewichen]]&gt;0.6,"viel länger",Lektionen[[#This Row],[Bearbeitungsdauer_abgewichen]]&gt;0.3,"länger",Lektionen[[#This Row],[Bearbeitungsdauer_abgewichen]]&lt;-0.3,"kürzer",TRUE,"keine Abweichung")</f>
        <v>keine Abweichung</v>
      </c>
      <c r="I1779">
        <v>1</v>
      </c>
    </row>
    <row r="1780" spans="1:9" hidden="1" x14ac:dyDescent="0.3">
      <c r="A1780" s="13">
        <v>279</v>
      </c>
      <c r="B1780" s="4">
        <v>3</v>
      </c>
      <c r="C1780" t="s">
        <v>552</v>
      </c>
      <c r="D1780" t="s">
        <v>530</v>
      </c>
      <c r="E1780">
        <v>30</v>
      </c>
      <c r="F1780">
        <v>28</v>
      </c>
      <c r="G1780" s="8">
        <f>Lektionen[[#This Row],[Bearbeitungsdauer_real]]/Lektionen[[#This Row],[Bearbeitungsdauer_geschätzt]]-1</f>
        <v>-6.6666666666666652E-2</v>
      </c>
      <c r="H1780" s="8" t="str" cm="1">
        <f t="array" ref="H1780">_xlfn.IFS(Lektionen[[#This Row],[Bearbeitungsdauer_abgewichen]]&gt;0.6,"viel länger",Lektionen[[#This Row],[Bearbeitungsdauer_abgewichen]]&gt;0.3,"länger",Lektionen[[#This Row],[Bearbeitungsdauer_abgewichen]]&lt;-0.3,"kürzer",TRUE,"keine Abweichung")</f>
        <v>keine Abweichung</v>
      </c>
      <c r="I1780">
        <v>3</v>
      </c>
    </row>
    <row r="1781" spans="1:9" hidden="1" x14ac:dyDescent="0.3">
      <c r="A1781" s="13">
        <v>279</v>
      </c>
      <c r="B1781" s="4">
        <v>4</v>
      </c>
      <c r="C1781" t="s">
        <v>531</v>
      </c>
      <c r="D1781" t="s">
        <v>530</v>
      </c>
      <c r="E1781">
        <v>30</v>
      </c>
      <c r="F1781">
        <v>18</v>
      </c>
      <c r="G1781" s="8">
        <f>Lektionen[[#This Row],[Bearbeitungsdauer_real]]/Lektionen[[#This Row],[Bearbeitungsdauer_geschätzt]]-1</f>
        <v>-0.4</v>
      </c>
      <c r="H1781" s="8" t="str" cm="1">
        <f t="array" ref="H1781">_xlfn.IFS(Lektionen[[#This Row],[Bearbeitungsdauer_abgewichen]]&gt;0.6,"viel länger",Lektionen[[#This Row],[Bearbeitungsdauer_abgewichen]]&gt;0.3,"länger",Lektionen[[#This Row],[Bearbeitungsdauer_abgewichen]]&lt;-0.3,"kürzer",TRUE,"keine Abweichung")</f>
        <v>kürzer</v>
      </c>
      <c r="I1781">
        <v>3</v>
      </c>
    </row>
    <row r="1782" spans="1:9" x14ac:dyDescent="0.3">
      <c r="A1782" s="13">
        <v>279</v>
      </c>
      <c r="B1782" s="4">
        <v>5</v>
      </c>
      <c r="C1782" t="s">
        <v>532</v>
      </c>
      <c r="D1782" t="s">
        <v>530</v>
      </c>
      <c r="E1782">
        <v>30</v>
      </c>
      <c r="F1782">
        <v>46</v>
      </c>
      <c r="G1782" s="8">
        <f>Lektionen[[#This Row],[Bearbeitungsdauer_real]]/Lektionen[[#This Row],[Bearbeitungsdauer_geschätzt]]-1</f>
        <v>0.53333333333333344</v>
      </c>
      <c r="H1782" s="8" t="str" cm="1">
        <f t="array" ref="H1782">_xlfn.IFS(Lektionen[[#This Row],[Bearbeitungsdauer_abgewichen]]&gt;0.6,"viel länger",Lektionen[[#This Row],[Bearbeitungsdauer_abgewichen]]&gt;0.3,"länger",Lektionen[[#This Row],[Bearbeitungsdauer_abgewichen]]&lt;-0.3,"kürzer",TRUE,"keine Abweichung")</f>
        <v>länger</v>
      </c>
      <c r="I1782">
        <v>3</v>
      </c>
    </row>
    <row r="1783" spans="1:9" hidden="1" x14ac:dyDescent="0.3">
      <c r="A1783" s="13">
        <v>279</v>
      </c>
      <c r="B1783" s="4">
        <v>6</v>
      </c>
      <c r="C1783" t="s">
        <v>533</v>
      </c>
      <c r="D1783" t="s">
        <v>534</v>
      </c>
      <c r="E1783">
        <v>5</v>
      </c>
      <c r="F1783">
        <v>1</v>
      </c>
      <c r="G1783" s="8">
        <f>Lektionen[[#This Row],[Bearbeitungsdauer_real]]/Lektionen[[#This Row],[Bearbeitungsdauer_geschätzt]]-1</f>
        <v>-0.8</v>
      </c>
      <c r="H1783" s="8" t="str" cm="1">
        <f t="array" ref="H1783">_xlfn.IFS(Lektionen[[#This Row],[Bearbeitungsdauer_abgewichen]]&gt;0.6,"viel länger",Lektionen[[#This Row],[Bearbeitungsdauer_abgewichen]]&gt;0.3,"länger",Lektionen[[#This Row],[Bearbeitungsdauer_abgewichen]]&lt;-0.3,"kürzer",TRUE,"keine Abweichung")</f>
        <v>kürzer</v>
      </c>
      <c r="I1783">
        <v>2</v>
      </c>
    </row>
    <row r="1784" spans="1:9" hidden="1" x14ac:dyDescent="0.3">
      <c r="A1784" s="13">
        <v>279</v>
      </c>
      <c r="B1784" s="4">
        <v>7</v>
      </c>
      <c r="C1784" t="s">
        <v>535</v>
      </c>
      <c r="D1784" t="s">
        <v>536</v>
      </c>
      <c r="E1784">
        <v>10</v>
      </c>
      <c r="F1784">
        <v>10</v>
      </c>
      <c r="G1784" s="8">
        <f>Lektionen[[#This Row],[Bearbeitungsdauer_real]]/Lektionen[[#This Row],[Bearbeitungsdauer_geschätzt]]-1</f>
        <v>0</v>
      </c>
      <c r="H1784" s="8" t="str" cm="1">
        <f t="array" ref="H1784">_xlfn.IFS(Lektionen[[#This Row],[Bearbeitungsdauer_abgewichen]]&gt;0.6,"viel länger",Lektionen[[#This Row],[Bearbeitungsdauer_abgewichen]]&gt;0.3,"länger",Lektionen[[#This Row],[Bearbeitungsdauer_abgewichen]]&lt;-0.3,"kürzer",TRUE,"keine Abweichung")</f>
        <v>keine Abweichung</v>
      </c>
      <c r="I1784">
        <v>3</v>
      </c>
    </row>
    <row r="1785" spans="1:9" hidden="1" x14ac:dyDescent="0.3">
      <c r="A1785" s="13">
        <v>279</v>
      </c>
      <c r="B1785" s="4">
        <v>8</v>
      </c>
      <c r="C1785" t="s">
        <v>537</v>
      </c>
      <c r="D1785" t="s">
        <v>527</v>
      </c>
      <c r="E1785">
        <v>5</v>
      </c>
      <c r="F1785">
        <v>5</v>
      </c>
      <c r="G1785" s="8">
        <f>Lektionen[[#This Row],[Bearbeitungsdauer_real]]/Lektionen[[#This Row],[Bearbeitungsdauer_geschätzt]]-1</f>
        <v>0</v>
      </c>
      <c r="H1785" s="8" t="str" cm="1">
        <f t="array" ref="H1785">_xlfn.IFS(Lektionen[[#This Row],[Bearbeitungsdauer_abgewichen]]&gt;0.6,"viel länger",Lektionen[[#This Row],[Bearbeitungsdauer_abgewichen]]&gt;0.3,"länger",Lektionen[[#This Row],[Bearbeitungsdauer_abgewichen]]&lt;-0.3,"kürzer",TRUE,"keine Abweichung")</f>
        <v>keine Abweichung</v>
      </c>
      <c r="I1785">
        <v>1</v>
      </c>
    </row>
    <row r="1786" spans="1:9" hidden="1" x14ac:dyDescent="0.3">
      <c r="A1786" s="13">
        <v>280</v>
      </c>
      <c r="B1786" s="4">
        <v>1</v>
      </c>
      <c r="C1786" t="s">
        <v>526</v>
      </c>
      <c r="D1786" t="s">
        <v>527</v>
      </c>
      <c r="E1786">
        <v>4</v>
      </c>
      <c r="F1786">
        <v>4</v>
      </c>
      <c r="G1786" s="8">
        <f>Lektionen[[#This Row],[Bearbeitungsdauer_real]]/Lektionen[[#This Row],[Bearbeitungsdauer_geschätzt]]-1</f>
        <v>0</v>
      </c>
      <c r="H1786" s="8" t="str" cm="1">
        <f t="array" ref="H1786">_xlfn.IFS(Lektionen[[#This Row],[Bearbeitungsdauer_abgewichen]]&gt;0.6,"viel länger",Lektionen[[#This Row],[Bearbeitungsdauer_abgewichen]]&gt;0.3,"länger",Lektionen[[#This Row],[Bearbeitungsdauer_abgewichen]]&lt;-0.3,"kürzer",TRUE,"keine Abweichung")</f>
        <v>keine Abweichung</v>
      </c>
      <c r="I1786">
        <v>1</v>
      </c>
    </row>
    <row r="1787" spans="1:9" hidden="1" x14ac:dyDescent="0.3">
      <c r="A1787" s="13">
        <v>280</v>
      </c>
      <c r="B1787" s="4">
        <v>2</v>
      </c>
      <c r="C1787" t="s">
        <v>528</v>
      </c>
      <c r="D1787" t="s">
        <v>529</v>
      </c>
      <c r="E1787">
        <v>15</v>
      </c>
      <c r="F1787">
        <v>15</v>
      </c>
      <c r="G1787" s="8">
        <f>Lektionen[[#This Row],[Bearbeitungsdauer_real]]/Lektionen[[#This Row],[Bearbeitungsdauer_geschätzt]]-1</f>
        <v>0</v>
      </c>
      <c r="H1787" s="8" t="str" cm="1">
        <f t="array" ref="H1787">_xlfn.IFS(Lektionen[[#This Row],[Bearbeitungsdauer_abgewichen]]&gt;0.6,"viel länger",Lektionen[[#This Row],[Bearbeitungsdauer_abgewichen]]&gt;0.3,"länger",Lektionen[[#This Row],[Bearbeitungsdauer_abgewichen]]&lt;-0.3,"kürzer",TRUE,"keine Abweichung")</f>
        <v>keine Abweichung</v>
      </c>
      <c r="I1787">
        <v>1</v>
      </c>
    </row>
    <row r="1788" spans="1:9" hidden="1" x14ac:dyDescent="0.3">
      <c r="A1788" s="13">
        <v>280</v>
      </c>
      <c r="B1788" s="4">
        <v>3</v>
      </c>
      <c r="C1788" t="s">
        <v>552</v>
      </c>
      <c r="D1788" t="s">
        <v>530</v>
      </c>
      <c r="E1788">
        <v>30</v>
      </c>
      <c r="F1788">
        <v>30</v>
      </c>
      <c r="G1788" s="8">
        <f>Lektionen[[#This Row],[Bearbeitungsdauer_real]]/Lektionen[[#This Row],[Bearbeitungsdauer_geschätzt]]-1</f>
        <v>0</v>
      </c>
      <c r="H1788" s="8" t="str" cm="1">
        <f t="array" ref="H1788">_xlfn.IFS(Lektionen[[#This Row],[Bearbeitungsdauer_abgewichen]]&gt;0.6,"viel länger",Lektionen[[#This Row],[Bearbeitungsdauer_abgewichen]]&gt;0.3,"länger",Lektionen[[#This Row],[Bearbeitungsdauer_abgewichen]]&lt;-0.3,"kürzer",TRUE,"keine Abweichung")</f>
        <v>keine Abweichung</v>
      </c>
      <c r="I1788">
        <v>3</v>
      </c>
    </row>
    <row r="1789" spans="1:9" hidden="1" x14ac:dyDescent="0.3">
      <c r="A1789" s="13">
        <v>280</v>
      </c>
      <c r="B1789" s="4">
        <v>4</v>
      </c>
      <c r="C1789" t="s">
        <v>531</v>
      </c>
      <c r="D1789" t="s">
        <v>530</v>
      </c>
      <c r="E1789">
        <v>30</v>
      </c>
      <c r="F1789">
        <v>30</v>
      </c>
      <c r="G1789" s="8">
        <f>Lektionen[[#This Row],[Bearbeitungsdauer_real]]/Lektionen[[#This Row],[Bearbeitungsdauer_geschätzt]]-1</f>
        <v>0</v>
      </c>
      <c r="H1789" s="8" t="str" cm="1">
        <f t="array" ref="H1789">_xlfn.IFS(Lektionen[[#This Row],[Bearbeitungsdauer_abgewichen]]&gt;0.6,"viel länger",Lektionen[[#This Row],[Bearbeitungsdauer_abgewichen]]&gt;0.3,"länger",Lektionen[[#This Row],[Bearbeitungsdauer_abgewichen]]&lt;-0.3,"kürzer",TRUE,"keine Abweichung")</f>
        <v>keine Abweichung</v>
      </c>
      <c r="I1789">
        <v>4</v>
      </c>
    </row>
    <row r="1790" spans="1:9" x14ac:dyDescent="0.3">
      <c r="A1790" s="13">
        <v>280</v>
      </c>
      <c r="B1790" s="4">
        <v>5</v>
      </c>
      <c r="C1790" t="s">
        <v>532</v>
      </c>
      <c r="D1790" t="s">
        <v>530</v>
      </c>
      <c r="E1790">
        <v>30</v>
      </c>
      <c r="F1790">
        <v>47</v>
      </c>
      <c r="G1790" s="8">
        <f>Lektionen[[#This Row],[Bearbeitungsdauer_real]]/Lektionen[[#This Row],[Bearbeitungsdauer_geschätzt]]-1</f>
        <v>0.56666666666666665</v>
      </c>
      <c r="H1790" s="8" t="str" cm="1">
        <f t="array" ref="H1790">_xlfn.IFS(Lektionen[[#This Row],[Bearbeitungsdauer_abgewichen]]&gt;0.6,"viel länger",Lektionen[[#This Row],[Bearbeitungsdauer_abgewichen]]&gt;0.3,"länger",Lektionen[[#This Row],[Bearbeitungsdauer_abgewichen]]&lt;-0.3,"kürzer",TRUE,"keine Abweichung")</f>
        <v>länger</v>
      </c>
      <c r="I1790">
        <v>3</v>
      </c>
    </row>
    <row r="1791" spans="1:9" hidden="1" x14ac:dyDescent="0.3">
      <c r="A1791" s="13">
        <v>280</v>
      </c>
      <c r="B1791" s="4">
        <v>6</v>
      </c>
      <c r="C1791" t="s">
        <v>533</v>
      </c>
      <c r="D1791" t="s">
        <v>534</v>
      </c>
      <c r="E1791">
        <v>5</v>
      </c>
      <c r="F1791">
        <v>1</v>
      </c>
      <c r="G1791" s="8">
        <f>Lektionen[[#This Row],[Bearbeitungsdauer_real]]/Lektionen[[#This Row],[Bearbeitungsdauer_geschätzt]]-1</f>
        <v>-0.8</v>
      </c>
      <c r="H1791" s="8" t="str" cm="1">
        <f t="array" ref="H1791">_xlfn.IFS(Lektionen[[#This Row],[Bearbeitungsdauer_abgewichen]]&gt;0.6,"viel länger",Lektionen[[#This Row],[Bearbeitungsdauer_abgewichen]]&gt;0.3,"länger",Lektionen[[#This Row],[Bearbeitungsdauer_abgewichen]]&lt;-0.3,"kürzer",TRUE,"keine Abweichung")</f>
        <v>kürzer</v>
      </c>
      <c r="I1791">
        <v>2</v>
      </c>
    </row>
    <row r="1792" spans="1:9" hidden="1" x14ac:dyDescent="0.3">
      <c r="A1792" s="13">
        <v>280</v>
      </c>
      <c r="B1792" s="4">
        <v>7</v>
      </c>
      <c r="C1792" t="s">
        <v>535</v>
      </c>
      <c r="D1792" t="s">
        <v>536</v>
      </c>
      <c r="E1792">
        <v>10</v>
      </c>
      <c r="F1792">
        <v>11</v>
      </c>
      <c r="G1792" s="8">
        <f>Lektionen[[#This Row],[Bearbeitungsdauer_real]]/Lektionen[[#This Row],[Bearbeitungsdauer_geschätzt]]-1</f>
        <v>0.10000000000000009</v>
      </c>
      <c r="H1792" s="8" t="str" cm="1">
        <f t="array" ref="H1792">_xlfn.IFS(Lektionen[[#This Row],[Bearbeitungsdauer_abgewichen]]&gt;0.6,"viel länger",Lektionen[[#This Row],[Bearbeitungsdauer_abgewichen]]&gt;0.3,"länger",Lektionen[[#This Row],[Bearbeitungsdauer_abgewichen]]&lt;-0.3,"kürzer",TRUE,"keine Abweichung")</f>
        <v>keine Abweichung</v>
      </c>
      <c r="I1792">
        <v>3</v>
      </c>
    </row>
    <row r="1793" spans="1:9" hidden="1" x14ac:dyDescent="0.3">
      <c r="A1793" s="13">
        <v>280</v>
      </c>
      <c r="B1793" s="4">
        <v>8</v>
      </c>
      <c r="C1793" t="s">
        <v>537</v>
      </c>
      <c r="D1793" t="s">
        <v>527</v>
      </c>
      <c r="E1793">
        <v>5</v>
      </c>
      <c r="F1793">
        <v>5</v>
      </c>
      <c r="G1793" s="8">
        <f>Lektionen[[#This Row],[Bearbeitungsdauer_real]]/Lektionen[[#This Row],[Bearbeitungsdauer_geschätzt]]-1</f>
        <v>0</v>
      </c>
      <c r="H1793" s="8" t="str" cm="1">
        <f t="array" ref="H1793">_xlfn.IFS(Lektionen[[#This Row],[Bearbeitungsdauer_abgewichen]]&gt;0.6,"viel länger",Lektionen[[#This Row],[Bearbeitungsdauer_abgewichen]]&gt;0.3,"länger",Lektionen[[#This Row],[Bearbeitungsdauer_abgewichen]]&lt;-0.3,"kürzer",TRUE,"keine Abweichung")</f>
        <v>keine Abweichung</v>
      </c>
      <c r="I1793">
        <v>1</v>
      </c>
    </row>
    <row r="1794" spans="1:9" hidden="1" x14ac:dyDescent="0.3">
      <c r="A1794" s="13">
        <v>282</v>
      </c>
      <c r="B1794" s="4">
        <v>1</v>
      </c>
      <c r="C1794" t="s">
        <v>526</v>
      </c>
      <c r="D1794" t="s">
        <v>527</v>
      </c>
      <c r="E1794">
        <v>4</v>
      </c>
      <c r="F1794">
        <v>4</v>
      </c>
      <c r="G1794" s="8">
        <f>Lektionen[[#This Row],[Bearbeitungsdauer_real]]/Lektionen[[#This Row],[Bearbeitungsdauer_geschätzt]]-1</f>
        <v>0</v>
      </c>
      <c r="H1794" s="8" t="str" cm="1">
        <f t="array" ref="H1794">_xlfn.IFS(Lektionen[[#This Row],[Bearbeitungsdauer_abgewichen]]&gt;0.6,"viel länger",Lektionen[[#This Row],[Bearbeitungsdauer_abgewichen]]&gt;0.3,"länger",Lektionen[[#This Row],[Bearbeitungsdauer_abgewichen]]&lt;-0.3,"kürzer",TRUE,"keine Abweichung")</f>
        <v>keine Abweichung</v>
      </c>
      <c r="I1794">
        <v>1</v>
      </c>
    </row>
    <row r="1795" spans="1:9" hidden="1" x14ac:dyDescent="0.3">
      <c r="A1795" s="13">
        <v>282</v>
      </c>
      <c r="B1795" s="4">
        <v>2</v>
      </c>
      <c r="C1795" t="s">
        <v>528</v>
      </c>
      <c r="D1795" t="s">
        <v>529</v>
      </c>
      <c r="E1795">
        <v>15</v>
      </c>
      <c r="F1795">
        <v>17</v>
      </c>
      <c r="G1795" s="8">
        <f>Lektionen[[#This Row],[Bearbeitungsdauer_real]]/Lektionen[[#This Row],[Bearbeitungsdauer_geschätzt]]-1</f>
        <v>0.1333333333333333</v>
      </c>
      <c r="H1795" s="8" t="str" cm="1">
        <f t="array" ref="H1795">_xlfn.IFS(Lektionen[[#This Row],[Bearbeitungsdauer_abgewichen]]&gt;0.6,"viel länger",Lektionen[[#This Row],[Bearbeitungsdauer_abgewichen]]&gt;0.3,"länger",Lektionen[[#This Row],[Bearbeitungsdauer_abgewichen]]&lt;-0.3,"kürzer",TRUE,"keine Abweichung")</f>
        <v>keine Abweichung</v>
      </c>
      <c r="I1795">
        <v>1</v>
      </c>
    </row>
    <row r="1796" spans="1:9" hidden="1" x14ac:dyDescent="0.3">
      <c r="A1796" s="13">
        <v>282</v>
      </c>
      <c r="B1796" s="4">
        <v>3</v>
      </c>
      <c r="C1796" t="s">
        <v>552</v>
      </c>
      <c r="D1796" t="s">
        <v>530</v>
      </c>
      <c r="E1796">
        <v>30</v>
      </c>
      <c r="F1796">
        <v>29</v>
      </c>
      <c r="G1796" s="8">
        <f>Lektionen[[#This Row],[Bearbeitungsdauer_real]]/Lektionen[[#This Row],[Bearbeitungsdauer_geschätzt]]-1</f>
        <v>-3.3333333333333326E-2</v>
      </c>
      <c r="H1796" s="8" t="str" cm="1">
        <f t="array" ref="H1796">_xlfn.IFS(Lektionen[[#This Row],[Bearbeitungsdauer_abgewichen]]&gt;0.6,"viel länger",Lektionen[[#This Row],[Bearbeitungsdauer_abgewichen]]&gt;0.3,"länger",Lektionen[[#This Row],[Bearbeitungsdauer_abgewichen]]&lt;-0.3,"kürzer",TRUE,"keine Abweichung")</f>
        <v>keine Abweichung</v>
      </c>
      <c r="I1796">
        <v>2</v>
      </c>
    </row>
    <row r="1797" spans="1:9" hidden="1" x14ac:dyDescent="0.3">
      <c r="A1797" s="13">
        <v>282</v>
      </c>
      <c r="B1797" s="4">
        <v>4</v>
      </c>
      <c r="C1797" t="s">
        <v>531</v>
      </c>
      <c r="D1797" t="s">
        <v>530</v>
      </c>
      <c r="E1797">
        <v>30</v>
      </c>
      <c r="F1797">
        <v>24</v>
      </c>
      <c r="G1797" s="8">
        <f>Lektionen[[#This Row],[Bearbeitungsdauer_real]]/Lektionen[[#This Row],[Bearbeitungsdauer_geschätzt]]-1</f>
        <v>-0.19999999999999996</v>
      </c>
      <c r="H1797" s="8" t="str" cm="1">
        <f t="array" ref="H1797">_xlfn.IFS(Lektionen[[#This Row],[Bearbeitungsdauer_abgewichen]]&gt;0.6,"viel länger",Lektionen[[#This Row],[Bearbeitungsdauer_abgewichen]]&gt;0.3,"länger",Lektionen[[#This Row],[Bearbeitungsdauer_abgewichen]]&lt;-0.3,"kürzer",TRUE,"keine Abweichung")</f>
        <v>keine Abweichung</v>
      </c>
      <c r="I1797">
        <v>3</v>
      </c>
    </row>
    <row r="1798" spans="1:9" x14ac:dyDescent="0.3">
      <c r="A1798" s="13">
        <v>282</v>
      </c>
      <c r="B1798" s="4">
        <v>5</v>
      </c>
      <c r="C1798" t="s">
        <v>532</v>
      </c>
      <c r="D1798" t="s">
        <v>530</v>
      </c>
      <c r="E1798">
        <v>30</v>
      </c>
      <c r="F1798">
        <v>53</v>
      </c>
      <c r="G1798" s="8">
        <f>Lektionen[[#This Row],[Bearbeitungsdauer_real]]/Lektionen[[#This Row],[Bearbeitungsdauer_geschätzt]]-1</f>
        <v>0.76666666666666661</v>
      </c>
      <c r="H1798" s="8" t="str" cm="1">
        <f t="array" ref="H1798">_xlfn.IFS(Lektionen[[#This Row],[Bearbeitungsdauer_abgewichen]]&gt;0.6,"viel länger",Lektionen[[#This Row],[Bearbeitungsdauer_abgewichen]]&gt;0.3,"länger",Lektionen[[#This Row],[Bearbeitungsdauer_abgewichen]]&lt;-0.3,"kürzer",TRUE,"keine Abweichung")</f>
        <v>viel länger</v>
      </c>
      <c r="I1798">
        <v>3</v>
      </c>
    </row>
    <row r="1799" spans="1:9" hidden="1" x14ac:dyDescent="0.3">
      <c r="A1799" s="13">
        <v>282</v>
      </c>
      <c r="B1799" s="4">
        <v>6</v>
      </c>
      <c r="C1799" t="s">
        <v>533</v>
      </c>
      <c r="D1799" t="s">
        <v>534</v>
      </c>
      <c r="E1799">
        <v>5</v>
      </c>
      <c r="F1799">
        <v>3</v>
      </c>
      <c r="G1799" s="8">
        <f>Lektionen[[#This Row],[Bearbeitungsdauer_real]]/Lektionen[[#This Row],[Bearbeitungsdauer_geschätzt]]-1</f>
        <v>-0.4</v>
      </c>
      <c r="H1799" s="8" t="str" cm="1">
        <f t="array" ref="H1799">_xlfn.IFS(Lektionen[[#This Row],[Bearbeitungsdauer_abgewichen]]&gt;0.6,"viel länger",Lektionen[[#This Row],[Bearbeitungsdauer_abgewichen]]&gt;0.3,"länger",Lektionen[[#This Row],[Bearbeitungsdauer_abgewichen]]&lt;-0.3,"kürzer",TRUE,"keine Abweichung")</f>
        <v>kürzer</v>
      </c>
      <c r="I1799">
        <v>2</v>
      </c>
    </row>
    <row r="1800" spans="1:9" hidden="1" x14ac:dyDescent="0.3">
      <c r="A1800" s="13">
        <v>282</v>
      </c>
      <c r="B1800" s="4">
        <v>7</v>
      </c>
      <c r="C1800" t="s">
        <v>535</v>
      </c>
      <c r="D1800" t="s">
        <v>536</v>
      </c>
      <c r="E1800">
        <v>10</v>
      </c>
      <c r="F1800">
        <v>8</v>
      </c>
      <c r="G1800" s="8">
        <f>Lektionen[[#This Row],[Bearbeitungsdauer_real]]/Lektionen[[#This Row],[Bearbeitungsdauer_geschätzt]]-1</f>
        <v>-0.19999999999999996</v>
      </c>
      <c r="H1800" s="8" t="str" cm="1">
        <f t="array" ref="H1800">_xlfn.IFS(Lektionen[[#This Row],[Bearbeitungsdauer_abgewichen]]&gt;0.6,"viel länger",Lektionen[[#This Row],[Bearbeitungsdauer_abgewichen]]&gt;0.3,"länger",Lektionen[[#This Row],[Bearbeitungsdauer_abgewichen]]&lt;-0.3,"kürzer",TRUE,"keine Abweichung")</f>
        <v>keine Abweichung</v>
      </c>
      <c r="I1800">
        <v>3</v>
      </c>
    </row>
    <row r="1801" spans="1:9" hidden="1" x14ac:dyDescent="0.3">
      <c r="A1801" s="13">
        <v>282</v>
      </c>
      <c r="B1801" s="4">
        <v>8</v>
      </c>
      <c r="C1801" t="s">
        <v>537</v>
      </c>
      <c r="D1801" t="s">
        <v>527</v>
      </c>
      <c r="E1801">
        <v>5</v>
      </c>
      <c r="F1801">
        <v>5</v>
      </c>
      <c r="G1801" s="8">
        <f>Lektionen[[#This Row],[Bearbeitungsdauer_real]]/Lektionen[[#This Row],[Bearbeitungsdauer_geschätzt]]-1</f>
        <v>0</v>
      </c>
      <c r="H1801" s="8" t="str" cm="1">
        <f t="array" ref="H1801">_xlfn.IFS(Lektionen[[#This Row],[Bearbeitungsdauer_abgewichen]]&gt;0.6,"viel länger",Lektionen[[#This Row],[Bearbeitungsdauer_abgewichen]]&gt;0.3,"länger",Lektionen[[#This Row],[Bearbeitungsdauer_abgewichen]]&lt;-0.3,"kürzer",TRUE,"keine Abweichung")</f>
        <v>keine Abweichung</v>
      </c>
      <c r="I1801">
        <v>1</v>
      </c>
    </row>
    <row r="1802" spans="1:9" hidden="1" x14ac:dyDescent="0.3">
      <c r="A1802" s="13">
        <v>284</v>
      </c>
      <c r="B1802" s="4">
        <v>1</v>
      </c>
      <c r="C1802" t="s">
        <v>526</v>
      </c>
      <c r="D1802" t="s">
        <v>527</v>
      </c>
      <c r="E1802">
        <v>4</v>
      </c>
      <c r="F1802">
        <v>4</v>
      </c>
      <c r="G1802" s="8">
        <f>Lektionen[[#This Row],[Bearbeitungsdauer_real]]/Lektionen[[#This Row],[Bearbeitungsdauer_geschätzt]]-1</f>
        <v>0</v>
      </c>
      <c r="H1802" s="8" t="str" cm="1">
        <f t="array" ref="H1802">_xlfn.IFS(Lektionen[[#This Row],[Bearbeitungsdauer_abgewichen]]&gt;0.6,"viel länger",Lektionen[[#This Row],[Bearbeitungsdauer_abgewichen]]&gt;0.3,"länger",Lektionen[[#This Row],[Bearbeitungsdauer_abgewichen]]&lt;-0.3,"kürzer",TRUE,"keine Abweichung")</f>
        <v>keine Abweichung</v>
      </c>
      <c r="I1802">
        <v>1</v>
      </c>
    </row>
    <row r="1803" spans="1:9" hidden="1" x14ac:dyDescent="0.3">
      <c r="A1803" s="13">
        <v>284</v>
      </c>
      <c r="B1803" s="4">
        <v>2</v>
      </c>
      <c r="C1803" t="s">
        <v>528</v>
      </c>
      <c r="D1803" t="s">
        <v>529</v>
      </c>
      <c r="E1803">
        <v>15</v>
      </c>
      <c r="F1803">
        <v>17</v>
      </c>
      <c r="G1803" s="8">
        <f>Lektionen[[#This Row],[Bearbeitungsdauer_real]]/Lektionen[[#This Row],[Bearbeitungsdauer_geschätzt]]-1</f>
        <v>0.1333333333333333</v>
      </c>
      <c r="H1803" s="8" t="str" cm="1">
        <f t="array" ref="H1803">_xlfn.IFS(Lektionen[[#This Row],[Bearbeitungsdauer_abgewichen]]&gt;0.6,"viel länger",Lektionen[[#This Row],[Bearbeitungsdauer_abgewichen]]&gt;0.3,"länger",Lektionen[[#This Row],[Bearbeitungsdauer_abgewichen]]&lt;-0.3,"kürzer",TRUE,"keine Abweichung")</f>
        <v>keine Abweichung</v>
      </c>
      <c r="I1803">
        <v>1</v>
      </c>
    </row>
    <row r="1804" spans="1:9" hidden="1" x14ac:dyDescent="0.3">
      <c r="A1804" s="13">
        <v>284</v>
      </c>
      <c r="B1804" s="4">
        <v>3</v>
      </c>
      <c r="C1804" t="s">
        <v>552</v>
      </c>
      <c r="D1804" t="s">
        <v>530</v>
      </c>
      <c r="E1804">
        <v>30</v>
      </c>
      <c r="F1804">
        <v>30</v>
      </c>
      <c r="G1804" s="8">
        <f>Lektionen[[#This Row],[Bearbeitungsdauer_real]]/Lektionen[[#This Row],[Bearbeitungsdauer_geschätzt]]-1</f>
        <v>0</v>
      </c>
      <c r="H1804" s="8" t="str" cm="1">
        <f t="array" ref="H1804">_xlfn.IFS(Lektionen[[#This Row],[Bearbeitungsdauer_abgewichen]]&gt;0.6,"viel länger",Lektionen[[#This Row],[Bearbeitungsdauer_abgewichen]]&gt;0.3,"länger",Lektionen[[#This Row],[Bearbeitungsdauer_abgewichen]]&lt;-0.3,"kürzer",TRUE,"keine Abweichung")</f>
        <v>keine Abweichung</v>
      </c>
      <c r="I1804">
        <v>3</v>
      </c>
    </row>
    <row r="1805" spans="1:9" hidden="1" x14ac:dyDescent="0.3">
      <c r="A1805" s="13">
        <v>284</v>
      </c>
      <c r="B1805" s="4">
        <v>4</v>
      </c>
      <c r="C1805" t="s">
        <v>531</v>
      </c>
      <c r="D1805" t="s">
        <v>530</v>
      </c>
      <c r="E1805">
        <v>30</v>
      </c>
      <c r="F1805">
        <v>25</v>
      </c>
      <c r="G1805" s="8">
        <f>Lektionen[[#This Row],[Bearbeitungsdauer_real]]/Lektionen[[#This Row],[Bearbeitungsdauer_geschätzt]]-1</f>
        <v>-0.16666666666666663</v>
      </c>
      <c r="H1805" s="8" t="str" cm="1">
        <f t="array" ref="H1805">_xlfn.IFS(Lektionen[[#This Row],[Bearbeitungsdauer_abgewichen]]&gt;0.6,"viel länger",Lektionen[[#This Row],[Bearbeitungsdauer_abgewichen]]&gt;0.3,"länger",Lektionen[[#This Row],[Bearbeitungsdauer_abgewichen]]&lt;-0.3,"kürzer",TRUE,"keine Abweichung")</f>
        <v>keine Abweichung</v>
      </c>
      <c r="I1805">
        <v>4</v>
      </c>
    </row>
    <row r="1806" spans="1:9" x14ac:dyDescent="0.3">
      <c r="A1806" s="13">
        <v>284</v>
      </c>
      <c r="B1806" s="4">
        <v>5</v>
      </c>
      <c r="C1806" t="s">
        <v>532</v>
      </c>
      <c r="D1806" t="s">
        <v>530</v>
      </c>
      <c r="E1806">
        <v>30</v>
      </c>
      <c r="F1806">
        <v>44</v>
      </c>
      <c r="G1806" s="8">
        <f>Lektionen[[#This Row],[Bearbeitungsdauer_real]]/Lektionen[[#This Row],[Bearbeitungsdauer_geschätzt]]-1</f>
        <v>0.46666666666666656</v>
      </c>
      <c r="H1806" s="8" t="str" cm="1">
        <f t="array" ref="H1806">_xlfn.IFS(Lektionen[[#This Row],[Bearbeitungsdauer_abgewichen]]&gt;0.6,"viel länger",Lektionen[[#This Row],[Bearbeitungsdauer_abgewichen]]&gt;0.3,"länger",Lektionen[[#This Row],[Bearbeitungsdauer_abgewichen]]&lt;-0.3,"kürzer",TRUE,"keine Abweichung")</f>
        <v>länger</v>
      </c>
      <c r="I1806">
        <v>4</v>
      </c>
    </row>
    <row r="1807" spans="1:9" hidden="1" x14ac:dyDescent="0.3">
      <c r="A1807" s="13">
        <v>284</v>
      </c>
      <c r="B1807" s="4">
        <v>6</v>
      </c>
      <c r="C1807" t="s">
        <v>533</v>
      </c>
      <c r="D1807" t="s">
        <v>534</v>
      </c>
      <c r="E1807">
        <v>5</v>
      </c>
      <c r="F1807">
        <v>1</v>
      </c>
      <c r="G1807" s="8">
        <f>Lektionen[[#This Row],[Bearbeitungsdauer_real]]/Lektionen[[#This Row],[Bearbeitungsdauer_geschätzt]]-1</f>
        <v>-0.8</v>
      </c>
      <c r="H1807" s="8" t="str" cm="1">
        <f t="array" ref="H1807">_xlfn.IFS(Lektionen[[#This Row],[Bearbeitungsdauer_abgewichen]]&gt;0.6,"viel länger",Lektionen[[#This Row],[Bearbeitungsdauer_abgewichen]]&gt;0.3,"länger",Lektionen[[#This Row],[Bearbeitungsdauer_abgewichen]]&lt;-0.3,"kürzer",TRUE,"keine Abweichung")</f>
        <v>kürzer</v>
      </c>
      <c r="I1807">
        <v>2</v>
      </c>
    </row>
    <row r="1808" spans="1:9" hidden="1" x14ac:dyDescent="0.3">
      <c r="A1808" s="13">
        <v>284</v>
      </c>
      <c r="B1808" s="4">
        <v>7</v>
      </c>
      <c r="C1808" t="s">
        <v>535</v>
      </c>
      <c r="D1808" t="s">
        <v>536</v>
      </c>
      <c r="E1808">
        <v>10</v>
      </c>
      <c r="F1808">
        <v>10</v>
      </c>
      <c r="G1808" s="8">
        <f>Lektionen[[#This Row],[Bearbeitungsdauer_real]]/Lektionen[[#This Row],[Bearbeitungsdauer_geschätzt]]-1</f>
        <v>0</v>
      </c>
      <c r="H1808" s="8" t="str" cm="1">
        <f t="array" ref="H1808">_xlfn.IFS(Lektionen[[#This Row],[Bearbeitungsdauer_abgewichen]]&gt;0.6,"viel länger",Lektionen[[#This Row],[Bearbeitungsdauer_abgewichen]]&gt;0.3,"länger",Lektionen[[#This Row],[Bearbeitungsdauer_abgewichen]]&lt;-0.3,"kürzer",TRUE,"keine Abweichung")</f>
        <v>keine Abweichung</v>
      </c>
      <c r="I1808">
        <v>4</v>
      </c>
    </row>
    <row r="1809" spans="1:9" hidden="1" x14ac:dyDescent="0.3">
      <c r="A1809" s="13">
        <v>284</v>
      </c>
      <c r="B1809" s="4">
        <v>8</v>
      </c>
      <c r="C1809" t="s">
        <v>537</v>
      </c>
      <c r="D1809" t="s">
        <v>527</v>
      </c>
      <c r="E1809">
        <v>5</v>
      </c>
      <c r="F1809">
        <v>5</v>
      </c>
      <c r="G1809" s="8">
        <f>Lektionen[[#This Row],[Bearbeitungsdauer_real]]/Lektionen[[#This Row],[Bearbeitungsdauer_geschätzt]]-1</f>
        <v>0</v>
      </c>
      <c r="H1809" s="8" t="str" cm="1">
        <f t="array" ref="H1809">_xlfn.IFS(Lektionen[[#This Row],[Bearbeitungsdauer_abgewichen]]&gt;0.6,"viel länger",Lektionen[[#This Row],[Bearbeitungsdauer_abgewichen]]&gt;0.3,"länger",Lektionen[[#This Row],[Bearbeitungsdauer_abgewichen]]&lt;-0.3,"kürzer",TRUE,"keine Abweichung")</f>
        <v>keine Abweichung</v>
      </c>
      <c r="I1809">
        <v>1</v>
      </c>
    </row>
    <row r="1810" spans="1:9" hidden="1" x14ac:dyDescent="0.3">
      <c r="A1810" s="13">
        <v>285</v>
      </c>
      <c r="B1810" s="4">
        <v>1</v>
      </c>
      <c r="C1810" t="s">
        <v>526</v>
      </c>
      <c r="D1810" t="s">
        <v>527</v>
      </c>
      <c r="E1810">
        <v>4</v>
      </c>
      <c r="F1810">
        <v>4</v>
      </c>
      <c r="G1810" s="8">
        <f>Lektionen[[#This Row],[Bearbeitungsdauer_real]]/Lektionen[[#This Row],[Bearbeitungsdauer_geschätzt]]-1</f>
        <v>0</v>
      </c>
      <c r="H1810" s="8" t="str" cm="1">
        <f t="array" ref="H1810">_xlfn.IFS(Lektionen[[#This Row],[Bearbeitungsdauer_abgewichen]]&gt;0.6,"viel länger",Lektionen[[#This Row],[Bearbeitungsdauer_abgewichen]]&gt;0.3,"länger",Lektionen[[#This Row],[Bearbeitungsdauer_abgewichen]]&lt;-0.3,"kürzer",TRUE,"keine Abweichung")</f>
        <v>keine Abweichung</v>
      </c>
      <c r="I1810">
        <v>1</v>
      </c>
    </row>
    <row r="1811" spans="1:9" hidden="1" x14ac:dyDescent="0.3">
      <c r="A1811" s="13">
        <v>285</v>
      </c>
      <c r="B1811" s="4">
        <v>2</v>
      </c>
      <c r="C1811" t="s">
        <v>528</v>
      </c>
      <c r="D1811" t="s">
        <v>529</v>
      </c>
      <c r="E1811">
        <v>15</v>
      </c>
      <c r="F1811">
        <v>19</v>
      </c>
      <c r="G1811" s="8">
        <f>Lektionen[[#This Row],[Bearbeitungsdauer_real]]/Lektionen[[#This Row],[Bearbeitungsdauer_geschätzt]]-1</f>
        <v>0.26666666666666661</v>
      </c>
      <c r="H1811" s="8" t="str" cm="1">
        <f t="array" ref="H1811">_xlfn.IFS(Lektionen[[#This Row],[Bearbeitungsdauer_abgewichen]]&gt;0.6,"viel länger",Lektionen[[#This Row],[Bearbeitungsdauer_abgewichen]]&gt;0.3,"länger",Lektionen[[#This Row],[Bearbeitungsdauer_abgewichen]]&lt;-0.3,"kürzer",TRUE,"keine Abweichung")</f>
        <v>keine Abweichung</v>
      </c>
      <c r="I1811">
        <v>2</v>
      </c>
    </row>
    <row r="1812" spans="1:9" hidden="1" x14ac:dyDescent="0.3">
      <c r="A1812" s="13">
        <v>285</v>
      </c>
      <c r="B1812" s="4">
        <v>3</v>
      </c>
      <c r="C1812" t="s">
        <v>552</v>
      </c>
      <c r="D1812" t="s">
        <v>530</v>
      </c>
      <c r="E1812">
        <v>30</v>
      </c>
      <c r="F1812">
        <v>29</v>
      </c>
      <c r="G1812" s="8">
        <f>Lektionen[[#This Row],[Bearbeitungsdauer_real]]/Lektionen[[#This Row],[Bearbeitungsdauer_geschätzt]]-1</f>
        <v>-3.3333333333333326E-2</v>
      </c>
      <c r="H1812" s="8" t="str" cm="1">
        <f t="array" ref="H1812">_xlfn.IFS(Lektionen[[#This Row],[Bearbeitungsdauer_abgewichen]]&gt;0.6,"viel länger",Lektionen[[#This Row],[Bearbeitungsdauer_abgewichen]]&gt;0.3,"länger",Lektionen[[#This Row],[Bearbeitungsdauer_abgewichen]]&lt;-0.3,"kürzer",TRUE,"keine Abweichung")</f>
        <v>keine Abweichung</v>
      </c>
      <c r="I1812">
        <v>3</v>
      </c>
    </row>
    <row r="1813" spans="1:9" hidden="1" x14ac:dyDescent="0.3">
      <c r="A1813" s="13">
        <v>285</v>
      </c>
      <c r="B1813" s="4">
        <v>4</v>
      </c>
      <c r="C1813" t="s">
        <v>531</v>
      </c>
      <c r="D1813" t="s">
        <v>530</v>
      </c>
      <c r="E1813">
        <v>30</v>
      </c>
      <c r="F1813">
        <v>21</v>
      </c>
      <c r="G1813" s="8">
        <f>Lektionen[[#This Row],[Bearbeitungsdauer_real]]/Lektionen[[#This Row],[Bearbeitungsdauer_geschätzt]]-1</f>
        <v>-0.30000000000000004</v>
      </c>
      <c r="H1813" s="8" t="str" cm="1">
        <f t="array" ref="H1813">_xlfn.IFS(Lektionen[[#This Row],[Bearbeitungsdauer_abgewichen]]&gt;0.6,"viel länger",Lektionen[[#This Row],[Bearbeitungsdauer_abgewichen]]&gt;0.3,"länger",Lektionen[[#This Row],[Bearbeitungsdauer_abgewichen]]&lt;-0.3,"kürzer",TRUE,"keine Abweichung")</f>
        <v>keine Abweichung</v>
      </c>
      <c r="I1813">
        <v>3</v>
      </c>
    </row>
    <row r="1814" spans="1:9" x14ac:dyDescent="0.3">
      <c r="A1814" s="13">
        <v>285</v>
      </c>
      <c r="B1814" s="4">
        <v>5</v>
      </c>
      <c r="C1814" t="s">
        <v>532</v>
      </c>
      <c r="D1814" t="s">
        <v>530</v>
      </c>
      <c r="E1814">
        <v>30</v>
      </c>
      <c r="F1814">
        <v>53</v>
      </c>
      <c r="G1814" s="8">
        <f>Lektionen[[#This Row],[Bearbeitungsdauer_real]]/Lektionen[[#This Row],[Bearbeitungsdauer_geschätzt]]-1</f>
        <v>0.76666666666666661</v>
      </c>
      <c r="H1814" s="8" t="str" cm="1">
        <f t="array" ref="H1814">_xlfn.IFS(Lektionen[[#This Row],[Bearbeitungsdauer_abgewichen]]&gt;0.6,"viel länger",Lektionen[[#This Row],[Bearbeitungsdauer_abgewichen]]&gt;0.3,"länger",Lektionen[[#This Row],[Bearbeitungsdauer_abgewichen]]&lt;-0.3,"kürzer",TRUE,"keine Abweichung")</f>
        <v>viel länger</v>
      </c>
      <c r="I1814">
        <v>4</v>
      </c>
    </row>
    <row r="1815" spans="1:9" hidden="1" x14ac:dyDescent="0.3">
      <c r="A1815" s="13">
        <v>285</v>
      </c>
      <c r="B1815" s="4">
        <v>6</v>
      </c>
      <c r="C1815" t="s">
        <v>533</v>
      </c>
      <c r="D1815" t="s">
        <v>534</v>
      </c>
      <c r="E1815">
        <v>5</v>
      </c>
      <c r="F1815">
        <v>1</v>
      </c>
      <c r="G1815" s="8">
        <f>Lektionen[[#This Row],[Bearbeitungsdauer_real]]/Lektionen[[#This Row],[Bearbeitungsdauer_geschätzt]]-1</f>
        <v>-0.8</v>
      </c>
      <c r="H1815" s="8" t="str" cm="1">
        <f t="array" ref="H1815">_xlfn.IFS(Lektionen[[#This Row],[Bearbeitungsdauer_abgewichen]]&gt;0.6,"viel länger",Lektionen[[#This Row],[Bearbeitungsdauer_abgewichen]]&gt;0.3,"länger",Lektionen[[#This Row],[Bearbeitungsdauer_abgewichen]]&lt;-0.3,"kürzer",TRUE,"keine Abweichung")</f>
        <v>kürzer</v>
      </c>
      <c r="I1815">
        <v>2</v>
      </c>
    </row>
    <row r="1816" spans="1:9" hidden="1" x14ac:dyDescent="0.3">
      <c r="A1816" s="13">
        <v>285</v>
      </c>
      <c r="B1816" s="4">
        <v>7</v>
      </c>
      <c r="C1816" t="s">
        <v>535</v>
      </c>
      <c r="D1816" t="s">
        <v>536</v>
      </c>
      <c r="E1816">
        <v>10</v>
      </c>
      <c r="F1816">
        <v>11</v>
      </c>
      <c r="G1816" s="8">
        <f>Lektionen[[#This Row],[Bearbeitungsdauer_real]]/Lektionen[[#This Row],[Bearbeitungsdauer_geschätzt]]-1</f>
        <v>0.10000000000000009</v>
      </c>
      <c r="H1816" s="8" t="str" cm="1">
        <f t="array" ref="H1816">_xlfn.IFS(Lektionen[[#This Row],[Bearbeitungsdauer_abgewichen]]&gt;0.6,"viel länger",Lektionen[[#This Row],[Bearbeitungsdauer_abgewichen]]&gt;0.3,"länger",Lektionen[[#This Row],[Bearbeitungsdauer_abgewichen]]&lt;-0.3,"kürzer",TRUE,"keine Abweichung")</f>
        <v>keine Abweichung</v>
      </c>
      <c r="I1816">
        <v>3</v>
      </c>
    </row>
    <row r="1817" spans="1:9" hidden="1" x14ac:dyDescent="0.3">
      <c r="A1817" s="13">
        <v>285</v>
      </c>
      <c r="B1817" s="4">
        <v>8</v>
      </c>
      <c r="C1817" t="s">
        <v>537</v>
      </c>
      <c r="D1817" t="s">
        <v>527</v>
      </c>
      <c r="E1817">
        <v>5</v>
      </c>
      <c r="F1817">
        <v>9</v>
      </c>
      <c r="G1817" s="8">
        <f>Lektionen[[#This Row],[Bearbeitungsdauer_real]]/Lektionen[[#This Row],[Bearbeitungsdauer_geschätzt]]-1</f>
        <v>0.8</v>
      </c>
      <c r="H1817" s="8" t="str" cm="1">
        <f t="array" ref="H1817">_xlfn.IFS(Lektionen[[#This Row],[Bearbeitungsdauer_abgewichen]]&gt;0.6,"viel länger",Lektionen[[#This Row],[Bearbeitungsdauer_abgewichen]]&gt;0.3,"länger",Lektionen[[#This Row],[Bearbeitungsdauer_abgewichen]]&lt;-0.3,"kürzer",TRUE,"keine Abweichung")</f>
        <v>viel länger</v>
      </c>
      <c r="I1817">
        <v>1</v>
      </c>
    </row>
    <row r="1818" spans="1:9" hidden="1" x14ac:dyDescent="0.3">
      <c r="A1818" s="13">
        <v>286</v>
      </c>
      <c r="B1818" s="4">
        <v>1</v>
      </c>
      <c r="C1818" t="s">
        <v>526</v>
      </c>
      <c r="D1818" t="s">
        <v>527</v>
      </c>
      <c r="E1818">
        <v>4</v>
      </c>
      <c r="F1818">
        <v>4</v>
      </c>
      <c r="G1818" s="8">
        <f>Lektionen[[#This Row],[Bearbeitungsdauer_real]]/Lektionen[[#This Row],[Bearbeitungsdauer_geschätzt]]-1</f>
        <v>0</v>
      </c>
      <c r="H1818" s="8" t="str" cm="1">
        <f t="array" ref="H1818">_xlfn.IFS(Lektionen[[#This Row],[Bearbeitungsdauer_abgewichen]]&gt;0.6,"viel länger",Lektionen[[#This Row],[Bearbeitungsdauer_abgewichen]]&gt;0.3,"länger",Lektionen[[#This Row],[Bearbeitungsdauer_abgewichen]]&lt;-0.3,"kürzer",TRUE,"keine Abweichung")</f>
        <v>keine Abweichung</v>
      </c>
      <c r="I1818">
        <v>1</v>
      </c>
    </row>
    <row r="1819" spans="1:9" hidden="1" x14ac:dyDescent="0.3">
      <c r="A1819" s="13">
        <v>286</v>
      </c>
      <c r="B1819" s="4">
        <v>2</v>
      </c>
      <c r="C1819" t="s">
        <v>528</v>
      </c>
      <c r="D1819" t="s">
        <v>529</v>
      </c>
      <c r="E1819">
        <v>15</v>
      </c>
      <c r="F1819">
        <v>18</v>
      </c>
      <c r="G1819" s="8">
        <f>Lektionen[[#This Row],[Bearbeitungsdauer_real]]/Lektionen[[#This Row],[Bearbeitungsdauer_geschätzt]]-1</f>
        <v>0.19999999999999996</v>
      </c>
      <c r="H1819" s="8" t="str" cm="1">
        <f t="array" ref="H1819">_xlfn.IFS(Lektionen[[#This Row],[Bearbeitungsdauer_abgewichen]]&gt;0.6,"viel länger",Lektionen[[#This Row],[Bearbeitungsdauer_abgewichen]]&gt;0.3,"länger",Lektionen[[#This Row],[Bearbeitungsdauer_abgewichen]]&lt;-0.3,"kürzer",TRUE,"keine Abweichung")</f>
        <v>keine Abweichung</v>
      </c>
      <c r="I1819">
        <v>2</v>
      </c>
    </row>
    <row r="1820" spans="1:9" hidden="1" x14ac:dyDescent="0.3">
      <c r="A1820" s="13">
        <v>286</v>
      </c>
      <c r="B1820" s="4">
        <v>3</v>
      </c>
      <c r="C1820" t="s">
        <v>552</v>
      </c>
      <c r="D1820" t="s">
        <v>530</v>
      </c>
      <c r="E1820">
        <v>30</v>
      </c>
      <c r="F1820">
        <v>29</v>
      </c>
      <c r="G1820" s="8">
        <f>Lektionen[[#This Row],[Bearbeitungsdauer_real]]/Lektionen[[#This Row],[Bearbeitungsdauer_geschätzt]]-1</f>
        <v>-3.3333333333333326E-2</v>
      </c>
      <c r="H1820" s="8" t="str" cm="1">
        <f t="array" ref="H1820">_xlfn.IFS(Lektionen[[#This Row],[Bearbeitungsdauer_abgewichen]]&gt;0.6,"viel länger",Lektionen[[#This Row],[Bearbeitungsdauer_abgewichen]]&gt;0.3,"länger",Lektionen[[#This Row],[Bearbeitungsdauer_abgewichen]]&lt;-0.3,"kürzer",TRUE,"keine Abweichung")</f>
        <v>keine Abweichung</v>
      </c>
      <c r="I1820">
        <v>2</v>
      </c>
    </row>
    <row r="1821" spans="1:9" hidden="1" x14ac:dyDescent="0.3">
      <c r="A1821" s="13">
        <v>286</v>
      </c>
      <c r="B1821" s="4">
        <v>4</v>
      </c>
      <c r="C1821" t="s">
        <v>531</v>
      </c>
      <c r="D1821" t="s">
        <v>530</v>
      </c>
      <c r="E1821">
        <v>30</v>
      </c>
      <c r="F1821">
        <v>29</v>
      </c>
      <c r="G1821" s="8">
        <f>Lektionen[[#This Row],[Bearbeitungsdauer_real]]/Lektionen[[#This Row],[Bearbeitungsdauer_geschätzt]]-1</f>
        <v>-3.3333333333333326E-2</v>
      </c>
      <c r="H1821" s="8" t="str" cm="1">
        <f t="array" ref="H1821">_xlfn.IFS(Lektionen[[#This Row],[Bearbeitungsdauer_abgewichen]]&gt;0.6,"viel länger",Lektionen[[#This Row],[Bearbeitungsdauer_abgewichen]]&gt;0.3,"länger",Lektionen[[#This Row],[Bearbeitungsdauer_abgewichen]]&lt;-0.3,"kürzer",TRUE,"keine Abweichung")</f>
        <v>keine Abweichung</v>
      </c>
      <c r="I1821">
        <v>2</v>
      </c>
    </row>
    <row r="1822" spans="1:9" x14ac:dyDescent="0.3">
      <c r="A1822" s="13">
        <v>286</v>
      </c>
      <c r="B1822" s="4">
        <v>5</v>
      </c>
      <c r="C1822" t="s">
        <v>532</v>
      </c>
      <c r="D1822" t="s">
        <v>530</v>
      </c>
      <c r="E1822">
        <v>30</v>
      </c>
      <c r="F1822">
        <v>47</v>
      </c>
      <c r="G1822" s="8">
        <f>Lektionen[[#This Row],[Bearbeitungsdauer_real]]/Lektionen[[#This Row],[Bearbeitungsdauer_geschätzt]]-1</f>
        <v>0.56666666666666665</v>
      </c>
      <c r="H1822" s="8" t="str" cm="1">
        <f t="array" ref="H1822">_xlfn.IFS(Lektionen[[#This Row],[Bearbeitungsdauer_abgewichen]]&gt;0.6,"viel länger",Lektionen[[#This Row],[Bearbeitungsdauer_abgewichen]]&gt;0.3,"länger",Lektionen[[#This Row],[Bearbeitungsdauer_abgewichen]]&lt;-0.3,"kürzer",TRUE,"keine Abweichung")</f>
        <v>länger</v>
      </c>
      <c r="I1822">
        <v>4</v>
      </c>
    </row>
    <row r="1823" spans="1:9" hidden="1" x14ac:dyDescent="0.3">
      <c r="A1823" s="13">
        <v>286</v>
      </c>
      <c r="B1823" s="4">
        <v>6</v>
      </c>
      <c r="C1823" t="s">
        <v>533</v>
      </c>
      <c r="D1823" t="s">
        <v>534</v>
      </c>
      <c r="E1823">
        <v>5</v>
      </c>
      <c r="F1823">
        <v>3</v>
      </c>
      <c r="G1823" s="8">
        <f>Lektionen[[#This Row],[Bearbeitungsdauer_real]]/Lektionen[[#This Row],[Bearbeitungsdauer_geschätzt]]-1</f>
        <v>-0.4</v>
      </c>
      <c r="H1823" s="8" t="str" cm="1">
        <f t="array" ref="H1823">_xlfn.IFS(Lektionen[[#This Row],[Bearbeitungsdauer_abgewichen]]&gt;0.6,"viel länger",Lektionen[[#This Row],[Bearbeitungsdauer_abgewichen]]&gt;0.3,"länger",Lektionen[[#This Row],[Bearbeitungsdauer_abgewichen]]&lt;-0.3,"kürzer",TRUE,"keine Abweichung")</f>
        <v>kürzer</v>
      </c>
      <c r="I1823">
        <v>2</v>
      </c>
    </row>
    <row r="1824" spans="1:9" hidden="1" x14ac:dyDescent="0.3">
      <c r="A1824" s="13">
        <v>286</v>
      </c>
      <c r="B1824" s="4">
        <v>7</v>
      </c>
      <c r="C1824" t="s">
        <v>535</v>
      </c>
      <c r="D1824" t="s">
        <v>536</v>
      </c>
      <c r="E1824">
        <v>10</v>
      </c>
      <c r="F1824">
        <v>11</v>
      </c>
      <c r="G1824" s="8">
        <f>Lektionen[[#This Row],[Bearbeitungsdauer_real]]/Lektionen[[#This Row],[Bearbeitungsdauer_geschätzt]]-1</f>
        <v>0.10000000000000009</v>
      </c>
      <c r="H1824" s="8" t="str" cm="1">
        <f t="array" ref="H1824">_xlfn.IFS(Lektionen[[#This Row],[Bearbeitungsdauer_abgewichen]]&gt;0.6,"viel länger",Lektionen[[#This Row],[Bearbeitungsdauer_abgewichen]]&gt;0.3,"länger",Lektionen[[#This Row],[Bearbeitungsdauer_abgewichen]]&lt;-0.3,"kürzer",TRUE,"keine Abweichung")</f>
        <v>keine Abweichung</v>
      </c>
      <c r="I1824">
        <v>3</v>
      </c>
    </row>
    <row r="1825" spans="1:9" hidden="1" x14ac:dyDescent="0.3">
      <c r="A1825" s="13">
        <v>286</v>
      </c>
      <c r="B1825" s="4">
        <v>8</v>
      </c>
      <c r="C1825" t="s">
        <v>537</v>
      </c>
      <c r="D1825" t="s">
        <v>527</v>
      </c>
      <c r="E1825">
        <v>5</v>
      </c>
      <c r="F1825">
        <v>5</v>
      </c>
      <c r="G1825" s="8">
        <f>Lektionen[[#This Row],[Bearbeitungsdauer_real]]/Lektionen[[#This Row],[Bearbeitungsdauer_geschätzt]]-1</f>
        <v>0</v>
      </c>
      <c r="H1825" s="8" t="str" cm="1">
        <f t="array" ref="H1825">_xlfn.IFS(Lektionen[[#This Row],[Bearbeitungsdauer_abgewichen]]&gt;0.6,"viel länger",Lektionen[[#This Row],[Bearbeitungsdauer_abgewichen]]&gt;0.3,"länger",Lektionen[[#This Row],[Bearbeitungsdauer_abgewichen]]&lt;-0.3,"kürzer",TRUE,"keine Abweichung")</f>
        <v>keine Abweichung</v>
      </c>
      <c r="I1825">
        <v>1</v>
      </c>
    </row>
    <row r="1826" spans="1:9" hidden="1" x14ac:dyDescent="0.3">
      <c r="A1826" s="13">
        <v>287</v>
      </c>
      <c r="B1826" s="4">
        <v>1</v>
      </c>
      <c r="C1826" t="s">
        <v>526</v>
      </c>
      <c r="D1826" t="s">
        <v>527</v>
      </c>
      <c r="E1826">
        <v>4</v>
      </c>
      <c r="F1826">
        <v>4</v>
      </c>
      <c r="G1826" s="8">
        <f>Lektionen[[#This Row],[Bearbeitungsdauer_real]]/Lektionen[[#This Row],[Bearbeitungsdauer_geschätzt]]-1</f>
        <v>0</v>
      </c>
      <c r="H1826" s="8" t="str" cm="1">
        <f t="array" ref="H1826">_xlfn.IFS(Lektionen[[#This Row],[Bearbeitungsdauer_abgewichen]]&gt;0.6,"viel länger",Lektionen[[#This Row],[Bearbeitungsdauer_abgewichen]]&gt;0.3,"länger",Lektionen[[#This Row],[Bearbeitungsdauer_abgewichen]]&lt;-0.3,"kürzer",TRUE,"keine Abweichung")</f>
        <v>keine Abweichung</v>
      </c>
      <c r="I1826">
        <v>2</v>
      </c>
    </row>
    <row r="1827" spans="1:9" hidden="1" x14ac:dyDescent="0.3">
      <c r="A1827" s="13">
        <v>287</v>
      </c>
      <c r="B1827" s="4">
        <v>2</v>
      </c>
      <c r="C1827" t="s">
        <v>528</v>
      </c>
      <c r="D1827" t="s">
        <v>529</v>
      </c>
      <c r="E1827">
        <v>15</v>
      </c>
      <c r="F1827">
        <v>19</v>
      </c>
      <c r="G1827" s="8">
        <f>Lektionen[[#This Row],[Bearbeitungsdauer_real]]/Lektionen[[#This Row],[Bearbeitungsdauer_geschätzt]]-1</f>
        <v>0.26666666666666661</v>
      </c>
      <c r="H1827" s="8" t="str" cm="1">
        <f t="array" ref="H1827">_xlfn.IFS(Lektionen[[#This Row],[Bearbeitungsdauer_abgewichen]]&gt;0.6,"viel länger",Lektionen[[#This Row],[Bearbeitungsdauer_abgewichen]]&gt;0.3,"länger",Lektionen[[#This Row],[Bearbeitungsdauer_abgewichen]]&lt;-0.3,"kürzer",TRUE,"keine Abweichung")</f>
        <v>keine Abweichung</v>
      </c>
      <c r="I1827">
        <v>1</v>
      </c>
    </row>
    <row r="1828" spans="1:9" hidden="1" x14ac:dyDescent="0.3">
      <c r="A1828" s="13">
        <v>287</v>
      </c>
      <c r="B1828" s="4">
        <v>3</v>
      </c>
      <c r="C1828" t="s">
        <v>552</v>
      </c>
      <c r="D1828" t="s">
        <v>530</v>
      </c>
      <c r="E1828">
        <v>30</v>
      </c>
      <c r="F1828">
        <v>29</v>
      </c>
      <c r="G1828" s="8">
        <f>Lektionen[[#This Row],[Bearbeitungsdauer_real]]/Lektionen[[#This Row],[Bearbeitungsdauer_geschätzt]]-1</f>
        <v>-3.3333333333333326E-2</v>
      </c>
      <c r="H1828" s="8" t="str" cm="1">
        <f t="array" ref="H1828">_xlfn.IFS(Lektionen[[#This Row],[Bearbeitungsdauer_abgewichen]]&gt;0.6,"viel länger",Lektionen[[#This Row],[Bearbeitungsdauer_abgewichen]]&gt;0.3,"länger",Lektionen[[#This Row],[Bearbeitungsdauer_abgewichen]]&lt;-0.3,"kürzer",TRUE,"keine Abweichung")</f>
        <v>keine Abweichung</v>
      </c>
      <c r="I1828">
        <v>2</v>
      </c>
    </row>
    <row r="1829" spans="1:9" hidden="1" x14ac:dyDescent="0.3">
      <c r="A1829" s="13">
        <v>287</v>
      </c>
      <c r="B1829" s="4">
        <v>4</v>
      </c>
      <c r="C1829" t="s">
        <v>531</v>
      </c>
      <c r="D1829" t="s">
        <v>530</v>
      </c>
      <c r="E1829">
        <v>30</v>
      </c>
      <c r="F1829">
        <v>27</v>
      </c>
      <c r="G1829" s="8">
        <f>Lektionen[[#This Row],[Bearbeitungsdauer_real]]/Lektionen[[#This Row],[Bearbeitungsdauer_geschätzt]]-1</f>
        <v>-9.9999999999999978E-2</v>
      </c>
      <c r="H1829" s="8" t="str" cm="1">
        <f t="array" ref="H1829">_xlfn.IFS(Lektionen[[#This Row],[Bearbeitungsdauer_abgewichen]]&gt;0.6,"viel länger",Lektionen[[#This Row],[Bearbeitungsdauer_abgewichen]]&gt;0.3,"länger",Lektionen[[#This Row],[Bearbeitungsdauer_abgewichen]]&lt;-0.3,"kürzer",TRUE,"keine Abweichung")</f>
        <v>keine Abweichung</v>
      </c>
      <c r="I1829">
        <v>3</v>
      </c>
    </row>
    <row r="1830" spans="1:9" x14ac:dyDescent="0.3">
      <c r="A1830" s="13">
        <v>287</v>
      </c>
      <c r="B1830" s="4">
        <v>5</v>
      </c>
      <c r="C1830" t="s">
        <v>532</v>
      </c>
      <c r="D1830" t="s">
        <v>530</v>
      </c>
      <c r="E1830">
        <v>30</v>
      </c>
      <c r="F1830">
        <v>40</v>
      </c>
      <c r="G1830" s="8">
        <f>Lektionen[[#This Row],[Bearbeitungsdauer_real]]/Lektionen[[#This Row],[Bearbeitungsdauer_geschätzt]]-1</f>
        <v>0.33333333333333326</v>
      </c>
      <c r="H1830" s="8" t="str" cm="1">
        <f t="array" ref="H1830">_xlfn.IFS(Lektionen[[#This Row],[Bearbeitungsdauer_abgewichen]]&gt;0.6,"viel länger",Lektionen[[#This Row],[Bearbeitungsdauer_abgewichen]]&gt;0.3,"länger",Lektionen[[#This Row],[Bearbeitungsdauer_abgewichen]]&lt;-0.3,"kürzer",TRUE,"keine Abweichung")</f>
        <v>länger</v>
      </c>
      <c r="I1830">
        <v>3</v>
      </c>
    </row>
    <row r="1831" spans="1:9" hidden="1" x14ac:dyDescent="0.3">
      <c r="A1831" s="13">
        <v>287</v>
      </c>
      <c r="B1831" s="4">
        <v>6</v>
      </c>
      <c r="C1831" t="s">
        <v>533</v>
      </c>
      <c r="D1831" t="s">
        <v>534</v>
      </c>
      <c r="E1831">
        <v>5</v>
      </c>
      <c r="F1831">
        <v>2</v>
      </c>
      <c r="G1831" s="8">
        <f>Lektionen[[#This Row],[Bearbeitungsdauer_real]]/Lektionen[[#This Row],[Bearbeitungsdauer_geschätzt]]-1</f>
        <v>-0.6</v>
      </c>
      <c r="H1831" s="8" t="str" cm="1">
        <f t="array" ref="H1831">_xlfn.IFS(Lektionen[[#This Row],[Bearbeitungsdauer_abgewichen]]&gt;0.6,"viel länger",Lektionen[[#This Row],[Bearbeitungsdauer_abgewichen]]&gt;0.3,"länger",Lektionen[[#This Row],[Bearbeitungsdauer_abgewichen]]&lt;-0.3,"kürzer",TRUE,"keine Abweichung")</f>
        <v>kürzer</v>
      </c>
      <c r="I1831">
        <v>3</v>
      </c>
    </row>
    <row r="1832" spans="1:9" hidden="1" x14ac:dyDescent="0.3">
      <c r="A1832" s="13">
        <v>287</v>
      </c>
      <c r="B1832" s="4">
        <v>7</v>
      </c>
      <c r="C1832" t="s">
        <v>535</v>
      </c>
      <c r="D1832" t="s">
        <v>536</v>
      </c>
      <c r="E1832">
        <v>10</v>
      </c>
      <c r="F1832">
        <v>11</v>
      </c>
      <c r="G1832" s="8">
        <f>Lektionen[[#This Row],[Bearbeitungsdauer_real]]/Lektionen[[#This Row],[Bearbeitungsdauer_geschätzt]]-1</f>
        <v>0.10000000000000009</v>
      </c>
      <c r="H1832" s="8" t="str" cm="1">
        <f t="array" ref="H1832">_xlfn.IFS(Lektionen[[#This Row],[Bearbeitungsdauer_abgewichen]]&gt;0.6,"viel länger",Lektionen[[#This Row],[Bearbeitungsdauer_abgewichen]]&gt;0.3,"länger",Lektionen[[#This Row],[Bearbeitungsdauer_abgewichen]]&lt;-0.3,"kürzer",TRUE,"keine Abweichung")</f>
        <v>keine Abweichung</v>
      </c>
      <c r="I1832">
        <v>3</v>
      </c>
    </row>
    <row r="1833" spans="1:9" hidden="1" x14ac:dyDescent="0.3">
      <c r="A1833" s="13">
        <v>287</v>
      </c>
      <c r="B1833" s="4">
        <v>8</v>
      </c>
      <c r="C1833" t="s">
        <v>537</v>
      </c>
      <c r="D1833" t="s">
        <v>527</v>
      </c>
      <c r="E1833">
        <v>5</v>
      </c>
      <c r="F1833">
        <v>5</v>
      </c>
      <c r="G1833" s="8">
        <f>Lektionen[[#This Row],[Bearbeitungsdauer_real]]/Lektionen[[#This Row],[Bearbeitungsdauer_geschätzt]]-1</f>
        <v>0</v>
      </c>
      <c r="H1833" s="8" t="str" cm="1">
        <f t="array" ref="H1833">_xlfn.IFS(Lektionen[[#This Row],[Bearbeitungsdauer_abgewichen]]&gt;0.6,"viel länger",Lektionen[[#This Row],[Bearbeitungsdauer_abgewichen]]&gt;0.3,"länger",Lektionen[[#This Row],[Bearbeitungsdauer_abgewichen]]&lt;-0.3,"kürzer",TRUE,"keine Abweichung")</f>
        <v>keine Abweichung</v>
      </c>
      <c r="I1833">
        <v>1</v>
      </c>
    </row>
    <row r="1834" spans="1:9" hidden="1" x14ac:dyDescent="0.3">
      <c r="A1834" s="13">
        <v>288</v>
      </c>
      <c r="B1834" s="4">
        <v>1</v>
      </c>
      <c r="C1834" t="s">
        <v>526</v>
      </c>
      <c r="D1834" t="s">
        <v>527</v>
      </c>
      <c r="E1834">
        <v>4</v>
      </c>
      <c r="F1834">
        <v>4</v>
      </c>
      <c r="G1834" s="8">
        <f>Lektionen[[#This Row],[Bearbeitungsdauer_real]]/Lektionen[[#This Row],[Bearbeitungsdauer_geschätzt]]-1</f>
        <v>0</v>
      </c>
      <c r="H1834" s="8" t="str" cm="1">
        <f t="array" ref="H1834">_xlfn.IFS(Lektionen[[#This Row],[Bearbeitungsdauer_abgewichen]]&gt;0.6,"viel länger",Lektionen[[#This Row],[Bearbeitungsdauer_abgewichen]]&gt;0.3,"länger",Lektionen[[#This Row],[Bearbeitungsdauer_abgewichen]]&lt;-0.3,"kürzer",TRUE,"keine Abweichung")</f>
        <v>keine Abweichung</v>
      </c>
      <c r="I1834">
        <v>1</v>
      </c>
    </row>
    <row r="1835" spans="1:9" hidden="1" x14ac:dyDescent="0.3">
      <c r="A1835" s="13">
        <v>288</v>
      </c>
      <c r="B1835" s="4">
        <v>2</v>
      </c>
      <c r="C1835" t="s">
        <v>528</v>
      </c>
      <c r="D1835" t="s">
        <v>529</v>
      </c>
      <c r="E1835">
        <v>15</v>
      </c>
      <c r="F1835">
        <v>19</v>
      </c>
      <c r="G1835" s="8">
        <f>Lektionen[[#This Row],[Bearbeitungsdauer_real]]/Lektionen[[#This Row],[Bearbeitungsdauer_geschätzt]]-1</f>
        <v>0.26666666666666661</v>
      </c>
      <c r="H1835" s="8" t="str" cm="1">
        <f t="array" ref="H1835">_xlfn.IFS(Lektionen[[#This Row],[Bearbeitungsdauer_abgewichen]]&gt;0.6,"viel länger",Lektionen[[#This Row],[Bearbeitungsdauer_abgewichen]]&gt;0.3,"länger",Lektionen[[#This Row],[Bearbeitungsdauer_abgewichen]]&lt;-0.3,"kürzer",TRUE,"keine Abweichung")</f>
        <v>keine Abweichung</v>
      </c>
      <c r="I1835">
        <v>1</v>
      </c>
    </row>
    <row r="1836" spans="1:9" hidden="1" x14ac:dyDescent="0.3">
      <c r="A1836" s="13">
        <v>288</v>
      </c>
      <c r="B1836" s="4">
        <v>3</v>
      </c>
      <c r="C1836" t="s">
        <v>552</v>
      </c>
      <c r="D1836" t="s">
        <v>530</v>
      </c>
      <c r="E1836">
        <v>30</v>
      </c>
      <c r="F1836">
        <v>28</v>
      </c>
      <c r="G1836" s="8">
        <f>Lektionen[[#This Row],[Bearbeitungsdauer_real]]/Lektionen[[#This Row],[Bearbeitungsdauer_geschätzt]]-1</f>
        <v>-6.6666666666666652E-2</v>
      </c>
      <c r="H1836" s="8" t="str" cm="1">
        <f t="array" ref="H1836">_xlfn.IFS(Lektionen[[#This Row],[Bearbeitungsdauer_abgewichen]]&gt;0.6,"viel länger",Lektionen[[#This Row],[Bearbeitungsdauer_abgewichen]]&gt;0.3,"länger",Lektionen[[#This Row],[Bearbeitungsdauer_abgewichen]]&lt;-0.3,"kürzer",TRUE,"keine Abweichung")</f>
        <v>keine Abweichung</v>
      </c>
      <c r="I1836">
        <v>2</v>
      </c>
    </row>
    <row r="1837" spans="1:9" hidden="1" x14ac:dyDescent="0.3">
      <c r="A1837" s="13">
        <v>288</v>
      </c>
      <c r="B1837" s="4">
        <v>4</v>
      </c>
      <c r="C1837" t="s">
        <v>531</v>
      </c>
      <c r="D1837" t="s">
        <v>530</v>
      </c>
      <c r="E1837">
        <v>30</v>
      </c>
      <c r="F1837">
        <v>27</v>
      </c>
      <c r="G1837" s="8">
        <f>Lektionen[[#This Row],[Bearbeitungsdauer_real]]/Lektionen[[#This Row],[Bearbeitungsdauer_geschätzt]]-1</f>
        <v>-9.9999999999999978E-2</v>
      </c>
      <c r="H1837" s="8" t="str" cm="1">
        <f t="array" ref="H1837">_xlfn.IFS(Lektionen[[#This Row],[Bearbeitungsdauer_abgewichen]]&gt;0.6,"viel länger",Lektionen[[#This Row],[Bearbeitungsdauer_abgewichen]]&gt;0.3,"länger",Lektionen[[#This Row],[Bearbeitungsdauer_abgewichen]]&lt;-0.3,"kürzer",TRUE,"keine Abweichung")</f>
        <v>keine Abweichung</v>
      </c>
      <c r="I1837">
        <v>5</v>
      </c>
    </row>
    <row r="1838" spans="1:9" x14ac:dyDescent="0.3">
      <c r="A1838" s="13">
        <v>288</v>
      </c>
      <c r="B1838" s="4">
        <v>5</v>
      </c>
      <c r="C1838" t="s">
        <v>532</v>
      </c>
      <c r="D1838" t="s">
        <v>530</v>
      </c>
      <c r="E1838">
        <v>30</v>
      </c>
      <c r="F1838">
        <v>44</v>
      </c>
      <c r="G1838" s="8">
        <f>Lektionen[[#This Row],[Bearbeitungsdauer_real]]/Lektionen[[#This Row],[Bearbeitungsdauer_geschätzt]]-1</f>
        <v>0.46666666666666656</v>
      </c>
      <c r="H1838" s="8" t="str" cm="1">
        <f t="array" ref="H1838">_xlfn.IFS(Lektionen[[#This Row],[Bearbeitungsdauer_abgewichen]]&gt;0.6,"viel länger",Lektionen[[#This Row],[Bearbeitungsdauer_abgewichen]]&gt;0.3,"länger",Lektionen[[#This Row],[Bearbeitungsdauer_abgewichen]]&lt;-0.3,"kürzer",TRUE,"keine Abweichung")</f>
        <v>länger</v>
      </c>
      <c r="I1838">
        <v>4</v>
      </c>
    </row>
    <row r="1839" spans="1:9" hidden="1" x14ac:dyDescent="0.3">
      <c r="A1839" s="13">
        <v>288</v>
      </c>
      <c r="B1839" s="4">
        <v>6</v>
      </c>
      <c r="C1839" t="s">
        <v>533</v>
      </c>
      <c r="D1839" t="s">
        <v>534</v>
      </c>
      <c r="E1839">
        <v>5</v>
      </c>
      <c r="F1839">
        <v>2</v>
      </c>
      <c r="G1839" s="8">
        <f>Lektionen[[#This Row],[Bearbeitungsdauer_real]]/Lektionen[[#This Row],[Bearbeitungsdauer_geschätzt]]-1</f>
        <v>-0.6</v>
      </c>
      <c r="H1839" s="8" t="str" cm="1">
        <f t="array" ref="H1839">_xlfn.IFS(Lektionen[[#This Row],[Bearbeitungsdauer_abgewichen]]&gt;0.6,"viel länger",Lektionen[[#This Row],[Bearbeitungsdauer_abgewichen]]&gt;0.3,"länger",Lektionen[[#This Row],[Bearbeitungsdauer_abgewichen]]&lt;-0.3,"kürzer",TRUE,"keine Abweichung")</f>
        <v>kürzer</v>
      </c>
      <c r="I1839">
        <v>1</v>
      </c>
    </row>
    <row r="1840" spans="1:9" hidden="1" x14ac:dyDescent="0.3">
      <c r="A1840" s="13">
        <v>288</v>
      </c>
      <c r="B1840" s="4">
        <v>7</v>
      </c>
      <c r="C1840" t="s">
        <v>535</v>
      </c>
      <c r="D1840" t="s">
        <v>536</v>
      </c>
      <c r="E1840">
        <v>10</v>
      </c>
      <c r="F1840">
        <v>11</v>
      </c>
      <c r="G1840" s="8">
        <f>Lektionen[[#This Row],[Bearbeitungsdauer_real]]/Lektionen[[#This Row],[Bearbeitungsdauer_geschätzt]]-1</f>
        <v>0.10000000000000009</v>
      </c>
      <c r="H1840" s="8" t="str" cm="1">
        <f t="array" ref="H1840">_xlfn.IFS(Lektionen[[#This Row],[Bearbeitungsdauer_abgewichen]]&gt;0.6,"viel länger",Lektionen[[#This Row],[Bearbeitungsdauer_abgewichen]]&gt;0.3,"länger",Lektionen[[#This Row],[Bearbeitungsdauer_abgewichen]]&lt;-0.3,"kürzer",TRUE,"keine Abweichung")</f>
        <v>keine Abweichung</v>
      </c>
      <c r="I1840">
        <v>4</v>
      </c>
    </row>
    <row r="1841" spans="1:9" hidden="1" x14ac:dyDescent="0.3">
      <c r="A1841" s="13">
        <v>288</v>
      </c>
      <c r="B1841" s="4">
        <v>8</v>
      </c>
      <c r="C1841" t="s">
        <v>537</v>
      </c>
      <c r="D1841" t="s">
        <v>527</v>
      </c>
      <c r="E1841">
        <v>5</v>
      </c>
      <c r="F1841">
        <v>5</v>
      </c>
      <c r="G1841" s="8">
        <f>Lektionen[[#This Row],[Bearbeitungsdauer_real]]/Lektionen[[#This Row],[Bearbeitungsdauer_geschätzt]]-1</f>
        <v>0</v>
      </c>
      <c r="H1841" s="8" t="str" cm="1">
        <f t="array" ref="H1841">_xlfn.IFS(Lektionen[[#This Row],[Bearbeitungsdauer_abgewichen]]&gt;0.6,"viel länger",Lektionen[[#This Row],[Bearbeitungsdauer_abgewichen]]&gt;0.3,"länger",Lektionen[[#This Row],[Bearbeitungsdauer_abgewichen]]&lt;-0.3,"kürzer",TRUE,"keine Abweichung")</f>
        <v>keine Abweichung</v>
      </c>
      <c r="I1841">
        <v>1</v>
      </c>
    </row>
    <row r="1842" spans="1:9" hidden="1" x14ac:dyDescent="0.3">
      <c r="A1842" s="13">
        <v>289</v>
      </c>
      <c r="B1842" s="4">
        <v>1</v>
      </c>
      <c r="C1842" t="s">
        <v>526</v>
      </c>
      <c r="D1842" t="s">
        <v>527</v>
      </c>
      <c r="E1842">
        <v>4</v>
      </c>
      <c r="F1842">
        <v>5</v>
      </c>
      <c r="G1842" s="8">
        <f>Lektionen[[#This Row],[Bearbeitungsdauer_real]]/Lektionen[[#This Row],[Bearbeitungsdauer_geschätzt]]-1</f>
        <v>0.25</v>
      </c>
      <c r="H1842" s="8" t="str" cm="1">
        <f t="array" ref="H1842">_xlfn.IFS(Lektionen[[#This Row],[Bearbeitungsdauer_abgewichen]]&gt;0.6,"viel länger",Lektionen[[#This Row],[Bearbeitungsdauer_abgewichen]]&gt;0.3,"länger",Lektionen[[#This Row],[Bearbeitungsdauer_abgewichen]]&lt;-0.3,"kürzer",TRUE,"keine Abweichung")</f>
        <v>keine Abweichung</v>
      </c>
      <c r="I1842">
        <v>1</v>
      </c>
    </row>
    <row r="1843" spans="1:9" hidden="1" x14ac:dyDescent="0.3">
      <c r="A1843" s="13">
        <v>289</v>
      </c>
      <c r="B1843" s="4">
        <v>2</v>
      </c>
      <c r="C1843" t="s">
        <v>528</v>
      </c>
      <c r="D1843" t="s">
        <v>529</v>
      </c>
      <c r="E1843">
        <v>15</v>
      </c>
      <c r="F1843">
        <v>16</v>
      </c>
      <c r="G1843" s="8">
        <f>Lektionen[[#This Row],[Bearbeitungsdauer_real]]/Lektionen[[#This Row],[Bearbeitungsdauer_geschätzt]]-1</f>
        <v>6.6666666666666652E-2</v>
      </c>
      <c r="H1843" s="8" t="str" cm="1">
        <f t="array" ref="H1843">_xlfn.IFS(Lektionen[[#This Row],[Bearbeitungsdauer_abgewichen]]&gt;0.6,"viel länger",Lektionen[[#This Row],[Bearbeitungsdauer_abgewichen]]&gt;0.3,"länger",Lektionen[[#This Row],[Bearbeitungsdauer_abgewichen]]&lt;-0.3,"kürzer",TRUE,"keine Abweichung")</f>
        <v>keine Abweichung</v>
      </c>
      <c r="I1843">
        <v>1</v>
      </c>
    </row>
    <row r="1844" spans="1:9" hidden="1" x14ac:dyDescent="0.3">
      <c r="A1844" s="13">
        <v>289</v>
      </c>
      <c r="B1844" s="4">
        <v>3</v>
      </c>
      <c r="C1844" t="s">
        <v>552</v>
      </c>
      <c r="D1844" t="s">
        <v>530</v>
      </c>
      <c r="E1844">
        <v>30</v>
      </c>
      <c r="F1844">
        <v>29</v>
      </c>
      <c r="G1844" s="8">
        <f>Lektionen[[#This Row],[Bearbeitungsdauer_real]]/Lektionen[[#This Row],[Bearbeitungsdauer_geschätzt]]-1</f>
        <v>-3.3333333333333326E-2</v>
      </c>
      <c r="H1844" s="8" t="str" cm="1">
        <f t="array" ref="H1844">_xlfn.IFS(Lektionen[[#This Row],[Bearbeitungsdauer_abgewichen]]&gt;0.6,"viel länger",Lektionen[[#This Row],[Bearbeitungsdauer_abgewichen]]&gt;0.3,"länger",Lektionen[[#This Row],[Bearbeitungsdauer_abgewichen]]&lt;-0.3,"kürzer",TRUE,"keine Abweichung")</f>
        <v>keine Abweichung</v>
      </c>
      <c r="I1844">
        <v>2</v>
      </c>
    </row>
    <row r="1845" spans="1:9" hidden="1" x14ac:dyDescent="0.3">
      <c r="A1845" s="13">
        <v>289</v>
      </c>
      <c r="B1845" s="4">
        <v>4</v>
      </c>
      <c r="C1845" t="s">
        <v>531</v>
      </c>
      <c r="D1845" t="s">
        <v>530</v>
      </c>
      <c r="E1845">
        <v>30</v>
      </c>
      <c r="F1845">
        <v>25</v>
      </c>
      <c r="G1845" s="8">
        <f>Lektionen[[#This Row],[Bearbeitungsdauer_real]]/Lektionen[[#This Row],[Bearbeitungsdauer_geschätzt]]-1</f>
        <v>-0.16666666666666663</v>
      </c>
      <c r="H1845" s="8" t="str" cm="1">
        <f t="array" ref="H1845">_xlfn.IFS(Lektionen[[#This Row],[Bearbeitungsdauer_abgewichen]]&gt;0.6,"viel länger",Lektionen[[#This Row],[Bearbeitungsdauer_abgewichen]]&gt;0.3,"länger",Lektionen[[#This Row],[Bearbeitungsdauer_abgewichen]]&lt;-0.3,"kürzer",TRUE,"keine Abweichung")</f>
        <v>keine Abweichung</v>
      </c>
      <c r="I1845">
        <v>3</v>
      </c>
    </row>
    <row r="1846" spans="1:9" x14ac:dyDescent="0.3">
      <c r="A1846" s="13">
        <v>289</v>
      </c>
      <c r="B1846" s="4">
        <v>5</v>
      </c>
      <c r="C1846" t="s">
        <v>532</v>
      </c>
      <c r="D1846" t="s">
        <v>530</v>
      </c>
      <c r="E1846">
        <v>30</v>
      </c>
      <c r="F1846">
        <v>52</v>
      </c>
      <c r="G1846" s="8">
        <f>Lektionen[[#This Row],[Bearbeitungsdauer_real]]/Lektionen[[#This Row],[Bearbeitungsdauer_geschätzt]]-1</f>
        <v>0.73333333333333339</v>
      </c>
      <c r="H1846" s="8" t="str" cm="1">
        <f t="array" ref="H1846">_xlfn.IFS(Lektionen[[#This Row],[Bearbeitungsdauer_abgewichen]]&gt;0.6,"viel länger",Lektionen[[#This Row],[Bearbeitungsdauer_abgewichen]]&gt;0.3,"länger",Lektionen[[#This Row],[Bearbeitungsdauer_abgewichen]]&lt;-0.3,"kürzer",TRUE,"keine Abweichung")</f>
        <v>viel länger</v>
      </c>
      <c r="I1846">
        <v>4</v>
      </c>
    </row>
    <row r="1847" spans="1:9" hidden="1" x14ac:dyDescent="0.3">
      <c r="A1847" s="13">
        <v>289</v>
      </c>
      <c r="B1847" s="4">
        <v>6</v>
      </c>
      <c r="C1847" t="s">
        <v>533</v>
      </c>
      <c r="D1847" t="s">
        <v>534</v>
      </c>
      <c r="E1847">
        <v>5</v>
      </c>
      <c r="F1847">
        <v>1</v>
      </c>
      <c r="G1847" s="8">
        <f>Lektionen[[#This Row],[Bearbeitungsdauer_real]]/Lektionen[[#This Row],[Bearbeitungsdauer_geschätzt]]-1</f>
        <v>-0.8</v>
      </c>
      <c r="H1847" s="8" t="str" cm="1">
        <f t="array" ref="H1847">_xlfn.IFS(Lektionen[[#This Row],[Bearbeitungsdauer_abgewichen]]&gt;0.6,"viel länger",Lektionen[[#This Row],[Bearbeitungsdauer_abgewichen]]&gt;0.3,"länger",Lektionen[[#This Row],[Bearbeitungsdauer_abgewichen]]&lt;-0.3,"kürzer",TRUE,"keine Abweichung")</f>
        <v>kürzer</v>
      </c>
      <c r="I1847">
        <v>2</v>
      </c>
    </row>
    <row r="1848" spans="1:9" hidden="1" x14ac:dyDescent="0.3">
      <c r="A1848" s="13">
        <v>289</v>
      </c>
      <c r="B1848" s="4">
        <v>7</v>
      </c>
      <c r="C1848" t="s">
        <v>535</v>
      </c>
      <c r="D1848" t="s">
        <v>536</v>
      </c>
      <c r="E1848">
        <v>10</v>
      </c>
      <c r="F1848">
        <v>10</v>
      </c>
      <c r="G1848" s="8">
        <f>Lektionen[[#This Row],[Bearbeitungsdauer_real]]/Lektionen[[#This Row],[Bearbeitungsdauer_geschätzt]]-1</f>
        <v>0</v>
      </c>
      <c r="H1848" s="8" t="str" cm="1">
        <f t="array" ref="H1848">_xlfn.IFS(Lektionen[[#This Row],[Bearbeitungsdauer_abgewichen]]&gt;0.6,"viel länger",Lektionen[[#This Row],[Bearbeitungsdauer_abgewichen]]&gt;0.3,"länger",Lektionen[[#This Row],[Bearbeitungsdauer_abgewichen]]&lt;-0.3,"kürzer",TRUE,"keine Abweichung")</f>
        <v>keine Abweichung</v>
      </c>
      <c r="I1848">
        <v>3</v>
      </c>
    </row>
    <row r="1849" spans="1:9" hidden="1" x14ac:dyDescent="0.3">
      <c r="A1849" s="13">
        <v>289</v>
      </c>
      <c r="B1849" s="4">
        <v>8</v>
      </c>
      <c r="C1849" t="s">
        <v>537</v>
      </c>
      <c r="D1849" t="s">
        <v>527</v>
      </c>
      <c r="E1849">
        <v>5</v>
      </c>
      <c r="F1849">
        <v>5</v>
      </c>
      <c r="G1849" s="8">
        <f>Lektionen[[#This Row],[Bearbeitungsdauer_real]]/Lektionen[[#This Row],[Bearbeitungsdauer_geschätzt]]-1</f>
        <v>0</v>
      </c>
      <c r="H1849" s="8" t="str" cm="1">
        <f t="array" ref="H1849">_xlfn.IFS(Lektionen[[#This Row],[Bearbeitungsdauer_abgewichen]]&gt;0.6,"viel länger",Lektionen[[#This Row],[Bearbeitungsdauer_abgewichen]]&gt;0.3,"länger",Lektionen[[#This Row],[Bearbeitungsdauer_abgewichen]]&lt;-0.3,"kürzer",TRUE,"keine Abweichung")</f>
        <v>keine Abweichung</v>
      </c>
      <c r="I1849">
        <v>1</v>
      </c>
    </row>
    <row r="1850" spans="1:9" hidden="1" x14ac:dyDescent="0.3">
      <c r="A1850" s="13">
        <v>290</v>
      </c>
      <c r="B1850" s="4">
        <v>1</v>
      </c>
      <c r="C1850" t="s">
        <v>526</v>
      </c>
      <c r="D1850" t="s">
        <v>527</v>
      </c>
      <c r="E1850">
        <v>4</v>
      </c>
      <c r="F1850">
        <v>4</v>
      </c>
      <c r="G1850" s="8">
        <f>Lektionen[[#This Row],[Bearbeitungsdauer_real]]/Lektionen[[#This Row],[Bearbeitungsdauer_geschätzt]]-1</f>
        <v>0</v>
      </c>
      <c r="H1850" s="8" t="str" cm="1">
        <f t="array" ref="H1850">_xlfn.IFS(Lektionen[[#This Row],[Bearbeitungsdauer_abgewichen]]&gt;0.6,"viel länger",Lektionen[[#This Row],[Bearbeitungsdauer_abgewichen]]&gt;0.3,"länger",Lektionen[[#This Row],[Bearbeitungsdauer_abgewichen]]&lt;-0.3,"kürzer",TRUE,"keine Abweichung")</f>
        <v>keine Abweichung</v>
      </c>
      <c r="I1850">
        <v>1</v>
      </c>
    </row>
    <row r="1851" spans="1:9" hidden="1" x14ac:dyDescent="0.3">
      <c r="A1851" s="13">
        <v>290</v>
      </c>
      <c r="B1851" s="4">
        <v>2</v>
      </c>
      <c r="C1851" t="s">
        <v>528</v>
      </c>
      <c r="D1851" t="s">
        <v>529</v>
      </c>
      <c r="E1851">
        <v>15</v>
      </c>
      <c r="F1851">
        <v>17</v>
      </c>
      <c r="G1851" s="8">
        <f>Lektionen[[#This Row],[Bearbeitungsdauer_real]]/Lektionen[[#This Row],[Bearbeitungsdauer_geschätzt]]-1</f>
        <v>0.1333333333333333</v>
      </c>
      <c r="H1851" s="8" t="str" cm="1">
        <f t="array" ref="H1851">_xlfn.IFS(Lektionen[[#This Row],[Bearbeitungsdauer_abgewichen]]&gt;0.6,"viel länger",Lektionen[[#This Row],[Bearbeitungsdauer_abgewichen]]&gt;0.3,"länger",Lektionen[[#This Row],[Bearbeitungsdauer_abgewichen]]&lt;-0.3,"kürzer",TRUE,"keine Abweichung")</f>
        <v>keine Abweichung</v>
      </c>
      <c r="I1851">
        <v>1</v>
      </c>
    </row>
    <row r="1852" spans="1:9" hidden="1" x14ac:dyDescent="0.3">
      <c r="A1852" s="13">
        <v>290</v>
      </c>
      <c r="B1852" s="4">
        <v>3</v>
      </c>
      <c r="C1852" t="s">
        <v>552</v>
      </c>
      <c r="D1852" t="s">
        <v>530</v>
      </c>
      <c r="E1852">
        <v>30</v>
      </c>
      <c r="F1852">
        <v>28</v>
      </c>
      <c r="G1852" s="8">
        <f>Lektionen[[#This Row],[Bearbeitungsdauer_real]]/Lektionen[[#This Row],[Bearbeitungsdauer_geschätzt]]-1</f>
        <v>-6.6666666666666652E-2</v>
      </c>
      <c r="H1852" s="8" t="str" cm="1">
        <f t="array" ref="H1852">_xlfn.IFS(Lektionen[[#This Row],[Bearbeitungsdauer_abgewichen]]&gt;0.6,"viel länger",Lektionen[[#This Row],[Bearbeitungsdauer_abgewichen]]&gt;0.3,"länger",Lektionen[[#This Row],[Bearbeitungsdauer_abgewichen]]&lt;-0.3,"kürzer",TRUE,"keine Abweichung")</f>
        <v>keine Abweichung</v>
      </c>
      <c r="I1852">
        <v>2</v>
      </c>
    </row>
    <row r="1853" spans="1:9" hidden="1" x14ac:dyDescent="0.3">
      <c r="A1853" s="13">
        <v>290</v>
      </c>
      <c r="B1853" s="4">
        <v>4</v>
      </c>
      <c r="C1853" t="s">
        <v>531</v>
      </c>
      <c r="D1853" t="s">
        <v>530</v>
      </c>
      <c r="E1853">
        <v>30</v>
      </c>
      <c r="F1853">
        <v>17</v>
      </c>
      <c r="G1853" s="8">
        <f>Lektionen[[#This Row],[Bearbeitungsdauer_real]]/Lektionen[[#This Row],[Bearbeitungsdauer_geschätzt]]-1</f>
        <v>-0.43333333333333335</v>
      </c>
      <c r="H1853" s="8" t="str" cm="1">
        <f t="array" ref="H1853">_xlfn.IFS(Lektionen[[#This Row],[Bearbeitungsdauer_abgewichen]]&gt;0.6,"viel länger",Lektionen[[#This Row],[Bearbeitungsdauer_abgewichen]]&gt;0.3,"länger",Lektionen[[#This Row],[Bearbeitungsdauer_abgewichen]]&lt;-0.3,"kürzer",TRUE,"keine Abweichung")</f>
        <v>kürzer</v>
      </c>
      <c r="I1853">
        <v>2</v>
      </c>
    </row>
    <row r="1854" spans="1:9" x14ac:dyDescent="0.3">
      <c r="A1854" s="13">
        <v>290</v>
      </c>
      <c r="B1854" s="4">
        <v>5</v>
      </c>
      <c r="C1854" t="s">
        <v>532</v>
      </c>
      <c r="D1854" t="s">
        <v>530</v>
      </c>
      <c r="E1854">
        <v>30</v>
      </c>
      <c r="F1854">
        <v>44</v>
      </c>
      <c r="G1854" s="8">
        <f>Lektionen[[#This Row],[Bearbeitungsdauer_real]]/Lektionen[[#This Row],[Bearbeitungsdauer_geschätzt]]-1</f>
        <v>0.46666666666666656</v>
      </c>
      <c r="H1854" s="8" t="str" cm="1">
        <f t="array" ref="H1854">_xlfn.IFS(Lektionen[[#This Row],[Bearbeitungsdauer_abgewichen]]&gt;0.6,"viel länger",Lektionen[[#This Row],[Bearbeitungsdauer_abgewichen]]&gt;0.3,"länger",Lektionen[[#This Row],[Bearbeitungsdauer_abgewichen]]&lt;-0.3,"kürzer",TRUE,"keine Abweichung")</f>
        <v>länger</v>
      </c>
      <c r="I1854">
        <v>4</v>
      </c>
    </row>
    <row r="1855" spans="1:9" hidden="1" x14ac:dyDescent="0.3">
      <c r="A1855" s="13">
        <v>290</v>
      </c>
      <c r="B1855" s="4">
        <v>6</v>
      </c>
      <c r="C1855" t="s">
        <v>533</v>
      </c>
      <c r="D1855" t="s">
        <v>534</v>
      </c>
      <c r="E1855">
        <v>5</v>
      </c>
      <c r="F1855">
        <v>2</v>
      </c>
      <c r="G1855" s="8">
        <f>Lektionen[[#This Row],[Bearbeitungsdauer_real]]/Lektionen[[#This Row],[Bearbeitungsdauer_geschätzt]]-1</f>
        <v>-0.6</v>
      </c>
      <c r="H1855" s="8" t="str" cm="1">
        <f t="array" ref="H1855">_xlfn.IFS(Lektionen[[#This Row],[Bearbeitungsdauer_abgewichen]]&gt;0.6,"viel länger",Lektionen[[#This Row],[Bearbeitungsdauer_abgewichen]]&gt;0.3,"länger",Lektionen[[#This Row],[Bearbeitungsdauer_abgewichen]]&lt;-0.3,"kürzer",TRUE,"keine Abweichung")</f>
        <v>kürzer</v>
      </c>
      <c r="I1855">
        <v>2</v>
      </c>
    </row>
    <row r="1856" spans="1:9" hidden="1" x14ac:dyDescent="0.3">
      <c r="A1856" s="13">
        <v>290</v>
      </c>
      <c r="B1856" s="4">
        <v>7</v>
      </c>
      <c r="C1856" t="s">
        <v>535</v>
      </c>
      <c r="D1856" t="s">
        <v>536</v>
      </c>
      <c r="E1856">
        <v>10</v>
      </c>
      <c r="F1856">
        <v>10</v>
      </c>
      <c r="G1856" s="8">
        <f>Lektionen[[#This Row],[Bearbeitungsdauer_real]]/Lektionen[[#This Row],[Bearbeitungsdauer_geschätzt]]-1</f>
        <v>0</v>
      </c>
      <c r="H1856" s="8" t="str" cm="1">
        <f t="array" ref="H1856">_xlfn.IFS(Lektionen[[#This Row],[Bearbeitungsdauer_abgewichen]]&gt;0.6,"viel länger",Lektionen[[#This Row],[Bearbeitungsdauer_abgewichen]]&gt;0.3,"länger",Lektionen[[#This Row],[Bearbeitungsdauer_abgewichen]]&lt;-0.3,"kürzer",TRUE,"keine Abweichung")</f>
        <v>keine Abweichung</v>
      </c>
      <c r="I1856">
        <v>3</v>
      </c>
    </row>
    <row r="1857" spans="1:9" hidden="1" x14ac:dyDescent="0.3">
      <c r="A1857" s="13">
        <v>290</v>
      </c>
      <c r="B1857" s="4">
        <v>8</v>
      </c>
      <c r="C1857" t="s">
        <v>537</v>
      </c>
      <c r="D1857" t="s">
        <v>527</v>
      </c>
      <c r="E1857">
        <v>5</v>
      </c>
      <c r="F1857">
        <v>6</v>
      </c>
      <c r="G1857" s="8">
        <f>Lektionen[[#This Row],[Bearbeitungsdauer_real]]/Lektionen[[#This Row],[Bearbeitungsdauer_geschätzt]]-1</f>
        <v>0.19999999999999996</v>
      </c>
      <c r="H1857" s="8" t="str" cm="1">
        <f t="array" ref="H1857">_xlfn.IFS(Lektionen[[#This Row],[Bearbeitungsdauer_abgewichen]]&gt;0.6,"viel länger",Lektionen[[#This Row],[Bearbeitungsdauer_abgewichen]]&gt;0.3,"länger",Lektionen[[#This Row],[Bearbeitungsdauer_abgewichen]]&lt;-0.3,"kürzer",TRUE,"keine Abweichung")</f>
        <v>keine Abweichung</v>
      </c>
      <c r="I1857">
        <v>1</v>
      </c>
    </row>
    <row r="1858" spans="1:9" hidden="1" x14ac:dyDescent="0.3">
      <c r="A1858" s="13">
        <v>293</v>
      </c>
      <c r="B1858" s="4">
        <v>1</v>
      </c>
      <c r="C1858" t="s">
        <v>526</v>
      </c>
      <c r="D1858" t="s">
        <v>527</v>
      </c>
      <c r="E1858">
        <v>4</v>
      </c>
      <c r="F1858">
        <v>7</v>
      </c>
      <c r="G1858" s="8">
        <f>Lektionen[[#This Row],[Bearbeitungsdauer_real]]/Lektionen[[#This Row],[Bearbeitungsdauer_geschätzt]]-1</f>
        <v>0.75</v>
      </c>
      <c r="H1858" s="8" t="str" cm="1">
        <f t="array" ref="H1858">_xlfn.IFS(Lektionen[[#This Row],[Bearbeitungsdauer_abgewichen]]&gt;0.6,"viel länger",Lektionen[[#This Row],[Bearbeitungsdauer_abgewichen]]&gt;0.3,"länger",Lektionen[[#This Row],[Bearbeitungsdauer_abgewichen]]&lt;-0.3,"kürzer",TRUE,"keine Abweichung")</f>
        <v>viel länger</v>
      </c>
      <c r="I1858">
        <v>1</v>
      </c>
    </row>
    <row r="1859" spans="1:9" hidden="1" x14ac:dyDescent="0.3">
      <c r="A1859" s="13">
        <v>293</v>
      </c>
      <c r="B1859" s="4">
        <v>2</v>
      </c>
      <c r="C1859" t="s">
        <v>528</v>
      </c>
      <c r="D1859" t="s">
        <v>529</v>
      </c>
      <c r="E1859">
        <v>15</v>
      </c>
      <c r="F1859">
        <v>17</v>
      </c>
      <c r="G1859" s="8">
        <f>Lektionen[[#This Row],[Bearbeitungsdauer_real]]/Lektionen[[#This Row],[Bearbeitungsdauer_geschätzt]]-1</f>
        <v>0.1333333333333333</v>
      </c>
      <c r="H1859" s="8" t="str" cm="1">
        <f t="array" ref="H1859">_xlfn.IFS(Lektionen[[#This Row],[Bearbeitungsdauer_abgewichen]]&gt;0.6,"viel länger",Lektionen[[#This Row],[Bearbeitungsdauer_abgewichen]]&gt;0.3,"länger",Lektionen[[#This Row],[Bearbeitungsdauer_abgewichen]]&lt;-0.3,"kürzer",TRUE,"keine Abweichung")</f>
        <v>keine Abweichung</v>
      </c>
      <c r="I1859">
        <v>2</v>
      </c>
    </row>
    <row r="1860" spans="1:9" hidden="1" x14ac:dyDescent="0.3">
      <c r="A1860" s="13">
        <v>293</v>
      </c>
      <c r="B1860" s="4">
        <v>3</v>
      </c>
      <c r="C1860" t="s">
        <v>552</v>
      </c>
      <c r="D1860" t="s">
        <v>530</v>
      </c>
      <c r="E1860">
        <v>30</v>
      </c>
      <c r="F1860">
        <v>30</v>
      </c>
      <c r="G1860" s="8">
        <f>Lektionen[[#This Row],[Bearbeitungsdauer_real]]/Lektionen[[#This Row],[Bearbeitungsdauer_geschätzt]]-1</f>
        <v>0</v>
      </c>
      <c r="H1860" s="8" t="str" cm="1">
        <f t="array" ref="H1860">_xlfn.IFS(Lektionen[[#This Row],[Bearbeitungsdauer_abgewichen]]&gt;0.6,"viel länger",Lektionen[[#This Row],[Bearbeitungsdauer_abgewichen]]&gt;0.3,"länger",Lektionen[[#This Row],[Bearbeitungsdauer_abgewichen]]&lt;-0.3,"kürzer",TRUE,"keine Abweichung")</f>
        <v>keine Abweichung</v>
      </c>
      <c r="I1860">
        <v>2</v>
      </c>
    </row>
    <row r="1861" spans="1:9" hidden="1" x14ac:dyDescent="0.3">
      <c r="A1861" s="13">
        <v>293</v>
      </c>
      <c r="B1861" s="4">
        <v>4</v>
      </c>
      <c r="C1861" t="s">
        <v>531</v>
      </c>
      <c r="D1861" t="s">
        <v>530</v>
      </c>
      <c r="E1861">
        <v>30</v>
      </c>
      <c r="F1861">
        <v>23</v>
      </c>
      <c r="G1861" s="8">
        <f>Lektionen[[#This Row],[Bearbeitungsdauer_real]]/Lektionen[[#This Row],[Bearbeitungsdauer_geschätzt]]-1</f>
        <v>-0.23333333333333328</v>
      </c>
      <c r="H1861" s="8" t="str" cm="1">
        <f t="array" ref="H1861">_xlfn.IFS(Lektionen[[#This Row],[Bearbeitungsdauer_abgewichen]]&gt;0.6,"viel länger",Lektionen[[#This Row],[Bearbeitungsdauer_abgewichen]]&gt;0.3,"länger",Lektionen[[#This Row],[Bearbeitungsdauer_abgewichen]]&lt;-0.3,"kürzer",TRUE,"keine Abweichung")</f>
        <v>keine Abweichung</v>
      </c>
      <c r="I1861">
        <v>3</v>
      </c>
    </row>
    <row r="1862" spans="1:9" x14ac:dyDescent="0.3">
      <c r="A1862" s="13">
        <v>293</v>
      </c>
      <c r="B1862" s="4">
        <v>5</v>
      </c>
      <c r="C1862" t="s">
        <v>532</v>
      </c>
      <c r="D1862" t="s">
        <v>530</v>
      </c>
      <c r="E1862">
        <v>30</v>
      </c>
      <c r="F1862">
        <v>37</v>
      </c>
      <c r="G1862" s="8">
        <f>Lektionen[[#This Row],[Bearbeitungsdauer_real]]/Lektionen[[#This Row],[Bearbeitungsdauer_geschätzt]]-1</f>
        <v>0.23333333333333339</v>
      </c>
      <c r="H1862" s="8" t="str" cm="1">
        <f t="array" ref="H1862">_xlfn.IFS(Lektionen[[#This Row],[Bearbeitungsdauer_abgewichen]]&gt;0.6,"viel länger",Lektionen[[#This Row],[Bearbeitungsdauer_abgewichen]]&gt;0.3,"länger",Lektionen[[#This Row],[Bearbeitungsdauer_abgewichen]]&lt;-0.3,"kürzer",TRUE,"keine Abweichung")</f>
        <v>keine Abweichung</v>
      </c>
      <c r="I1862">
        <v>4</v>
      </c>
    </row>
    <row r="1863" spans="1:9" hidden="1" x14ac:dyDescent="0.3">
      <c r="A1863" s="13">
        <v>293</v>
      </c>
      <c r="B1863" s="4">
        <v>6</v>
      </c>
      <c r="C1863" t="s">
        <v>533</v>
      </c>
      <c r="D1863" t="s">
        <v>534</v>
      </c>
      <c r="E1863">
        <v>5</v>
      </c>
      <c r="F1863">
        <v>3</v>
      </c>
      <c r="G1863" s="8">
        <f>Lektionen[[#This Row],[Bearbeitungsdauer_real]]/Lektionen[[#This Row],[Bearbeitungsdauer_geschätzt]]-1</f>
        <v>-0.4</v>
      </c>
      <c r="H1863" s="8" t="str" cm="1">
        <f t="array" ref="H1863">_xlfn.IFS(Lektionen[[#This Row],[Bearbeitungsdauer_abgewichen]]&gt;0.6,"viel länger",Lektionen[[#This Row],[Bearbeitungsdauer_abgewichen]]&gt;0.3,"länger",Lektionen[[#This Row],[Bearbeitungsdauer_abgewichen]]&lt;-0.3,"kürzer",TRUE,"keine Abweichung")</f>
        <v>kürzer</v>
      </c>
      <c r="I1863">
        <v>2</v>
      </c>
    </row>
    <row r="1864" spans="1:9" hidden="1" x14ac:dyDescent="0.3">
      <c r="A1864" s="13">
        <v>293</v>
      </c>
      <c r="B1864" s="4">
        <v>7</v>
      </c>
      <c r="C1864" t="s">
        <v>535</v>
      </c>
      <c r="D1864" t="s">
        <v>536</v>
      </c>
      <c r="E1864">
        <v>10</v>
      </c>
      <c r="F1864">
        <v>10</v>
      </c>
      <c r="G1864" s="8">
        <f>Lektionen[[#This Row],[Bearbeitungsdauer_real]]/Lektionen[[#This Row],[Bearbeitungsdauer_geschätzt]]-1</f>
        <v>0</v>
      </c>
      <c r="H1864" s="8" t="str" cm="1">
        <f t="array" ref="H1864">_xlfn.IFS(Lektionen[[#This Row],[Bearbeitungsdauer_abgewichen]]&gt;0.6,"viel länger",Lektionen[[#This Row],[Bearbeitungsdauer_abgewichen]]&gt;0.3,"länger",Lektionen[[#This Row],[Bearbeitungsdauer_abgewichen]]&lt;-0.3,"kürzer",TRUE,"keine Abweichung")</f>
        <v>keine Abweichung</v>
      </c>
      <c r="I1864">
        <v>4</v>
      </c>
    </row>
    <row r="1865" spans="1:9" hidden="1" x14ac:dyDescent="0.3">
      <c r="A1865" s="13">
        <v>293</v>
      </c>
      <c r="B1865" s="4">
        <v>8</v>
      </c>
      <c r="C1865" t="s">
        <v>537</v>
      </c>
      <c r="D1865" t="s">
        <v>527</v>
      </c>
      <c r="E1865">
        <v>5</v>
      </c>
      <c r="F1865">
        <v>5</v>
      </c>
      <c r="G1865" s="8">
        <f>Lektionen[[#This Row],[Bearbeitungsdauer_real]]/Lektionen[[#This Row],[Bearbeitungsdauer_geschätzt]]-1</f>
        <v>0</v>
      </c>
      <c r="H1865" s="8" t="str" cm="1">
        <f t="array" ref="H1865">_xlfn.IFS(Lektionen[[#This Row],[Bearbeitungsdauer_abgewichen]]&gt;0.6,"viel länger",Lektionen[[#This Row],[Bearbeitungsdauer_abgewichen]]&gt;0.3,"länger",Lektionen[[#This Row],[Bearbeitungsdauer_abgewichen]]&lt;-0.3,"kürzer",TRUE,"keine Abweichung")</f>
        <v>keine Abweichung</v>
      </c>
      <c r="I1865">
        <v>2</v>
      </c>
    </row>
    <row r="1866" spans="1:9" hidden="1" x14ac:dyDescent="0.3">
      <c r="A1866" s="13">
        <v>294</v>
      </c>
      <c r="B1866" s="4">
        <v>1</v>
      </c>
      <c r="C1866" t="s">
        <v>526</v>
      </c>
      <c r="D1866" t="s">
        <v>527</v>
      </c>
      <c r="E1866">
        <v>4</v>
      </c>
      <c r="F1866">
        <v>4</v>
      </c>
      <c r="G1866" s="8">
        <f>Lektionen[[#This Row],[Bearbeitungsdauer_real]]/Lektionen[[#This Row],[Bearbeitungsdauer_geschätzt]]-1</f>
        <v>0</v>
      </c>
      <c r="H1866" s="8" t="str" cm="1">
        <f t="array" ref="H1866">_xlfn.IFS(Lektionen[[#This Row],[Bearbeitungsdauer_abgewichen]]&gt;0.6,"viel länger",Lektionen[[#This Row],[Bearbeitungsdauer_abgewichen]]&gt;0.3,"länger",Lektionen[[#This Row],[Bearbeitungsdauer_abgewichen]]&lt;-0.3,"kürzer",TRUE,"keine Abweichung")</f>
        <v>keine Abweichung</v>
      </c>
      <c r="I1866">
        <v>1</v>
      </c>
    </row>
    <row r="1867" spans="1:9" hidden="1" x14ac:dyDescent="0.3">
      <c r="A1867" s="13">
        <v>294</v>
      </c>
      <c r="B1867" s="4">
        <v>2</v>
      </c>
      <c r="C1867" t="s">
        <v>528</v>
      </c>
      <c r="D1867" t="s">
        <v>529</v>
      </c>
      <c r="E1867">
        <v>15</v>
      </c>
      <c r="F1867">
        <v>16</v>
      </c>
      <c r="G1867" s="8">
        <f>Lektionen[[#This Row],[Bearbeitungsdauer_real]]/Lektionen[[#This Row],[Bearbeitungsdauer_geschätzt]]-1</f>
        <v>6.6666666666666652E-2</v>
      </c>
      <c r="H1867" s="8" t="str" cm="1">
        <f t="array" ref="H1867">_xlfn.IFS(Lektionen[[#This Row],[Bearbeitungsdauer_abgewichen]]&gt;0.6,"viel länger",Lektionen[[#This Row],[Bearbeitungsdauer_abgewichen]]&gt;0.3,"länger",Lektionen[[#This Row],[Bearbeitungsdauer_abgewichen]]&lt;-0.3,"kürzer",TRUE,"keine Abweichung")</f>
        <v>keine Abweichung</v>
      </c>
      <c r="I1867">
        <v>2</v>
      </c>
    </row>
    <row r="1868" spans="1:9" hidden="1" x14ac:dyDescent="0.3">
      <c r="A1868" s="13">
        <v>294</v>
      </c>
      <c r="B1868" s="4">
        <v>3</v>
      </c>
      <c r="C1868" t="s">
        <v>552</v>
      </c>
      <c r="D1868" t="s">
        <v>530</v>
      </c>
      <c r="E1868">
        <v>30</v>
      </c>
      <c r="F1868">
        <v>27</v>
      </c>
      <c r="G1868" s="8">
        <f>Lektionen[[#This Row],[Bearbeitungsdauer_real]]/Lektionen[[#This Row],[Bearbeitungsdauer_geschätzt]]-1</f>
        <v>-9.9999999999999978E-2</v>
      </c>
      <c r="H1868" s="8" t="str" cm="1">
        <f t="array" ref="H1868">_xlfn.IFS(Lektionen[[#This Row],[Bearbeitungsdauer_abgewichen]]&gt;0.6,"viel länger",Lektionen[[#This Row],[Bearbeitungsdauer_abgewichen]]&gt;0.3,"länger",Lektionen[[#This Row],[Bearbeitungsdauer_abgewichen]]&lt;-0.3,"kürzer",TRUE,"keine Abweichung")</f>
        <v>keine Abweichung</v>
      </c>
      <c r="I1868">
        <v>2</v>
      </c>
    </row>
    <row r="1869" spans="1:9" hidden="1" x14ac:dyDescent="0.3">
      <c r="A1869" s="13">
        <v>294</v>
      </c>
      <c r="B1869" s="4">
        <v>4</v>
      </c>
      <c r="C1869" t="s">
        <v>531</v>
      </c>
      <c r="D1869" t="s">
        <v>530</v>
      </c>
      <c r="E1869">
        <v>30</v>
      </c>
      <c r="F1869">
        <v>29</v>
      </c>
      <c r="G1869" s="8">
        <f>Lektionen[[#This Row],[Bearbeitungsdauer_real]]/Lektionen[[#This Row],[Bearbeitungsdauer_geschätzt]]-1</f>
        <v>-3.3333333333333326E-2</v>
      </c>
      <c r="H1869" s="8" t="str" cm="1">
        <f t="array" ref="H1869">_xlfn.IFS(Lektionen[[#This Row],[Bearbeitungsdauer_abgewichen]]&gt;0.6,"viel länger",Lektionen[[#This Row],[Bearbeitungsdauer_abgewichen]]&gt;0.3,"länger",Lektionen[[#This Row],[Bearbeitungsdauer_abgewichen]]&lt;-0.3,"kürzer",TRUE,"keine Abweichung")</f>
        <v>keine Abweichung</v>
      </c>
      <c r="I1869">
        <v>3</v>
      </c>
    </row>
    <row r="1870" spans="1:9" x14ac:dyDescent="0.3">
      <c r="A1870" s="13">
        <v>294</v>
      </c>
      <c r="B1870" s="4">
        <v>5</v>
      </c>
      <c r="C1870" t="s">
        <v>532</v>
      </c>
      <c r="D1870" t="s">
        <v>530</v>
      </c>
      <c r="E1870">
        <v>30</v>
      </c>
      <c r="F1870">
        <v>45</v>
      </c>
      <c r="G1870" s="8">
        <f>Lektionen[[#This Row],[Bearbeitungsdauer_real]]/Lektionen[[#This Row],[Bearbeitungsdauer_geschätzt]]-1</f>
        <v>0.5</v>
      </c>
      <c r="H1870" s="8" t="str" cm="1">
        <f t="array" ref="H1870">_xlfn.IFS(Lektionen[[#This Row],[Bearbeitungsdauer_abgewichen]]&gt;0.6,"viel länger",Lektionen[[#This Row],[Bearbeitungsdauer_abgewichen]]&gt;0.3,"länger",Lektionen[[#This Row],[Bearbeitungsdauer_abgewichen]]&lt;-0.3,"kürzer",TRUE,"keine Abweichung")</f>
        <v>länger</v>
      </c>
      <c r="I1870">
        <v>4</v>
      </c>
    </row>
    <row r="1871" spans="1:9" hidden="1" x14ac:dyDescent="0.3">
      <c r="A1871" s="13">
        <v>294</v>
      </c>
      <c r="B1871" s="4">
        <v>6</v>
      </c>
      <c r="C1871" t="s">
        <v>533</v>
      </c>
      <c r="D1871" t="s">
        <v>534</v>
      </c>
      <c r="E1871">
        <v>5</v>
      </c>
      <c r="F1871">
        <v>1</v>
      </c>
      <c r="G1871" s="8">
        <f>Lektionen[[#This Row],[Bearbeitungsdauer_real]]/Lektionen[[#This Row],[Bearbeitungsdauer_geschätzt]]-1</f>
        <v>-0.8</v>
      </c>
      <c r="H1871" s="8" t="str" cm="1">
        <f t="array" ref="H1871">_xlfn.IFS(Lektionen[[#This Row],[Bearbeitungsdauer_abgewichen]]&gt;0.6,"viel länger",Lektionen[[#This Row],[Bearbeitungsdauer_abgewichen]]&gt;0.3,"länger",Lektionen[[#This Row],[Bearbeitungsdauer_abgewichen]]&lt;-0.3,"kürzer",TRUE,"keine Abweichung")</f>
        <v>kürzer</v>
      </c>
      <c r="I1871">
        <v>2</v>
      </c>
    </row>
    <row r="1872" spans="1:9" hidden="1" x14ac:dyDescent="0.3">
      <c r="A1872" s="13">
        <v>294</v>
      </c>
      <c r="B1872" s="4">
        <v>7</v>
      </c>
      <c r="C1872" t="s">
        <v>535</v>
      </c>
      <c r="D1872" t="s">
        <v>536</v>
      </c>
      <c r="E1872">
        <v>10</v>
      </c>
      <c r="F1872">
        <v>10</v>
      </c>
      <c r="G1872" s="8">
        <f>Lektionen[[#This Row],[Bearbeitungsdauer_real]]/Lektionen[[#This Row],[Bearbeitungsdauer_geschätzt]]-1</f>
        <v>0</v>
      </c>
      <c r="H1872" s="8" t="str" cm="1">
        <f t="array" ref="H1872">_xlfn.IFS(Lektionen[[#This Row],[Bearbeitungsdauer_abgewichen]]&gt;0.6,"viel länger",Lektionen[[#This Row],[Bearbeitungsdauer_abgewichen]]&gt;0.3,"länger",Lektionen[[#This Row],[Bearbeitungsdauer_abgewichen]]&lt;-0.3,"kürzer",TRUE,"keine Abweichung")</f>
        <v>keine Abweichung</v>
      </c>
      <c r="I1872">
        <v>3</v>
      </c>
    </row>
    <row r="1873" spans="1:9" hidden="1" x14ac:dyDescent="0.3">
      <c r="A1873" s="13">
        <v>294</v>
      </c>
      <c r="B1873" s="4">
        <v>8</v>
      </c>
      <c r="C1873" t="s">
        <v>537</v>
      </c>
      <c r="D1873" t="s">
        <v>527</v>
      </c>
      <c r="E1873">
        <v>5</v>
      </c>
      <c r="F1873">
        <v>5</v>
      </c>
      <c r="G1873" s="8">
        <f>Lektionen[[#This Row],[Bearbeitungsdauer_real]]/Lektionen[[#This Row],[Bearbeitungsdauer_geschätzt]]-1</f>
        <v>0</v>
      </c>
      <c r="H1873" s="8" t="str" cm="1">
        <f t="array" ref="H1873">_xlfn.IFS(Lektionen[[#This Row],[Bearbeitungsdauer_abgewichen]]&gt;0.6,"viel länger",Lektionen[[#This Row],[Bearbeitungsdauer_abgewichen]]&gt;0.3,"länger",Lektionen[[#This Row],[Bearbeitungsdauer_abgewichen]]&lt;-0.3,"kürzer",TRUE,"keine Abweichung")</f>
        <v>keine Abweichung</v>
      </c>
      <c r="I1873">
        <v>1</v>
      </c>
    </row>
    <row r="1874" spans="1:9" hidden="1" x14ac:dyDescent="0.3">
      <c r="A1874" s="13">
        <v>295</v>
      </c>
      <c r="B1874" s="4">
        <v>1</v>
      </c>
      <c r="C1874" t="s">
        <v>526</v>
      </c>
      <c r="D1874" t="s">
        <v>527</v>
      </c>
      <c r="E1874">
        <v>4</v>
      </c>
      <c r="F1874">
        <v>4</v>
      </c>
      <c r="G1874" s="8">
        <f>Lektionen[[#This Row],[Bearbeitungsdauer_real]]/Lektionen[[#This Row],[Bearbeitungsdauer_geschätzt]]-1</f>
        <v>0</v>
      </c>
      <c r="H1874" s="8" t="str" cm="1">
        <f t="array" ref="H1874">_xlfn.IFS(Lektionen[[#This Row],[Bearbeitungsdauer_abgewichen]]&gt;0.6,"viel länger",Lektionen[[#This Row],[Bearbeitungsdauer_abgewichen]]&gt;0.3,"länger",Lektionen[[#This Row],[Bearbeitungsdauer_abgewichen]]&lt;-0.3,"kürzer",TRUE,"keine Abweichung")</f>
        <v>keine Abweichung</v>
      </c>
      <c r="I1874">
        <v>1</v>
      </c>
    </row>
    <row r="1875" spans="1:9" hidden="1" x14ac:dyDescent="0.3">
      <c r="A1875" s="13">
        <v>295</v>
      </c>
      <c r="B1875" s="4">
        <v>2</v>
      </c>
      <c r="C1875" t="s">
        <v>528</v>
      </c>
      <c r="D1875" t="s">
        <v>529</v>
      </c>
      <c r="E1875">
        <v>15</v>
      </c>
      <c r="F1875">
        <v>18</v>
      </c>
      <c r="G1875" s="8">
        <f>Lektionen[[#This Row],[Bearbeitungsdauer_real]]/Lektionen[[#This Row],[Bearbeitungsdauer_geschätzt]]-1</f>
        <v>0.19999999999999996</v>
      </c>
      <c r="H1875" s="8" t="str" cm="1">
        <f t="array" ref="H1875">_xlfn.IFS(Lektionen[[#This Row],[Bearbeitungsdauer_abgewichen]]&gt;0.6,"viel länger",Lektionen[[#This Row],[Bearbeitungsdauer_abgewichen]]&gt;0.3,"länger",Lektionen[[#This Row],[Bearbeitungsdauer_abgewichen]]&lt;-0.3,"kürzer",TRUE,"keine Abweichung")</f>
        <v>keine Abweichung</v>
      </c>
      <c r="I1875">
        <v>2</v>
      </c>
    </row>
    <row r="1876" spans="1:9" hidden="1" x14ac:dyDescent="0.3">
      <c r="A1876" s="13">
        <v>295</v>
      </c>
      <c r="B1876" s="4">
        <v>3</v>
      </c>
      <c r="C1876" t="s">
        <v>552</v>
      </c>
      <c r="D1876" t="s">
        <v>530</v>
      </c>
      <c r="E1876">
        <v>30</v>
      </c>
      <c r="F1876">
        <v>28</v>
      </c>
      <c r="G1876" s="8">
        <f>Lektionen[[#This Row],[Bearbeitungsdauer_real]]/Lektionen[[#This Row],[Bearbeitungsdauer_geschätzt]]-1</f>
        <v>-6.6666666666666652E-2</v>
      </c>
      <c r="H1876" s="8" t="str" cm="1">
        <f t="array" ref="H1876">_xlfn.IFS(Lektionen[[#This Row],[Bearbeitungsdauer_abgewichen]]&gt;0.6,"viel länger",Lektionen[[#This Row],[Bearbeitungsdauer_abgewichen]]&gt;0.3,"länger",Lektionen[[#This Row],[Bearbeitungsdauer_abgewichen]]&lt;-0.3,"kürzer",TRUE,"keine Abweichung")</f>
        <v>keine Abweichung</v>
      </c>
      <c r="I1876">
        <v>3</v>
      </c>
    </row>
    <row r="1877" spans="1:9" hidden="1" x14ac:dyDescent="0.3">
      <c r="A1877" s="13">
        <v>295</v>
      </c>
      <c r="B1877" s="4">
        <v>4</v>
      </c>
      <c r="C1877" t="s">
        <v>531</v>
      </c>
      <c r="D1877" t="s">
        <v>530</v>
      </c>
      <c r="E1877">
        <v>30</v>
      </c>
      <c r="F1877">
        <v>32</v>
      </c>
      <c r="G1877" s="8">
        <f>Lektionen[[#This Row],[Bearbeitungsdauer_real]]/Lektionen[[#This Row],[Bearbeitungsdauer_geschätzt]]-1</f>
        <v>6.6666666666666652E-2</v>
      </c>
      <c r="H1877" s="8" t="str" cm="1">
        <f t="array" ref="H1877">_xlfn.IFS(Lektionen[[#This Row],[Bearbeitungsdauer_abgewichen]]&gt;0.6,"viel länger",Lektionen[[#This Row],[Bearbeitungsdauer_abgewichen]]&gt;0.3,"länger",Lektionen[[#This Row],[Bearbeitungsdauer_abgewichen]]&lt;-0.3,"kürzer",TRUE,"keine Abweichung")</f>
        <v>keine Abweichung</v>
      </c>
      <c r="I1877">
        <v>3</v>
      </c>
    </row>
    <row r="1878" spans="1:9" x14ac:dyDescent="0.3">
      <c r="A1878" s="13">
        <v>295</v>
      </c>
      <c r="B1878" s="4">
        <v>5</v>
      </c>
      <c r="C1878" t="s">
        <v>532</v>
      </c>
      <c r="D1878" t="s">
        <v>530</v>
      </c>
      <c r="E1878">
        <v>30</v>
      </c>
      <c r="F1878">
        <v>45</v>
      </c>
      <c r="G1878" s="8">
        <f>Lektionen[[#This Row],[Bearbeitungsdauer_real]]/Lektionen[[#This Row],[Bearbeitungsdauer_geschätzt]]-1</f>
        <v>0.5</v>
      </c>
      <c r="H1878" s="8" t="str" cm="1">
        <f t="array" ref="H1878">_xlfn.IFS(Lektionen[[#This Row],[Bearbeitungsdauer_abgewichen]]&gt;0.6,"viel länger",Lektionen[[#This Row],[Bearbeitungsdauer_abgewichen]]&gt;0.3,"länger",Lektionen[[#This Row],[Bearbeitungsdauer_abgewichen]]&lt;-0.3,"kürzer",TRUE,"keine Abweichung")</f>
        <v>länger</v>
      </c>
      <c r="I1878">
        <v>4</v>
      </c>
    </row>
    <row r="1879" spans="1:9" hidden="1" x14ac:dyDescent="0.3">
      <c r="A1879" s="13">
        <v>295</v>
      </c>
      <c r="B1879" s="4">
        <v>6</v>
      </c>
      <c r="C1879" t="s">
        <v>533</v>
      </c>
      <c r="D1879" t="s">
        <v>534</v>
      </c>
      <c r="E1879">
        <v>5</v>
      </c>
      <c r="F1879">
        <v>1</v>
      </c>
      <c r="G1879" s="8">
        <f>Lektionen[[#This Row],[Bearbeitungsdauer_real]]/Lektionen[[#This Row],[Bearbeitungsdauer_geschätzt]]-1</f>
        <v>-0.8</v>
      </c>
      <c r="H1879" s="8" t="str" cm="1">
        <f t="array" ref="H1879">_xlfn.IFS(Lektionen[[#This Row],[Bearbeitungsdauer_abgewichen]]&gt;0.6,"viel länger",Lektionen[[#This Row],[Bearbeitungsdauer_abgewichen]]&gt;0.3,"länger",Lektionen[[#This Row],[Bearbeitungsdauer_abgewichen]]&lt;-0.3,"kürzer",TRUE,"keine Abweichung")</f>
        <v>kürzer</v>
      </c>
      <c r="I1879">
        <v>2</v>
      </c>
    </row>
    <row r="1880" spans="1:9" hidden="1" x14ac:dyDescent="0.3">
      <c r="A1880" s="13">
        <v>295</v>
      </c>
      <c r="B1880" s="4">
        <v>7</v>
      </c>
      <c r="C1880" t="s">
        <v>535</v>
      </c>
      <c r="D1880" t="s">
        <v>536</v>
      </c>
      <c r="E1880">
        <v>10</v>
      </c>
      <c r="F1880">
        <v>9</v>
      </c>
      <c r="G1880" s="8">
        <f>Lektionen[[#This Row],[Bearbeitungsdauer_real]]/Lektionen[[#This Row],[Bearbeitungsdauer_geschätzt]]-1</f>
        <v>-9.9999999999999978E-2</v>
      </c>
      <c r="H1880" s="8" t="str" cm="1">
        <f t="array" ref="H1880">_xlfn.IFS(Lektionen[[#This Row],[Bearbeitungsdauer_abgewichen]]&gt;0.6,"viel länger",Lektionen[[#This Row],[Bearbeitungsdauer_abgewichen]]&gt;0.3,"länger",Lektionen[[#This Row],[Bearbeitungsdauer_abgewichen]]&lt;-0.3,"kürzer",TRUE,"keine Abweichung")</f>
        <v>keine Abweichung</v>
      </c>
      <c r="I1880">
        <v>4</v>
      </c>
    </row>
    <row r="1881" spans="1:9" hidden="1" x14ac:dyDescent="0.3">
      <c r="A1881" s="13">
        <v>295</v>
      </c>
      <c r="B1881" s="4">
        <v>8</v>
      </c>
      <c r="C1881" t="s">
        <v>537</v>
      </c>
      <c r="D1881" t="s">
        <v>527</v>
      </c>
      <c r="E1881">
        <v>5</v>
      </c>
      <c r="F1881">
        <v>5</v>
      </c>
      <c r="G1881" s="8">
        <f>Lektionen[[#This Row],[Bearbeitungsdauer_real]]/Lektionen[[#This Row],[Bearbeitungsdauer_geschätzt]]-1</f>
        <v>0</v>
      </c>
      <c r="H1881" s="8" t="str" cm="1">
        <f t="array" ref="H1881">_xlfn.IFS(Lektionen[[#This Row],[Bearbeitungsdauer_abgewichen]]&gt;0.6,"viel länger",Lektionen[[#This Row],[Bearbeitungsdauer_abgewichen]]&gt;0.3,"länger",Lektionen[[#This Row],[Bearbeitungsdauer_abgewichen]]&lt;-0.3,"kürzer",TRUE,"keine Abweichung")</f>
        <v>keine Abweichung</v>
      </c>
      <c r="I1881">
        <v>1</v>
      </c>
    </row>
    <row r="1882" spans="1:9" hidden="1" x14ac:dyDescent="0.3">
      <c r="A1882" s="13">
        <v>296</v>
      </c>
      <c r="B1882" s="4">
        <v>1</v>
      </c>
      <c r="C1882" t="s">
        <v>526</v>
      </c>
      <c r="D1882" t="s">
        <v>527</v>
      </c>
      <c r="E1882">
        <v>4</v>
      </c>
      <c r="F1882">
        <v>4</v>
      </c>
      <c r="G1882" s="8">
        <f>Lektionen[[#This Row],[Bearbeitungsdauer_real]]/Lektionen[[#This Row],[Bearbeitungsdauer_geschätzt]]-1</f>
        <v>0</v>
      </c>
      <c r="H1882" s="8" t="str" cm="1">
        <f t="array" ref="H1882">_xlfn.IFS(Lektionen[[#This Row],[Bearbeitungsdauer_abgewichen]]&gt;0.6,"viel länger",Lektionen[[#This Row],[Bearbeitungsdauer_abgewichen]]&gt;0.3,"länger",Lektionen[[#This Row],[Bearbeitungsdauer_abgewichen]]&lt;-0.3,"kürzer",TRUE,"keine Abweichung")</f>
        <v>keine Abweichung</v>
      </c>
      <c r="I1882">
        <v>1</v>
      </c>
    </row>
    <row r="1883" spans="1:9" hidden="1" x14ac:dyDescent="0.3">
      <c r="A1883" s="13">
        <v>296</v>
      </c>
      <c r="B1883" s="4">
        <v>2</v>
      </c>
      <c r="C1883" t="s">
        <v>528</v>
      </c>
      <c r="D1883" t="s">
        <v>529</v>
      </c>
      <c r="E1883">
        <v>15</v>
      </c>
      <c r="F1883">
        <v>18</v>
      </c>
      <c r="G1883" s="8">
        <f>Lektionen[[#This Row],[Bearbeitungsdauer_real]]/Lektionen[[#This Row],[Bearbeitungsdauer_geschätzt]]-1</f>
        <v>0.19999999999999996</v>
      </c>
      <c r="H1883" s="8" t="str" cm="1">
        <f t="array" ref="H1883">_xlfn.IFS(Lektionen[[#This Row],[Bearbeitungsdauer_abgewichen]]&gt;0.6,"viel länger",Lektionen[[#This Row],[Bearbeitungsdauer_abgewichen]]&gt;0.3,"länger",Lektionen[[#This Row],[Bearbeitungsdauer_abgewichen]]&lt;-0.3,"kürzer",TRUE,"keine Abweichung")</f>
        <v>keine Abweichung</v>
      </c>
      <c r="I1883">
        <v>1</v>
      </c>
    </row>
    <row r="1884" spans="1:9" hidden="1" x14ac:dyDescent="0.3">
      <c r="A1884" s="13">
        <v>296</v>
      </c>
      <c r="B1884" s="4">
        <v>3</v>
      </c>
      <c r="C1884" t="s">
        <v>552</v>
      </c>
      <c r="D1884" t="s">
        <v>530</v>
      </c>
      <c r="E1884">
        <v>30</v>
      </c>
      <c r="F1884">
        <v>29</v>
      </c>
      <c r="G1884" s="8">
        <f>Lektionen[[#This Row],[Bearbeitungsdauer_real]]/Lektionen[[#This Row],[Bearbeitungsdauer_geschätzt]]-1</f>
        <v>-3.3333333333333326E-2</v>
      </c>
      <c r="H1884" s="8" t="str" cm="1">
        <f t="array" ref="H1884">_xlfn.IFS(Lektionen[[#This Row],[Bearbeitungsdauer_abgewichen]]&gt;0.6,"viel länger",Lektionen[[#This Row],[Bearbeitungsdauer_abgewichen]]&gt;0.3,"länger",Lektionen[[#This Row],[Bearbeitungsdauer_abgewichen]]&lt;-0.3,"kürzer",TRUE,"keine Abweichung")</f>
        <v>keine Abweichung</v>
      </c>
      <c r="I1884">
        <v>2</v>
      </c>
    </row>
    <row r="1885" spans="1:9" hidden="1" x14ac:dyDescent="0.3">
      <c r="A1885" s="13">
        <v>296</v>
      </c>
      <c r="B1885" s="4">
        <v>4</v>
      </c>
      <c r="C1885" t="s">
        <v>531</v>
      </c>
      <c r="D1885" t="s">
        <v>530</v>
      </c>
      <c r="E1885">
        <v>30</v>
      </c>
      <c r="F1885">
        <v>23</v>
      </c>
      <c r="G1885" s="8">
        <f>Lektionen[[#This Row],[Bearbeitungsdauer_real]]/Lektionen[[#This Row],[Bearbeitungsdauer_geschätzt]]-1</f>
        <v>-0.23333333333333328</v>
      </c>
      <c r="H1885" s="8" t="str" cm="1">
        <f t="array" ref="H1885">_xlfn.IFS(Lektionen[[#This Row],[Bearbeitungsdauer_abgewichen]]&gt;0.6,"viel länger",Lektionen[[#This Row],[Bearbeitungsdauer_abgewichen]]&gt;0.3,"länger",Lektionen[[#This Row],[Bearbeitungsdauer_abgewichen]]&lt;-0.3,"kürzer",TRUE,"keine Abweichung")</f>
        <v>keine Abweichung</v>
      </c>
      <c r="I1885">
        <v>2</v>
      </c>
    </row>
    <row r="1886" spans="1:9" x14ac:dyDescent="0.3">
      <c r="A1886" s="13">
        <v>296</v>
      </c>
      <c r="B1886" s="4">
        <v>5</v>
      </c>
      <c r="C1886" t="s">
        <v>532</v>
      </c>
      <c r="D1886" t="s">
        <v>530</v>
      </c>
      <c r="E1886">
        <v>30</v>
      </c>
      <c r="F1886">
        <v>38</v>
      </c>
      <c r="G1886" s="8">
        <f>Lektionen[[#This Row],[Bearbeitungsdauer_real]]/Lektionen[[#This Row],[Bearbeitungsdauer_geschätzt]]-1</f>
        <v>0.26666666666666661</v>
      </c>
      <c r="H1886" s="8" t="str" cm="1">
        <f t="array" ref="H1886">_xlfn.IFS(Lektionen[[#This Row],[Bearbeitungsdauer_abgewichen]]&gt;0.6,"viel länger",Lektionen[[#This Row],[Bearbeitungsdauer_abgewichen]]&gt;0.3,"länger",Lektionen[[#This Row],[Bearbeitungsdauer_abgewichen]]&lt;-0.3,"kürzer",TRUE,"keine Abweichung")</f>
        <v>keine Abweichung</v>
      </c>
      <c r="I1886">
        <v>3</v>
      </c>
    </row>
    <row r="1887" spans="1:9" hidden="1" x14ac:dyDescent="0.3">
      <c r="A1887" s="13">
        <v>296</v>
      </c>
      <c r="B1887" s="4">
        <v>6</v>
      </c>
      <c r="C1887" t="s">
        <v>533</v>
      </c>
      <c r="D1887" t="s">
        <v>534</v>
      </c>
      <c r="E1887">
        <v>5</v>
      </c>
      <c r="F1887">
        <v>1</v>
      </c>
      <c r="G1887" s="8">
        <f>Lektionen[[#This Row],[Bearbeitungsdauer_real]]/Lektionen[[#This Row],[Bearbeitungsdauer_geschätzt]]-1</f>
        <v>-0.8</v>
      </c>
      <c r="H1887" s="8" t="str" cm="1">
        <f t="array" ref="H1887">_xlfn.IFS(Lektionen[[#This Row],[Bearbeitungsdauer_abgewichen]]&gt;0.6,"viel länger",Lektionen[[#This Row],[Bearbeitungsdauer_abgewichen]]&gt;0.3,"länger",Lektionen[[#This Row],[Bearbeitungsdauer_abgewichen]]&lt;-0.3,"kürzer",TRUE,"keine Abweichung")</f>
        <v>kürzer</v>
      </c>
      <c r="I1887">
        <v>1</v>
      </c>
    </row>
    <row r="1888" spans="1:9" hidden="1" x14ac:dyDescent="0.3">
      <c r="A1888" s="13">
        <v>296</v>
      </c>
      <c r="B1888" s="4">
        <v>7</v>
      </c>
      <c r="C1888" t="s">
        <v>535</v>
      </c>
      <c r="D1888" t="s">
        <v>536</v>
      </c>
      <c r="E1888">
        <v>10</v>
      </c>
      <c r="F1888">
        <v>8</v>
      </c>
      <c r="G1888" s="8">
        <f>Lektionen[[#This Row],[Bearbeitungsdauer_real]]/Lektionen[[#This Row],[Bearbeitungsdauer_geschätzt]]-1</f>
        <v>-0.19999999999999996</v>
      </c>
      <c r="H1888" s="8" t="str" cm="1">
        <f t="array" ref="H1888">_xlfn.IFS(Lektionen[[#This Row],[Bearbeitungsdauer_abgewichen]]&gt;0.6,"viel länger",Lektionen[[#This Row],[Bearbeitungsdauer_abgewichen]]&gt;0.3,"länger",Lektionen[[#This Row],[Bearbeitungsdauer_abgewichen]]&lt;-0.3,"kürzer",TRUE,"keine Abweichung")</f>
        <v>keine Abweichung</v>
      </c>
      <c r="I1888">
        <v>3</v>
      </c>
    </row>
    <row r="1889" spans="1:9" hidden="1" x14ac:dyDescent="0.3">
      <c r="A1889" s="13">
        <v>296</v>
      </c>
      <c r="B1889" s="4">
        <v>8</v>
      </c>
      <c r="C1889" t="s">
        <v>537</v>
      </c>
      <c r="D1889" t="s">
        <v>527</v>
      </c>
      <c r="E1889">
        <v>5</v>
      </c>
      <c r="F1889">
        <v>5</v>
      </c>
      <c r="G1889" s="8">
        <f>Lektionen[[#This Row],[Bearbeitungsdauer_real]]/Lektionen[[#This Row],[Bearbeitungsdauer_geschätzt]]-1</f>
        <v>0</v>
      </c>
      <c r="H1889" s="8" t="str" cm="1">
        <f t="array" ref="H1889">_xlfn.IFS(Lektionen[[#This Row],[Bearbeitungsdauer_abgewichen]]&gt;0.6,"viel länger",Lektionen[[#This Row],[Bearbeitungsdauer_abgewichen]]&gt;0.3,"länger",Lektionen[[#This Row],[Bearbeitungsdauer_abgewichen]]&lt;-0.3,"kürzer",TRUE,"keine Abweichung")</f>
        <v>keine Abweichung</v>
      </c>
      <c r="I1889">
        <v>1</v>
      </c>
    </row>
    <row r="1890" spans="1:9" hidden="1" x14ac:dyDescent="0.3">
      <c r="A1890" s="13">
        <v>298</v>
      </c>
      <c r="B1890" s="4">
        <v>1</v>
      </c>
      <c r="C1890" t="s">
        <v>526</v>
      </c>
      <c r="D1890" t="s">
        <v>527</v>
      </c>
      <c r="E1890">
        <v>4</v>
      </c>
      <c r="F1890">
        <v>4</v>
      </c>
      <c r="G1890" s="8">
        <f>Lektionen[[#This Row],[Bearbeitungsdauer_real]]/Lektionen[[#This Row],[Bearbeitungsdauer_geschätzt]]-1</f>
        <v>0</v>
      </c>
      <c r="H1890" s="8" t="str" cm="1">
        <f t="array" ref="H1890">_xlfn.IFS(Lektionen[[#This Row],[Bearbeitungsdauer_abgewichen]]&gt;0.6,"viel länger",Lektionen[[#This Row],[Bearbeitungsdauer_abgewichen]]&gt;0.3,"länger",Lektionen[[#This Row],[Bearbeitungsdauer_abgewichen]]&lt;-0.3,"kürzer",TRUE,"keine Abweichung")</f>
        <v>keine Abweichung</v>
      </c>
      <c r="I1890">
        <v>1</v>
      </c>
    </row>
    <row r="1891" spans="1:9" hidden="1" x14ac:dyDescent="0.3">
      <c r="A1891" s="13">
        <v>298</v>
      </c>
      <c r="B1891" s="4">
        <v>2</v>
      </c>
      <c r="C1891" t="s">
        <v>528</v>
      </c>
      <c r="D1891" t="s">
        <v>529</v>
      </c>
      <c r="E1891">
        <v>15</v>
      </c>
      <c r="F1891">
        <v>19</v>
      </c>
      <c r="G1891" s="8">
        <f>Lektionen[[#This Row],[Bearbeitungsdauer_real]]/Lektionen[[#This Row],[Bearbeitungsdauer_geschätzt]]-1</f>
        <v>0.26666666666666661</v>
      </c>
      <c r="H1891" s="8" t="str" cm="1">
        <f t="array" ref="H1891">_xlfn.IFS(Lektionen[[#This Row],[Bearbeitungsdauer_abgewichen]]&gt;0.6,"viel länger",Lektionen[[#This Row],[Bearbeitungsdauer_abgewichen]]&gt;0.3,"länger",Lektionen[[#This Row],[Bearbeitungsdauer_abgewichen]]&lt;-0.3,"kürzer",TRUE,"keine Abweichung")</f>
        <v>keine Abweichung</v>
      </c>
      <c r="I1891">
        <v>1</v>
      </c>
    </row>
    <row r="1892" spans="1:9" hidden="1" x14ac:dyDescent="0.3">
      <c r="A1892" s="13">
        <v>298</v>
      </c>
      <c r="B1892" s="4">
        <v>3</v>
      </c>
      <c r="C1892" t="s">
        <v>552</v>
      </c>
      <c r="D1892" t="s">
        <v>530</v>
      </c>
      <c r="E1892">
        <v>30</v>
      </c>
      <c r="F1892">
        <v>29</v>
      </c>
      <c r="G1892" s="8">
        <f>Lektionen[[#This Row],[Bearbeitungsdauer_real]]/Lektionen[[#This Row],[Bearbeitungsdauer_geschätzt]]-1</f>
        <v>-3.3333333333333326E-2</v>
      </c>
      <c r="H1892" s="8" t="str" cm="1">
        <f t="array" ref="H1892">_xlfn.IFS(Lektionen[[#This Row],[Bearbeitungsdauer_abgewichen]]&gt;0.6,"viel länger",Lektionen[[#This Row],[Bearbeitungsdauer_abgewichen]]&gt;0.3,"länger",Lektionen[[#This Row],[Bearbeitungsdauer_abgewichen]]&lt;-0.3,"kürzer",TRUE,"keine Abweichung")</f>
        <v>keine Abweichung</v>
      </c>
      <c r="I1892">
        <v>3</v>
      </c>
    </row>
    <row r="1893" spans="1:9" hidden="1" x14ac:dyDescent="0.3">
      <c r="A1893" s="13">
        <v>298</v>
      </c>
      <c r="B1893" s="4">
        <v>4</v>
      </c>
      <c r="C1893" t="s">
        <v>531</v>
      </c>
      <c r="D1893" t="s">
        <v>530</v>
      </c>
      <c r="E1893">
        <v>30</v>
      </c>
      <c r="F1893">
        <v>21</v>
      </c>
      <c r="G1893" s="8">
        <f>Lektionen[[#This Row],[Bearbeitungsdauer_real]]/Lektionen[[#This Row],[Bearbeitungsdauer_geschätzt]]-1</f>
        <v>-0.30000000000000004</v>
      </c>
      <c r="H1893" s="8" t="str" cm="1">
        <f t="array" ref="H1893">_xlfn.IFS(Lektionen[[#This Row],[Bearbeitungsdauer_abgewichen]]&gt;0.6,"viel länger",Lektionen[[#This Row],[Bearbeitungsdauer_abgewichen]]&gt;0.3,"länger",Lektionen[[#This Row],[Bearbeitungsdauer_abgewichen]]&lt;-0.3,"kürzer",TRUE,"keine Abweichung")</f>
        <v>keine Abweichung</v>
      </c>
      <c r="I1893">
        <v>2</v>
      </c>
    </row>
    <row r="1894" spans="1:9" x14ac:dyDescent="0.3">
      <c r="A1894" s="13">
        <v>298</v>
      </c>
      <c r="B1894" s="4">
        <v>5</v>
      </c>
      <c r="C1894" t="s">
        <v>532</v>
      </c>
      <c r="D1894" t="s">
        <v>530</v>
      </c>
      <c r="E1894">
        <v>30</v>
      </c>
      <c r="F1894">
        <v>42</v>
      </c>
      <c r="G1894" s="8">
        <f>Lektionen[[#This Row],[Bearbeitungsdauer_real]]/Lektionen[[#This Row],[Bearbeitungsdauer_geschätzt]]-1</f>
        <v>0.39999999999999991</v>
      </c>
      <c r="H1894" s="8" t="str" cm="1">
        <f t="array" ref="H1894">_xlfn.IFS(Lektionen[[#This Row],[Bearbeitungsdauer_abgewichen]]&gt;0.6,"viel länger",Lektionen[[#This Row],[Bearbeitungsdauer_abgewichen]]&gt;0.3,"länger",Lektionen[[#This Row],[Bearbeitungsdauer_abgewichen]]&lt;-0.3,"kürzer",TRUE,"keine Abweichung")</f>
        <v>länger</v>
      </c>
      <c r="I1894">
        <v>4</v>
      </c>
    </row>
    <row r="1895" spans="1:9" hidden="1" x14ac:dyDescent="0.3">
      <c r="A1895" s="13">
        <v>298</v>
      </c>
      <c r="B1895" s="4">
        <v>6</v>
      </c>
      <c r="C1895" t="s">
        <v>533</v>
      </c>
      <c r="D1895" t="s">
        <v>534</v>
      </c>
      <c r="E1895">
        <v>5</v>
      </c>
      <c r="F1895">
        <v>3</v>
      </c>
      <c r="G1895" s="8">
        <f>Lektionen[[#This Row],[Bearbeitungsdauer_real]]/Lektionen[[#This Row],[Bearbeitungsdauer_geschätzt]]-1</f>
        <v>-0.4</v>
      </c>
      <c r="H1895" s="8" t="str" cm="1">
        <f t="array" ref="H1895">_xlfn.IFS(Lektionen[[#This Row],[Bearbeitungsdauer_abgewichen]]&gt;0.6,"viel länger",Lektionen[[#This Row],[Bearbeitungsdauer_abgewichen]]&gt;0.3,"länger",Lektionen[[#This Row],[Bearbeitungsdauer_abgewichen]]&lt;-0.3,"kürzer",TRUE,"keine Abweichung")</f>
        <v>kürzer</v>
      </c>
      <c r="I1895">
        <v>2</v>
      </c>
    </row>
    <row r="1896" spans="1:9" hidden="1" x14ac:dyDescent="0.3">
      <c r="A1896" s="13">
        <v>298</v>
      </c>
      <c r="B1896" s="4">
        <v>7</v>
      </c>
      <c r="C1896" t="s">
        <v>535</v>
      </c>
      <c r="D1896" t="s">
        <v>536</v>
      </c>
      <c r="E1896">
        <v>10</v>
      </c>
      <c r="F1896">
        <v>8</v>
      </c>
      <c r="G1896" s="8">
        <f>Lektionen[[#This Row],[Bearbeitungsdauer_real]]/Lektionen[[#This Row],[Bearbeitungsdauer_geschätzt]]-1</f>
        <v>-0.19999999999999996</v>
      </c>
      <c r="H1896" s="8" t="str" cm="1">
        <f t="array" ref="H1896">_xlfn.IFS(Lektionen[[#This Row],[Bearbeitungsdauer_abgewichen]]&gt;0.6,"viel länger",Lektionen[[#This Row],[Bearbeitungsdauer_abgewichen]]&gt;0.3,"länger",Lektionen[[#This Row],[Bearbeitungsdauer_abgewichen]]&lt;-0.3,"kürzer",TRUE,"keine Abweichung")</f>
        <v>keine Abweichung</v>
      </c>
      <c r="I1896">
        <v>4</v>
      </c>
    </row>
    <row r="1897" spans="1:9" hidden="1" x14ac:dyDescent="0.3">
      <c r="A1897" s="13">
        <v>298</v>
      </c>
      <c r="B1897" s="4">
        <v>8</v>
      </c>
      <c r="C1897" t="s">
        <v>537</v>
      </c>
      <c r="D1897" t="s">
        <v>527</v>
      </c>
      <c r="E1897">
        <v>5</v>
      </c>
      <c r="F1897">
        <v>5</v>
      </c>
      <c r="G1897" s="8">
        <f>Lektionen[[#This Row],[Bearbeitungsdauer_real]]/Lektionen[[#This Row],[Bearbeitungsdauer_geschätzt]]-1</f>
        <v>0</v>
      </c>
      <c r="H1897" s="8" t="str" cm="1">
        <f t="array" ref="H1897">_xlfn.IFS(Lektionen[[#This Row],[Bearbeitungsdauer_abgewichen]]&gt;0.6,"viel länger",Lektionen[[#This Row],[Bearbeitungsdauer_abgewichen]]&gt;0.3,"länger",Lektionen[[#This Row],[Bearbeitungsdauer_abgewichen]]&lt;-0.3,"kürzer",TRUE,"keine Abweichung")</f>
        <v>keine Abweichung</v>
      </c>
      <c r="I1897">
        <v>1</v>
      </c>
    </row>
    <row r="1898" spans="1:9" hidden="1" x14ac:dyDescent="0.3">
      <c r="A1898" s="13">
        <v>299</v>
      </c>
      <c r="B1898" s="4">
        <v>1</v>
      </c>
      <c r="C1898" t="s">
        <v>526</v>
      </c>
      <c r="D1898" t="s">
        <v>527</v>
      </c>
      <c r="E1898">
        <v>4</v>
      </c>
      <c r="F1898">
        <v>6</v>
      </c>
      <c r="G1898" s="8">
        <f>Lektionen[[#This Row],[Bearbeitungsdauer_real]]/Lektionen[[#This Row],[Bearbeitungsdauer_geschätzt]]-1</f>
        <v>0.5</v>
      </c>
      <c r="H1898" s="8" t="str" cm="1">
        <f t="array" ref="H1898">_xlfn.IFS(Lektionen[[#This Row],[Bearbeitungsdauer_abgewichen]]&gt;0.6,"viel länger",Lektionen[[#This Row],[Bearbeitungsdauer_abgewichen]]&gt;0.3,"länger",Lektionen[[#This Row],[Bearbeitungsdauer_abgewichen]]&lt;-0.3,"kürzer",TRUE,"keine Abweichung")</f>
        <v>länger</v>
      </c>
      <c r="I1898">
        <v>1</v>
      </c>
    </row>
    <row r="1899" spans="1:9" hidden="1" x14ac:dyDescent="0.3">
      <c r="A1899" s="13">
        <v>299</v>
      </c>
      <c r="B1899" s="4">
        <v>2</v>
      </c>
      <c r="C1899" t="s">
        <v>528</v>
      </c>
      <c r="D1899" t="s">
        <v>529</v>
      </c>
      <c r="E1899">
        <v>15</v>
      </c>
      <c r="F1899">
        <v>18</v>
      </c>
      <c r="G1899" s="8">
        <f>Lektionen[[#This Row],[Bearbeitungsdauer_real]]/Lektionen[[#This Row],[Bearbeitungsdauer_geschätzt]]-1</f>
        <v>0.19999999999999996</v>
      </c>
      <c r="H1899" s="8" t="str" cm="1">
        <f t="array" ref="H1899">_xlfn.IFS(Lektionen[[#This Row],[Bearbeitungsdauer_abgewichen]]&gt;0.6,"viel länger",Lektionen[[#This Row],[Bearbeitungsdauer_abgewichen]]&gt;0.3,"länger",Lektionen[[#This Row],[Bearbeitungsdauer_abgewichen]]&lt;-0.3,"kürzer",TRUE,"keine Abweichung")</f>
        <v>keine Abweichung</v>
      </c>
      <c r="I1899">
        <v>2</v>
      </c>
    </row>
    <row r="1900" spans="1:9" hidden="1" x14ac:dyDescent="0.3">
      <c r="A1900" s="13">
        <v>299</v>
      </c>
      <c r="B1900" s="4">
        <v>3</v>
      </c>
      <c r="C1900" t="s">
        <v>552</v>
      </c>
      <c r="D1900" t="s">
        <v>530</v>
      </c>
      <c r="E1900">
        <v>30</v>
      </c>
      <c r="F1900">
        <v>29</v>
      </c>
      <c r="G1900" s="8">
        <f>Lektionen[[#This Row],[Bearbeitungsdauer_real]]/Lektionen[[#This Row],[Bearbeitungsdauer_geschätzt]]-1</f>
        <v>-3.3333333333333326E-2</v>
      </c>
      <c r="H1900" s="8" t="str" cm="1">
        <f t="array" ref="H1900">_xlfn.IFS(Lektionen[[#This Row],[Bearbeitungsdauer_abgewichen]]&gt;0.6,"viel länger",Lektionen[[#This Row],[Bearbeitungsdauer_abgewichen]]&gt;0.3,"länger",Lektionen[[#This Row],[Bearbeitungsdauer_abgewichen]]&lt;-0.3,"kürzer",TRUE,"keine Abweichung")</f>
        <v>keine Abweichung</v>
      </c>
      <c r="I1900">
        <v>3</v>
      </c>
    </row>
    <row r="1901" spans="1:9" hidden="1" x14ac:dyDescent="0.3">
      <c r="A1901" s="13">
        <v>299</v>
      </c>
      <c r="B1901" s="4">
        <v>4</v>
      </c>
      <c r="C1901" t="s">
        <v>531</v>
      </c>
      <c r="D1901" t="s">
        <v>530</v>
      </c>
      <c r="E1901">
        <v>30</v>
      </c>
      <c r="F1901">
        <v>34</v>
      </c>
      <c r="G1901" s="8">
        <f>Lektionen[[#This Row],[Bearbeitungsdauer_real]]/Lektionen[[#This Row],[Bearbeitungsdauer_geschätzt]]-1</f>
        <v>0.1333333333333333</v>
      </c>
      <c r="H1901" s="8" t="str" cm="1">
        <f t="array" ref="H1901">_xlfn.IFS(Lektionen[[#This Row],[Bearbeitungsdauer_abgewichen]]&gt;0.6,"viel länger",Lektionen[[#This Row],[Bearbeitungsdauer_abgewichen]]&gt;0.3,"länger",Lektionen[[#This Row],[Bearbeitungsdauer_abgewichen]]&lt;-0.3,"kürzer",TRUE,"keine Abweichung")</f>
        <v>keine Abweichung</v>
      </c>
      <c r="I1901">
        <v>2</v>
      </c>
    </row>
    <row r="1902" spans="1:9" x14ac:dyDescent="0.3">
      <c r="A1902" s="13">
        <v>299</v>
      </c>
      <c r="B1902" s="4">
        <v>5</v>
      </c>
      <c r="C1902" t="s">
        <v>532</v>
      </c>
      <c r="D1902" t="s">
        <v>530</v>
      </c>
      <c r="E1902">
        <v>30</v>
      </c>
      <c r="F1902">
        <v>43</v>
      </c>
      <c r="G1902" s="8">
        <f>Lektionen[[#This Row],[Bearbeitungsdauer_real]]/Lektionen[[#This Row],[Bearbeitungsdauer_geschätzt]]-1</f>
        <v>0.43333333333333335</v>
      </c>
      <c r="H1902" s="8" t="str" cm="1">
        <f t="array" ref="H1902">_xlfn.IFS(Lektionen[[#This Row],[Bearbeitungsdauer_abgewichen]]&gt;0.6,"viel länger",Lektionen[[#This Row],[Bearbeitungsdauer_abgewichen]]&gt;0.3,"länger",Lektionen[[#This Row],[Bearbeitungsdauer_abgewichen]]&lt;-0.3,"kürzer",TRUE,"keine Abweichung")</f>
        <v>länger</v>
      </c>
      <c r="I1902">
        <v>4</v>
      </c>
    </row>
    <row r="1903" spans="1:9" hidden="1" x14ac:dyDescent="0.3">
      <c r="A1903" s="13">
        <v>299</v>
      </c>
      <c r="B1903" s="4">
        <v>6</v>
      </c>
      <c r="C1903" t="s">
        <v>533</v>
      </c>
      <c r="D1903" t="s">
        <v>534</v>
      </c>
      <c r="E1903">
        <v>5</v>
      </c>
      <c r="F1903">
        <v>1</v>
      </c>
      <c r="G1903" s="8">
        <f>Lektionen[[#This Row],[Bearbeitungsdauer_real]]/Lektionen[[#This Row],[Bearbeitungsdauer_geschätzt]]-1</f>
        <v>-0.8</v>
      </c>
      <c r="H1903" s="8" t="str" cm="1">
        <f t="array" ref="H1903">_xlfn.IFS(Lektionen[[#This Row],[Bearbeitungsdauer_abgewichen]]&gt;0.6,"viel länger",Lektionen[[#This Row],[Bearbeitungsdauer_abgewichen]]&gt;0.3,"länger",Lektionen[[#This Row],[Bearbeitungsdauer_abgewichen]]&lt;-0.3,"kürzer",TRUE,"keine Abweichung")</f>
        <v>kürzer</v>
      </c>
      <c r="I1903">
        <v>3</v>
      </c>
    </row>
    <row r="1904" spans="1:9" hidden="1" x14ac:dyDescent="0.3">
      <c r="A1904" s="13">
        <v>299</v>
      </c>
      <c r="B1904" s="4">
        <v>7</v>
      </c>
      <c r="C1904" t="s">
        <v>535</v>
      </c>
      <c r="D1904" t="s">
        <v>536</v>
      </c>
      <c r="E1904">
        <v>10</v>
      </c>
      <c r="F1904">
        <v>10</v>
      </c>
      <c r="G1904" s="8">
        <f>Lektionen[[#This Row],[Bearbeitungsdauer_real]]/Lektionen[[#This Row],[Bearbeitungsdauer_geschätzt]]-1</f>
        <v>0</v>
      </c>
      <c r="H1904" s="8" t="str" cm="1">
        <f t="array" ref="H1904">_xlfn.IFS(Lektionen[[#This Row],[Bearbeitungsdauer_abgewichen]]&gt;0.6,"viel länger",Lektionen[[#This Row],[Bearbeitungsdauer_abgewichen]]&gt;0.3,"länger",Lektionen[[#This Row],[Bearbeitungsdauer_abgewichen]]&lt;-0.3,"kürzer",TRUE,"keine Abweichung")</f>
        <v>keine Abweichung</v>
      </c>
      <c r="I1904">
        <v>4</v>
      </c>
    </row>
    <row r="1905" spans="1:9" hidden="1" x14ac:dyDescent="0.3">
      <c r="A1905" s="13">
        <v>299</v>
      </c>
      <c r="B1905" s="4">
        <v>8</v>
      </c>
      <c r="C1905" t="s">
        <v>537</v>
      </c>
      <c r="D1905" t="s">
        <v>527</v>
      </c>
      <c r="E1905">
        <v>5</v>
      </c>
      <c r="F1905">
        <v>5</v>
      </c>
      <c r="G1905" s="8">
        <f>Lektionen[[#This Row],[Bearbeitungsdauer_real]]/Lektionen[[#This Row],[Bearbeitungsdauer_geschätzt]]-1</f>
        <v>0</v>
      </c>
      <c r="H1905" s="8" t="str" cm="1">
        <f t="array" ref="H1905">_xlfn.IFS(Lektionen[[#This Row],[Bearbeitungsdauer_abgewichen]]&gt;0.6,"viel länger",Lektionen[[#This Row],[Bearbeitungsdauer_abgewichen]]&gt;0.3,"länger",Lektionen[[#This Row],[Bearbeitungsdauer_abgewichen]]&lt;-0.3,"kürzer",TRUE,"keine Abweichung")</f>
        <v>keine Abweichung</v>
      </c>
      <c r="I1905">
        <v>1</v>
      </c>
    </row>
    <row r="1906" spans="1:9" hidden="1" x14ac:dyDescent="0.3">
      <c r="A1906" s="13">
        <v>300</v>
      </c>
      <c r="B1906" s="4">
        <v>1</v>
      </c>
      <c r="C1906" t="s">
        <v>526</v>
      </c>
      <c r="D1906" t="s">
        <v>527</v>
      </c>
      <c r="E1906">
        <v>4</v>
      </c>
      <c r="F1906">
        <v>4</v>
      </c>
      <c r="G1906" s="8">
        <f>Lektionen[[#This Row],[Bearbeitungsdauer_real]]/Lektionen[[#This Row],[Bearbeitungsdauer_geschätzt]]-1</f>
        <v>0</v>
      </c>
      <c r="H1906" s="8" t="str" cm="1">
        <f t="array" ref="H1906">_xlfn.IFS(Lektionen[[#This Row],[Bearbeitungsdauer_abgewichen]]&gt;0.6,"viel länger",Lektionen[[#This Row],[Bearbeitungsdauer_abgewichen]]&gt;0.3,"länger",Lektionen[[#This Row],[Bearbeitungsdauer_abgewichen]]&lt;-0.3,"kürzer",TRUE,"keine Abweichung")</f>
        <v>keine Abweichung</v>
      </c>
      <c r="I1906">
        <v>1</v>
      </c>
    </row>
    <row r="1907" spans="1:9" hidden="1" x14ac:dyDescent="0.3">
      <c r="A1907" s="13">
        <v>300</v>
      </c>
      <c r="B1907" s="4">
        <v>2</v>
      </c>
      <c r="C1907" t="s">
        <v>528</v>
      </c>
      <c r="D1907" t="s">
        <v>529</v>
      </c>
      <c r="E1907">
        <v>15</v>
      </c>
      <c r="F1907">
        <v>19</v>
      </c>
      <c r="G1907" s="8">
        <f>Lektionen[[#This Row],[Bearbeitungsdauer_real]]/Lektionen[[#This Row],[Bearbeitungsdauer_geschätzt]]-1</f>
        <v>0.26666666666666661</v>
      </c>
      <c r="H1907" s="8" t="str" cm="1">
        <f t="array" ref="H1907">_xlfn.IFS(Lektionen[[#This Row],[Bearbeitungsdauer_abgewichen]]&gt;0.6,"viel länger",Lektionen[[#This Row],[Bearbeitungsdauer_abgewichen]]&gt;0.3,"länger",Lektionen[[#This Row],[Bearbeitungsdauer_abgewichen]]&lt;-0.3,"kürzer",TRUE,"keine Abweichung")</f>
        <v>keine Abweichung</v>
      </c>
      <c r="I1907">
        <v>1</v>
      </c>
    </row>
    <row r="1908" spans="1:9" hidden="1" x14ac:dyDescent="0.3">
      <c r="A1908" s="13">
        <v>300</v>
      </c>
      <c r="B1908" s="4">
        <v>3</v>
      </c>
      <c r="C1908" t="s">
        <v>552</v>
      </c>
      <c r="D1908" t="s">
        <v>530</v>
      </c>
      <c r="E1908">
        <v>30</v>
      </c>
      <c r="F1908">
        <v>25</v>
      </c>
      <c r="G1908" s="8">
        <f>Lektionen[[#This Row],[Bearbeitungsdauer_real]]/Lektionen[[#This Row],[Bearbeitungsdauer_geschätzt]]-1</f>
        <v>-0.16666666666666663</v>
      </c>
      <c r="H1908" s="8" t="str" cm="1">
        <f t="array" ref="H1908">_xlfn.IFS(Lektionen[[#This Row],[Bearbeitungsdauer_abgewichen]]&gt;0.6,"viel länger",Lektionen[[#This Row],[Bearbeitungsdauer_abgewichen]]&gt;0.3,"länger",Lektionen[[#This Row],[Bearbeitungsdauer_abgewichen]]&lt;-0.3,"kürzer",TRUE,"keine Abweichung")</f>
        <v>keine Abweichung</v>
      </c>
      <c r="I1908">
        <v>3</v>
      </c>
    </row>
    <row r="1909" spans="1:9" hidden="1" x14ac:dyDescent="0.3">
      <c r="A1909" s="13">
        <v>300</v>
      </c>
      <c r="B1909" s="4">
        <v>4</v>
      </c>
      <c r="C1909" t="s">
        <v>531</v>
      </c>
      <c r="D1909" t="s">
        <v>530</v>
      </c>
      <c r="E1909">
        <v>30</v>
      </c>
      <c r="F1909">
        <v>23</v>
      </c>
      <c r="G1909" s="8">
        <f>Lektionen[[#This Row],[Bearbeitungsdauer_real]]/Lektionen[[#This Row],[Bearbeitungsdauer_geschätzt]]-1</f>
        <v>-0.23333333333333328</v>
      </c>
      <c r="H1909" s="8" t="str" cm="1">
        <f t="array" ref="H1909">_xlfn.IFS(Lektionen[[#This Row],[Bearbeitungsdauer_abgewichen]]&gt;0.6,"viel länger",Lektionen[[#This Row],[Bearbeitungsdauer_abgewichen]]&gt;0.3,"länger",Lektionen[[#This Row],[Bearbeitungsdauer_abgewichen]]&lt;-0.3,"kürzer",TRUE,"keine Abweichung")</f>
        <v>keine Abweichung</v>
      </c>
      <c r="I1909">
        <v>2</v>
      </c>
    </row>
    <row r="1910" spans="1:9" x14ac:dyDescent="0.3">
      <c r="A1910" s="13">
        <v>300</v>
      </c>
      <c r="B1910" s="4">
        <v>5</v>
      </c>
      <c r="C1910" t="s">
        <v>532</v>
      </c>
      <c r="D1910" t="s">
        <v>530</v>
      </c>
      <c r="E1910">
        <v>30</v>
      </c>
      <c r="F1910">
        <v>49</v>
      </c>
      <c r="G1910" s="8">
        <f>Lektionen[[#This Row],[Bearbeitungsdauer_real]]/Lektionen[[#This Row],[Bearbeitungsdauer_geschätzt]]-1</f>
        <v>0.6333333333333333</v>
      </c>
      <c r="H1910" s="8" t="str" cm="1">
        <f t="array" ref="H1910">_xlfn.IFS(Lektionen[[#This Row],[Bearbeitungsdauer_abgewichen]]&gt;0.6,"viel länger",Lektionen[[#This Row],[Bearbeitungsdauer_abgewichen]]&gt;0.3,"länger",Lektionen[[#This Row],[Bearbeitungsdauer_abgewichen]]&lt;-0.3,"kürzer",TRUE,"keine Abweichung")</f>
        <v>viel länger</v>
      </c>
      <c r="I1910">
        <v>3</v>
      </c>
    </row>
    <row r="1911" spans="1:9" hidden="1" x14ac:dyDescent="0.3">
      <c r="A1911" s="13">
        <v>300</v>
      </c>
      <c r="B1911" s="4">
        <v>6</v>
      </c>
      <c r="C1911" t="s">
        <v>533</v>
      </c>
      <c r="D1911" t="s">
        <v>534</v>
      </c>
      <c r="E1911">
        <v>5</v>
      </c>
      <c r="F1911">
        <v>1</v>
      </c>
      <c r="G1911" s="8">
        <f>Lektionen[[#This Row],[Bearbeitungsdauer_real]]/Lektionen[[#This Row],[Bearbeitungsdauer_geschätzt]]-1</f>
        <v>-0.8</v>
      </c>
      <c r="H1911" s="8" t="str" cm="1">
        <f t="array" ref="H1911">_xlfn.IFS(Lektionen[[#This Row],[Bearbeitungsdauer_abgewichen]]&gt;0.6,"viel länger",Lektionen[[#This Row],[Bearbeitungsdauer_abgewichen]]&gt;0.3,"länger",Lektionen[[#This Row],[Bearbeitungsdauer_abgewichen]]&lt;-0.3,"kürzer",TRUE,"keine Abweichung")</f>
        <v>kürzer</v>
      </c>
      <c r="I1911">
        <v>2</v>
      </c>
    </row>
    <row r="1912" spans="1:9" hidden="1" x14ac:dyDescent="0.3">
      <c r="A1912" s="13">
        <v>300</v>
      </c>
      <c r="B1912" s="4">
        <v>7</v>
      </c>
      <c r="C1912" t="s">
        <v>535</v>
      </c>
      <c r="D1912" t="s">
        <v>536</v>
      </c>
      <c r="E1912">
        <v>10</v>
      </c>
      <c r="F1912">
        <v>10</v>
      </c>
      <c r="G1912" s="8">
        <f>Lektionen[[#This Row],[Bearbeitungsdauer_real]]/Lektionen[[#This Row],[Bearbeitungsdauer_geschätzt]]-1</f>
        <v>0</v>
      </c>
      <c r="H1912" s="8" t="str" cm="1">
        <f t="array" ref="H1912">_xlfn.IFS(Lektionen[[#This Row],[Bearbeitungsdauer_abgewichen]]&gt;0.6,"viel länger",Lektionen[[#This Row],[Bearbeitungsdauer_abgewichen]]&gt;0.3,"länger",Lektionen[[#This Row],[Bearbeitungsdauer_abgewichen]]&lt;-0.3,"kürzer",TRUE,"keine Abweichung")</f>
        <v>keine Abweichung</v>
      </c>
      <c r="I1912">
        <v>3</v>
      </c>
    </row>
    <row r="1913" spans="1:9" hidden="1" x14ac:dyDescent="0.3">
      <c r="A1913" s="13">
        <v>300</v>
      </c>
      <c r="B1913" s="4">
        <v>8</v>
      </c>
      <c r="C1913" t="s">
        <v>537</v>
      </c>
      <c r="D1913" t="s">
        <v>527</v>
      </c>
      <c r="E1913">
        <v>5</v>
      </c>
      <c r="F1913">
        <v>5</v>
      </c>
      <c r="G1913" s="8">
        <f>Lektionen[[#This Row],[Bearbeitungsdauer_real]]/Lektionen[[#This Row],[Bearbeitungsdauer_geschätzt]]-1</f>
        <v>0</v>
      </c>
      <c r="H1913" s="8" t="str" cm="1">
        <f t="array" ref="H1913">_xlfn.IFS(Lektionen[[#This Row],[Bearbeitungsdauer_abgewichen]]&gt;0.6,"viel länger",Lektionen[[#This Row],[Bearbeitungsdauer_abgewichen]]&gt;0.3,"länger",Lektionen[[#This Row],[Bearbeitungsdauer_abgewichen]]&lt;-0.3,"kürzer",TRUE,"keine Abweichung")</f>
        <v>keine Abweichung</v>
      </c>
      <c r="I1913">
        <v>1</v>
      </c>
    </row>
    <row r="1914" spans="1:9" hidden="1" x14ac:dyDescent="0.3">
      <c r="A1914" s="13">
        <v>301</v>
      </c>
      <c r="B1914" s="4">
        <v>1</v>
      </c>
      <c r="C1914" t="s">
        <v>526</v>
      </c>
      <c r="D1914" t="s">
        <v>527</v>
      </c>
      <c r="E1914">
        <v>4</v>
      </c>
      <c r="F1914">
        <v>4</v>
      </c>
      <c r="G1914" s="8">
        <f>Lektionen[[#This Row],[Bearbeitungsdauer_real]]/Lektionen[[#This Row],[Bearbeitungsdauer_geschätzt]]-1</f>
        <v>0</v>
      </c>
      <c r="H1914" s="8" t="str" cm="1">
        <f t="array" ref="H1914">_xlfn.IFS(Lektionen[[#This Row],[Bearbeitungsdauer_abgewichen]]&gt;0.6,"viel länger",Lektionen[[#This Row],[Bearbeitungsdauer_abgewichen]]&gt;0.3,"länger",Lektionen[[#This Row],[Bearbeitungsdauer_abgewichen]]&lt;-0.3,"kürzer",TRUE,"keine Abweichung")</f>
        <v>keine Abweichung</v>
      </c>
      <c r="I1914">
        <v>2</v>
      </c>
    </row>
    <row r="1915" spans="1:9" hidden="1" x14ac:dyDescent="0.3">
      <c r="A1915" s="13">
        <v>301</v>
      </c>
      <c r="B1915" s="4">
        <v>2</v>
      </c>
      <c r="C1915" t="s">
        <v>528</v>
      </c>
      <c r="D1915" t="s">
        <v>529</v>
      </c>
      <c r="E1915">
        <v>15</v>
      </c>
      <c r="F1915">
        <v>17</v>
      </c>
      <c r="G1915" s="8">
        <f>Lektionen[[#This Row],[Bearbeitungsdauer_real]]/Lektionen[[#This Row],[Bearbeitungsdauer_geschätzt]]-1</f>
        <v>0.1333333333333333</v>
      </c>
      <c r="H1915" s="8" t="str" cm="1">
        <f t="array" ref="H1915">_xlfn.IFS(Lektionen[[#This Row],[Bearbeitungsdauer_abgewichen]]&gt;0.6,"viel länger",Lektionen[[#This Row],[Bearbeitungsdauer_abgewichen]]&gt;0.3,"länger",Lektionen[[#This Row],[Bearbeitungsdauer_abgewichen]]&lt;-0.3,"kürzer",TRUE,"keine Abweichung")</f>
        <v>keine Abweichung</v>
      </c>
      <c r="I1915">
        <v>2</v>
      </c>
    </row>
    <row r="1916" spans="1:9" hidden="1" x14ac:dyDescent="0.3">
      <c r="A1916" s="13">
        <v>301</v>
      </c>
      <c r="B1916" s="4">
        <v>3</v>
      </c>
      <c r="C1916" t="s">
        <v>552</v>
      </c>
      <c r="D1916" t="s">
        <v>530</v>
      </c>
      <c r="E1916">
        <v>30</v>
      </c>
      <c r="F1916">
        <v>29</v>
      </c>
      <c r="G1916" s="8">
        <f>Lektionen[[#This Row],[Bearbeitungsdauer_real]]/Lektionen[[#This Row],[Bearbeitungsdauer_geschätzt]]-1</f>
        <v>-3.3333333333333326E-2</v>
      </c>
      <c r="H1916" s="8" t="str" cm="1">
        <f t="array" ref="H1916">_xlfn.IFS(Lektionen[[#This Row],[Bearbeitungsdauer_abgewichen]]&gt;0.6,"viel länger",Lektionen[[#This Row],[Bearbeitungsdauer_abgewichen]]&gt;0.3,"länger",Lektionen[[#This Row],[Bearbeitungsdauer_abgewichen]]&lt;-0.3,"kürzer",TRUE,"keine Abweichung")</f>
        <v>keine Abweichung</v>
      </c>
      <c r="I1916">
        <v>3</v>
      </c>
    </row>
    <row r="1917" spans="1:9" hidden="1" x14ac:dyDescent="0.3">
      <c r="A1917" s="13">
        <v>301</v>
      </c>
      <c r="B1917" s="4">
        <v>4</v>
      </c>
      <c r="C1917" t="s">
        <v>531</v>
      </c>
      <c r="D1917" t="s">
        <v>530</v>
      </c>
      <c r="E1917">
        <v>30</v>
      </c>
      <c r="F1917">
        <v>32</v>
      </c>
      <c r="G1917" s="8">
        <f>Lektionen[[#This Row],[Bearbeitungsdauer_real]]/Lektionen[[#This Row],[Bearbeitungsdauer_geschätzt]]-1</f>
        <v>6.6666666666666652E-2</v>
      </c>
      <c r="H1917" s="8" t="str" cm="1">
        <f t="array" ref="H1917">_xlfn.IFS(Lektionen[[#This Row],[Bearbeitungsdauer_abgewichen]]&gt;0.6,"viel länger",Lektionen[[#This Row],[Bearbeitungsdauer_abgewichen]]&gt;0.3,"länger",Lektionen[[#This Row],[Bearbeitungsdauer_abgewichen]]&lt;-0.3,"kürzer",TRUE,"keine Abweichung")</f>
        <v>keine Abweichung</v>
      </c>
      <c r="I1917">
        <v>3</v>
      </c>
    </row>
    <row r="1918" spans="1:9" x14ac:dyDescent="0.3">
      <c r="A1918" s="13">
        <v>301</v>
      </c>
      <c r="B1918" s="4">
        <v>5</v>
      </c>
      <c r="C1918" t="s">
        <v>532</v>
      </c>
      <c r="D1918" t="s">
        <v>530</v>
      </c>
      <c r="E1918">
        <v>30</v>
      </c>
      <c r="F1918">
        <v>46</v>
      </c>
      <c r="G1918" s="8">
        <f>Lektionen[[#This Row],[Bearbeitungsdauer_real]]/Lektionen[[#This Row],[Bearbeitungsdauer_geschätzt]]-1</f>
        <v>0.53333333333333344</v>
      </c>
      <c r="H1918" s="8" t="str" cm="1">
        <f t="array" ref="H1918">_xlfn.IFS(Lektionen[[#This Row],[Bearbeitungsdauer_abgewichen]]&gt;0.6,"viel länger",Lektionen[[#This Row],[Bearbeitungsdauer_abgewichen]]&gt;0.3,"länger",Lektionen[[#This Row],[Bearbeitungsdauer_abgewichen]]&lt;-0.3,"kürzer",TRUE,"keine Abweichung")</f>
        <v>länger</v>
      </c>
      <c r="I1918">
        <v>4</v>
      </c>
    </row>
    <row r="1919" spans="1:9" hidden="1" x14ac:dyDescent="0.3">
      <c r="A1919" s="13">
        <v>301</v>
      </c>
      <c r="B1919" s="4">
        <v>6</v>
      </c>
      <c r="C1919" t="s">
        <v>533</v>
      </c>
      <c r="D1919" t="s">
        <v>534</v>
      </c>
      <c r="E1919">
        <v>5</v>
      </c>
      <c r="F1919">
        <v>3</v>
      </c>
      <c r="G1919" s="8">
        <f>Lektionen[[#This Row],[Bearbeitungsdauer_real]]/Lektionen[[#This Row],[Bearbeitungsdauer_geschätzt]]-1</f>
        <v>-0.4</v>
      </c>
      <c r="H1919" s="8" t="str" cm="1">
        <f t="array" ref="H1919">_xlfn.IFS(Lektionen[[#This Row],[Bearbeitungsdauer_abgewichen]]&gt;0.6,"viel länger",Lektionen[[#This Row],[Bearbeitungsdauer_abgewichen]]&gt;0.3,"länger",Lektionen[[#This Row],[Bearbeitungsdauer_abgewichen]]&lt;-0.3,"kürzer",TRUE,"keine Abweichung")</f>
        <v>kürzer</v>
      </c>
      <c r="I1919">
        <v>2</v>
      </c>
    </row>
    <row r="1920" spans="1:9" hidden="1" x14ac:dyDescent="0.3">
      <c r="A1920" s="13">
        <v>301</v>
      </c>
      <c r="B1920" s="4">
        <v>7</v>
      </c>
      <c r="C1920" t="s">
        <v>535</v>
      </c>
      <c r="D1920" t="s">
        <v>536</v>
      </c>
      <c r="E1920">
        <v>10</v>
      </c>
      <c r="F1920">
        <v>10</v>
      </c>
      <c r="G1920" s="8">
        <f>Lektionen[[#This Row],[Bearbeitungsdauer_real]]/Lektionen[[#This Row],[Bearbeitungsdauer_geschätzt]]-1</f>
        <v>0</v>
      </c>
      <c r="H1920" s="8" t="str" cm="1">
        <f t="array" ref="H1920">_xlfn.IFS(Lektionen[[#This Row],[Bearbeitungsdauer_abgewichen]]&gt;0.6,"viel länger",Lektionen[[#This Row],[Bearbeitungsdauer_abgewichen]]&gt;0.3,"länger",Lektionen[[#This Row],[Bearbeitungsdauer_abgewichen]]&lt;-0.3,"kürzer",TRUE,"keine Abweichung")</f>
        <v>keine Abweichung</v>
      </c>
      <c r="I1920">
        <v>4</v>
      </c>
    </row>
    <row r="1921" spans="1:9" hidden="1" x14ac:dyDescent="0.3">
      <c r="A1921" s="13">
        <v>301</v>
      </c>
      <c r="B1921" s="4">
        <v>8</v>
      </c>
      <c r="C1921" t="s">
        <v>537</v>
      </c>
      <c r="D1921" t="s">
        <v>527</v>
      </c>
      <c r="E1921">
        <v>5</v>
      </c>
      <c r="F1921">
        <v>6</v>
      </c>
      <c r="G1921" s="8">
        <f>Lektionen[[#This Row],[Bearbeitungsdauer_real]]/Lektionen[[#This Row],[Bearbeitungsdauer_geschätzt]]-1</f>
        <v>0.19999999999999996</v>
      </c>
      <c r="H1921" s="8" t="str" cm="1">
        <f t="array" ref="H1921">_xlfn.IFS(Lektionen[[#This Row],[Bearbeitungsdauer_abgewichen]]&gt;0.6,"viel länger",Lektionen[[#This Row],[Bearbeitungsdauer_abgewichen]]&gt;0.3,"länger",Lektionen[[#This Row],[Bearbeitungsdauer_abgewichen]]&lt;-0.3,"kürzer",TRUE,"keine Abweichung")</f>
        <v>keine Abweichung</v>
      </c>
      <c r="I1921">
        <v>1</v>
      </c>
    </row>
    <row r="1922" spans="1:9" hidden="1" x14ac:dyDescent="0.3">
      <c r="A1922" s="13">
        <v>303</v>
      </c>
      <c r="B1922" s="4">
        <v>1</v>
      </c>
      <c r="C1922" t="s">
        <v>526</v>
      </c>
      <c r="D1922" t="s">
        <v>527</v>
      </c>
      <c r="E1922">
        <v>4</v>
      </c>
      <c r="F1922">
        <v>4</v>
      </c>
      <c r="G1922" s="8">
        <f>Lektionen[[#This Row],[Bearbeitungsdauer_real]]/Lektionen[[#This Row],[Bearbeitungsdauer_geschätzt]]-1</f>
        <v>0</v>
      </c>
      <c r="H1922" s="8" t="str" cm="1">
        <f t="array" ref="H1922">_xlfn.IFS(Lektionen[[#This Row],[Bearbeitungsdauer_abgewichen]]&gt;0.6,"viel länger",Lektionen[[#This Row],[Bearbeitungsdauer_abgewichen]]&gt;0.3,"länger",Lektionen[[#This Row],[Bearbeitungsdauer_abgewichen]]&lt;-0.3,"kürzer",TRUE,"keine Abweichung")</f>
        <v>keine Abweichung</v>
      </c>
      <c r="I1922">
        <v>1</v>
      </c>
    </row>
    <row r="1923" spans="1:9" hidden="1" x14ac:dyDescent="0.3">
      <c r="A1923" s="13">
        <v>303</v>
      </c>
      <c r="B1923" s="4">
        <v>2</v>
      </c>
      <c r="C1923" t="s">
        <v>528</v>
      </c>
      <c r="D1923" t="s">
        <v>529</v>
      </c>
      <c r="E1923">
        <v>15</v>
      </c>
      <c r="F1923">
        <v>19</v>
      </c>
      <c r="G1923" s="8">
        <f>Lektionen[[#This Row],[Bearbeitungsdauer_real]]/Lektionen[[#This Row],[Bearbeitungsdauer_geschätzt]]-1</f>
        <v>0.26666666666666661</v>
      </c>
      <c r="H1923" s="8" t="str" cm="1">
        <f t="array" ref="H1923">_xlfn.IFS(Lektionen[[#This Row],[Bearbeitungsdauer_abgewichen]]&gt;0.6,"viel länger",Lektionen[[#This Row],[Bearbeitungsdauer_abgewichen]]&gt;0.3,"länger",Lektionen[[#This Row],[Bearbeitungsdauer_abgewichen]]&lt;-0.3,"kürzer",TRUE,"keine Abweichung")</f>
        <v>keine Abweichung</v>
      </c>
      <c r="I1923">
        <v>3</v>
      </c>
    </row>
    <row r="1924" spans="1:9" hidden="1" x14ac:dyDescent="0.3">
      <c r="A1924" s="13">
        <v>303</v>
      </c>
      <c r="B1924" s="4">
        <v>3</v>
      </c>
      <c r="C1924" t="s">
        <v>552</v>
      </c>
      <c r="D1924" t="s">
        <v>530</v>
      </c>
      <c r="E1924">
        <v>30</v>
      </c>
      <c r="F1924">
        <v>29</v>
      </c>
      <c r="G1924" s="8">
        <f>Lektionen[[#This Row],[Bearbeitungsdauer_real]]/Lektionen[[#This Row],[Bearbeitungsdauer_geschätzt]]-1</f>
        <v>-3.3333333333333326E-2</v>
      </c>
      <c r="H1924" s="8" t="str" cm="1">
        <f t="array" ref="H1924">_xlfn.IFS(Lektionen[[#This Row],[Bearbeitungsdauer_abgewichen]]&gt;0.6,"viel länger",Lektionen[[#This Row],[Bearbeitungsdauer_abgewichen]]&gt;0.3,"länger",Lektionen[[#This Row],[Bearbeitungsdauer_abgewichen]]&lt;-0.3,"kürzer",TRUE,"keine Abweichung")</f>
        <v>keine Abweichung</v>
      </c>
      <c r="I1924">
        <v>2</v>
      </c>
    </row>
    <row r="1925" spans="1:9" hidden="1" x14ac:dyDescent="0.3">
      <c r="A1925" s="13">
        <v>303</v>
      </c>
      <c r="B1925" s="4">
        <v>4</v>
      </c>
      <c r="C1925" t="s">
        <v>531</v>
      </c>
      <c r="D1925" t="s">
        <v>530</v>
      </c>
      <c r="E1925">
        <v>30</v>
      </c>
      <c r="F1925">
        <v>36</v>
      </c>
      <c r="G1925" s="8">
        <f>Lektionen[[#This Row],[Bearbeitungsdauer_real]]/Lektionen[[#This Row],[Bearbeitungsdauer_geschätzt]]-1</f>
        <v>0.19999999999999996</v>
      </c>
      <c r="H1925" s="8" t="str" cm="1">
        <f t="array" ref="H1925">_xlfn.IFS(Lektionen[[#This Row],[Bearbeitungsdauer_abgewichen]]&gt;0.6,"viel länger",Lektionen[[#This Row],[Bearbeitungsdauer_abgewichen]]&gt;0.3,"länger",Lektionen[[#This Row],[Bearbeitungsdauer_abgewichen]]&lt;-0.3,"kürzer",TRUE,"keine Abweichung")</f>
        <v>keine Abweichung</v>
      </c>
      <c r="I1925">
        <v>4</v>
      </c>
    </row>
    <row r="1926" spans="1:9" x14ac:dyDescent="0.3">
      <c r="A1926" s="13">
        <v>303</v>
      </c>
      <c r="B1926" s="4">
        <v>5</v>
      </c>
      <c r="C1926" t="s">
        <v>532</v>
      </c>
      <c r="D1926" t="s">
        <v>530</v>
      </c>
      <c r="E1926">
        <v>30</v>
      </c>
      <c r="F1926">
        <v>53</v>
      </c>
      <c r="G1926" s="8">
        <f>Lektionen[[#This Row],[Bearbeitungsdauer_real]]/Lektionen[[#This Row],[Bearbeitungsdauer_geschätzt]]-1</f>
        <v>0.76666666666666661</v>
      </c>
      <c r="H1926" s="8" t="str" cm="1">
        <f t="array" ref="H1926">_xlfn.IFS(Lektionen[[#This Row],[Bearbeitungsdauer_abgewichen]]&gt;0.6,"viel länger",Lektionen[[#This Row],[Bearbeitungsdauer_abgewichen]]&gt;0.3,"länger",Lektionen[[#This Row],[Bearbeitungsdauer_abgewichen]]&lt;-0.3,"kürzer",TRUE,"keine Abweichung")</f>
        <v>viel länger</v>
      </c>
      <c r="I1926">
        <v>4</v>
      </c>
    </row>
    <row r="1927" spans="1:9" hidden="1" x14ac:dyDescent="0.3">
      <c r="A1927" s="13">
        <v>303</v>
      </c>
      <c r="B1927" s="4">
        <v>6</v>
      </c>
      <c r="C1927" t="s">
        <v>533</v>
      </c>
      <c r="D1927" t="s">
        <v>534</v>
      </c>
      <c r="E1927">
        <v>5</v>
      </c>
      <c r="F1927">
        <v>1</v>
      </c>
      <c r="G1927" s="8">
        <f>Lektionen[[#This Row],[Bearbeitungsdauer_real]]/Lektionen[[#This Row],[Bearbeitungsdauer_geschätzt]]-1</f>
        <v>-0.8</v>
      </c>
      <c r="H1927" s="8" t="str" cm="1">
        <f t="array" ref="H1927">_xlfn.IFS(Lektionen[[#This Row],[Bearbeitungsdauer_abgewichen]]&gt;0.6,"viel länger",Lektionen[[#This Row],[Bearbeitungsdauer_abgewichen]]&gt;0.3,"länger",Lektionen[[#This Row],[Bearbeitungsdauer_abgewichen]]&lt;-0.3,"kürzer",TRUE,"keine Abweichung")</f>
        <v>kürzer</v>
      </c>
      <c r="I1927">
        <v>2</v>
      </c>
    </row>
    <row r="1928" spans="1:9" hidden="1" x14ac:dyDescent="0.3">
      <c r="A1928" s="13">
        <v>303</v>
      </c>
      <c r="B1928" s="4">
        <v>7</v>
      </c>
      <c r="C1928" t="s">
        <v>535</v>
      </c>
      <c r="D1928" t="s">
        <v>536</v>
      </c>
      <c r="E1928">
        <v>10</v>
      </c>
      <c r="F1928">
        <v>11</v>
      </c>
      <c r="G1928" s="8">
        <f>Lektionen[[#This Row],[Bearbeitungsdauer_real]]/Lektionen[[#This Row],[Bearbeitungsdauer_geschätzt]]-1</f>
        <v>0.10000000000000009</v>
      </c>
      <c r="H1928" s="8" t="str" cm="1">
        <f t="array" ref="H1928">_xlfn.IFS(Lektionen[[#This Row],[Bearbeitungsdauer_abgewichen]]&gt;0.6,"viel länger",Lektionen[[#This Row],[Bearbeitungsdauer_abgewichen]]&gt;0.3,"länger",Lektionen[[#This Row],[Bearbeitungsdauer_abgewichen]]&lt;-0.3,"kürzer",TRUE,"keine Abweichung")</f>
        <v>keine Abweichung</v>
      </c>
      <c r="I1928">
        <v>3</v>
      </c>
    </row>
    <row r="1929" spans="1:9" hidden="1" x14ac:dyDescent="0.3">
      <c r="A1929" s="13">
        <v>303</v>
      </c>
      <c r="B1929" s="4">
        <v>8</v>
      </c>
      <c r="C1929" t="s">
        <v>537</v>
      </c>
      <c r="D1929" t="s">
        <v>527</v>
      </c>
      <c r="E1929">
        <v>5</v>
      </c>
      <c r="F1929">
        <v>5</v>
      </c>
      <c r="G1929" s="8">
        <f>Lektionen[[#This Row],[Bearbeitungsdauer_real]]/Lektionen[[#This Row],[Bearbeitungsdauer_geschätzt]]-1</f>
        <v>0</v>
      </c>
      <c r="H1929" s="8" t="str" cm="1">
        <f t="array" ref="H1929">_xlfn.IFS(Lektionen[[#This Row],[Bearbeitungsdauer_abgewichen]]&gt;0.6,"viel länger",Lektionen[[#This Row],[Bearbeitungsdauer_abgewichen]]&gt;0.3,"länger",Lektionen[[#This Row],[Bearbeitungsdauer_abgewichen]]&lt;-0.3,"kürzer",TRUE,"keine Abweichung")</f>
        <v>keine Abweichung</v>
      </c>
      <c r="I1929">
        <v>1</v>
      </c>
    </row>
    <row r="1930" spans="1:9" hidden="1" x14ac:dyDescent="0.3">
      <c r="A1930" s="13">
        <v>304</v>
      </c>
      <c r="B1930" s="4">
        <v>1</v>
      </c>
      <c r="C1930" t="s">
        <v>526</v>
      </c>
      <c r="D1930" t="s">
        <v>527</v>
      </c>
      <c r="E1930">
        <v>4</v>
      </c>
      <c r="F1930">
        <v>5</v>
      </c>
      <c r="G1930" s="8">
        <f>Lektionen[[#This Row],[Bearbeitungsdauer_real]]/Lektionen[[#This Row],[Bearbeitungsdauer_geschätzt]]-1</f>
        <v>0.25</v>
      </c>
      <c r="H1930" s="8" t="str" cm="1">
        <f t="array" ref="H1930">_xlfn.IFS(Lektionen[[#This Row],[Bearbeitungsdauer_abgewichen]]&gt;0.6,"viel länger",Lektionen[[#This Row],[Bearbeitungsdauer_abgewichen]]&gt;0.3,"länger",Lektionen[[#This Row],[Bearbeitungsdauer_abgewichen]]&lt;-0.3,"kürzer",TRUE,"keine Abweichung")</f>
        <v>keine Abweichung</v>
      </c>
      <c r="I1930">
        <v>1</v>
      </c>
    </row>
    <row r="1931" spans="1:9" hidden="1" x14ac:dyDescent="0.3">
      <c r="A1931" s="13">
        <v>304</v>
      </c>
      <c r="B1931" s="4">
        <v>2</v>
      </c>
      <c r="C1931" t="s">
        <v>528</v>
      </c>
      <c r="D1931" t="s">
        <v>529</v>
      </c>
      <c r="E1931">
        <v>15</v>
      </c>
      <c r="F1931">
        <v>19</v>
      </c>
      <c r="G1931" s="8">
        <f>Lektionen[[#This Row],[Bearbeitungsdauer_real]]/Lektionen[[#This Row],[Bearbeitungsdauer_geschätzt]]-1</f>
        <v>0.26666666666666661</v>
      </c>
      <c r="H1931" s="8" t="str" cm="1">
        <f t="array" ref="H1931">_xlfn.IFS(Lektionen[[#This Row],[Bearbeitungsdauer_abgewichen]]&gt;0.6,"viel länger",Lektionen[[#This Row],[Bearbeitungsdauer_abgewichen]]&gt;0.3,"länger",Lektionen[[#This Row],[Bearbeitungsdauer_abgewichen]]&lt;-0.3,"kürzer",TRUE,"keine Abweichung")</f>
        <v>keine Abweichung</v>
      </c>
      <c r="I1931">
        <v>1</v>
      </c>
    </row>
    <row r="1932" spans="1:9" hidden="1" x14ac:dyDescent="0.3">
      <c r="A1932" s="13">
        <v>304</v>
      </c>
      <c r="B1932" s="4">
        <v>3</v>
      </c>
      <c r="C1932" t="s">
        <v>552</v>
      </c>
      <c r="D1932" t="s">
        <v>530</v>
      </c>
      <c r="E1932">
        <v>30</v>
      </c>
      <c r="F1932">
        <v>27</v>
      </c>
      <c r="G1932" s="8">
        <f>Lektionen[[#This Row],[Bearbeitungsdauer_real]]/Lektionen[[#This Row],[Bearbeitungsdauer_geschätzt]]-1</f>
        <v>-9.9999999999999978E-2</v>
      </c>
      <c r="H1932" s="8" t="str" cm="1">
        <f t="array" ref="H1932">_xlfn.IFS(Lektionen[[#This Row],[Bearbeitungsdauer_abgewichen]]&gt;0.6,"viel länger",Lektionen[[#This Row],[Bearbeitungsdauer_abgewichen]]&gt;0.3,"länger",Lektionen[[#This Row],[Bearbeitungsdauer_abgewichen]]&lt;-0.3,"kürzer",TRUE,"keine Abweichung")</f>
        <v>keine Abweichung</v>
      </c>
      <c r="I1932">
        <v>3</v>
      </c>
    </row>
    <row r="1933" spans="1:9" hidden="1" x14ac:dyDescent="0.3">
      <c r="A1933" s="13">
        <v>304</v>
      </c>
      <c r="B1933" s="4">
        <v>4</v>
      </c>
      <c r="C1933" t="s">
        <v>531</v>
      </c>
      <c r="D1933" t="s">
        <v>530</v>
      </c>
      <c r="E1933">
        <v>30</v>
      </c>
      <c r="F1933">
        <v>24</v>
      </c>
      <c r="G1933" s="8">
        <f>Lektionen[[#This Row],[Bearbeitungsdauer_real]]/Lektionen[[#This Row],[Bearbeitungsdauer_geschätzt]]-1</f>
        <v>-0.19999999999999996</v>
      </c>
      <c r="H1933" s="8" t="str" cm="1">
        <f t="array" ref="H1933">_xlfn.IFS(Lektionen[[#This Row],[Bearbeitungsdauer_abgewichen]]&gt;0.6,"viel länger",Lektionen[[#This Row],[Bearbeitungsdauer_abgewichen]]&gt;0.3,"länger",Lektionen[[#This Row],[Bearbeitungsdauer_abgewichen]]&lt;-0.3,"kürzer",TRUE,"keine Abweichung")</f>
        <v>keine Abweichung</v>
      </c>
      <c r="I1933">
        <v>3</v>
      </c>
    </row>
    <row r="1934" spans="1:9" x14ac:dyDescent="0.3">
      <c r="A1934" s="13">
        <v>304</v>
      </c>
      <c r="B1934" s="4">
        <v>5</v>
      </c>
      <c r="C1934" t="s">
        <v>532</v>
      </c>
      <c r="D1934" t="s">
        <v>530</v>
      </c>
      <c r="E1934">
        <v>30</v>
      </c>
      <c r="F1934">
        <v>48</v>
      </c>
      <c r="G1934" s="8">
        <f>Lektionen[[#This Row],[Bearbeitungsdauer_real]]/Lektionen[[#This Row],[Bearbeitungsdauer_geschätzt]]-1</f>
        <v>0.60000000000000009</v>
      </c>
      <c r="H1934" s="8" t="str" cm="1">
        <f t="array" ref="H1934">_xlfn.IFS(Lektionen[[#This Row],[Bearbeitungsdauer_abgewichen]]&gt;0.6,"viel länger",Lektionen[[#This Row],[Bearbeitungsdauer_abgewichen]]&gt;0.3,"länger",Lektionen[[#This Row],[Bearbeitungsdauer_abgewichen]]&lt;-0.3,"kürzer",TRUE,"keine Abweichung")</f>
        <v>länger</v>
      </c>
      <c r="I1934">
        <v>4</v>
      </c>
    </row>
    <row r="1935" spans="1:9" hidden="1" x14ac:dyDescent="0.3">
      <c r="A1935" s="13">
        <v>304</v>
      </c>
      <c r="B1935" s="4">
        <v>6</v>
      </c>
      <c r="C1935" t="s">
        <v>533</v>
      </c>
      <c r="D1935" t="s">
        <v>534</v>
      </c>
      <c r="E1935">
        <v>5</v>
      </c>
      <c r="F1935">
        <v>1</v>
      </c>
      <c r="G1935" s="8">
        <f>Lektionen[[#This Row],[Bearbeitungsdauer_real]]/Lektionen[[#This Row],[Bearbeitungsdauer_geschätzt]]-1</f>
        <v>-0.8</v>
      </c>
      <c r="H1935" s="8" t="str" cm="1">
        <f t="array" ref="H1935">_xlfn.IFS(Lektionen[[#This Row],[Bearbeitungsdauer_abgewichen]]&gt;0.6,"viel länger",Lektionen[[#This Row],[Bearbeitungsdauer_abgewichen]]&gt;0.3,"länger",Lektionen[[#This Row],[Bearbeitungsdauer_abgewichen]]&lt;-0.3,"kürzer",TRUE,"keine Abweichung")</f>
        <v>kürzer</v>
      </c>
      <c r="I1935">
        <v>2</v>
      </c>
    </row>
    <row r="1936" spans="1:9" hidden="1" x14ac:dyDescent="0.3">
      <c r="A1936" s="13">
        <v>304</v>
      </c>
      <c r="B1936" s="4">
        <v>7</v>
      </c>
      <c r="C1936" t="s">
        <v>535</v>
      </c>
      <c r="D1936" t="s">
        <v>536</v>
      </c>
      <c r="E1936">
        <v>10</v>
      </c>
      <c r="F1936">
        <v>10</v>
      </c>
      <c r="G1936" s="8">
        <f>Lektionen[[#This Row],[Bearbeitungsdauer_real]]/Lektionen[[#This Row],[Bearbeitungsdauer_geschätzt]]-1</f>
        <v>0</v>
      </c>
      <c r="H1936" s="8" t="str" cm="1">
        <f t="array" ref="H1936">_xlfn.IFS(Lektionen[[#This Row],[Bearbeitungsdauer_abgewichen]]&gt;0.6,"viel länger",Lektionen[[#This Row],[Bearbeitungsdauer_abgewichen]]&gt;0.3,"länger",Lektionen[[#This Row],[Bearbeitungsdauer_abgewichen]]&lt;-0.3,"kürzer",TRUE,"keine Abweichung")</f>
        <v>keine Abweichung</v>
      </c>
      <c r="I1936">
        <v>3</v>
      </c>
    </row>
    <row r="1937" spans="1:9" hidden="1" x14ac:dyDescent="0.3">
      <c r="A1937" s="13">
        <v>304</v>
      </c>
      <c r="B1937" s="4">
        <v>8</v>
      </c>
      <c r="C1937" t="s">
        <v>537</v>
      </c>
      <c r="D1937" t="s">
        <v>527</v>
      </c>
      <c r="E1937">
        <v>5</v>
      </c>
      <c r="F1937">
        <v>7</v>
      </c>
      <c r="G1937" s="8">
        <f>Lektionen[[#This Row],[Bearbeitungsdauer_real]]/Lektionen[[#This Row],[Bearbeitungsdauer_geschätzt]]-1</f>
        <v>0.39999999999999991</v>
      </c>
      <c r="H1937" s="8" t="str" cm="1">
        <f t="array" ref="H1937">_xlfn.IFS(Lektionen[[#This Row],[Bearbeitungsdauer_abgewichen]]&gt;0.6,"viel länger",Lektionen[[#This Row],[Bearbeitungsdauer_abgewichen]]&gt;0.3,"länger",Lektionen[[#This Row],[Bearbeitungsdauer_abgewichen]]&lt;-0.3,"kürzer",TRUE,"keine Abweichung")</f>
        <v>länger</v>
      </c>
      <c r="I1937">
        <v>1</v>
      </c>
    </row>
    <row r="1938" spans="1:9" hidden="1" x14ac:dyDescent="0.3">
      <c r="A1938" s="13">
        <v>305</v>
      </c>
      <c r="B1938" s="4">
        <v>1</v>
      </c>
      <c r="C1938" t="s">
        <v>526</v>
      </c>
      <c r="D1938" t="s">
        <v>527</v>
      </c>
      <c r="E1938">
        <v>4</v>
      </c>
      <c r="F1938">
        <v>4</v>
      </c>
      <c r="G1938" s="8">
        <f>Lektionen[[#This Row],[Bearbeitungsdauer_real]]/Lektionen[[#This Row],[Bearbeitungsdauer_geschätzt]]-1</f>
        <v>0</v>
      </c>
      <c r="H1938" s="8" t="str" cm="1">
        <f t="array" ref="H1938">_xlfn.IFS(Lektionen[[#This Row],[Bearbeitungsdauer_abgewichen]]&gt;0.6,"viel länger",Lektionen[[#This Row],[Bearbeitungsdauer_abgewichen]]&gt;0.3,"länger",Lektionen[[#This Row],[Bearbeitungsdauer_abgewichen]]&lt;-0.3,"kürzer",TRUE,"keine Abweichung")</f>
        <v>keine Abweichung</v>
      </c>
      <c r="I1938">
        <v>1</v>
      </c>
    </row>
    <row r="1939" spans="1:9" hidden="1" x14ac:dyDescent="0.3">
      <c r="A1939" s="13">
        <v>305</v>
      </c>
      <c r="B1939" s="4">
        <v>2</v>
      </c>
      <c r="C1939" t="s">
        <v>528</v>
      </c>
      <c r="D1939" t="s">
        <v>529</v>
      </c>
      <c r="E1939">
        <v>15</v>
      </c>
      <c r="F1939">
        <v>22</v>
      </c>
      <c r="G1939" s="8">
        <f>Lektionen[[#This Row],[Bearbeitungsdauer_real]]/Lektionen[[#This Row],[Bearbeitungsdauer_geschätzt]]-1</f>
        <v>0.46666666666666656</v>
      </c>
      <c r="H1939" s="8" t="str" cm="1">
        <f t="array" ref="H1939">_xlfn.IFS(Lektionen[[#This Row],[Bearbeitungsdauer_abgewichen]]&gt;0.6,"viel länger",Lektionen[[#This Row],[Bearbeitungsdauer_abgewichen]]&gt;0.3,"länger",Lektionen[[#This Row],[Bearbeitungsdauer_abgewichen]]&lt;-0.3,"kürzer",TRUE,"keine Abweichung")</f>
        <v>länger</v>
      </c>
      <c r="I1939">
        <v>1</v>
      </c>
    </row>
    <row r="1940" spans="1:9" hidden="1" x14ac:dyDescent="0.3">
      <c r="A1940" s="13">
        <v>305</v>
      </c>
      <c r="B1940" s="4">
        <v>3</v>
      </c>
      <c r="C1940" t="s">
        <v>552</v>
      </c>
      <c r="D1940" t="s">
        <v>530</v>
      </c>
      <c r="E1940">
        <v>30</v>
      </c>
      <c r="F1940">
        <v>28</v>
      </c>
      <c r="G1940" s="8">
        <f>Lektionen[[#This Row],[Bearbeitungsdauer_real]]/Lektionen[[#This Row],[Bearbeitungsdauer_geschätzt]]-1</f>
        <v>-6.6666666666666652E-2</v>
      </c>
      <c r="H1940" s="8" t="str" cm="1">
        <f t="array" ref="H1940">_xlfn.IFS(Lektionen[[#This Row],[Bearbeitungsdauer_abgewichen]]&gt;0.6,"viel länger",Lektionen[[#This Row],[Bearbeitungsdauer_abgewichen]]&gt;0.3,"länger",Lektionen[[#This Row],[Bearbeitungsdauer_abgewichen]]&lt;-0.3,"kürzer",TRUE,"keine Abweichung")</f>
        <v>keine Abweichung</v>
      </c>
      <c r="I1940">
        <v>2</v>
      </c>
    </row>
    <row r="1941" spans="1:9" hidden="1" x14ac:dyDescent="0.3">
      <c r="A1941" s="13">
        <v>305</v>
      </c>
      <c r="B1941" s="4">
        <v>4</v>
      </c>
      <c r="C1941" t="s">
        <v>531</v>
      </c>
      <c r="D1941" t="s">
        <v>530</v>
      </c>
      <c r="E1941">
        <v>30</v>
      </c>
      <c r="F1941">
        <v>20</v>
      </c>
      <c r="G1941" s="8">
        <f>Lektionen[[#This Row],[Bearbeitungsdauer_real]]/Lektionen[[#This Row],[Bearbeitungsdauer_geschätzt]]-1</f>
        <v>-0.33333333333333337</v>
      </c>
      <c r="H1941" s="8" t="str" cm="1">
        <f t="array" ref="H1941">_xlfn.IFS(Lektionen[[#This Row],[Bearbeitungsdauer_abgewichen]]&gt;0.6,"viel länger",Lektionen[[#This Row],[Bearbeitungsdauer_abgewichen]]&gt;0.3,"länger",Lektionen[[#This Row],[Bearbeitungsdauer_abgewichen]]&lt;-0.3,"kürzer",TRUE,"keine Abweichung")</f>
        <v>kürzer</v>
      </c>
      <c r="I1941">
        <v>4</v>
      </c>
    </row>
    <row r="1942" spans="1:9" x14ac:dyDescent="0.3">
      <c r="A1942" s="13">
        <v>305</v>
      </c>
      <c r="B1942" s="4">
        <v>5</v>
      </c>
      <c r="C1942" t="s">
        <v>532</v>
      </c>
      <c r="D1942" t="s">
        <v>530</v>
      </c>
      <c r="E1942">
        <v>30</v>
      </c>
      <c r="F1942">
        <v>42</v>
      </c>
      <c r="G1942" s="8">
        <f>Lektionen[[#This Row],[Bearbeitungsdauer_real]]/Lektionen[[#This Row],[Bearbeitungsdauer_geschätzt]]-1</f>
        <v>0.39999999999999991</v>
      </c>
      <c r="H1942" s="8" t="str" cm="1">
        <f t="array" ref="H1942">_xlfn.IFS(Lektionen[[#This Row],[Bearbeitungsdauer_abgewichen]]&gt;0.6,"viel länger",Lektionen[[#This Row],[Bearbeitungsdauer_abgewichen]]&gt;0.3,"länger",Lektionen[[#This Row],[Bearbeitungsdauer_abgewichen]]&lt;-0.3,"kürzer",TRUE,"keine Abweichung")</f>
        <v>länger</v>
      </c>
      <c r="I1942">
        <v>4</v>
      </c>
    </row>
    <row r="1943" spans="1:9" hidden="1" x14ac:dyDescent="0.3">
      <c r="A1943" s="13">
        <v>305</v>
      </c>
      <c r="B1943" s="4">
        <v>6</v>
      </c>
      <c r="C1943" t="s">
        <v>533</v>
      </c>
      <c r="D1943" t="s">
        <v>534</v>
      </c>
      <c r="E1943">
        <v>5</v>
      </c>
      <c r="F1943">
        <v>1</v>
      </c>
      <c r="G1943" s="8">
        <f>Lektionen[[#This Row],[Bearbeitungsdauer_real]]/Lektionen[[#This Row],[Bearbeitungsdauer_geschätzt]]-1</f>
        <v>-0.8</v>
      </c>
      <c r="H1943" s="8" t="str" cm="1">
        <f t="array" ref="H1943">_xlfn.IFS(Lektionen[[#This Row],[Bearbeitungsdauer_abgewichen]]&gt;0.6,"viel länger",Lektionen[[#This Row],[Bearbeitungsdauer_abgewichen]]&gt;0.3,"länger",Lektionen[[#This Row],[Bearbeitungsdauer_abgewichen]]&lt;-0.3,"kürzer",TRUE,"keine Abweichung")</f>
        <v>kürzer</v>
      </c>
      <c r="I1943">
        <v>3</v>
      </c>
    </row>
    <row r="1944" spans="1:9" hidden="1" x14ac:dyDescent="0.3">
      <c r="A1944" s="13">
        <v>305</v>
      </c>
      <c r="B1944" s="4">
        <v>7</v>
      </c>
      <c r="C1944" t="s">
        <v>535</v>
      </c>
      <c r="D1944" t="s">
        <v>536</v>
      </c>
      <c r="E1944">
        <v>10</v>
      </c>
      <c r="F1944">
        <v>10</v>
      </c>
      <c r="G1944" s="8">
        <f>Lektionen[[#This Row],[Bearbeitungsdauer_real]]/Lektionen[[#This Row],[Bearbeitungsdauer_geschätzt]]-1</f>
        <v>0</v>
      </c>
      <c r="H1944" s="8" t="str" cm="1">
        <f t="array" ref="H1944">_xlfn.IFS(Lektionen[[#This Row],[Bearbeitungsdauer_abgewichen]]&gt;0.6,"viel länger",Lektionen[[#This Row],[Bearbeitungsdauer_abgewichen]]&gt;0.3,"länger",Lektionen[[#This Row],[Bearbeitungsdauer_abgewichen]]&lt;-0.3,"kürzer",TRUE,"keine Abweichung")</f>
        <v>keine Abweichung</v>
      </c>
      <c r="I1944">
        <v>4</v>
      </c>
    </row>
    <row r="1945" spans="1:9" hidden="1" x14ac:dyDescent="0.3">
      <c r="A1945" s="13">
        <v>305</v>
      </c>
      <c r="B1945" s="4">
        <v>8</v>
      </c>
      <c r="C1945" t="s">
        <v>537</v>
      </c>
      <c r="D1945" t="s">
        <v>527</v>
      </c>
      <c r="E1945">
        <v>5</v>
      </c>
      <c r="F1945">
        <v>5</v>
      </c>
      <c r="G1945" s="8">
        <f>Lektionen[[#This Row],[Bearbeitungsdauer_real]]/Lektionen[[#This Row],[Bearbeitungsdauer_geschätzt]]-1</f>
        <v>0</v>
      </c>
      <c r="H1945" s="8" t="str" cm="1">
        <f t="array" ref="H1945">_xlfn.IFS(Lektionen[[#This Row],[Bearbeitungsdauer_abgewichen]]&gt;0.6,"viel länger",Lektionen[[#This Row],[Bearbeitungsdauer_abgewichen]]&gt;0.3,"länger",Lektionen[[#This Row],[Bearbeitungsdauer_abgewichen]]&lt;-0.3,"kürzer",TRUE,"keine Abweichung")</f>
        <v>keine Abweichung</v>
      </c>
      <c r="I1945">
        <v>1</v>
      </c>
    </row>
    <row r="1946" spans="1:9" hidden="1" x14ac:dyDescent="0.3">
      <c r="A1946" s="13">
        <v>307</v>
      </c>
      <c r="B1946" s="4">
        <v>1</v>
      </c>
      <c r="C1946" t="s">
        <v>526</v>
      </c>
      <c r="D1946" t="s">
        <v>527</v>
      </c>
      <c r="E1946">
        <v>4</v>
      </c>
      <c r="F1946">
        <v>4</v>
      </c>
      <c r="G1946" s="8">
        <f>Lektionen[[#This Row],[Bearbeitungsdauer_real]]/Lektionen[[#This Row],[Bearbeitungsdauer_geschätzt]]-1</f>
        <v>0</v>
      </c>
      <c r="H1946" s="8" t="str" cm="1">
        <f t="array" ref="H1946">_xlfn.IFS(Lektionen[[#This Row],[Bearbeitungsdauer_abgewichen]]&gt;0.6,"viel länger",Lektionen[[#This Row],[Bearbeitungsdauer_abgewichen]]&gt;0.3,"länger",Lektionen[[#This Row],[Bearbeitungsdauer_abgewichen]]&lt;-0.3,"kürzer",TRUE,"keine Abweichung")</f>
        <v>keine Abweichung</v>
      </c>
      <c r="I1946">
        <v>1</v>
      </c>
    </row>
    <row r="1947" spans="1:9" hidden="1" x14ac:dyDescent="0.3">
      <c r="A1947" s="13">
        <v>307</v>
      </c>
      <c r="B1947" s="4">
        <v>2</v>
      </c>
      <c r="C1947" t="s">
        <v>528</v>
      </c>
      <c r="D1947" t="s">
        <v>529</v>
      </c>
      <c r="E1947">
        <v>15</v>
      </c>
      <c r="F1947">
        <v>17</v>
      </c>
      <c r="G1947" s="8">
        <f>Lektionen[[#This Row],[Bearbeitungsdauer_real]]/Lektionen[[#This Row],[Bearbeitungsdauer_geschätzt]]-1</f>
        <v>0.1333333333333333</v>
      </c>
      <c r="H1947" s="8" t="str" cm="1">
        <f t="array" ref="H1947">_xlfn.IFS(Lektionen[[#This Row],[Bearbeitungsdauer_abgewichen]]&gt;0.6,"viel länger",Lektionen[[#This Row],[Bearbeitungsdauer_abgewichen]]&gt;0.3,"länger",Lektionen[[#This Row],[Bearbeitungsdauer_abgewichen]]&lt;-0.3,"kürzer",TRUE,"keine Abweichung")</f>
        <v>keine Abweichung</v>
      </c>
      <c r="I1947">
        <v>2</v>
      </c>
    </row>
    <row r="1948" spans="1:9" hidden="1" x14ac:dyDescent="0.3">
      <c r="A1948" s="13">
        <v>307</v>
      </c>
      <c r="B1948" s="4">
        <v>3</v>
      </c>
      <c r="C1948" t="s">
        <v>552</v>
      </c>
      <c r="D1948" t="s">
        <v>530</v>
      </c>
      <c r="E1948">
        <v>30</v>
      </c>
      <c r="F1948">
        <v>30</v>
      </c>
      <c r="G1948" s="8">
        <f>Lektionen[[#This Row],[Bearbeitungsdauer_real]]/Lektionen[[#This Row],[Bearbeitungsdauer_geschätzt]]-1</f>
        <v>0</v>
      </c>
      <c r="H1948" s="8" t="str" cm="1">
        <f t="array" ref="H1948">_xlfn.IFS(Lektionen[[#This Row],[Bearbeitungsdauer_abgewichen]]&gt;0.6,"viel länger",Lektionen[[#This Row],[Bearbeitungsdauer_abgewichen]]&gt;0.3,"länger",Lektionen[[#This Row],[Bearbeitungsdauer_abgewichen]]&lt;-0.3,"kürzer",TRUE,"keine Abweichung")</f>
        <v>keine Abweichung</v>
      </c>
      <c r="I1948">
        <v>2</v>
      </c>
    </row>
    <row r="1949" spans="1:9" hidden="1" x14ac:dyDescent="0.3">
      <c r="A1949" s="13">
        <v>307</v>
      </c>
      <c r="B1949" s="4">
        <v>4</v>
      </c>
      <c r="C1949" t="s">
        <v>531</v>
      </c>
      <c r="D1949" t="s">
        <v>530</v>
      </c>
      <c r="E1949">
        <v>30</v>
      </c>
      <c r="F1949">
        <v>25</v>
      </c>
      <c r="G1949" s="8">
        <f>Lektionen[[#This Row],[Bearbeitungsdauer_real]]/Lektionen[[#This Row],[Bearbeitungsdauer_geschätzt]]-1</f>
        <v>-0.16666666666666663</v>
      </c>
      <c r="H1949" s="8" t="str" cm="1">
        <f t="array" ref="H1949">_xlfn.IFS(Lektionen[[#This Row],[Bearbeitungsdauer_abgewichen]]&gt;0.6,"viel länger",Lektionen[[#This Row],[Bearbeitungsdauer_abgewichen]]&gt;0.3,"länger",Lektionen[[#This Row],[Bearbeitungsdauer_abgewichen]]&lt;-0.3,"kürzer",TRUE,"keine Abweichung")</f>
        <v>keine Abweichung</v>
      </c>
      <c r="I1949">
        <v>3</v>
      </c>
    </row>
    <row r="1950" spans="1:9" x14ac:dyDescent="0.3">
      <c r="A1950" s="13">
        <v>307</v>
      </c>
      <c r="B1950" s="4">
        <v>5</v>
      </c>
      <c r="C1950" t="s">
        <v>532</v>
      </c>
      <c r="D1950" t="s">
        <v>530</v>
      </c>
      <c r="E1950">
        <v>30</v>
      </c>
      <c r="F1950">
        <v>47</v>
      </c>
      <c r="G1950" s="8">
        <f>Lektionen[[#This Row],[Bearbeitungsdauer_real]]/Lektionen[[#This Row],[Bearbeitungsdauer_geschätzt]]-1</f>
        <v>0.56666666666666665</v>
      </c>
      <c r="H1950" s="8" t="str" cm="1">
        <f t="array" ref="H1950">_xlfn.IFS(Lektionen[[#This Row],[Bearbeitungsdauer_abgewichen]]&gt;0.6,"viel länger",Lektionen[[#This Row],[Bearbeitungsdauer_abgewichen]]&gt;0.3,"länger",Lektionen[[#This Row],[Bearbeitungsdauer_abgewichen]]&lt;-0.3,"kürzer",TRUE,"keine Abweichung")</f>
        <v>länger</v>
      </c>
      <c r="I1950">
        <v>4</v>
      </c>
    </row>
    <row r="1951" spans="1:9" hidden="1" x14ac:dyDescent="0.3">
      <c r="A1951" s="13">
        <v>307</v>
      </c>
      <c r="B1951" s="4">
        <v>6</v>
      </c>
      <c r="C1951" t="s">
        <v>533</v>
      </c>
      <c r="D1951" t="s">
        <v>534</v>
      </c>
      <c r="E1951">
        <v>5</v>
      </c>
      <c r="F1951">
        <v>1</v>
      </c>
      <c r="G1951" s="8">
        <f>Lektionen[[#This Row],[Bearbeitungsdauer_real]]/Lektionen[[#This Row],[Bearbeitungsdauer_geschätzt]]-1</f>
        <v>-0.8</v>
      </c>
      <c r="H1951" s="8" t="str" cm="1">
        <f t="array" ref="H1951">_xlfn.IFS(Lektionen[[#This Row],[Bearbeitungsdauer_abgewichen]]&gt;0.6,"viel länger",Lektionen[[#This Row],[Bearbeitungsdauer_abgewichen]]&gt;0.3,"länger",Lektionen[[#This Row],[Bearbeitungsdauer_abgewichen]]&lt;-0.3,"kürzer",TRUE,"keine Abweichung")</f>
        <v>kürzer</v>
      </c>
      <c r="I1951">
        <v>2</v>
      </c>
    </row>
    <row r="1952" spans="1:9" hidden="1" x14ac:dyDescent="0.3">
      <c r="A1952" s="13">
        <v>307</v>
      </c>
      <c r="B1952" s="4">
        <v>7</v>
      </c>
      <c r="C1952" t="s">
        <v>535</v>
      </c>
      <c r="D1952" t="s">
        <v>536</v>
      </c>
      <c r="E1952">
        <v>10</v>
      </c>
      <c r="F1952">
        <v>11</v>
      </c>
      <c r="G1952" s="8">
        <f>Lektionen[[#This Row],[Bearbeitungsdauer_real]]/Lektionen[[#This Row],[Bearbeitungsdauer_geschätzt]]-1</f>
        <v>0.10000000000000009</v>
      </c>
      <c r="H1952" s="8" t="str" cm="1">
        <f t="array" ref="H1952">_xlfn.IFS(Lektionen[[#This Row],[Bearbeitungsdauer_abgewichen]]&gt;0.6,"viel länger",Lektionen[[#This Row],[Bearbeitungsdauer_abgewichen]]&gt;0.3,"länger",Lektionen[[#This Row],[Bearbeitungsdauer_abgewichen]]&lt;-0.3,"kürzer",TRUE,"keine Abweichung")</f>
        <v>keine Abweichung</v>
      </c>
      <c r="I1952">
        <v>3</v>
      </c>
    </row>
    <row r="1953" spans="1:9" hidden="1" x14ac:dyDescent="0.3">
      <c r="A1953" s="13">
        <v>307</v>
      </c>
      <c r="B1953" s="4">
        <v>8</v>
      </c>
      <c r="C1953" t="s">
        <v>537</v>
      </c>
      <c r="D1953" t="s">
        <v>527</v>
      </c>
      <c r="E1953">
        <v>5</v>
      </c>
      <c r="F1953">
        <v>6</v>
      </c>
      <c r="G1953" s="8">
        <f>Lektionen[[#This Row],[Bearbeitungsdauer_real]]/Lektionen[[#This Row],[Bearbeitungsdauer_geschätzt]]-1</f>
        <v>0.19999999999999996</v>
      </c>
      <c r="H1953" s="8" t="str" cm="1">
        <f t="array" ref="H1953">_xlfn.IFS(Lektionen[[#This Row],[Bearbeitungsdauer_abgewichen]]&gt;0.6,"viel länger",Lektionen[[#This Row],[Bearbeitungsdauer_abgewichen]]&gt;0.3,"länger",Lektionen[[#This Row],[Bearbeitungsdauer_abgewichen]]&lt;-0.3,"kürzer",TRUE,"keine Abweichung")</f>
        <v>keine Abweichung</v>
      </c>
      <c r="I1953">
        <v>1</v>
      </c>
    </row>
    <row r="1954" spans="1:9" hidden="1" x14ac:dyDescent="0.3">
      <c r="A1954" s="13">
        <v>309</v>
      </c>
      <c r="B1954" s="4">
        <v>1</v>
      </c>
      <c r="C1954" t="s">
        <v>526</v>
      </c>
      <c r="D1954" t="s">
        <v>527</v>
      </c>
      <c r="E1954">
        <v>4</v>
      </c>
      <c r="F1954">
        <v>4</v>
      </c>
      <c r="G1954" s="8">
        <f>Lektionen[[#This Row],[Bearbeitungsdauer_real]]/Lektionen[[#This Row],[Bearbeitungsdauer_geschätzt]]-1</f>
        <v>0</v>
      </c>
      <c r="H1954" s="8" t="str" cm="1">
        <f t="array" ref="H1954">_xlfn.IFS(Lektionen[[#This Row],[Bearbeitungsdauer_abgewichen]]&gt;0.6,"viel länger",Lektionen[[#This Row],[Bearbeitungsdauer_abgewichen]]&gt;0.3,"länger",Lektionen[[#This Row],[Bearbeitungsdauer_abgewichen]]&lt;-0.3,"kürzer",TRUE,"keine Abweichung")</f>
        <v>keine Abweichung</v>
      </c>
      <c r="I1954">
        <v>1</v>
      </c>
    </row>
    <row r="1955" spans="1:9" hidden="1" x14ac:dyDescent="0.3">
      <c r="A1955" s="13">
        <v>309</v>
      </c>
      <c r="B1955" s="4">
        <v>2</v>
      </c>
      <c r="C1955" t="s">
        <v>528</v>
      </c>
      <c r="D1955" t="s">
        <v>529</v>
      </c>
      <c r="E1955">
        <v>15</v>
      </c>
      <c r="F1955">
        <v>17</v>
      </c>
      <c r="G1955" s="8">
        <f>Lektionen[[#This Row],[Bearbeitungsdauer_real]]/Lektionen[[#This Row],[Bearbeitungsdauer_geschätzt]]-1</f>
        <v>0.1333333333333333</v>
      </c>
      <c r="H1955" s="8" t="str" cm="1">
        <f t="array" ref="H1955">_xlfn.IFS(Lektionen[[#This Row],[Bearbeitungsdauer_abgewichen]]&gt;0.6,"viel länger",Lektionen[[#This Row],[Bearbeitungsdauer_abgewichen]]&gt;0.3,"länger",Lektionen[[#This Row],[Bearbeitungsdauer_abgewichen]]&lt;-0.3,"kürzer",TRUE,"keine Abweichung")</f>
        <v>keine Abweichung</v>
      </c>
      <c r="I1955">
        <v>1</v>
      </c>
    </row>
    <row r="1956" spans="1:9" hidden="1" x14ac:dyDescent="0.3">
      <c r="A1956" s="13">
        <v>309</v>
      </c>
      <c r="B1956" s="4">
        <v>3</v>
      </c>
      <c r="C1956" t="s">
        <v>552</v>
      </c>
      <c r="D1956" t="s">
        <v>530</v>
      </c>
      <c r="E1956">
        <v>30</v>
      </c>
      <c r="F1956">
        <v>29</v>
      </c>
      <c r="G1956" s="8">
        <f>Lektionen[[#This Row],[Bearbeitungsdauer_real]]/Lektionen[[#This Row],[Bearbeitungsdauer_geschätzt]]-1</f>
        <v>-3.3333333333333326E-2</v>
      </c>
      <c r="H1956" s="8" t="str" cm="1">
        <f t="array" ref="H1956">_xlfn.IFS(Lektionen[[#This Row],[Bearbeitungsdauer_abgewichen]]&gt;0.6,"viel länger",Lektionen[[#This Row],[Bearbeitungsdauer_abgewichen]]&gt;0.3,"länger",Lektionen[[#This Row],[Bearbeitungsdauer_abgewichen]]&lt;-0.3,"kürzer",TRUE,"keine Abweichung")</f>
        <v>keine Abweichung</v>
      </c>
      <c r="I1956">
        <v>2</v>
      </c>
    </row>
    <row r="1957" spans="1:9" hidden="1" x14ac:dyDescent="0.3">
      <c r="A1957" s="13">
        <v>309</v>
      </c>
      <c r="B1957" s="4">
        <v>4</v>
      </c>
      <c r="C1957" t="s">
        <v>531</v>
      </c>
      <c r="D1957" t="s">
        <v>530</v>
      </c>
      <c r="E1957">
        <v>30</v>
      </c>
      <c r="F1957">
        <v>26</v>
      </c>
      <c r="G1957" s="8">
        <f>Lektionen[[#This Row],[Bearbeitungsdauer_real]]/Lektionen[[#This Row],[Bearbeitungsdauer_geschätzt]]-1</f>
        <v>-0.1333333333333333</v>
      </c>
      <c r="H1957" s="8" t="str" cm="1">
        <f t="array" ref="H1957">_xlfn.IFS(Lektionen[[#This Row],[Bearbeitungsdauer_abgewichen]]&gt;0.6,"viel länger",Lektionen[[#This Row],[Bearbeitungsdauer_abgewichen]]&gt;0.3,"länger",Lektionen[[#This Row],[Bearbeitungsdauer_abgewichen]]&lt;-0.3,"kürzer",TRUE,"keine Abweichung")</f>
        <v>keine Abweichung</v>
      </c>
      <c r="I1957">
        <v>3</v>
      </c>
    </row>
    <row r="1958" spans="1:9" x14ac:dyDescent="0.3">
      <c r="A1958" s="13">
        <v>309</v>
      </c>
      <c r="B1958" s="4">
        <v>5</v>
      </c>
      <c r="C1958" t="s">
        <v>532</v>
      </c>
      <c r="D1958" t="s">
        <v>530</v>
      </c>
      <c r="E1958">
        <v>30</v>
      </c>
      <c r="F1958">
        <v>39</v>
      </c>
      <c r="G1958" s="8">
        <f>Lektionen[[#This Row],[Bearbeitungsdauer_real]]/Lektionen[[#This Row],[Bearbeitungsdauer_geschätzt]]-1</f>
        <v>0.30000000000000004</v>
      </c>
      <c r="H1958" s="8" t="str" cm="1">
        <f t="array" ref="H1958">_xlfn.IFS(Lektionen[[#This Row],[Bearbeitungsdauer_abgewichen]]&gt;0.6,"viel länger",Lektionen[[#This Row],[Bearbeitungsdauer_abgewichen]]&gt;0.3,"länger",Lektionen[[#This Row],[Bearbeitungsdauer_abgewichen]]&lt;-0.3,"kürzer",TRUE,"keine Abweichung")</f>
        <v>keine Abweichung</v>
      </c>
      <c r="I1958">
        <v>4</v>
      </c>
    </row>
    <row r="1959" spans="1:9" hidden="1" x14ac:dyDescent="0.3">
      <c r="A1959" s="13">
        <v>309</v>
      </c>
      <c r="B1959" s="4">
        <v>6</v>
      </c>
      <c r="C1959" t="s">
        <v>533</v>
      </c>
      <c r="D1959" t="s">
        <v>534</v>
      </c>
      <c r="E1959">
        <v>5</v>
      </c>
      <c r="F1959">
        <v>2</v>
      </c>
      <c r="G1959" s="8">
        <f>Lektionen[[#This Row],[Bearbeitungsdauer_real]]/Lektionen[[#This Row],[Bearbeitungsdauer_geschätzt]]-1</f>
        <v>-0.6</v>
      </c>
      <c r="H1959" s="8" t="str" cm="1">
        <f t="array" ref="H1959">_xlfn.IFS(Lektionen[[#This Row],[Bearbeitungsdauer_abgewichen]]&gt;0.6,"viel länger",Lektionen[[#This Row],[Bearbeitungsdauer_abgewichen]]&gt;0.3,"länger",Lektionen[[#This Row],[Bearbeitungsdauer_abgewichen]]&lt;-0.3,"kürzer",TRUE,"keine Abweichung")</f>
        <v>kürzer</v>
      </c>
      <c r="I1959">
        <v>2</v>
      </c>
    </row>
    <row r="1960" spans="1:9" hidden="1" x14ac:dyDescent="0.3">
      <c r="A1960" s="13">
        <v>309</v>
      </c>
      <c r="B1960" s="4">
        <v>7</v>
      </c>
      <c r="C1960" t="s">
        <v>535</v>
      </c>
      <c r="D1960" t="s">
        <v>536</v>
      </c>
      <c r="E1960">
        <v>10</v>
      </c>
      <c r="F1960">
        <v>9</v>
      </c>
      <c r="G1960" s="8">
        <f>Lektionen[[#This Row],[Bearbeitungsdauer_real]]/Lektionen[[#This Row],[Bearbeitungsdauer_geschätzt]]-1</f>
        <v>-9.9999999999999978E-2</v>
      </c>
      <c r="H1960" s="8" t="str" cm="1">
        <f t="array" ref="H1960">_xlfn.IFS(Lektionen[[#This Row],[Bearbeitungsdauer_abgewichen]]&gt;0.6,"viel länger",Lektionen[[#This Row],[Bearbeitungsdauer_abgewichen]]&gt;0.3,"länger",Lektionen[[#This Row],[Bearbeitungsdauer_abgewichen]]&lt;-0.3,"kürzer",TRUE,"keine Abweichung")</f>
        <v>keine Abweichung</v>
      </c>
      <c r="I1960">
        <v>3</v>
      </c>
    </row>
    <row r="1961" spans="1:9" hidden="1" x14ac:dyDescent="0.3">
      <c r="A1961" s="13">
        <v>309</v>
      </c>
      <c r="B1961" s="4">
        <v>8</v>
      </c>
      <c r="C1961" t="s">
        <v>537</v>
      </c>
      <c r="D1961" t="s">
        <v>527</v>
      </c>
      <c r="E1961">
        <v>5</v>
      </c>
      <c r="F1961">
        <v>5</v>
      </c>
      <c r="G1961" s="8">
        <f>Lektionen[[#This Row],[Bearbeitungsdauer_real]]/Lektionen[[#This Row],[Bearbeitungsdauer_geschätzt]]-1</f>
        <v>0</v>
      </c>
      <c r="H1961" s="8" t="str" cm="1">
        <f t="array" ref="H1961">_xlfn.IFS(Lektionen[[#This Row],[Bearbeitungsdauer_abgewichen]]&gt;0.6,"viel länger",Lektionen[[#This Row],[Bearbeitungsdauer_abgewichen]]&gt;0.3,"länger",Lektionen[[#This Row],[Bearbeitungsdauer_abgewichen]]&lt;-0.3,"kürzer",TRUE,"keine Abweichung")</f>
        <v>keine Abweichung</v>
      </c>
      <c r="I1961">
        <v>1</v>
      </c>
    </row>
    <row r="1962" spans="1:9" hidden="1" x14ac:dyDescent="0.3">
      <c r="A1962" s="13">
        <v>310</v>
      </c>
      <c r="B1962" s="4">
        <v>1</v>
      </c>
      <c r="C1962" t="s">
        <v>526</v>
      </c>
      <c r="D1962" t="s">
        <v>527</v>
      </c>
      <c r="E1962">
        <v>4</v>
      </c>
      <c r="F1962">
        <v>4</v>
      </c>
      <c r="G1962" s="8">
        <f>Lektionen[[#This Row],[Bearbeitungsdauer_real]]/Lektionen[[#This Row],[Bearbeitungsdauer_geschätzt]]-1</f>
        <v>0</v>
      </c>
      <c r="H1962" s="8" t="str" cm="1">
        <f t="array" ref="H1962">_xlfn.IFS(Lektionen[[#This Row],[Bearbeitungsdauer_abgewichen]]&gt;0.6,"viel länger",Lektionen[[#This Row],[Bearbeitungsdauer_abgewichen]]&gt;0.3,"länger",Lektionen[[#This Row],[Bearbeitungsdauer_abgewichen]]&lt;-0.3,"kürzer",TRUE,"keine Abweichung")</f>
        <v>keine Abweichung</v>
      </c>
      <c r="I1962">
        <v>1</v>
      </c>
    </row>
    <row r="1963" spans="1:9" hidden="1" x14ac:dyDescent="0.3">
      <c r="A1963" s="13">
        <v>310</v>
      </c>
      <c r="B1963" s="4">
        <v>2</v>
      </c>
      <c r="C1963" t="s">
        <v>528</v>
      </c>
      <c r="D1963" t="s">
        <v>529</v>
      </c>
      <c r="E1963">
        <v>15</v>
      </c>
      <c r="F1963">
        <v>20</v>
      </c>
      <c r="G1963" s="8">
        <f>Lektionen[[#This Row],[Bearbeitungsdauer_real]]/Lektionen[[#This Row],[Bearbeitungsdauer_geschätzt]]-1</f>
        <v>0.33333333333333326</v>
      </c>
      <c r="H1963" s="8" t="str" cm="1">
        <f t="array" ref="H1963">_xlfn.IFS(Lektionen[[#This Row],[Bearbeitungsdauer_abgewichen]]&gt;0.6,"viel länger",Lektionen[[#This Row],[Bearbeitungsdauer_abgewichen]]&gt;0.3,"länger",Lektionen[[#This Row],[Bearbeitungsdauer_abgewichen]]&lt;-0.3,"kürzer",TRUE,"keine Abweichung")</f>
        <v>länger</v>
      </c>
      <c r="I1963">
        <v>2</v>
      </c>
    </row>
    <row r="1964" spans="1:9" hidden="1" x14ac:dyDescent="0.3">
      <c r="A1964" s="13">
        <v>310</v>
      </c>
      <c r="B1964" s="4">
        <v>3</v>
      </c>
      <c r="C1964" t="s">
        <v>552</v>
      </c>
      <c r="D1964" t="s">
        <v>530</v>
      </c>
      <c r="E1964">
        <v>30</v>
      </c>
      <c r="F1964">
        <v>29</v>
      </c>
      <c r="G1964" s="8">
        <f>Lektionen[[#This Row],[Bearbeitungsdauer_real]]/Lektionen[[#This Row],[Bearbeitungsdauer_geschätzt]]-1</f>
        <v>-3.3333333333333326E-2</v>
      </c>
      <c r="H1964" s="8" t="str" cm="1">
        <f t="array" ref="H1964">_xlfn.IFS(Lektionen[[#This Row],[Bearbeitungsdauer_abgewichen]]&gt;0.6,"viel länger",Lektionen[[#This Row],[Bearbeitungsdauer_abgewichen]]&gt;0.3,"länger",Lektionen[[#This Row],[Bearbeitungsdauer_abgewichen]]&lt;-0.3,"kürzer",TRUE,"keine Abweichung")</f>
        <v>keine Abweichung</v>
      </c>
      <c r="I1964">
        <v>3</v>
      </c>
    </row>
    <row r="1965" spans="1:9" hidden="1" x14ac:dyDescent="0.3">
      <c r="A1965" s="13">
        <v>310</v>
      </c>
      <c r="B1965" s="4">
        <v>4</v>
      </c>
      <c r="C1965" t="s">
        <v>531</v>
      </c>
      <c r="D1965" t="s">
        <v>530</v>
      </c>
      <c r="E1965">
        <v>30</v>
      </c>
      <c r="F1965">
        <v>32</v>
      </c>
      <c r="G1965" s="8">
        <f>Lektionen[[#This Row],[Bearbeitungsdauer_real]]/Lektionen[[#This Row],[Bearbeitungsdauer_geschätzt]]-1</f>
        <v>6.6666666666666652E-2</v>
      </c>
      <c r="H1965" s="8" t="str" cm="1">
        <f t="array" ref="H1965">_xlfn.IFS(Lektionen[[#This Row],[Bearbeitungsdauer_abgewichen]]&gt;0.6,"viel länger",Lektionen[[#This Row],[Bearbeitungsdauer_abgewichen]]&gt;0.3,"länger",Lektionen[[#This Row],[Bearbeitungsdauer_abgewichen]]&lt;-0.3,"kürzer",TRUE,"keine Abweichung")</f>
        <v>keine Abweichung</v>
      </c>
      <c r="I1965">
        <v>3</v>
      </c>
    </row>
    <row r="1966" spans="1:9" x14ac:dyDescent="0.3">
      <c r="A1966" s="13">
        <v>310</v>
      </c>
      <c r="B1966" s="4">
        <v>5</v>
      </c>
      <c r="C1966" t="s">
        <v>532</v>
      </c>
      <c r="D1966" t="s">
        <v>530</v>
      </c>
      <c r="E1966">
        <v>30</v>
      </c>
      <c r="F1966">
        <v>39</v>
      </c>
      <c r="G1966" s="8">
        <f>Lektionen[[#This Row],[Bearbeitungsdauer_real]]/Lektionen[[#This Row],[Bearbeitungsdauer_geschätzt]]-1</f>
        <v>0.30000000000000004</v>
      </c>
      <c r="H1966" s="8" t="str" cm="1">
        <f t="array" ref="H1966">_xlfn.IFS(Lektionen[[#This Row],[Bearbeitungsdauer_abgewichen]]&gt;0.6,"viel länger",Lektionen[[#This Row],[Bearbeitungsdauer_abgewichen]]&gt;0.3,"länger",Lektionen[[#This Row],[Bearbeitungsdauer_abgewichen]]&lt;-0.3,"kürzer",TRUE,"keine Abweichung")</f>
        <v>keine Abweichung</v>
      </c>
      <c r="I1966">
        <v>4</v>
      </c>
    </row>
    <row r="1967" spans="1:9" hidden="1" x14ac:dyDescent="0.3">
      <c r="A1967" s="13">
        <v>310</v>
      </c>
      <c r="B1967" s="4">
        <v>6</v>
      </c>
      <c r="C1967" t="s">
        <v>533</v>
      </c>
      <c r="D1967" t="s">
        <v>534</v>
      </c>
      <c r="E1967">
        <v>5</v>
      </c>
      <c r="F1967">
        <v>1</v>
      </c>
      <c r="G1967" s="8">
        <f>Lektionen[[#This Row],[Bearbeitungsdauer_real]]/Lektionen[[#This Row],[Bearbeitungsdauer_geschätzt]]-1</f>
        <v>-0.8</v>
      </c>
      <c r="H1967" s="8" t="str" cm="1">
        <f t="array" ref="H1967">_xlfn.IFS(Lektionen[[#This Row],[Bearbeitungsdauer_abgewichen]]&gt;0.6,"viel länger",Lektionen[[#This Row],[Bearbeitungsdauer_abgewichen]]&gt;0.3,"länger",Lektionen[[#This Row],[Bearbeitungsdauer_abgewichen]]&lt;-0.3,"kürzer",TRUE,"keine Abweichung")</f>
        <v>kürzer</v>
      </c>
      <c r="I1967">
        <v>2</v>
      </c>
    </row>
    <row r="1968" spans="1:9" hidden="1" x14ac:dyDescent="0.3">
      <c r="A1968" s="13">
        <v>310</v>
      </c>
      <c r="B1968" s="4">
        <v>7</v>
      </c>
      <c r="C1968" t="s">
        <v>535</v>
      </c>
      <c r="D1968" t="s">
        <v>536</v>
      </c>
      <c r="E1968">
        <v>10</v>
      </c>
      <c r="F1968">
        <v>10</v>
      </c>
      <c r="G1968" s="8">
        <f>Lektionen[[#This Row],[Bearbeitungsdauer_real]]/Lektionen[[#This Row],[Bearbeitungsdauer_geschätzt]]-1</f>
        <v>0</v>
      </c>
      <c r="H1968" s="8" t="str" cm="1">
        <f t="array" ref="H1968">_xlfn.IFS(Lektionen[[#This Row],[Bearbeitungsdauer_abgewichen]]&gt;0.6,"viel länger",Lektionen[[#This Row],[Bearbeitungsdauer_abgewichen]]&gt;0.3,"länger",Lektionen[[#This Row],[Bearbeitungsdauer_abgewichen]]&lt;-0.3,"kürzer",TRUE,"keine Abweichung")</f>
        <v>keine Abweichung</v>
      </c>
      <c r="I1968">
        <v>4</v>
      </c>
    </row>
    <row r="1969" spans="1:9" hidden="1" x14ac:dyDescent="0.3">
      <c r="A1969" s="13">
        <v>310</v>
      </c>
      <c r="B1969" s="4">
        <v>8</v>
      </c>
      <c r="C1969" t="s">
        <v>537</v>
      </c>
      <c r="D1969" t="s">
        <v>527</v>
      </c>
      <c r="E1969">
        <v>5</v>
      </c>
      <c r="F1969">
        <v>5</v>
      </c>
      <c r="G1969" s="8">
        <f>Lektionen[[#This Row],[Bearbeitungsdauer_real]]/Lektionen[[#This Row],[Bearbeitungsdauer_geschätzt]]-1</f>
        <v>0</v>
      </c>
      <c r="H1969" s="8" t="str" cm="1">
        <f t="array" ref="H1969">_xlfn.IFS(Lektionen[[#This Row],[Bearbeitungsdauer_abgewichen]]&gt;0.6,"viel länger",Lektionen[[#This Row],[Bearbeitungsdauer_abgewichen]]&gt;0.3,"länger",Lektionen[[#This Row],[Bearbeitungsdauer_abgewichen]]&lt;-0.3,"kürzer",TRUE,"keine Abweichung")</f>
        <v>keine Abweichung</v>
      </c>
      <c r="I1969">
        <v>1</v>
      </c>
    </row>
    <row r="1970" spans="1:9" hidden="1" x14ac:dyDescent="0.3">
      <c r="A1970" s="13">
        <v>313</v>
      </c>
      <c r="B1970" s="4">
        <v>1</v>
      </c>
      <c r="C1970" t="s">
        <v>526</v>
      </c>
      <c r="D1970" t="s">
        <v>527</v>
      </c>
      <c r="E1970">
        <v>4</v>
      </c>
      <c r="F1970">
        <v>4</v>
      </c>
      <c r="G1970" s="8">
        <f>Lektionen[[#This Row],[Bearbeitungsdauer_real]]/Lektionen[[#This Row],[Bearbeitungsdauer_geschätzt]]-1</f>
        <v>0</v>
      </c>
      <c r="H1970" s="8" t="str" cm="1">
        <f t="array" ref="H1970">_xlfn.IFS(Lektionen[[#This Row],[Bearbeitungsdauer_abgewichen]]&gt;0.6,"viel länger",Lektionen[[#This Row],[Bearbeitungsdauer_abgewichen]]&gt;0.3,"länger",Lektionen[[#This Row],[Bearbeitungsdauer_abgewichen]]&lt;-0.3,"kürzer",TRUE,"keine Abweichung")</f>
        <v>keine Abweichung</v>
      </c>
      <c r="I1970">
        <v>1</v>
      </c>
    </row>
    <row r="1971" spans="1:9" hidden="1" x14ac:dyDescent="0.3">
      <c r="A1971" s="13">
        <v>313</v>
      </c>
      <c r="B1971" s="4">
        <v>2</v>
      </c>
      <c r="C1971" t="s">
        <v>528</v>
      </c>
      <c r="D1971" t="s">
        <v>529</v>
      </c>
      <c r="E1971">
        <v>15</v>
      </c>
      <c r="F1971">
        <v>17</v>
      </c>
      <c r="G1971" s="8">
        <f>Lektionen[[#This Row],[Bearbeitungsdauer_real]]/Lektionen[[#This Row],[Bearbeitungsdauer_geschätzt]]-1</f>
        <v>0.1333333333333333</v>
      </c>
      <c r="H1971" s="8" t="str" cm="1">
        <f t="array" ref="H1971">_xlfn.IFS(Lektionen[[#This Row],[Bearbeitungsdauer_abgewichen]]&gt;0.6,"viel länger",Lektionen[[#This Row],[Bearbeitungsdauer_abgewichen]]&gt;0.3,"länger",Lektionen[[#This Row],[Bearbeitungsdauer_abgewichen]]&lt;-0.3,"kürzer",TRUE,"keine Abweichung")</f>
        <v>keine Abweichung</v>
      </c>
      <c r="I1971">
        <v>1</v>
      </c>
    </row>
    <row r="1972" spans="1:9" hidden="1" x14ac:dyDescent="0.3">
      <c r="A1972" s="13">
        <v>313</v>
      </c>
      <c r="B1972" s="4">
        <v>3</v>
      </c>
      <c r="C1972" t="s">
        <v>552</v>
      </c>
      <c r="D1972" t="s">
        <v>530</v>
      </c>
      <c r="E1972">
        <v>30</v>
      </c>
      <c r="F1972">
        <v>28</v>
      </c>
      <c r="G1972" s="8">
        <f>Lektionen[[#This Row],[Bearbeitungsdauer_real]]/Lektionen[[#This Row],[Bearbeitungsdauer_geschätzt]]-1</f>
        <v>-6.6666666666666652E-2</v>
      </c>
      <c r="H1972" s="8" t="str" cm="1">
        <f t="array" ref="H1972">_xlfn.IFS(Lektionen[[#This Row],[Bearbeitungsdauer_abgewichen]]&gt;0.6,"viel länger",Lektionen[[#This Row],[Bearbeitungsdauer_abgewichen]]&gt;0.3,"länger",Lektionen[[#This Row],[Bearbeitungsdauer_abgewichen]]&lt;-0.3,"kürzer",TRUE,"keine Abweichung")</f>
        <v>keine Abweichung</v>
      </c>
      <c r="I1972">
        <v>2</v>
      </c>
    </row>
    <row r="1973" spans="1:9" hidden="1" x14ac:dyDescent="0.3">
      <c r="A1973" s="13">
        <v>313</v>
      </c>
      <c r="B1973" s="4">
        <v>4</v>
      </c>
      <c r="C1973" t="s">
        <v>531</v>
      </c>
      <c r="D1973" t="s">
        <v>530</v>
      </c>
      <c r="E1973">
        <v>30</v>
      </c>
      <c r="F1973">
        <v>21</v>
      </c>
      <c r="G1973" s="8">
        <f>Lektionen[[#This Row],[Bearbeitungsdauer_real]]/Lektionen[[#This Row],[Bearbeitungsdauer_geschätzt]]-1</f>
        <v>-0.30000000000000004</v>
      </c>
      <c r="H1973" s="8" t="str" cm="1">
        <f t="array" ref="H1973">_xlfn.IFS(Lektionen[[#This Row],[Bearbeitungsdauer_abgewichen]]&gt;0.6,"viel länger",Lektionen[[#This Row],[Bearbeitungsdauer_abgewichen]]&gt;0.3,"länger",Lektionen[[#This Row],[Bearbeitungsdauer_abgewichen]]&lt;-0.3,"kürzer",TRUE,"keine Abweichung")</f>
        <v>keine Abweichung</v>
      </c>
      <c r="I1973">
        <v>3</v>
      </c>
    </row>
    <row r="1974" spans="1:9" x14ac:dyDescent="0.3">
      <c r="A1974" s="13">
        <v>313</v>
      </c>
      <c r="B1974" s="4">
        <v>5</v>
      </c>
      <c r="C1974" t="s">
        <v>532</v>
      </c>
      <c r="D1974" t="s">
        <v>530</v>
      </c>
      <c r="E1974">
        <v>30</v>
      </c>
      <c r="F1974">
        <v>40</v>
      </c>
      <c r="G1974" s="8">
        <f>Lektionen[[#This Row],[Bearbeitungsdauer_real]]/Lektionen[[#This Row],[Bearbeitungsdauer_geschätzt]]-1</f>
        <v>0.33333333333333326</v>
      </c>
      <c r="H1974" s="8" t="str" cm="1">
        <f t="array" ref="H1974">_xlfn.IFS(Lektionen[[#This Row],[Bearbeitungsdauer_abgewichen]]&gt;0.6,"viel länger",Lektionen[[#This Row],[Bearbeitungsdauer_abgewichen]]&gt;0.3,"länger",Lektionen[[#This Row],[Bearbeitungsdauer_abgewichen]]&lt;-0.3,"kürzer",TRUE,"keine Abweichung")</f>
        <v>länger</v>
      </c>
      <c r="I1974">
        <v>3</v>
      </c>
    </row>
    <row r="1975" spans="1:9" hidden="1" x14ac:dyDescent="0.3">
      <c r="A1975" s="13">
        <v>313</v>
      </c>
      <c r="B1975" s="4">
        <v>6</v>
      </c>
      <c r="C1975" t="s">
        <v>533</v>
      </c>
      <c r="D1975" t="s">
        <v>534</v>
      </c>
      <c r="E1975">
        <v>5</v>
      </c>
      <c r="F1975">
        <v>3</v>
      </c>
      <c r="G1975" s="8">
        <f>Lektionen[[#This Row],[Bearbeitungsdauer_real]]/Lektionen[[#This Row],[Bearbeitungsdauer_geschätzt]]-1</f>
        <v>-0.4</v>
      </c>
      <c r="H1975" s="8" t="str" cm="1">
        <f t="array" ref="H1975">_xlfn.IFS(Lektionen[[#This Row],[Bearbeitungsdauer_abgewichen]]&gt;0.6,"viel länger",Lektionen[[#This Row],[Bearbeitungsdauer_abgewichen]]&gt;0.3,"länger",Lektionen[[#This Row],[Bearbeitungsdauer_abgewichen]]&lt;-0.3,"kürzer",TRUE,"keine Abweichung")</f>
        <v>kürzer</v>
      </c>
      <c r="I1975">
        <v>2</v>
      </c>
    </row>
    <row r="1976" spans="1:9" hidden="1" x14ac:dyDescent="0.3">
      <c r="A1976" s="13">
        <v>313</v>
      </c>
      <c r="B1976" s="4">
        <v>7</v>
      </c>
      <c r="C1976" t="s">
        <v>535</v>
      </c>
      <c r="D1976" t="s">
        <v>536</v>
      </c>
      <c r="E1976">
        <v>10</v>
      </c>
      <c r="F1976">
        <v>9</v>
      </c>
      <c r="G1976" s="8">
        <f>Lektionen[[#This Row],[Bearbeitungsdauer_real]]/Lektionen[[#This Row],[Bearbeitungsdauer_geschätzt]]-1</f>
        <v>-9.9999999999999978E-2</v>
      </c>
      <c r="H1976" s="8" t="str" cm="1">
        <f t="array" ref="H1976">_xlfn.IFS(Lektionen[[#This Row],[Bearbeitungsdauer_abgewichen]]&gt;0.6,"viel länger",Lektionen[[#This Row],[Bearbeitungsdauer_abgewichen]]&gt;0.3,"länger",Lektionen[[#This Row],[Bearbeitungsdauer_abgewichen]]&lt;-0.3,"kürzer",TRUE,"keine Abweichung")</f>
        <v>keine Abweichung</v>
      </c>
      <c r="I1976">
        <v>3</v>
      </c>
    </row>
    <row r="1977" spans="1:9" hidden="1" x14ac:dyDescent="0.3">
      <c r="A1977" s="13">
        <v>313</v>
      </c>
      <c r="B1977" s="4">
        <v>8</v>
      </c>
      <c r="C1977" t="s">
        <v>537</v>
      </c>
      <c r="D1977" t="s">
        <v>527</v>
      </c>
      <c r="E1977">
        <v>5</v>
      </c>
      <c r="F1977">
        <v>5</v>
      </c>
      <c r="G1977" s="8">
        <f>Lektionen[[#This Row],[Bearbeitungsdauer_real]]/Lektionen[[#This Row],[Bearbeitungsdauer_geschätzt]]-1</f>
        <v>0</v>
      </c>
      <c r="H1977" s="8" t="str" cm="1">
        <f t="array" ref="H1977">_xlfn.IFS(Lektionen[[#This Row],[Bearbeitungsdauer_abgewichen]]&gt;0.6,"viel länger",Lektionen[[#This Row],[Bearbeitungsdauer_abgewichen]]&gt;0.3,"länger",Lektionen[[#This Row],[Bearbeitungsdauer_abgewichen]]&lt;-0.3,"kürzer",TRUE,"keine Abweichung")</f>
        <v>keine Abweichung</v>
      </c>
      <c r="I1977">
        <v>1</v>
      </c>
    </row>
    <row r="1978" spans="1:9" hidden="1" x14ac:dyDescent="0.3">
      <c r="A1978" s="13">
        <v>314</v>
      </c>
      <c r="B1978" s="4">
        <v>1</v>
      </c>
      <c r="C1978" t="s">
        <v>526</v>
      </c>
      <c r="D1978" t="s">
        <v>527</v>
      </c>
      <c r="E1978">
        <v>4</v>
      </c>
      <c r="F1978">
        <v>7</v>
      </c>
      <c r="G1978" s="8">
        <f>Lektionen[[#This Row],[Bearbeitungsdauer_real]]/Lektionen[[#This Row],[Bearbeitungsdauer_geschätzt]]-1</f>
        <v>0.75</v>
      </c>
      <c r="H1978" s="8" t="str" cm="1">
        <f t="array" ref="H1978">_xlfn.IFS(Lektionen[[#This Row],[Bearbeitungsdauer_abgewichen]]&gt;0.6,"viel länger",Lektionen[[#This Row],[Bearbeitungsdauer_abgewichen]]&gt;0.3,"länger",Lektionen[[#This Row],[Bearbeitungsdauer_abgewichen]]&lt;-0.3,"kürzer",TRUE,"keine Abweichung")</f>
        <v>viel länger</v>
      </c>
      <c r="I1978">
        <v>1</v>
      </c>
    </row>
    <row r="1979" spans="1:9" hidden="1" x14ac:dyDescent="0.3">
      <c r="A1979" s="13">
        <v>314</v>
      </c>
      <c r="B1979" s="4">
        <v>2</v>
      </c>
      <c r="C1979" t="s">
        <v>528</v>
      </c>
      <c r="D1979" t="s">
        <v>529</v>
      </c>
      <c r="E1979">
        <v>15</v>
      </c>
      <c r="F1979">
        <v>18</v>
      </c>
      <c r="G1979" s="8">
        <f>Lektionen[[#This Row],[Bearbeitungsdauer_real]]/Lektionen[[#This Row],[Bearbeitungsdauer_geschätzt]]-1</f>
        <v>0.19999999999999996</v>
      </c>
      <c r="H1979" s="8" t="str" cm="1">
        <f t="array" ref="H1979">_xlfn.IFS(Lektionen[[#This Row],[Bearbeitungsdauer_abgewichen]]&gt;0.6,"viel länger",Lektionen[[#This Row],[Bearbeitungsdauer_abgewichen]]&gt;0.3,"länger",Lektionen[[#This Row],[Bearbeitungsdauer_abgewichen]]&lt;-0.3,"kürzer",TRUE,"keine Abweichung")</f>
        <v>keine Abweichung</v>
      </c>
      <c r="I1979">
        <v>1</v>
      </c>
    </row>
    <row r="1980" spans="1:9" hidden="1" x14ac:dyDescent="0.3">
      <c r="A1980" s="13">
        <v>314</v>
      </c>
      <c r="B1980" s="4">
        <v>3</v>
      </c>
      <c r="C1980" t="s">
        <v>552</v>
      </c>
      <c r="D1980" t="s">
        <v>530</v>
      </c>
      <c r="E1980">
        <v>30</v>
      </c>
      <c r="F1980">
        <v>30</v>
      </c>
      <c r="G1980" s="8">
        <f>Lektionen[[#This Row],[Bearbeitungsdauer_real]]/Lektionen[[#This Row],[Bearbeitungsdauer_geschätzt]]-1</f>
        <v>0</v>
      </c>
      <c r="H1980" s="8" t="str" cm="1">
        <f t="array" ref="H1980">_xlfn.IFS(Lektionen[[#This Row],[Bearbeitungsdauer_abgewichen]]&gt;0.6,"viel länger",Lektionen[[#This Row],[Bearbeitungsdauer_abgewichen]]&gt;0.3,"länger",Lektionen[[#This Row],[Bearbeitungsdauer_abgewichen]]&lt;-0.3,"kürzer",TRUE,"keine Abweichung")</f>
        <v>keine Abweichung</v>
      </c>
      <c r="I1980">
        <v>2</v>
      </c>
    </row>
    <row r="1981" spans="1:9" hidden="1" x14ac:dyDescent="0.3">
      <c r="A1981" s="13">
        <v>314</v>
      </c>
      <c r="B1981" s="4">
        <v>4</v>
      </c>
      <c r="C1981" t="s">
        <v>531</v>
      </c>
      <c r="D1981" t="s">
        <v>530</v>
      </c>
      <c r="E1981">
        <v>30</v>
      </c>
      <c r="F1981">
        <v>26</v>
      </c>
      <c r="G1981" s="8">
        <f>Lektionen[[#This Row],[Bearbeitungsdauer_real]]/Lektionen[[#This Row],[Bearbeitungsdauer_geschätzt]]-1</f>
        <v>-0.1333333333333333</v>
      </c>
      <c r="H1981" s="8" t="str" cm="1">
        <f t="array" ref="H1981">_xlfn.IFS(Lektionen[[#This Row],[Bearbeitungsdauer_abgewichen]]&gt;0.6,"viel länger",Lektionen[[#This Row],[Bearbeitungsdauer_abgewichen]]&gt;0.3,"länger",Lektionen[[#This Row],[Bearbeitungsdauer_abgewichen]]&lt;-0.3,"kürzer",TRUE,"keine Abweichung")</f>
        <v>keine Abweichung</v>
      </c>
      <c r="I1981">
        <v>3</v>
      </c>
    </row>
    <row r="1982" spans="1:9" x14ac:dyDescent="0.3">
      <c r="A1982" s="13">
        <v>314</v>
      </c>
      <c r="B1982" s="4">
        <v>5</v>
      </c>
      <c r="C1982" t="s">
        <v>532</v>
      </c>
      <c r="D1982" t="s">
        <v>530</v>
      </c>
      <c r="E1982">
        <v>30</v>
      </c>
      <c r="F1982">
        <v>43</v>
      </c>
      <c r="G1982" s="8">
        <f>Lektionen[[#This Row],[Bearbeitungsdauer_real]]/Lektionen[[#This Row],[Bearbeitungsdauer_geschätzt]]-1</f>
        <v>0.43333333333333335</v>
      </c>
      <c r="H1982" s="8" t="str" cm="1">
        <f t="array" ref="H1982">_xlfn.IFS(Lektionen[[#This Row],[Bearbeitungsdauer_abgewichen]]&gt;0.6,"viel länger",Lektionen[[#This Row],[Bearbeitungsdauer_abgewichen]]&gt;0.3,"länger",Lektionen[[#This Row],[Bearbeitungsdauer_abgewichen]]&lt;-0.3,"kürzer",TRUE,"keine Abweichung")</f>
        <v>länger</v>
      </c>
      <c r="I1982">
        <v>4</v>
      </c>
    </row>
    <row r="1983" spans="1:9" hidden="1" x14ac:dyDescent="0.3">
      <c r="A1983" s="13">
        <v>314</v>
      </c>
      <c r="B1983" s="4">
        <v>6</v>
      </c>
      <c r="C1983" t="s">
        <v>533</v>
      </c>
      <c r="D1983" t="s">
        <v>534</v>
      </c>
      <c r="E1983">
        <v>5</v>
      </c>
      <c r="F1983">
        <v>1</v>
      </c>
      <c r="G1983" s="8">
        <f>Lektionen[[#This Row],[Bearbeitungsdauer_real]]/Lektionen[[#This Row],[Bearbeitungsdauer_geschätzt]]-1</f>
        <v>-0.8</v>
      </c>
      <c r="H1983" s="8" t="str" cm="1">
        <f t="array" ref="H1983">_xlfn.IFS(Lektionen[[#This Row],[Bearbeitungsdauer_abgewichen]]&gt;0.6,"viel länger",Lektionen[[#This Row],[Bearbeitungsdauer_abgewichen]]&gt;0.3,"länger",Lektionen[[#This Row],[Bearbeitungsdauer_abgewichen]]&lt;-0.3,"kürzer",TRUE,"keine Abweichung")</f>
        <v>kürzer</v>
      </c>
      <c r="I1983">
        <v>2</v>
      </c>
    </row>
    <row r="1984" spans="1:9" hidden="1" x14ac:dyDescent="0.3">
      <c r="A1984" s="13">
        <v>314</v>
      </c>
      <c r="B1984" s="4">
        <v>7</v>
      </c>
      <c r="C1984" t="s">
        <v>535</v>
      </c>
      <c r="D1984" t="s">
        <v>536</v>
      </c>
      <c r="E1984">
        <v>10</v>
      </c>
      <c r="F1984">
        <v>8</v>
      </c>
      <c r="G1984" s="8">
        <f>Lektionen[[#This Row],[Bearbeitungsdauer_real]]/Lektionen[[#This Row],[Bearbeitungsdauer_geschätzt]]-1</f>
        <v>-0.19999999999999996</v>
      </c>
      <c r="H1984" s="8" t="str" cm="1">
        <f t="array" ref="H1984">_xlfn.IFS(Lektionen[[#This Row],[Bearbeitungsdauer_abgewichen]]&gt;0.6,"viel länger",Lektionen[[#This Row],[Bearbeitungsdauer_abgewichen]]&gt;0.3,"länger",Lektionen[[#This Row],[Bearbeitungsdauer_abgewichen]]&lt;-0.3,"kürzer",TRUE,"keine Abweichung")</f>
        <v>keine Abweichung</v>
      </c>
      <c r="I1984">
        <v>3</v>
      </c>
    </row>
    <row r="1985" spans="1:9" hidden="1" x14ac:dyDescent="0.3">
      <c r="A1985" s="13">
        <v>314</v>
      </c>
      <c r="B1985" s="4">
        <v>8</v>
      </c>
      <c r="C1985" t="s">
        <v>537</v>
      </c>
      <c r="D1985" t="s">
        <v>527</v>
      </c>
      <c r="E1985">
        <v>5</v>
      </c>
      <c r="F1985">
        <v>7</v>
      </c>
      <c r="G1985" s="8">
        <f>Lektionen[[#This Row],[Bearbeitungsdauer_real]]/Lektionen[[#This Row],[Bearbeitungsdauer_geschätzt]]-1</f>
        <v>0.39999999999999991</v>
      </c>
      <c r="H1985" s="8" t="str" cm="1">
        <f t="array" ref="H1985">_xlfn.IFS(Lektionen[[#This Row],[Bearbeitungsdauer_abgewichen]]&gt;0.6,"viel länger",Lektionen[[#This Row],[Bearbeitungsdauer_abgewichen]]&gt;0.3,"länger",Lektionen[[#This Row],[Bearbeitungsdauer_abgewichen]]&lt;-0.3,"kürzer",TRUE,"keine Abweichung")</f>
        <v>länger</v>
      </c>
      <c r="I1985">
        <v>1</v>
      </c>
    </row>
    <row r="1986" spans="1:9" hidden="1" x14ac:dyDescent="0.3">
      <c r="A1986" s="13">
        <v>315</v>
      </c>
      <c r="B1986" s="4">
        <v>1</v>
      </c>
      <c r="C1986" t="s">
        <v>526</v>
      </c>
      <c r="D1986" t="s">
        <v>527</v>
      </c>
      <c r="E1986">
        <v>4</v>
      </c>
      <c r="F1986">
        <v>7</v>
      </c>
      <c r="G1986" s="8">
        <f>Lektionen[[#This Row],[Bearbeitungsdauer_real]]/Lektionen[[#This Row],[Bearbeitungsdauer_geschätzt]]-1</f>
        <v>0.75</v>
      </c>
      <c r="H1986" s="8" t="str" cm="1">
        <f t="array" ref="H1986">_xlfn.IFS(Lektionen[[#This Row],[Bearbeitungsdauer_abgewichen]]&gt;0.6,"viel länger",Lektionen[[#This Row],[Bearbeitungsdauer_abgewichen]]&gt;0.3,"länger",Lektionen[[#This Row],[Bearbeitungsdauer_abgewichen]]&lt;-0.3,"kürzer",TRUE,"keine Abweichung")</f>
        <v>viel länger</v>
      </c>
      <c r="I1986">
        <v>1</v>
      </c>
    </row>
    <row r="1987" spans="1:9" hidden="1" x14ac:dyDescent="0.3">
      <c r="A1987" s="13">
        <v>315</v>
      </c>
      <c r="B1987" s="4">
        <v>2</v>
      </c>
      <c r="C1987" t="s">
        <v>528</v>
      </c>
      <c r="D1987" t="s">
        <v>529</v>
      </c>
      <c r="E1987">
        <v>15</v>
      </c>
      <c r="F1987">
        <v>18</v>
      </c>
      <c r="G1987" s="8">
        <f>Lektionen[[#This Row],[Bearbeitungsdauer_real]]/Lektionen[[#This Row],[Bearbeitungsdauer_geschätzt]]-1</f>
        <v>0.19999999999999996</v>
      </c>
      <c r="H1987" s="8" t="str" cm="1">
        <f t="array" ref="H1987">_xlfn.IFS(Lektionen[[#This Row],[Bearbeitungsdauer_abgewichen]]&gt;0.6,"viel länger",Lektionen[[#This Row],[Bearbeitungsdauer_abgewichen]]&gt;0.3,"länger",Lektionen[[#This Row],[Bearbeitungsdauer_abgewichen]]&lt;-0.3,"kürzer",TRUE,"keine Abweichung")</f>
        <v>keine Abweichung</v>
      </c>
      <c r="I1987">
        <v>2</v>
      </c>
    </row>
    <row r="1988" spans="1:9" hidden="1" x14ac:dyDescent="0.3">
      <c r="A1988" s="13">
        <v>315</v>
      </c>
      <c r="B1988" s="4">
        <v>3</v>
      </c>
      <c r="C1988" t="s">
        <v>552</v>
      </c>
      <c r="D1988" t="s">
        <v>530</v>
      </c>
      <c r="E1988">
        <v>30</v>
      </c>
      <c r="F1988">
        <v>29</v>
      </c>
      <c r="G1988" s="8">
        <f>Lektionen[[#This Row],[Bearbeitungsdauer_real]]/Lektionen[[#This Row],[Bearbeitungsdauer_geschätzt]]-1</f>
        <v>-3.3333333333333326E-2</v>
      </c>
      <c r="H1988" s="8" t="str" cm="1">
        <f t="array" ref="H1988">_xlfn.IFS(Lektionen[[#This Row],[Bearbeitungsdauer_abgewichen]]&gt;0.6,"viel länger",Lektionen[[#This Row],[Bearbeitungsdauer_abgewichen]]&gt;0.3,"länger",Lektionen[[#This Row],[Bearbeitungsdauer_abgewichen]]&lt;-0.3,"kürzer",TRUE,"keine Abweichung")</f>
        <v>keine Abweichung</v>
      </c>
      <c r="I1988">
        <v>3</v>
      </c>
    </row>
    <row r="1989" spans="1:9" hidden="1" x14ac:dyDescent="0.3">
      <c r="A1989" s="13">
        <v>315</v>
      </c>
      <c r="B1989" s="4">
        <v>4</v>
      </c>
      <c r="C1989" t="s">
        <v>531</v>
      </c>
      <c r="D1989" t="s">
        <v>530</v>
      </c>
      <c r="E1989">
        <v>30</v>
      </c>
      <c r="F1989">
        <v>32</v>
      </c>
      <c r="G1989" s="8">
        <f>Lektionen[[#This Row],[Bearbeitungsdauer_real]]/Lektionen[[#This Row],[Bearbeitungsdauer_geschätzt]]-1</f>
        <v>6.6666666666666652E-2</v>
      </c>
      <c r="H1989" s="8" t="str" cm="1">
        <f t="array" ref="H1989">_xlfn.IFS(Lektionen[[#This Row],[Bearbeitungsdauer_abgewichen]]&gt;0.6,"viel länger",Lektionen[[#This Row],[Bearbeitungsdauer_abgewichen]]&gt;0.3,"länger",Lektionen[[#This Row],[Bearbeitungsdauer_abgewichen]]&lt;-0.3,"kürzer",TRUE,"keine Abweichung")</f>
        <v>keine Abweichung</v>
      </c>
      <c r="I1989">
        <v>3</v>
      </c>
    </row>
    <row r="1990" spans="1:9" x14ac:dyDescent="0.3">
      <c r="A1990" s="13">
        <v>315</v>
      </c>
      <c r="B1990" s="4">
        <v>5</v>
      </c>
      <c r="C1990" t="s">
        <v>532</v>
      </c>
      <c r="D1990" t="s">
        <v>530</v>
      </c>
      <c r="E1990">
        <v>30</v>
      </c>
      <c r="F1990">
        <v>50</v>
      </c>
      <c r="G1990" s="8">
        <f>Lektionen[[#This Row],[Bearbeitungsdauer_real]]/Lektionen[[#This Row],[Bearbeitungsdauer_geschätzt]]-1</f>
        <v>0.66666666666666674</v>
      </c>
      <c r="H1990" s="8" t="str" cm="1">
        <f t="array" ref="H1990">_xlfn.IFS(Lektionen[[#This Row],[Bearbeitungsdauer_abgewichen]]&gt;0.6,"viel länger",Lektionen[[#This Row],[Bearbeitungsdauer_abgewichen]]&gt;0.3,"länger",Lektionen[[#This Row],[Bearbeitungsdauer_abgewichen]]&lt;-0.3,"kürzer",TRUE,"keine Abweichung")</f>
        <v>viel länger</v>
      </c>
      <c r="I1990">
        <v>4</v>
      </c>
    </row>
    <row r="1991" spans="1:9" hidden="1" x14ac:dyDescent="0.3">
      <c r="A1991" s="13">
        <v>315</v>
      </c>
      <c r="B1991" s="4">
        <v>6</v>
      </c>
      <c r="C1991" t="s">
        <v>533</v>
      </c>
      <c r="D1991" t="s">
        <v>534</v>
      </c>
      <c r="E1991">
        <v>5</v>
      </c>
      <c r="F1991">
        <v>1</v>
      </c>
      <c r="G1991" s="8">
        <f>Lektionen[[#This Row],[Bearbeitungsdauer_real]]/Lektionen[[#This Row],[Bearbeitungsdauer_geschätzt]]-1</f>
        <v>-0.8</v>
      </c>
      <c r="H1991" s="8" t="str" cm="1">
        <f t="array" ref="H1991">_xlfn.IFS(Lektionen[[#This Row],[Bearbeitungsdauer_abgewichen]]&gt;0.6,"viel länger",Lektionen[[#This Row],[Bearbeitungsdauer_abgewichen]]&gt;0.3,"länger",Lektionen[[#This Row],[Bearbeitungsdauer_abgewichen]]&lt;-0.3,"kürzer",TRUE,"keine Abweichung")</f>
        <v>kürzer</v>
      </c>
      <c r="I1991">
        <v>2</v>
      </c>
    </row>
    <row r="1992" spans="1:9" hidden="1" x14ac:dyDescent="0.3">
      <c r="A1992" s="13">
        <v>315</v>
      </c>
      <c r="B1992" s="4">
        <v>7</v>
      </c>
      <c r="C1992" t="s">
        <v>535</v>
      </c>
      <c r="D1992" t="s">
        <v>536</v>
      </c>
      <c r="E1992">
        <v>10</v>
      </c>
      <c r="F1992">
        <v>9</v>
      </c>
      <c r="G1992" s="8">
        <f>Lektionen[[#This Row],[Bearbeitungsdauer_real]]/Lektionen[[#This Row],[Bearbeitungsdauer_geschätzt]]-1</f>
        <v>-9.9999999999999978E-2</v>
      </c>
      <c r="H1992" s="8" t="str" cm="1">
        <f t="array" ref="H1992">_xlfn.IFS(Lektionen[[#This Row],[Bearbeitungsdauer_abgewichen]]&gt;0.6,"viel länger",Lektionen[[#This Row],[Bearbeitungsdauer_abgewichen]]&gt;0.3,"länger",Lektionen[[#This Row],[Bearbeitungsdauer_abgewichen]]&lt;-0.3,"kürzer",TRUE,"keine Abweichung")</f>
        <v>keine Abweichung</v>
      </c>
      <c r="I1992">
        <v>3</v>
      </c>
    </row>
    <row r="1993" spans="1:9" hidden="1" x14ac:dyDescent="0.3">
      <c r="A1993" s="13">
        <v>315</v>
      </c>
      <c r="B1993" s="4">
        <v>8</v>
      </c>
      <c r="C1993" t="s">
        <v>537</v>
      </c>
      <c r="D1993" t="s">
        <v>527</v>
      </c>
      <c r="E1993">
        <v>5</v>
      </c>
      <c r="F1993">
        <v>5</v>
      </c>
      <c r="G1993" s="8">
        <f>Lektionen[[#This Row],[Bearbeitungsdauer_real]]/Lektionen[[#This Row],[Bearbeitungsdauer_geschätzt]]-1</f>
        <v>0</v>
      </c>
      <c r="H1993" s="8" t="str" cm="1">
        <f t="array" ref="H1993">_xlfn.IFS(Lektionen[[#This Row],[Bearbeitungsdauer_abgewichen]]&gt;0.6,"viel länger",Lektionen[[#This Row],[Bearbeitungsdauer_abgewichen]]&gt;0.3,"länger",Lektionen[[#This Row],[Bearbeitungsdauer_abgewichen]]&lt;-0.3,"kürzer",TRUE,"keine Abweichung")</f>
        <v>keine Abweichung</v>
      </c>
      <c r="I1993">
        <v>1</v>
      </c>
    </row>
    <row r="1994" spans="1:9" hidden="1" x14ac:dyDescent="0.3">
      <c r="A1994" s="13">
        <v>316</v>
      </c>
      <c r="B1994" s="4">
        <v>1</v>
      </c>
      <c r="C1994" t="s">
        <v>526</v>
      </c>
      <c r="D1994" t="s">
        <v>527</v>
      </c>
      <c r="E1994">
        <v>4</v>
      </c>
      <c r="F1994">
        <v>4</v>
      </c>
      <c r="G1994" s="8">
        <f>Lektionen[[#This Row],[Bearbeitungsdauer_real]]/Lektionen[[#This Row],[Bearbeitungsdauer_geschätzt]]-1</f>
        <v>0</v>
      </c>
      <c r="H1994" s="8" t="str" cm="1">
        <f t="array" ref="H1994">_xlfn.IFS(Lektionen[[#This Row],[Bearbeitungsdauer_abgewichen]]&gt;0.6,"viel länger",Lektionen[[#This Row],[Bearbeitungsdauer_abgewichen]]&gt;0.3,"länger",Lektionen[[#This Row],[Bearbeitungsdauer_abgewichen]]&lt;-0.3,"kürzer",TRUE,"keine Abweichung")</f>
        <v>keine Abweichung</v>
      </c>
      <c r="I1994">
        <v>1</v>
      </c>
    </row>
    <row r="1995" spans="1:9" hidden="1" x14ac:dyDescent="0.3">
      <c r="A1995" s="13">
        <v>316</v>
      </c>
      <c r="B1995" s="4">
        <v>2</v>
      </c>
      <c r="C1995" t="s">
        <v>528</v>
      </c>
      <c r="D1995" t="s">
        <v>529</v>
      </c>
      <c r="E1995">
        <v>15</v>
      </c>
      <c r="F1995">
        <v>17</v>
      </c>
      <c r="G1995" s="8">
        <f>Lektionen[[#This Row],[Bearbeitungsdauer_real]]/Lektionen[[#This Row],[Bearbeitungsdauer_geschätzt]]-1</f>
        <v>0.1333333333333333</v>
      </c>
      <c r="H1995" s="8" t="str" cm="1">
        <f t="array" ref="H1995">_xlfn.IFS(Lektionen[[#This Row],[Bearbeitungsdauer_abgewichen]]&gt;0.6,"viel länger",Lektionen[[#This Row],[Bearbeitungsdauer_abgewichen]]&gt;0.3,"länger",Lektionen[[#This Row],[Bearbeitungsdauer_abgewichen]]&lt;-0.3,"kürzer",TRUE,"keine Abweichung")</f>
        <v>keine Abweichung</v>
      </c>
      <c r="I1995">
        <v>3</v>
      </c>
    </row>
    <row r="1996" spans="1:9" hidden="1" x14ac:dyDescent="0.3">
      <c r="A1996" s="13">
        <v>316</v>
      </c>
      <c r="B1996" s="4">
        <v>3</v>
      </c>
      <c r="C1996" t="s">
        <v>552</v>
      </c>
      <c r="D1996" t="s">
        <v>530</v>
      </c>
      <c r="E1996">
        <v>30</v>
      </c>
      <c r="F1996">
        <v>28</v>
      </c>
      <c r="G1996" s="8">
        <f>Lektionen[[#This Row],[Bearbeitungsdauer_real]]/Lektionen[[#This Row],[Bearbeitungsdauer_geschätzt]]-1</f>
        <v>-6.6666666666666652E-2</v>
      </c>
      <c r="H1996" s="8" t="str" cm="1">
        <f t="array" ref="H1996">_xlfn.IFS(Lektionen[[#This Row],[Bearbeitungsdauer_abgewichen]]&gt;0.6,"viel länger",Lektionen[[#This Row],[Bearbeitungsdauer_abgewichen]]&gt;0.3,"länger",Lektionen[[#This Row],[Bearbeitungsdauer_abgewichen]]&lt;-0.3,"kürzer",TRUE,"keine Abweichung")</f>
        <v>keine Abweichung</v>
      </c>
      <c r="I1996">
        <v>2</v>
      </c>
    </row>
    <row r="1997" spans="1:9" hidden="1" x14ac:dyDescent="0.3">
      <c r="A1997" s="13">
        <v>316</v>
      </c>
      <c r="B1997" s="4">
        <v>4</v>
      </c>
      <c r="C1997" t="s">
        <v>531</v>
      </c>
      <c r="D1997" t="s">
        <v>530</v>
      </c>
      <c r="E1997">
        <v>30</v>
      </c>
      <c r="F1997">
        <v>28</v>
      </c>
      <c r="G1997" s="8">
        <f>Lektionen[[#This Row],[Bearbeitungsdauer_real]]/Lektionen[[#This Row],[Bearbeitungsdauer_geschätzt]]-1</f>
        <v>-6.6666666666666652E-2</v>
      </c>
      <c r="H1997" s="8" t="str" cm="1">
        <f t="array" ref="H1997">_xlfn.IFS(Lektionen[[#This Row],[Bearbeitungsdauer_abgewichen]]&gt;0.6,"viel länger",Lektionen[[#This Row],[Bearbeitungsdauer_abgewichen]]&gt;0.3,"länger",Lektionen[[#This Row],[Bearbeitungsdauer_abgewichen]]&lt;-0.3,"kürzer",TRUE,"keine Abweichung")</f>
        <v>keine Abweichung</v>
      </c>
      <c r="I1997">
        <v>3</v>
      </c>
    </row>
    <row r="1998" spans="1:9" x14ac:dyDescent="0.3">
      <c r="A1998" s="13">
        <v>316</v>
      </c>
      <c r="B1998" s="4">
        <v>5</v>
      </c>
      <c r="C1998" t="s">
        <v>532</v>
      </c>
      <c r="D1998" t="s">
        <v>530</v>
      </c>
      <c r="E1998">
        <v>30</v>
      </c>
      <c r="F1998">
        <v>31</v>
      </c>
      <c r="G1998" s="8">
        <f>Lektionen[[#This Row],[Bearbeitungsdauer_real]]/Lektionen[[#This Row],[Bearbeitungsdauer_geschätzt]]-1</f>
        <v>3.3333333333333437E-2</v>
      </c>
      <c r="H1998" s="8" t="str" cm="1">
        <f t="array" ref="H1998">_xlfn.IFS(Lektionen[[#This Row],[Bearbeitungsdauer_abgewichen]]&gt;0.6,"viel länger",Lektionen[[#This Row],[Bearbeitungsdauer_abgewichen]]&gt;0.3,"länger",Lektionen[[#This Row],[Bearbeitungsdauer_abgewichen]]&lt;-0.3,"kürzer",TRUE,"keine Abweichung")</f>
        <v>keine Abweichung</v>
      </c>
      <c r="I1998">
        <v>5</v>
      </c>
    </row>
    <row r="1999" spans="1:9" hidden="1" x14ac:dyDescent="0.3">
      <c r="A1999" s="13">
        <v>316</v>
      </c>
      <c r="B1999" s="4">
        <v>6</v>
      </c>
      <c r="C1999" t="s">
        <v>533</v>
      </c>
      <c r="D1999" t="s">
        <v>534</v>
      </c>
      <c r="E1999">
        <v>5</v>
      </c>
      <c r="F1999">
        <v>1</v>
      </c>
      <c r="G1999" s="8">
        <f>Lektionen[[#This Row],[Bearbeitungsdauer_real]]/Lektionen[[#This Row],[Bearbeitungsdauer_geschätzt]]-1</f>
        <v>-0.8</v>
      </c>
      <c r="H1999" s="8" t="str" cm="1">
        <f t="array" ref="H1999">_xlfn.IFS(Lektionen[[#This Row],[Bearbeitungsdauer_abgewichen]]&gt;0.6,"viel länger",Lektionen[[#This Row],[Bearbeitungsdauer_abgewichen]]&gt;0.3,"länger",Lektionen[[#This Row],[Bearbeitungsdauer_abgewichen]]&lt;-0.3,"kürzer",TRUE,"keine Abweichung")</f>
        <v>kürzer</v>
      </c>
      <c r="I1999">
        <v>2</v>
      </c>
    </row>
    <row r="2000" spans="1:9" hidden="1" x14ac:dyDescent="0.3">
      <c r="A2000" s="13">
        <v>316</v>
      </c>
      <c r="B2000" s="4">
        <v>7</v>
      </c>
      <c r="C2000" t="s">
        <v>535</v>
      </c>
      <c r="D2000" t="s">
        <v>536</v>
      </c>
      <c r="E2000">
        <v>10</v>
      </c>
      <c r="F2000">
        <v>10</v>
      </c>
      <c r="G2000" s="8">
        <f>Lektionen[[#This Row],[Bearbeitungsdauer_real]]/Lektionen[[#This Row],[Bearbeitungsdauer_geschätzt]]-1</f>
        <v>0</v>
      </c>
      <c r="H2000" s="8" t="str" cm="1">
        <f t="array" ref="H2000">_xlfn.IFS(Lektionen[[#This Row],[Bearbeitungsdauer_abgewichen]]&gt;0.6,"viel länger",Lektionen[[#This Row],[Bearbeitungsdauer_abgewichen]]&gt;0.3,"länger",Lektionen[[#This Row],[Bearbeitungsdauer_abgewichen]]&lt;-0.3,"kürzer",TRUE,"keine Abweichung")</f>
        <v>keine Abweichung</v>
      </c>
      <c r="I2000">
        <v>3</v>
      </c>
    </row>
    <row r="2001" spans="1:9" hidden="1" x14ac:dyDescent="0.3">
      <c r="A2001" s="13">
        <v>316</v>
      </c>
      <c r="B2001" s="4">
        <v>8</v>
      </c>
      <c r="C2001" t="s">
        <v>537</v>
      </c>
      <c r="D2001" t="s">
        <v>527</v>
      </c>
      <c r="E2001">
        <v>5</v>
      </c>
      <c r="F2001">
        <v>5</v>
      </c>
      <c r="G2001" s="8">
        <f>Lektionen[[#This Row],[Bearbeitungsdauer_real]]/Lektionen[[#This Row],[Bearbeitungsdauer_geschätzt]]-1</f>
        <v>0</v>
      </c>
      <c r="H2001" s="8" t="str" cm="1">
        <f t="array" ref="H2001">_xlfn.IFS(Lektionen[[#This Row],[Bearbeitungsdauer_abgewichen]]&gt;0.6,"viel länger",Lektionen[[#This Row],[Bearbeitungsdauer_abgewichen]]&gt;0.3,"länger",Lektionen[[#This Row],[Bearbeitungsdauer_abgewichen]]&lt;-0.3,"kürzer",TRUE,"keine Abweichung")</f>
        <v>keine Abweichung</v>
      </c>
      <c r="I2001">
        <v>1</v>
      </c>
    </row>
    <row r="2002" spans="1:9" hidden="1" x14ac:dyDescent="0.3">
      <c r="A2002" s="13">
        <v>317</v>
      </c>
      <c r="B2002" s="4">
        <v>1</v>
      </c>
      <c r="C2002" t="s">
        <v>526</v>
      </c>
      <c r="D2002" t="s">
        <v>527</v>
      </c>
      <c r="E2002">
        <v>4</v>
      </c>
      <c r="F2002">
        <v>4</v>
      </c>
      <c r="G2002" s="8">
        <f>Lektionen[[#This Row],[Bearbeitungsdauer_real]]/Lektionen[[#This Row],[Bearbeitungsdauer_geschätzt]]-1</f>
        <v>0</v>
      </c>
      <c r="H2002" s="8" t="str" cm="1">
        <f t="array" ref="H2002">_xlfn.IFS(Lektionen[[#This Row],[Bearbeitungsdauer_abgewichen]]&gt;0.6,"viel länger",Lektionen[[#This Row],[Bearbeitungsdauer_abgewichen]]&gt;0.3,"länger",Lektionen[[#This Row],[Bearbeitungsdauer_abgewichen]]&lt;-0.3,"kürzer",TRUE,"keine Abweichung")</f>
        <v>keine Abweichung</v>
      </c>
      <c r="I2002">
        <v>1</v>
      </c>
    </row>
    <row r="2003" spans="1:9" hidden="1" x14ac:dyDescent="0.3">
      <c r="A2003" s="13">
        <v>317</v>
      </c>
      <c r="B2003" s="4">
        <v>2</v>
      </c>
      <c r="C2003" t="s">
        <v>528</v>
      </c>
      <c r="D2003" t="s">
        <v>529</v>
      </c>
      <c r="E2003">
        <v>15</v>
      </c>
      <c r="F2003">
        <v>21</v>
      </c>
      <c r="G2003" s="8">
        <f>Lektionen[[#This Row],[Bearbeitungsdauer_real]]/Lektionen[[#This Row],[Bearbeitungsdauer_geschätzt]]-1</f>
        <v>0.39999999999999991</v>
      </c>
      <c r="H2003" s="8" t="str" cm="1">
        <f t="array" ref="H2003">_xlfn.IFS(Lektionen[[#This Row],[Bearbeitungsdauer_abgewichen]]&gt;0.6,"viel länger",Lektionen[[#This Row],[Bearbeitungsdauer_abgewichen]]&gt;0.3,"länger",Lektionen[[#This Row],[Bearbeitungsdauer_abgewichen]]&lt;-0.3,"kürzer",TRUE,"keine Abweichung")</f>
        <v>länger</v>
      </c>
      <c r="I2003">
        <v>2</v>
      </c>
    </row>
    <row r="2004" spans="1:9" hidden="1" x14ac:dyDescent="0.3">
      <c r="A2004" s="13">
        <v>317</v>
      </c>
      <c r="B2004" s="4">
        <v>3</v>
      </c>
      <c r="C2004" t="s">
        <v>552</v>
      </c>
      <c r="D2004" t="s">
        <v>530</v>
      </c>
      <c r="E2004">
        <v>30</v>
      </c>
      <c r="F2004">
        <v>30</v>
      </c>
      <c r="G2004" s="8">
        <f>Lektionen[[#This Row],[Bearbeitungsdauer_real]]/Lektionen[[#This Row],[Bearbeitungsdauer_geschätzt]]-1</f>
        <v>0</v>
      </c>
      <c r="H2004" s="8" t="str" cm="1">
        <f t="array" ref="H2004">_xlfn.IFS(Lektionen[[#This Row],[Bearbeitungsdauer_abgewichen]]&gt;0.6,"viel länger",Lektionen[[#This Row],[Bearbeitungsdauer_abgewichen]]&gt;0.3,"länger",Lektionen[[#This Row],[Bearbeitungsdauer_abgewichen]]&lt;-0.3,"kürzer",TRUE,"keine Abweichung")</f>
        <v>keine Abweichung</v>
      </c>
      <c r="I2004">
        <v>2</v>
      </c>
    </row>
    <row r="2005" spans="1:9" hidden="1" x14ac:dyDescent="0.3">
      <c r="A2005" s="13">
        <v>317</v>
      </c>
      <c r="B2005" s="4">
        <v>4</v>
      </c>
      <c r="C2005" t="s">
        <v>531</v>
      </c>
      <c r="D2005" t="s">
        <v>530</v>
      </c>
      <c r="E2005">
        <v>30</v>
      </c>
      <c r="F2005">
        <v>24</v>
      </c>
      <c r="G2005" s="8">
        <f>Lektionen[[#This Row],[Bearbeitungsdauer_real]]/Lektionen[[#This Row],[Bearbeitungsdauer_geschätzt]]-1</f>
        <v>-0.19999999999999996</v>
      </c>
      <c r="H2005" s="8" t="str" cm="1">
        <f t="array" ref="H2005">_xlfn.IFS(Lektionen[[#This Row],[Bearbeitungsdauer_abgewichen]]&gt;0.6,"viel länger",Lektionen[[#This Row],[Bearbeitungsdauer_abgewichen]]&gt;0.3,"länger",Lektionen[[#This Row],[Bearbeitungsdauer_abgewichen]]&lt;-0.3,"kürzer",TRUE,"keine Abweichung")</f>
        <v>keine Abweichung</v>
      </c>
      <c r="I2005">
        <v>3</v>
      </c>
    </row>
    <row r="2006" spans="1:9" x14ac:dyDescent="0.3">
      <c r="A2006" s="13">
        <v>317</v>
      </c>
      <c r="B2006" s="4">
        <v>5</v>
      </c>
      <c r="C2006" t="s">
        <v>532</v>
      </c>
      <c r="D2006" t="s">
        <v>530</v>
      </c>
      <c r="E2006">
        <v>30</v>
      </c>
      <c r="F2006">
        <v>46</v>
      </c>
      <c r="G2006" s="8">
        <f>Lektionen[[#This Row],[Bearbeitungsdauer_real]]/Lektionen[[#This Row],[Bearbeitungsdauer_geschätzt]]-1</f>
        <v>0.53333333333333344</v>
      </c>
      <c r="H2006" s="8" t="str" cm="1">
        <f t="array" ref="H2006">_xlfn.IFS(Lektionen[[#This Row],[Bearbeitungsdauer_abgewichen]]&gt;0.6,"viel länger",Lektionen[[#This Row],[Bearbeitungsdauer_abgewichen]]&gt;0.3,"länger",Lektionen[[#This Row],[Bearbeitungsdauer_abgewichen]]&lt;-0.3,"kürzer",TRUE,"keine Abweichung")</f>
        <v>länger</v>
      </c>
      <c r="I2006">
        <v>3</v>
      </c>
    </row>
    <row r="2007" spans="1:9" hidden="1" x14ac:dyDescent="0.3">
      <c r="A2007" s="13">
        <v>317</v>
      </c>
      <c r="B2007" s="4">
        <v>6</v>
      </c>
      <c r="C2007" t="s">
        <v>533</v>
      </c>
      <c r="D2007" t="s">
        <v>534</v>
      </c>
      <c r="E2007">
        <v>5</v>
      </c>
      <c r="F2007">
        <v>3</v>
      </c>
      <c r="G2007" s="8">
        <f>Lektionen[[#This Row],[Bearbeitungsdauer_real]]/Lektionen[[#This Row],[Bearbeitungsdauer_geschätzt]]-1</f>
        <v>-0.4</v>
      </c>
      <c r="H2007" s="8" t="str" cm="1">
        <f t="array" ref="H2007">_xlfn.IFS(Lektionen[[#This Row],[Bearbeitungsdauer_abgewichen]]&gt;0.6,"viel länger",Lektionen[[#This Row],[Bearbeitungsdauer_abgewichen]]&gt;0.3,"länger",Lektionen[[#This Row],[Bearbeitungsdauer_abgewichen]]&lt;-0.3,"kürzer",TRUE,"keine Abweichung")</f>
        <v>kürzer</v>
      </c>
      <c r="I2007">
        <v>3</v>
      </c>
    </row>
    <row r="2008" spans="1:9" hidden="1" x14ac:dyDescent="0.3">
      <c r="A2008" s="13">
        <v>317</v>
      </c>
      <c r="B2008" s="4">
        <v>7</v>
      </c>
      <c r="C2008" t="s">
        <v>535</v>
      </c>
      <c r="D2008" t="s">
        <v>536</v>
      </c>
      <c r="E2008">
        <v>10</v>
      </c>
      <c r="F2008">
        <v>10</v>
      </c>
      <c r="G2008" s="8">
        <f>Lektionen[[#This Row],[Bearbeitungsdauer_real]]/Lektionen[[#This Row],[Bearbeitungsdauer_geschätzt]]-1</f>
        <v>0</v>
      </c>
      <c r="H2008" s="8" t="str" cm="1">
        <f t="array" ref="H2008">_xlfn.IFS(Lektionen[[#This Row],[Bearbeitungsdauer_abgewichen]]&gt;0.6,"viel länger",Lektionen[[#This Row],[Bearbeitungsdauer_abgewichen]]&gt;0.3,"länger",Lektionen[[#This Row],[Bearbeitungsdauer_abgewichen]]&lt;-0.3,"kürzer",TRUE,"keine Abweichung")</f>
        <v>keine Abweichung</v>
      </c>
      <c r="I2008">
        <v>3</v>
      </c>
    </row>
    <row r="2009" spans="1:9" hidden="1" x14ac:dyDescent="0.3">
      <c r="A2009" s="13">
        <v>317</v>
      </c>
      <c r="B2009" s="4">
        <v>8</v>
      </c>
      <c r="C2009" t="s">
        <v>537</v>
      </c>
      <c r="D2009" t="s">
        <v>527</v>
      </c>
      <c r="E2009">
        <v>5</v>
      </c>
      <c r="F2009">
        <v>6</v>
      </c>
      <c r="G2009" s="8">
        <f>Lektionen[[#This Row],[Bearbeitungsdauer_real]]/Lektionen[[#This Row],[Bearbeitungsdauer_geschätzt]]-1</f>
        <v>0.19999999999999996</v>
      </c>
      <c r="H2009" s="8" t="str" cm="1">
        <f t="array" ref="H2009">_xlfn.IFS(Lektionen[[#This Row],[Bearbeitungsdauer_abgewichen]]&gt;0.6,"viel länger",Lektionen[[#This Row],[Bearbeitungsdauer_abgewichen]]&gt;0.3,"länger",Lektionen[[#This Row],[Bearbeitungsdauer_abgewichen]]&lt;-0.3,"kürzer",TRUE,"keine Abweichung")</f>
        <v>keine Abweichung</v>
      </c>
      <c r="I2009">
        <v>2</v>
      </c>
    </row>
    <row r="2010" spans="1:9" hidden="1" x14ac:dyDescent="0.3">
      <c r="A2010" s="13">
        <v>318</v>
      </c>
      <c r="B2010" s="4">
        <v>1</v>
      </c>
      <c r="C2010" t="s">
        <v>526</v>
      </c>
      <c r="D2010" t="s">
        <v>527</v>
      </c>
      <c r="E2010">
        <v>4</v>
      </c>
      <c r="F2010">
        <v>4</v>
      </c>
      <c r="G2010" s="8">
        <f>Lektionen[[#This Row],[Bearbeitungsdauer_real]]/Lektionen[[#This Row],[Bearbeitungsdauer_geschätzt]]-1</f>
        <v>0</v>
      </c>
      <c r="H2010" s="8" t="str" cm="1">
        <f t="array" ref="H2010">_xlfn.IFS(Lektionen[[#This Row],[Bearbeitungsdauer_abgewichen]]&gt;0.6,"viel länger",Lektionen[[#This Row],[Bearbeitungsdauer_abgewichen]]&gt;0.3,"länger",Lektionen[[#This Row],[Bearbeitungsdauer_abgewichen]]&lt;-0.3,"kürzer",TRUE,"keine Abweichung")</f>
        <v>keine Abweichung</v>
      </c>
      <c r="I2010">
        <v>1</v>
      </c>
    </row>
    <row r="2011" spans="1:9" hidden="1" x14ac:dyDescent="0.3">
      <c r="A2011" s="13">
        <v>318</v>
      </c>
      <c r="B2011" s="4">
        <v>2</v>
      </c>
      <c r="C2011" t="s">
        <v>528</v>
      </c>
      <c r="D2011" t="s">
        <v>529</v>
      </c>
      <c r="E2011">
        <v>15</v>
      </c>
      <c r="F2011">
        <v>19</v>
      </c>
      <c r="G2011" s="8">
        <f>Lektionen[[#This Row],[Bearbeitungsdauer_real]]/Lektionen[[#This Row],[Bearbeitungsdauer_geschätzt]]-1</f>
        <v>0.26666666666666661</v>
      </c>
      <c r="H2011" s="8" t="str" cm="1">
        <f t="array" ref="H2011">_xlfn.IFS(Lektionen[[#This Row],[Bearbeitungsdauer_abgewichen]]&gt;0.6,"viel länger",Lektionen[[#This Row],[Bearbeitungsdauer_abgewichen]]&gt;0.3,"länger",Lektionen[[#This Row],[Bearbeitungsdauer_abgewichen]]&lt;-0.3,"kürzer",TRUE,"keine Abweichung")</f>
        <v>keine Abweichung</v>
      </c>
      <c r="I2011">
        <v>2</v>
      </c>
    </row>
    <row r="2012" spans="1:9" hidden="1" x14ac:dyDescent="0.3">
      <c r="A2012" s="13">
        <v>318</v>
      </c>
      <c r="B2012" s="4">
        <v>3</v>
      </c>
      <c r="C2012" t="s">
        <v>552</v>
      </c>
      <c r="D2012" t="s">
        <v>530</v>
      </c>
      <c r="E2012">
        <v>30</v>
      </c>
      <c r="F2012">
        <v>28</v>
      </c>
      <c r="G2012" s="8">
        <f>Lektionen[[#This Row],[Bearbeitungsdauer_real]]/Lektionen[[#This Row],[Bearbeitungsdauer_geschätzt]]-1</f>
        <v>-6.6666666666666652E-2</v>
      </c>
      <c r="H2012" s="8" t="str" cm="1">
        <f t="array" ref="H2012">_xlfn.IFS(Lektionen[[#This Row],[Bearbeitungsdauer_abgewichen]]&gt;0.6,"viel länger",Lektionen[[#This Row],[Bearbeitungsdauer_abgewichen]]&gt;0.3,"länger",Lektionen[[#This Row],[Bearbeitungsdauer_abgewichen]]&lt;-0.3,"kürzer",TRUE,"keine Abweichung")</f>
        <v>keine Abweichung</v>
      </c>
      <c r="I2012">
        <v>2</v>
      </c>
    </row>
    <row r="2013" spans="1:9" hidden="1" x14ac:dyDescent="0.3">
      <c r="A2013" s="13">
        <v>318</v>
      </c>
      <c r="B2013" s="4">
        <v>4</v>
      </c>
      <c r="C2013" t="s">
        <v>531</v>
      </c>
      <c r="D2013" t="s">
        <v>530</v>
      </c>
      <c r="E2013">
        <v>30</v>
      </c>
      <c r="F2013">
        <v>21</v>
      </c>
      <c r="G2013" s="8">
        <f>Lektionen[[#This Row],[Bearbeitungsdauer_real]]/Lektionen[[#This Row],[Bearbeitungsdauer_geschätzt]]-1</f>
        <v>-0.30000000000000004</v>
      </c>
      <c r="H2013" s="8" t="str" cm="1">
        <f t="array" ref="H2013">_xlfn.IFS(Lektionen[[#This Row],[Bearbeitungsdauer_abgewichen]]&gt;0.6,"viel länger",Lektionen[[#This Row],[Bearbeitungsdauer_abgewichen]]&gt;0.3,"länger",Lektionen[[#This Row],[Bearbeitungsdauer_abgewichen]]&lt;-0.3,"kürzer",TRUE,"keine Abweichung")</f>
        <v>keine Abweichung</v>
      </c>
      <c r="I2013">
        <v>3</v>
      </c>
    </row>
    <row r="2014" spans="1:9" x14ac:dyDescent="0.3">
      <c r="A2014" s="13">
        <v>318</v>
      </c>
      <c r="B2014" s="4">
        <v>5</v>
      </c>
      <c r="C2014" t="s">
        <v>532</v>
      </c>
      <c r="D2014" t="s">
        <v>530</v>
      </c>
      <c r="E2014">
        <v>30</v>
      </c>
      <c r="F2014">
        <v>44</v>
      </c>
      <c r="G2014" s="8">
        <f>Lektionen[[#This Row],[Bearbeitungsdauer_real]]/Lektionen[[#This Row],[Bearbeitungsdauer_geschätzt]]-1</f>
        <v>0.46666666666666656</v>
      </c>
      <c r="H2014" s="8" t="str" cm="1">
        <f t="array" ref="H2014">_xlfn.IFS(Lektionen[[#This Row],[Bearbeitungsdauer_abgewichen]]&gt;0.6,"viel länger",Lektionen[[#This Row],[Bearbeitungsdauer_abgewichen]]&gt;0.3,"länger",Lektionen[[#This Row],[Bearbeitungsdauer_abgewichen]]&lt;-0.3,"kürzer",TRUE,"keine Abweichung")</f>
        <v>länger</v>
      </c>
      <c r="I2014">
        <v>4</v>
      </c>
    </row>
    <row r="2015" spans="1:9" hidden="1" x14ac:dyDescent="0.3">
      <c r="A2015" s="13">
        <v>318</v>
      </c>
      <c r="B2015" s="4">
        <v>6</v>
      </c>
      <c r="C2015" t="s">
        <v>533</v>
      </c>
      <c r="D2015" t="s">
        <v>534</v>
      </c>
      <c r="E2015">
        <v>5</v>
      </c>
      <c r="F2015">
        <v>1</v>
      </c>
      <c r="G2015" s="8">
        <f>Lektionen[[#This Row],[Bearbeitungsdauer_real]]/Lektionen[[#This Row],[Bearbeitungsdauer_geschätzt]]-1</f>
        <v>-0.8</v>
      </c>
      <c r="H2015" s="8" t="str" cm="1">
        <f t="array" ref="H2015">_xlfn.IFS(Lektionen[[#This Row],[Bearbeitungsdauer_abgewichen]]&gt;0.6,"viel länger",Lektionen[[#This Row],[Bearbeitungsdauer_abgewichen]]&gt;0.3,"länger",Lektionen[[#This Row],[Bearbeitungsdauer_abgewichen]]&lt;-0.3,"kürzer",TRUE,"keine Abweichung")</f>
        <v>kürzer</v>
      </c>
      <c r="I2015">
        <v>1</v>
      </c>
    </row>
    <row r="2016" spans="1:9" hidden="1" x14ac:dyDescent="0.3">
      <c r="A2016" s="13">
        <v>318</v>
      </c>
      <c r="B2016" s="4">
        <v>7</v>
      </c>
      <c r="C2016" t="s">
        <v>535</v>
      </c>
      <c r="D2016" t="s">
        <v>536</v>
      </c>
      <c r="E2016">
        <v>10</v>
      </c>
      <c r="F2016">
        <v>8</v>
      </c>
      <c r="G2016" s="8">
        <f>Lektionen[[#This Row],[Bearbeitungsdauer_real]]/Lektionen[[#This Row],[Bearbeitungsdauer_geschätzt]]-1</f>
        <v>-0.19999999999999996</v>
      </c>
      <c r="H2016" s="8" t="str" cm="1">
        <f t="array" ref="H2016">_xlfn.IFS(Lektionen[[#This Row],[Bearbeitungsdauer_abgewichen]]&gt;0.6,"viel länger",Lektionen[[#This Row],[Bearbeitungsdauer_abgewichen]]&gt;0.3,"länger",Lektionen[[#This Row],[Bearbeitungsdauer_abgewichen]]&lt;-0.3,"kürzer",TRUE,"keine Abweichung")</f>
        <v>keine Abweichung</v>
      </c>
      <c r="I2016">
        <v>3</v>
      </c>
    </row>
    <row r="2017" spans="1:9" hidden="1" x14ac:dyDescent="0.3">
      <c r="A2017" s="13">
        <v>318</v>
      </c>
      <c r="B2017" s="4">
        <v>8</v>
      </c>
      <c r="C2017" t="s">
        <v>537</v>
      </c>
      <c r="D2017" t="s">
        <v>527</v>
      </c>
      <c r="E2017">
        <v>5</v>
      </c>
      <c r="F2017">
        <v>5</v>
      </c>
      <c r="G2017" s="8">
        <f>Lektionen[[#This Row],[Bearbeitungsdauer_real]]/Lektionen[[#This Row],[Bearbeitungsdauer_geschätzt]]-1</f>
        <v>0</v>
      </c>
      <c r="H2017" s="8" t="str" cm="1">
        <f t="array" ref="H2017">_xlfn.IFS(Lektionen[[#This Row],[Bearbeitungsdauer_abgewichen]]&gt;0.6,"viel länger",Lektionen[[#This Row],[Bearbeitungsdauer_abgewichen]]&gt;0.3,"länger",Lektionen[[#This Row],[Bearbeitungsdauer_abgewichen]]&lt;-0.3,"kürzer",TRUE,"keine Abweichung")</f>
        <v>keine Abweichung</v>
      </c>
      <c r="I2017">
        <v>1</v>
      </c>
    </row>
    <row r="2018" spans="1:9" hidden="1" x14ac:dyDescent="0.3">
      <c r="A2018" s="13">
        <v>319</v>
      </c>
      <c r="B2018" s="4">
        <v>1</v>
      </c>
      <c r="C2018" t="s">
        <v>526</v>
      </c>
      <c r="D2018" t="s">
        <v>527</v>
      </c>
      <c r="E2018">
        <v>4</v>
      </c>
      <c r="F2018">
        <v>4</v>
      </c>
      <c r="G2018" s="8">
        <f>Lektionen[[#This Row],[Bearbeitungsdauer_real]]/Lektionen[[#This Row],[Bearbeitungsdauer_geschätzt]]-1</f>
        <v>0</v>
      </c>
      <c r="H2018" s="8" t="str" cm="1">
        <f t="array" ref="H2018">_xlfn.IFS(Lektionen[[#This Row],[Bearbeitungsdauer_abgewichen]]&gt;0.6,"viel länger",Lektionen[[#This Row],[Bearbeitungsdauer_abgewichen]]&gt;0.3,"länger",Lektionen[[#This Row],[Bearbeitungsdauer_abgewichen]]&lt;-0.3,"kürzer",TRUE,"keine Abweichung")</f>
        <v>keine Abweichung</v>
      </c>
      <c r="I2018">
        <v>1</v>
      </c>
    </row>
    <row r="2019" spans="1:9" hidden="1" x14ac:dyDescent="0.3">
      <c r="A2019" s="13">
        <v>319</v>
      </c>
      <c r="B2019" s="4">
        <v>2</v>
      </c>
      <c r="C2019" t="s">
        <v>528</v>
      </c>
      <c r="D2019" t="s">
        <v>529</v>
      </c>
      <c r="E2019">
        <v>15</v>
      </c>
      <c r="F2019">
        <v>17</v>
      </c>
      <c r="G2019" s="8">
        <f>Lektionen[[#This Row],[Bearbeitungsdauer_real]]/Lektionen[[#This Row],[Bearbeitungsdauer_geschätzt]]-1</f>
        <v>0.1333333333333333</v>
      </c>
      <c r="H2019" s="8" t="str" cm="1">
        <f t="array" ref="H2019">_xlfn.IFS(Lektionen[[#This Row],[Bearbeitungsdauer_abgewichen]]&gt;0.6,"viel länger",Lektionen[[#This Row],[Bearbeitungsdauer_abgewichen]]&gt;0.3,"länger",Lektionen[[#This Row],[Bearbeitungsdauer_abgewichen]]&lt;-0.3,"kürzer",TRUE,"keine Abweichung")</f>
        <v>keine Abweichung</v>
      </c>
      <c r="I2019">
        <v>1</v>
      </c>
    </row>
    <row r="2020" spans="1:9" hidden="1" x14ac:dyDescent="0.3">
      <c r="A2020" s="13">
        <v>319</v>
      </c>
      <c r="B2020" s="4">
        <v>3</v>
      </c>
      <c r="C2020" t="s">
        <v>552</v>
      </c>
      <c r="D2020" t="s">
        <v>530</v>
      </c>
      <c r="E2020">
        <v>30</v>
      </c>
      <c r="F2020">
        <v>30</v>
      </c>
      <c r="G2020" s="8">
        <f>Lektionen[[#This Row],[Bearbeitungsdauer_real]]/Lektionen[[#This Row],[Bearbeitungsdauer_geschätzt]]-1</f>
        <v>0</v>
      </c>
      <c r="H2020" s="8" t="str" cm="1">
        <f t="array" ref="H2020">_xlfn.IFS(Lektionen[[#This Row],[Bearbeitungsdauer_abgewichen]]&gt;0.6,"viel länger",Lektionen[[#This Row],[Bearbeitungsdauer_abgewichen]]&gt;0.3,"länger",Lektionen[[#This Row],[Bearbeitungsdauer_abgewichen]]&lt;-0.3,"kürzer",TRUE,"keine Abweichung")</f>
        <v>keine Abweichung</v>
      </c>
      <c r="I2020">
        <v>3</v>
      </c>
    </row>
    <row r="2021" spans="1:9" hidden="1" x14ac:dyDescent="0.3">
      <c r="A2021" s="13">
        <v>319</v>
      </c>
      <c r="B2021" s="4">
        <v>4</v>
      </c>
      <c r="C2021" t="s">
        <v>531</v>
      </c>
      <c r="D2021" t="s">
        <v>530</v>
      </c>
      <c r="E2021">
        <v>30</v>
      </c>
      <c r="F2021">
        <v>27</v>
      </c>
      <c r="G2021" s="8">
        <f>Lektionen[[#This Row],[Bearbeitungsdauer_real]]/Lektionen[[#This Row],[Bearbeitungsdauer_geschätzt]]-1</f>
        <v>-9.9999999999999978E-2</v>
      </c>
      <c r="H2021" s="8" t="str" cm="1">
        <f t="array" ref="H2021">_xlfn.IFS(Lektionen[[#This Row],[Bearbeitungsdauer_abgewichen]]&gt;0.6,"viel länger",Lektionen[[#This Row],[Bearbeitungsdauer_abgewichen]]&gt;0.3,"länger",Lektionen[[#This Row],[Bearbeitungsdauer_abgewichen]]&lt;-0.3,"kürzer",TRUE,"keine Abweichung")</f>
        <v>keine Abweichung</v>
      </c>
      <c r="I2021">
        <v>2</v>
      </c>
    </row>
    <row r="2022" spans="1:9" x14ac:dyDescent="0.3">
      <c r="A2022" s="13">
        <v>319</v>
      </c>
      <c r="B2022" s="4">
        <v>5</v>
      </c>
      <c r="C2022" t="s">
        <v>532</v>
      </c>
      <c r="D2022" t="s">
        <v>530</v>
      </c>
      <c r="E2022">
        <v>30</v>
      </c>
      <c r="F2022">
        <v>46</v>
      </c>
      <c r="G2022" s="8">
        <f>Lektionen[[#This Row],[Bearbeitungsdauer_real]]/Lektionen[[#This Row],[Bearbeitungsdauer_geschätzt]]-1</f>
        <v>0.53333333333333344</v>
      </c>
      <c r="H2022" s="8" t="str" cm="1">
        <f t="array" ref="H2022">_xlfn.IFS(Lektionen[[#This Row],[Bearbeitungsdauer_abgewichen]]&gt;0.6,"viel länger",Lektionen[[#This Row],[Bearbeitungsdauer_abgewichen]]&gt;0.3,"länger",Lektionen[[#This Row],[Bearbeitungsdauer_abgewichen]]&lt;-0.3,"kürzer",TRUE,"keine Abweichung")</f>
        <v>länger</v>
      </c>
      <c r="I2022">
        <v>4</v>
      </c>
    </row>
    <row r="2023" spans="1:9" hidden="1" x14ac:dyDescent="0.3">
      <c r="A2023" s="13">
        <v>319</v>
      </c>
      <c r="B2023" s="4">
        <v>6</v>
      </c>
      <c r="C2023" t="s">
        <v>533</v>
      </c>
      <c r="D2023" t="s">
        <v>534</v>
      </c>
      <c r="E2023">
        <v>5</v>
      </c>
      <c r="F2023">
        <v>1</v>
      </c>
      <c r="G2023" s="8">
        <f>Lektionen[[#This Row],[Bearbeitungsdauer_real]]/Lektionen[[#This Row],[Bearbeitungsdauer_geschätzt]]-1</f>
        <v>-0.8</v>
      </c>
      <c r="H2023" s="8" t="str" cm="1">
        <f t="array" ref="H2023">_xlfn.IFS(Lektionen[[#This Row],[Bearbeitungsdauer_abgewichen]]&gt;0.6,"viel länger",Lektionen[[#This Row],[Bearbeitungsdauer_abgewichen]]&gt;0.3,"länger",Lektionen[[#This Row],[Bearbeitungsdauer_abgewichen]]&lt;-0.3,"kürzer",TRUE,"keine Abweichung")</f>
        <v>kürzer</v>
      </c>
      <c r="I2023">
        <v>2</v>
      </c>
    </row>
    <row r="2024" spans="1:9" hidden="1" x14ac:dyDescent="0.3">
      <c r="A2024" s="13">
        <v>319</v>
      </c>
      <c r="B2024" s="4">
        <v>7</v>
      </c>
      <c r="C2024" t="s">
        <v>535</v>
      </c>
      <c r="D2024" t="s">
        <v>536</v>
      </c>
      <c r="E2024">
        <v>10</v>
      </c>
      <c r="F2024">
        <v>9</v>
      </c>
      <c r="G2024" s="8">
        <f>Lektionen[[#This Row],[Bearbeitungsdauer_real]]/Lektionen[[#This Row],[Bearbeitungsdauer_geschätzt]]-1</f>
        <v>-9.9999999999999978E-2</v>
      </c>
      <c r="H2024" s="8" t="str" cm="1">
        <f t="array" ref="H2024">_xlfn.IFS(Lektionen[[#This Row],[Bearbeitungsdauer_abgewichen]]&gt;0.6,"viel länger",Lektionen[[#This Row],[Bearbeitungsdauer_abgewichen]]&gt;0.3,"länger",Lektionen[[#This Row],[Bearbeitungsdauer_abgewichen]]&lt;-0.3,"kürzer",TRUE,"keine Abweichung")</f>
        <v>keine Abweichung</v>
      </c>
      <c r="I2024">
        <v>4</v>
      </c>
    </row>
    <row r="2025" spans="1:9" hidden="1" x14ac:dyDescent="0.3">
      <c r="A2025" s="13">
        <v>319</v>
      </c>
      <c r="B2025" s="4">
        <v>8</v>
      </c>
      <c r="C2025" t="s">
        <v>537</v>
      </c>
      <c r="D2025" t="s">
        <v>527</v>
      </c>
      <c r="E2025">
        <v>5</v>
      </c>
      <c r="F2025">
        <v>5</v>
      </c>
      <c r="G2025" s="8">
        <f>Lektionen[[#This Row],[Bearbeitungsdauer_real]]/Lektionen[[#This Row],[Bearbeitungsdauer_geschätzt]]-1</f>
        <v>0</v>
      </c>
      <c r="H2025" s="8" t="str" cm="1">
        <f t="array" ref="H2025">_xlfn.IFS(Lektionen[[#This Row],[Bearbeitungsdauer_abgewichen]]&gt;0.6,"viel länger",Lektionen[[#This Row],[Bearbeitungsdauer_abgewichen]]&gt;0.3,"länger",Lektionen[[#This Row],[Bearbeitungsdauer_abgewichen]]&lt;-0.3,"kürzer",TRUE,"keine Abweichung")</f>
        <v>keine Abweichung</v>
      </c>
      <c r="I2025">
        <v>1</v>
      </c>
    </row>
    <row r="2026" spans="1:9" hidden="1" x14ac:dyDescent="0.3">
      <c r="A2026" s="13">
        <v>320</v>
      </c>
      <c r="B2026" s="4">
        <v>1</v>
      </c>
      <c r="C2026" t="s">
        <v>526</v>
      </c>
      <c r="D2026" t="s">
        <v>527</v>
      </c>
      <c r="E2026">
        <v>4</v>
      </c>
      <c r="F2026">
        <v>4</v>
      </c>
      <c r="G2026" s="8">
        <f>Lektionen[[#This Row],[Bearbeitungsdauer_real]]/Lektionen[[#This Row],[Bearbeitungsdauer_geschätzt]]-1</f>
        <v>0</v>
      </c>
      <c r="H2026" s="8" t="str" cm="1">
        <f t="array" ref="H2026">_xlfn.IFS(Lektionen[[#This Row],[Bearbeitungsdauer_abgewichen]]&gt;0.6,"viel länger",Lektionen[[#This Row],[Bearbeitungsdauer_abgewichen]]&gt;0.3,"länger",Lektionen[[#This Row],[Bearbeitungsdauer_abgewichen]]&lt;-0.3,"kürzer",TRUE,"keine Abweichung")</f>
        <v>keine Abweichung</v>
      </c>
      <c r="I2026">
        <v>1</v>
      </c>
    </row>
    <row r="2027" spans="1:9" hidden="1" x14ac:dyDescent="0.3">
      <c r="A2027" s="13">
        <v>320</v>
      </c>
      <c r="B2027" s="4">
        <v>2</v>
      </c>
      <c r="C2027" t="s">
        <v>528</v>
      </c>
      <c r="D2027" t="s">
        <v>529</v>
      </c>
      <c r="E2027">
        <v>15</v>
      </c>
      <c r="F2027">
        <v>20</v>
      </c>
      <c r="G2027" s="8">
        <f>Lektionen[[#This Row],[Bearbeitungsdauer_real]]/Lektionen[[#This Row],[Bearbeitungsdauer_geschätzt]]-1</f>
        <v>0.33333333333333326</v>
      </c>
      <c r="H2027" s="8" t="str" cm="1">
        <f t="array" ref="H2027">_xlfn.IFS(Lektionen[[#This Row],[Bearbeitungsdauer_abgewichen]]&gt;0.6,"viel länger",Lektionen[[#This Row],[Bearbeitungsdauer_abgewichen]]&gt;0.3,"länger",Lektionen[[#This Row],[Bearbeitungsdauer_abgewichen]]&lt;-0.3,"kürzer",TRUE,"keine Abweichung")</f>
        <v>länger</v>
      </c>
      <c r="I2027">
        <v>1</v>
      </c>
    </row>
    <row r="2028" spans="1:9" hidden="1" x14ac:dyDescent="0.3">
      <c r="A2028" s="13">
        <v>320</v>
      </c>
      <c r="B2028" s="4">
        <v>3</v>
      </c>
      <c r="C2028" t="s">
        <v>552</v>
      </c>
      <c r="D2028" t="s">
        <v>530</v>
      </c>
      <c r="E2028">
        <v>30</v>
      </c>
      <c r="F2028">
        <v>30</v>
      </c>
      <c r="G2028" s="8">
        <f>Lektionen[[#This Row],[Bearbeitungsdauer_real]]/Lektionen[[#This Row],[Bearbeitungsdauer_geschätzt]]-1</f>
        <v>0</v>
      </c>
      <c r="H2028" s="8" t="str" cm="1">
        <f t="array" ref="H2028">_xlfn.IFS(Lektionen[[#This Row],[Bearbeitungsdauer_abgewichen]]&gt;0.6,"viel länger",Lektionen[[#This Row],[Bearbeitungsdauer_abgewichen]]&gt;0.3,"länger",Lektionen[[#This Row],[Bearbeitungsdauer_abgewichen]]&lt;-0.3,"kürzer",TRUE,"keine Abweichung")</f>
        <v>keine Abweichung</v>
      </c>
      <c r="I2028">
        <v>2</v>
      </c>
    </row>
    <row r="2029" spans="1:9" hidden="1" x14ac:dyDescent="0.3">
      <c r="A2029" s="13">
        <v>320</v>
      </c>
      <c r="B2029" s="4">
        <v>4</v>
      </c>
      <c r="C2029" t="s">
        <v>531</v>
      </c>
      <c r="D2029" t="s">
        <v>530</v>
      </c>
      <c r="E2029">
        <v>30</v>
      </c>
      <c r="F2029">
        <v>21</v>
      </c>
      <c r="G2029" s="8">
        <f>Lektionen[[#This Row],[Bearbeitungsdauer_real]]/Lektionen[[#This Row],[Bearbeitungsdauer_geschätzt]]-1</f>
        <v>-0.30000000000000004</v>
      </c>
      <c r="H2029" s="8" t="str" cm="1">
        <f t="array" ref="H2029">_xlfn.IFS(Lektionen[[#This Row],[Bearbeitungsdauer_abgewichen]]&gt;0.6,"viel länger",Lektionen[[#This Row],[Bearbeitungsdauer_abgewichen]]&gt;0.3,"länger",Lektionen[[#This Row],[Bearbeitungsdauer_abgewichen]]&lt;-0.3,"kürzer",TRUE,"keine Abweichung")</f>
        <v>keine Abweichung</v>
      </c>
      <c r="I2029">
        <v>3</v>
      </c>
    </row>
    <row r="2030" spans="1:9" x14ac:dyDescent="0.3">
      <c r="A2030" s="13">
        <v>320</v>
      </c>
      <c r="B2030" s="4">
        <v>5</v>
      </c>
      <c r="C2030" t="s">
        <v>532</v>
      </c>
      <c r="D2030" t="s">
        <v>530</v>
      </c>
      <c r="E2030">
        <v>30</v>
      </c>
      <c r="F2030">
        <v>43</v>
      </c>
      <c r="G2030" s="8">
        <f>Lektionen[[#This Row],[Bearbeitungsdauer_real]]/Lektionen[[#This Row],[Bearbeitungsdauer_geschätzt]]-1</f>
        <v>0.43333333333333335</v>
      </c>
      <c r="H2030" s="8" t="str" cm="1">
        <f t="array" ref="H2030">_xlfn.IFS(Lektionen[[#This Row],[Bearbeitungsdauer_abgewichen]]&gt;0.6,"viel länger",Lektionen[[#This Row],[Bearbeitungsdauer_abgewichen]]&gt;0.3,"länger",Lektionen[[#This Row],[Bearbeitungsdauer_abgewichen]]&lt;-0.3,"kürzer",TRUE,"keine Abweichung")</f>
        <v>länger</v>
      </c>
      <c r="I2030">
        <v>4</v>
      </c>
    </row>
    <row r="2031" spans="1:9" hidden="1" x14ac:dyDescent="0.3">
      <c r="A2031" s="13">
        <v>320</v>
      </c>
      <c r="B2031" s="4">
        <v>6</v>
      </c>
      <c r="C2031" t="s">
        <v>533</v>
      </c>
      <c r="D2031" t="s">
        <v>534</v>
      </c>
      <c r="E2031">
        <v>5</v>
      </c>
      <c r="F2031">
        <v>2</v>
      </c>
      <c r="G2031" s="8">
        <f>Lektionen[[#This Row],[Bearbeitungsdauer_real]]/Lektionen[[#This Row],[Bearbeitungsdauer_geschätzt]]-1</f>
        <v>-0.6</v>
      </c>
      <c r="H2031" s="8" t="str" cm="1">
        <f t="array" ref="H2031">_xlfn.IFS(Lektionen[[#This Row],[Bearbeitungsdauer_abgewichen]]&gt;0.6,"viel länger",Lektionen[[#This Row],[Bearbeitungsdauer_abgewichen]]&gt;0.3,"länger",Lektionen[[#This Row],[Bearbeitungsdauer_abgewichen]]&lt;-0.3,"kürzer",TRUE,"keine Abweichung")</f>
        <v>kürzer</v>
      </c>
      <c r="I2031">
        <v>3</v>
      </c>
    </row>
    <row r="2032" spans="1:9" hidden="1" x14ac:dyDescent="0.3">
      <c r="A2032" s="13">
        <v>320</v>
      </c>
      <c r="B2032" s="4">
        <v>7</v>
      </c>
      <c r="C2032" t="s">
        <v>535</v>
      </c>
      <c r="D2032" t="s">
        <v>536</v>
      </c>
      <c r="E2032">
        <v>10</v>
      </c>
      <c r="F2032">
        <v>11</v>
      </c>
      <c r="G2032" s="8">
        <f>Lektionen[[#This Row],[Bearbeitungsdauer_real]]/Lektionen[[#This Row],[Bearbeitungsdauer_geschätzt]]-1</f>
        <v>0.10000000000000009</v>
      </c>
      <c r="H2032" s="8" t="str" cm="1">
        <f t="array" ref="H2032">_xlfn.IFS(Lektionen[[#This Row],[Bearbeitungsdauer_abgewichen]]&gt;0.6,"viel länger",Lektionen[[#This Row],[Bearbeitungsdauer_abgewichen]]&gt;0.3,"länger",Lektionen[[#This Row],[Bearbeitungsdauer_abgewichen]]&lt;-0.3,"kürzer",TRUE,"keine Abweichung")</f>
        <v>keine Abweichung</v>
      </c>
      <c r="I2032">
        <v>3</v>
      </c>
    </row>
    <row r="2033" spans="1:9" hidden="1" x14ac:dyDescent="0.3">
      <c r="A2033" s="13">
        <v>320</v>
      </c>
      <c r="B2033" s="4">
        <v>8</v>
      </c>
      <c r="C2033" t="s">
        <v>537</v>
      </c>
      <c r="D2033" t="s">
        <v>527</v>
      </c>
      <c r="E2033">
        <v>5</v>
      </c>
      <c r="F2033">
        <v>5</v>
      </c>
      <c r="G2033" s="8">
        <f>Lektionen[[#This Row],[Bearbeitungsdauer_real]]/Lektionen[[#This Row],[Bearbeitungsdauer_geschätzt]]-1</f>
        <v>0</v>
      </c>
      <c r="H2033" s="8" t="str" cm="1">
        <f t="array" ref="H2033">_xlfn.IFS(Lektionen[[#This Row],[Bearbeitungsdauer_abgewichen]]&gt;0.6,"viel länger",Lektionen[[#This Row],[Bearbeitungsdauer_abgewichen]]&gt;0.3,"länger",Lektionen[[#This Row],[Bearbeitungsdauer_abgewichen]]&lt;-0.3,"kürzer",TRUE,"keine Abweichung")</f>
        <v>keine Abweichung</v>
      </c>
      <c r="I2033">
        <v>2</v>
      </c>
    </row>
    <row r="2034" spans="1:9" hidden="1" x14ac:dyDescent="0.3">
      <c r="A2034" s="13">
        <v>321</v>
      </c>
      <c r="B2034" s="4">
        <v>1</v>
      </c>
      <c r="C2034" t="s">
        <v>526</v>
      </c>
      <c r="D2034" t="s">
        <v>527</v>
      </c>
      <c r="E2034">
        <v>4</v>
      </c>
      <c r="F2034">
        <v>4</v>
      </c>
      <c r="G2034" s="8">
        <f>Lektionen[[#This Row],[Bearbeitungsdauer_real]]/Lektionen[[#This Row],[Bearbeitungsdauer_geschätzt]]-1</f>
        <v>0</v>
      </c>
      <c r="H2034" s="8" t="str" cm="1">
        <f t="array" ref="H2034">_xlfn.IFS(Lektionen[[#This Row],[Bearbeitungsdauer_abgewichen]]&gt;0.6,"viel länger",Lektionen[[#This Row],[Bearbeitungsdauer_abgewichen]]&gt;0.3,"länger",Lektionen[[#This Row],[Bearbeitungsdauer_abgewichen]]&lt;-0.3,"kürzer",TRUE,"keine Abweichung")</f>
        <v>keine Abweichung</v>
      </c>
      <c r="I2034">
        <v>1</v>
      </c>
    </row>
    <row r="2035" spans="1:9" hidden="1" x14ac:dyDescent="0.3">
      <c r="A2035" s="13">
        <v>321</v>
      </c>
      <c r="B2035" s="4">
        <v>2</v>
      </c>
      <c r="C2035" t="s">
        <v>528</v>
      </c>
      <c r="D2035" t="s">
        <v>529</v>
      </c>
      <c r="E2035">
        <v>15</v>
      </c>
      <c r="F2035">
        <v>16</v>
      </c>
      <c r="G2035" s="8">
        <f>Lektionen[[#This Row],[Bearbeitungsdauer_real]]/Lektionen[[#This Row],[Bearbeitungsdauer_geschätzt]]-1</f>
        <v>6.6666666666666652E-2</v>
      </c>
      <c r="H2035" s="8" t="str" cm="1">
        <f t="array" ref="H2035">_xlfn.IFS(Lektionen[[#This Row],[Bearbeitungsdauer_abgewichen]]&gt;0.6,"viel länger",Lektionen[[#This Row],[Bearbeitungsdauer_abgewichen]]&gt;0.3,"länger",Lektionen[[#This Row],[Bearbeitungsdauer_abgewichen]]&lt;-0.3,"kürzer",TRUE,"keine Abweichung")</f>
        <v>keine Abweichung</v>
      </c>
      <c r="I2035">
        <v>1</v>
      </c>
    </row>
    <row r="2036" spans="1:9" hidden="1" x14ac:dyDescent="0.3">
      <c r="A2036" s="13">
        <v>321</v>
      </c>
      <c r="B2036" s="4">
        <v>3</v>
      </c>
      <c r="C2036" t="s">
        <v>552</v>
      </c>
      <c r="D2036" t="s">
        <v>530</v>
      </c>
      <c r="E2036">
        <v>30</v>
      </c>
      <c r="F2036">
        <v>29</v>
      </c>
      <c r="G2036" s="8">
        <f>Lektionen[[#This Row],[Bearbeitungsdauer_real]]/Lektionen[[#This Row],[Bearbeitungsdauer_geschätzt]]-1</f>
        <v>-3.3333333333333326E-2</v>
      </c>
      <c r="H2036" s="8" t="str" cm="1">
        <f t="array" ref="H2036">_xlfn.IFS(Lektionen[[#This Row],[Bearbeitungsdauer_abgewichen]]&gt;0.6,"viel länger",Lektionen[[#This Row],[Bearbeitungsdauer_abgewichen]]&gt;0.3,"länger",Lektionen[[#This Row],[Bearbeitungsdauer_abgewichen]]&lt;-0.3,"kürzer",TRUE,"keine Abweichung")</f>
        <v>keine Abweichung</v>
      </c>
      <c r="I2036">
        <v>3</v>
      </c>
    </row>
    <row r="2037" spans="1:9" hidden="1" x14ac:dyDescent="0.3">
      <c r="A2037" s="13">
        <v>321</v>
      </c>
      <c r="B2037" s="4">
        <v>4</v>
      </c>
      <c r="C2037" t="s">
        <v>531</v>
      </c>
      <c r="D2037" t="s">
        <v>530</v>
      </c>
      <c r="E2037">
        <v>30</v>
      </c>
      <c r="F2037">
        <v>34</v>
      </c>
      <c r="G2037" s="8">
        <f>Lektionen[[#This Row],[Bearbeitungsdauer_real]]/Lektionen[[#This Row],[Bearbeitungsdauer_geschätzt]]-1</f>
        <v>0.1333333333333333</v>
      </c>
      <c r="H2037" s="8" t="str" cm="1">
        <f t="array" ref="H2037">_xlfn.IFS(Lektionen[[#This Row],[Bearbeitungsdauer_abgewichen]]&gt;0.6,"viel länger",Lektionen[[#This Row],[Bearbeitungsdauer_abgewichen]]&gt;0.3,"länger",Lektionen[[#This Row],[Bearbeitungsdauer_abgewichen]]&lt;-0.3,"kürzer",TRUE,"keine Abweichung")</f>
        <v>keine Abweichung</v>
      </c>
      <c r="I2037">
        <v>3</v>
      </c>
    </row>
    <row r="2038" spans="1:9" x14ac:dyDescent="0.3">
      <c r="A2038" s="13">
        <v>321</v>
      </c>
      <c r="B2038" s="4">
        <v>5</v>
      </c>
      <c r="C2038" t="s">
        <v>532</v>
      </c>
      <c r="D2038" t="s">
        <v>530</v>
      </c>
      <c r="E2038">
        <v>30</v>
      </c>
      <c r="F2038">
        <v>48</v>
      </c>
      <c r="G2038" s="8">
        <f>Lektionen[[#This Row],[Bearbeitungsdauer_real]]/Lektionen[[#This Row],[Bearbeitungsdauer_geschätzt]]-1</f>
        <v>0.60000000000000009</v>
      </c>
      <c r="H2038" s="8" t="str" cm="1">
        <f t="array" ref="H2038">_xlfn.IFS(Lektionen[[#This Row],[Bearbeitungsdauer_abgewichen]]&gt;0.6,"viel länger",Lektionen[[#This Row],[Bearbeitungsdauer_abgewichen]]&gt;0.3,"länger",Lektionen[[#This Row],[Bearbeitungsdauer_abgewichen]]&lt;-0.3,"kürzer",TRUE,"keine Abweichung")</f>
        <v>länger</v>
      </c>
      <c r="I2038">
        <v>4</v>
      </c>
    </row>
    <row r="2039" spans="1:9" hidden="1" x14ac:dyDescent="0.3">
      <c r="A2039" s="13">
        <v>321</v>
      </c>
      <c r="B2039" s="4">
        <v>6</v>
      </c>
      <c r="C2039" t="s">
        <v>533</v>
      </c>
      <c r="D2039" t="s">
        <v>534</v>
      </c>
      <c r="E2039">
        <v>5</v>
      </c>
      <c r="F2039">
        <v>1</v>
      </c>
      <c r="G2039" s="8">
        <f>Lektionen[[#This Row],[Bearbeitungsdauer_real]]/Lektionen[[#This Row],[Bearbeitungsdauer_geschätzt]]-1</f>
        <v>-0.8</v>
      </c>
      <c r="H2039" s="8" t="str" cm="1">
        <f t="array" ref="H2039">_xlfn.IFS(Lektionen[[#This Row],[Bearbeitungsdauer_abgewichen]]&gt;0.6,"viel länger",Lektionen[[#This Row],[Bearbeitungsdauer_abgewichen]]&gt;0.3,"länger",Lektionen[[#This Row],[Bearbeitungsdauer_abgewichen]]&lt;-0.3,"kürzer",TRUE,"keine Abweichung")</f>
        <v>kürzer</v>
      </c>
      <c r="I2039">
        <v>2</v>
      </c>
    </row>
    <row r="2040" spans="1:9" hidden="1" x14ac:dyDescent="0.3">
      <c r="A2040" s="13">
        <v>321</v>
      </c>
      <c r="B2040" s="4">
        <v>7</v>
      </c>
      <c r="C2040" t="s">
        <v>535</v>
      </c>
      <c r="D2040" t="s">
        <v>536</v>
      </c>
      <c r="E2040">
        <v>10</v>
      </c>
      <c r="F2040">
        <v>9</v>
      </c>
      <c r="G2040" s="8">
        <f>Lektionen[[#This Row],[Bearbeitungsdauer_real]]/Lektionen[[#This Row],[Bearbeitungsdauer_geschätzt]]-1</f>
        <v>-9.9999999999999978E-2</v>
      </c>
      <c r="H2040" s="8" t="str" cm="1">
        <f t="array" ref="H2040">_xlfn.IFS(Lektionen[[#This Row],[Bearbeitungsdauer_abgewichen]]&gt;0.6,"viel länger",Lektionen[[#This Row],[Bearbeitungsdauer_abgewichen]]&gt;0.3,"länger",Lektionen[[#This Row],[Bearbeitungsdauer_abgewichen]]&lt;-0.3,"kürzer",TRUE,"keine Abweichung")</f>
        <v>keine Abweichung</v>
      </c>
      <c r="I2040">
        <v>3</v>
      </c>
    </row>
    <row r="2041" spans="1:9" hidden="1" x14ac:dyDescent="0.3">
      <c r="A2041" s="13">
        <v>321</v>
      </c>
      <c r="B2041" s="4">
        <v>8</v>
      </c>
      <c r="C2041" t="s">
        <v>537</v>
      </c>
      <c r="D2041" t="s">
        <v>527</v>
      </c>
      <c r="E2041">
        <v>5</v>
      </c>
      <c r="F2041">
        <v>5</v>
      </c>
      <c r="G2041" s="8">
        <f>Lektionen[[#This Row],[Bearbeitungsdauer_real]]/Lektionen[[#This Row],[Bearbeitungsdauer_geschätzt]]-1</f>
        <v>0</v>
      </c>
      <c r="H2041" s="8" t="str" cm="1">
        <f t="array" ref="H2041">_xlfn.IFS(Lektionen[[#This Row],[Bearbeitungsdauer_abgewichen]]&gt;0.6,"viel länger",Lektionen[[#This Row],[Bearbeitungsdauer_abgewichen]]&gt;0.3,"länger",Lektionen[[#This Row],[Bearbeitungsdauer_abgewichen]]&lt;-0.3,"kürzer",TRUE,"keine Abweichung")</f>
        <v>keine Abweichung</v>
      </c>
      <c r="I2041">
        <v>1</v>
      </c>
    </row>
    <row r="2042" spans="1:9" hidden="1" x14ac:dyDescent="0.3">
      <c r="A2042" s="13">
        <v>322</v>
      </c>
      <c r="B2042" s="4">
        <v>1</v>
      </c>
      <c r="C2042" t="s">
        <v>526</v>
      </c>
      <c r="D2042" t="s">
        <v>527</v>
      </c>
      <c r="E2042">
        <v>4</v>
      </c>
      <c r="F2042">
        <v>4</v>
      </c>
      <c r="G2042" s="8">
        <f>Lektionen[[#This Row],[Bearbeitungsdauer_real]]/Lektionen[[#This Row],[Bearbeitungsdauer_geschätzt]]-1</f>
        <v>0</v>
      </c>
      <c r="H2042" s="8" t="str" cm="1">
        <f t="array" ref="H2042">_xlfn.IFS(Lektionen[[#This Row],[Bearbeitungsdauer_abgewichen]]&gt;0.6,"viel länger",Lektionen[[#This Row],[Bearbeitungsdauer_abgewichen]]&gt;0.3,"länger",Lektionen[[#This Row],[Bearbeitungsdauer_abgewichen]]&lt;-0.3,"kürzer",TRUE,"keine Abweichung")</f>
        <v>keine Abweichung</v>
      </c>
      <c r="I2042">
        <v>1</v>
      </c>
    </row>
    <row r="2043" spans="1:9" hidden="1" x14ac:dyDescent="0.3">
      <c r="A2043" s="13">
        <v>322</v>
      </c>
      <c r="B2043" s="4">
        <v>2</v>
      </c>
      <c r="C2043" t="s">
        <v>528</v>
      </c>
      <c r="D2043" t="s">
        <v>529</v>
      </c>
      <c r="E2043">
        <v>15</v>
      </c>
      <c r="F2043">
        <v>18</v>
      </c>
      <c r="G2043" s="8">
        <f>Lektionen[[#This Row],[Bearbeitungsdauer_real]]/Lektionen[[#This Row],[Bearbeitungsdauer_geschätzt]]-1</f>
        <v>0.19999999999999996</v>
      </c>
      <c r="H2043" s="8" t="str" cm="1">
        <f t="array" ref="H2043">_xlfn.IFS(Lektionen[[#This Row],[Bearbeitungsdauer_abgewichen]]&gt;0.6,"viel länger",Lektionen[[#This Row],[Bearbeitungsdauer_abgewichen]]&gt;0.3,"länger",Lektionen[[#This Row],[Bearbeitungsdauer_abgewichen]]&lt;-0.3,"kürzer",TRUE,"keine Abweichung")</f>
        <v>keine Abweichung</v>
      </c>
      <c r="I2043">
        <v>1</v>
      </c>
    </row>
    <row r="2044" spans="1:9" hidden="1" x14ac:dyDescent="0.3">
      <c r="A2044" s="13">
        <v>322</v>
      </c>
      <c r="B2044" s="4">
        <v>3</v>
      </c>
      <c r="C2044" t="s">
        <v>552</v>
      </c>
      <c r="D2044" t="s">
        <v>530</v>
      </c>
      <c r="E2044">
        <v>30</v>
      </c>
      <c r="F2044">
        <v>42</v>
      </c>
      <c r="G2044" s="8">
        <f>Lektionen[[#This Row],[Bearbeitungsdauer_real]]/Lektionen[[#This Row],[Bearbeitungsdauer_geschätzt]]-1</f>
        <v>0.39999999999999991</v>
      </c>
      <c r="H2044" s="8" t="str" cm="1">
        <f t="array" ref="H2044">_xlfn.IFS(Lektionen[[#This Row],[Bearbeitungsdauer_abgewichen]]&gt;0.6,"viel länger",Lektionen[[#This Row],[Bearbeitungsdauer_abgewichen]]&gt;0.3,"länger",Lektionen[[#This Row],[Bearbeitungsdauer_abgewichen]]&lt;-0.3,"kürzer",TRUE,"keine Abweichung")</f>
        <v>länger</v>
      </c>
      <c r="I2044">
        <v>4</v>
      </c>
    </row>
    <row r="2045" spans="1:9" hidden="1" x14ac:dyDescent="0.3">
      <c r="A2045" s="13">
        <v>322</v>
      </c>
      <c r="B2045" s="4">
        <v>4</v>
      </c>
      <c r="C2045" t="s">
        <v>531</v>
      </c>
      <c r="D2045" t="s">
        <v>530</v>
      </c>
      <c r="E2045">
        <v>30</v>
      </c>
      <c r="F2045">
        <v>29</v>
      </c>
      <c r="G2045" s="8">
        <f>Lektionen[[#This Row],[Bearbeitungsdauer_real]]/Lektionen[[#This Row],[Bearbeitungsdauer_geschätzt]]-1</f>
        <v>-3.3333333333333326E-2</v>
      </c>
      <c r="H2045" s="8" t="str" cm="1">
        <f t="array" ref="H2045">_xlfn.IFS(Lektionen[[#This Row],[Bearbeitungsdauer_abgewichen]]&gt;0.6,"viel länger",Lektionen[[#This Row],[Bearbeitungsdauer_abgewichen]]&gt;0.3,"länger",Lektionen[[#This Row],[Bearbeitungsdauer_abgewichen]]&lt;-0.3,"kürzer",TRUE,"keine Abweichung")</f>
        <v>keine Abweichung</v>
      </c>
      <c r="I2045">
        <v>2</v>
      </c>
    </row>
    <row r="2046" spans="1:9" x14ac:dyDescent="0.3">
      <c r="A2046" s="13">
        <v>322</v>
      </c>
      <c r="B2046" s="4">
        <v>5</v>
      </c>
      <c r="C2046" t="s">
        <v>532</v>
      </c>
      <c r="D2046" t="s">
        <v>530</v>
      </c>
      <c r="E2046">
        <v>30</v>
      </c>
      <c r="F2046">
        <v>42</v>
      </c>
      <c r="G2046" s="8">
        <f>Lektionen[[#This Row],[Bearbeitungsdauer_real]]/Lektionen[[#This Row],[Bearbeitungsdauer_geschätzt]]-1</f>
        <v>0.39999999999999991</v>
      </c>
      <c r="H2046" s="8" t="str" cm="1">
        <f t="array" ref="H2046">_xlfn.IFS(Lektionen[[#This Row],[Bearbeitungsdauer_abgewichen]]&gt;0.6,"viel länger",Lektionen[[#This Row],[Bearbeitungsdauer_abgewichen]]&gt;0.3,"länger",Lektionen[[#This Row],[Bearbeitungsdauer_abgewichen]]&lt;-0.3,"kürzer",TRUE,"keine Abweichung")</f>
        <v>länger</v>
      </c>
      <c r="I2046">
        <v>4</v>
      </c>
    </row>
    <row r="2047" spans="1:9" hidden="1" x14ac:dyDescent="0.3">
      <c r="A2047" s="13">
        <v>322</v>
      </c>
      <c r="B2047" s="4">
        <v>6</v>
      </c>
      <c r="C2047" t="s">
        <v>533</v>
      </c>
      <c r="D2047" t="s">
        <v>534</v>
      </c>
      <c r="E2047">
        <v>5</v>
      </c>
      <c r="F2047">
        <v>2</v>
      </c>
      <c r="G2047" s="8">
        <f>Lektionen[[#This Row],[Bearbeitungsdauer_real]]/Lektionen[[#This Row],[Bearbeitungsdauer_geschätzt]]-1</f>
        <v>-0.6</v>
      </c>
      <c r="H2047" s="8" t="str" cm="1">
        <f t="array" ref="H2047">_xlfn.IFS(Lektionen[[#This Row],[Bearbeitungsdauer_abgewichen]]&gt;0.6,"viel länger",Lektionen[[#This Row],[Bearbeitungsdauer_abgewichen]]&gt;0.3,"länger",Lektionen[[#This Row],[Bearbeitungsdauer_abgewichen]]&lt;-0.3,"kürzer",TRUE,"keine Abweichung")</f>
        <v>kürzer</v>
      </c>
      <c r="I2047">
        <v>2</v>
      </c>
    </row>
    <row r="2048" spans="1:9" hidden="1" x14ac:dyDescent="0.3">
      <c r="A2048" s="13">
        <v>322</v>
      </c>
      <c r="B2048" s="4">
        <v>7</v>
      </c>
      <c r="C2048" t="s">
        <v>535</v>
      </c>
      <c r="D2048" t="s">
        <v>536</v>
      </c>
      <c r="E2048">
        <v>10</v>
      </c>
      <c r="F2048">
        <v>10</v>
      </c>
      <c r="G2048" s="8">
        <f>Lektionen[[#This Row],[Bearbeitungsdauer_real]]/Lektionen[[#This Row],[Bearbeitungsdauer_geschätzt]]-1</f>
        <v>0</v>
      </c>
      <c r="H2048" s="8" t="str" cm="1">
        <f t="array" ref="H2048">_xlfn.IFS(Lektionen[[#This Row],[Bearbeitungsdauer_abgewichen]]&gt;0.6,"viel länger",Lektionen[[#This Row],[Bearbeitungsdauer_abgewichen]]&gt;0.3,"länger",Lektionen[[#This Row],[Bearbeitungsdauer_abgewichen]]&lt;-0.3,"kürzer",TRUE,"keine Abweichung")</f>
        <v>keine Abweichung</v>
      </c>
      <c r="I2048">
        <v>4</v>
      </c>
    </row>
    <row r="2049" spans="1:9" hidden="1" x14ac:dyDescent="0.3">
      <c r="A2049" s="13">
        <v>322</v>
      </c>
      <c r="B2049" s="4">
        <v>8</v>
      </c>
      <c r="C2049" t="s">
        <v>537</v>
      </c>
      <c r="D2049" t="s">
        <v>527</v>
      </c>
      <c r="E2049">
        <v>5</v>
      </c>
      <c r="F2049">
        <v>5</v>
      </c>
      <c r="G2049" s="8">
        <f>Lektionen[[#This Row],[Bearbeitungsdauer_real]]/Lektionen[[#This Row],[Bearbeitungsdauer_geschätzt]]-1</f>
        <v>0</v>
      </c>
      <c r="H2049" s="8" t="str" cm="1">
        <f t="array" ref="H2049">_xlfn.IFS(Lektionen[[#This Row],[Bearbeitungsdauer_abgewichen]]&gt;0.6,"viel länger",Lektionen[[#This Row],[Bearbeitungsdauer_abgewichen]]&gt;0.3,"länger",Lektionen[[#This Row],[Bearbeitungsdauer_abgewichen]]&lt;-0.3,"kürzer",TRUE,"keine Abweichung")</f>
        <v>keine Abweichung</v>
      </c>
      <c r="I2049">
        <v>1</v>
      </c>
    </row>
    <row r="2050" spans="1:9" hidden="1" x14ac:dyDescent="0.3">
      <c r="A2050" s="13">
        <v>323</v>
      </c>
      <c r="B2050" s="4">
        <v>1</v>
      </c>
      <c r="C2050" t="s">
        <v>526</v>
      </c>
      <c r="D2050" t="s">
        <v>527</v>
      </c>
      <c r="E2050">
        <v>4</v>
      </c>
      <c r="F2050">
        <v>4</v>
      </c>
      <c r="G2050" s="8">
        <f>Lektionen[[#This Row],[Bearbeitungsdauer_real]]/Lektionen[[#This Row],[Bearbeitungsdauer_geschätzt]]-1</f>
        <v>0</v>
      </c>
      <c r="H2050" s="8" t="str" cm="1">
        <f t="array" ref="H2050">_xlfn.IFS(Lektionen[[#This Row],[Bearbeitungsdauer_abgewichen]]&gt;0.6,"viel länger",Lektionen[[#This Row],[Bearbeitungsdauer_abgewichen]]&gt;0.3,"länger",Lektionen[[#This Row],[Bearbeitungsdauer_abgewichen]]&lt;-0.3,"kürzer",TRUE,"keine Abweichung")</f>
        <v>keine Abweichung</v>
      </c>
      <c r="I2050">
        <v>1</v>
      </c>
    </row>
    <row r="2051" spans="1:9" hidden="1" x14ac:dyDescent="0.3">
      <c r="A2051" s="13">
        <v>323</v>
      </c>
      <c r="B2051" s="4">
        <v>2</v>
      </c>
      <c r="C2051" t="s">
        <v>528</v>
      </c>
      <c r="D2051" t="s">
        <v>529</v>
      </c>
      <c r="E2051">
        <v>15</v>
      </c>
      <c r="F2051">
        <v>20</v>
      </c>
      <c r="G2051" s="8">
        <f>Lektionen[[#This Row],[Bearbeitungsdauer_real]]/Lektionen[[#This Row],[Bearbeitungsdauer_geschätzt]]-1</f>
        <v>0.33333333333333326</v>
      </c>
      <c r="H2051" s="8" t="str" cm="1">
        <f t="array" ref="H2051">_xlfn.IFS(Lektionen[[#This Row],[Bearbeitungsdauer_abgewichen]]&gt;0.6,"viel länger",Lektionen[[#This Row],[Bearbeitungsdauer_abgewichen]]&gt;0.3,"länger",Lektionen[[#This Row],[Bearbeitungsdauer_abgewichen]]&lt;-0.3,"kürzer",TRUE,"keine Abweichung")</f>
        <v>länger</v>
      </c>
      <c r="I2051">
        <v>1</v>
      </c>
    </row>
    <row r="2052" spans="1:9" hidden="1" x14ac:dyDescent="0.3">
      <c r="A2052" s="13">
        <v>323</v>
      </c>
      <c r="B2052" s="4">
        <v>3</v>
      </c>
      <c r="C2052" t="s">
        <v>552</v>
      </c>
      <c r="D2052" t="s">
        <v>530</v>
      </c>
      <c r="E2052">
        <v>30</v>
      </c>
      <c r="F2052">
        <v>27</v>
      </c>
      <c r="G2052" s="8">
        <f>Lektionen[[#This Row],[Bearbeitungsdauer_real]]/Lektionen[[#This Row],[Bearbeitungsdauer_geschätzt]]-1</f>
        <v>-9.9999999999999978E-2</v>
      </c>
      <c r="H2052" s="8" t="str" cm="1">
        <f t="array" ref="H2052">_xlfn.IFS(Lektionen[[#This Row],[Bearbeitungsdauer_abgewichen]]&gt;0.6,"viel länger",Lektionen[[#This Row],[Bearbeitungsdauer_abgewichen]]&gt;0.3,"länger",Lektionen[[#This Row],[Bearbeitungsdauer_abgewichen]]&lt;-0.3,"kürzer",TRUE,"keine Abweichung")</f>
        <v>keine Abweichung</v>
      </c>
      <c r="I2052">
        <v>2</v>
      </c>
    </row>
    <row r="2053" spans="1:9" hidden="1" x14ac:dyDescent="0.3">
      <c r="A2053" s="13">
        <v>323</v>
      </c>
      <c r="B2053" s="4">
        <v>4</v>
      </c>
      <c r="C2053" t="s">
        <v>531</v>
      </c>
      <c r="D2053" t="s">
        <v>530</v>
      </c>
      <c r="E2053">
        <v>30</v>
      </c>
      <c r="F2053">
        <v>33</v>
      </c>
      <c r="G2053" s="8">
        <f>Lektionen[[#This Row],[Bearbeitungsdauer_real]]/Lektionen[[#This Row],[Bearbeitungsdauer_geschätzt]]-1</f>
        <v>0.10000000000000009</v>
      </c>
      <c r="H2053" s="8" t="str" cm="1">
        <f t="array" ref="H2053">_xlfn.IFS(Lektionen[[#This Row],[Bearbeitungsdauer_abgewichen]]&gt;0.6,"viel länger",Lektionen[[#This Row],[Bearbeitungsdauer_abgewichen]]&gt;0.3,"länger",Lektionen[[#This Row],[Bearbeitungsdauer_abgewichen]]&lt;-0.3,"kürzer",TRUE,"keine Abweichung")</f>
        <v>keine Abweichung</v>
      </c>
      <c r="I2053">
        <v>3</v>
      </c>
    </row>
    <row r="2054" spans="1:9" x14ac:dyDescent="0.3">
      <c r="A2054" s="13">
        <v>323</v>
      </c>
      <c r="B2054" s="4">
        <v>5</v>
      </c>
      <c r="C2054" t="s">
        <v>532</v>
      </c>
      <c r="D2054" t="s">
        <v>530</v>
      </c>
      <c r="E2054">
        <v>30</v>
      </c>
      <c r="F2054">
        <v>39</v>
      </c>
      <c r="G2054" s="8">
        <f>Lektionen[[#This Row],[Bearbeitungsdauer_real]]/Lektionen[[#This Row],[Bearbeitungsdauer_geschätzt]]-1</f>
        <v>0.30000000000000004</v>
      </c>
      <c r="H2054" s="8" t="str" cm="1">
        <f t="array" ref="H2054">_xlfn.IFS(Lektionen[[#This Row],[Bearbeitungsdauer_abgewichen]]&gt;0.6,"viel länger",Lektionen[[#This Row],[Bearbeitungsdauer_abgewichen]]&gt;0.3,"länger",Lektionen[[#This Row],[Bearbeitungsdauer_abgewichen]]&lt;-0.3,"kürzer",TRUE,"keine Abweichung")</f>
        <v>keine Abweichung</v>
      </c>
      <c r="I2054">
        <v>4</v>
      </c>
    </row>
    <row r="2055" spans="1:9" hidden="1" x14ac:dyDescent="0.3">
      <c r="A2055" s="13">
        <v>323</v>
      </c>
      <c r="B2055" s="4">
        <v>6</v>
      </c>
      <c r="C2055" t="s">
        <v>533</v>
      </c>
      <c r="D2055" t="s">
        <v>534</v>
      </c>
      <c r="E2055">
        <v>5</v>
      </c>
      <c r="F2055">
        <v>1</v>
      </c>
      <c r="G2055" s="8">
        <f>Lektionen[[#This Row],[Bearbeitungsdauer_real]]/Lektionen[[#This Row],[Bearbeitungsdauer_geschätzt]]-1</f>
        <v>-0.8</v>
      </c>
      <c r="H2055" s="8" t="str" cm="1">
        <f t="array" ref="H2055">_xlfn.IFS(Lektionen[[#This Row],[Bearbeitungsdauer_abgewichen]]&gt;0.6,"viel länger",Lektionen[[#This Row],[Bearbeitungsdauer_abgewichen]]&gt;0.3,"länger",Lektionen[[#This Row],[Bearbeitungsdauer_abgewichen]]&lt;-0.3,"kürzer",TRUE,"keine Abweichung")</f>
        <v>kürzer</v>
      </c>
      <c r="I2055">
        <v>1</v>
      </c>
    </row>
    <row r="2056" spans="1:9" hidden="1" x14ac:dyDescent="0.3">
      <c r="A2056" s="13">
        <v>323</v>
      </c>
      <c r="B2056" s="4">
        <v>7</v>
      </c>
      <c r="C2056" t="s">
        <v>535</v>
      </c>
      <c r="D2056" t="s">
        <v>536</v>
      </c>
      <c r="E2056">
        <v>10</v>
      </c>
      <c r="F2056">
        <v>11</v>
      </c>
      <c r="G2056" s="8">
        <f>Lektionen[[#This Row],[Bearbeitungsdauer_real]]/Lektionen[[#This Row],[Bearbeitungsdauer_geschätzt]]-1</f>
        <v>0.10000000000000009</v>
      </c>
      <c r="H2056" s="8" t="str" cm="1">
        <f t="array" ref="H2056">_xlfn.IFS(Lektionen[[#This Row],[Bearbeitungsdauer_abgewichen]]&gt;0.6,"viel länger",Lektionen[[#This Row],[Bearbeitungsdauer_abgewichen]]&gt;0.3,"länger",Lektionen[[#This Row],[Bearbeitungsdauer_abgewichen]]&lt;-0.3,"kürzer",TRUE,"keine Abweichung")</f>
        <v>keine Abweichung</v>
      </c>
      <c r="I2056">
        <v>4</v>
      </c>
    </row>
    <row r="2057" spans="1:9" hidden="1" x14ac:dyDescent="0.3">
      <c r="A2057" s="13">
        <v>323</v>
      </c>
      <c r="B2057" s="4">
        <v>8</v>
      </c>
      <c r="C2057" t="s">
        <v>537</v>
      </c>
      <c r="D2057" t="s">
        <v>527</v>
      </c>
      <c r="E2057">
        <v>5</v>
      </c>
      <c r="F2057">
        <v>5</v>
      </c>
      <c r="G2057" s="8">
        <f>Lektionen[[#This Row],[Bearbeitungsdauer_real]]/Lektionen[[#This Row],[Bearbeitungsdauer_geschätzt]]-1</f>
        <v>0</v>
      </c>
      <c r="H2057" s="8" t="str" cm="1">
        <f t="array" ref="H2057">_xlfn.IFS(Lektionen[[#This Row],[Bearbeitungsdauer_abgewichen]]&gt;0.6,"viel länger",Lektionen[[#This Row],[Bearbeitungsdauer_abgewichen]]&gt;0.3,"länger",Lektionen[[#This Row],[Bearbeitungsdauer_abgewichen]]&lt;-0.3,"kürzer",TRUE,"keine Abweichung")</f>
        <v>keine Abweichung</v>
      </c>
      <c r="I2057">
        <v>1</v>
      </c>
    </row>
    <row r="2058" spans="1:9" hidden="1" x14ac:dyDescent="0.3">
      <c r="A2058" s="13">
        <v>324</v>
      </c>
      <c r="B2058" s="4">
        <v>1</v>
      </c>
      <c r="C2058" t="s">
        <v>526</v>
      </c>
      <c r="D2058" t="s">
        <v>527</v>
      </c>
      <c r="E2058">
        <v>4</v>
      </c>
      <c r="F2058">
        <v>4</v>
      </c>
      <c r="G2058" s="8">
        <f>Lektionen[[#This Row],[Bearbeitungsdauer_real]]/Lektionen[[#This Row],[Bearbeitungsdauer_geschätzt]]-1</f>
        <v>0</v>
      </c>
      <c r="H2058" s="8" t="str" cm="1">
        <f t="array" ref="H2058">_xlfn.IFS(Lektionen[[#This Row],[Bearbeitungsdauer_abgewichen]]&gt;0.6,"viel länger",Lektionen[[#This Row],[Bearbeitungsdauer_abgewichen]]&gt;0.3,"länger",Lektionen[[#This Row],[Bearbeitungsdauer_abgewichen]]&lt;-0.3,"kürzer",TRUE,"keine Abweichung")</f>
        <v>keine Abweichung</v>
      </c>
      <c r="I2058">
        <v>1</v>
      </c>
    </row>
    <row r="2059" spans="1:9" hidden="1" x14ac:dyDescent="0.3">
      <c r="A2059" s="13">
        <v>324</v>
      </c>
      <c r="B2059" s="4">
        <v>2</v>
      </c>
      <c r="C2059" t="s">
        <v>528</v>
      </c>
      <c r="D2059" t="s">
        <v>529</v>
      </c>
      <c r="E2059">
        <v>15</v>
      </c>
      <c r="F2059">
        <v>19</v>
      </c>
      <c r="G2059" s="8">
        <f>Lektionen[[#This Row],[Bearbeitungsdauer_real]]/Lektionen[[#This Row],[Bearbeitungsdauer_geschätzt]]-1</f>
        <v>0.26666666666666661</v>
      </c>
      <c r="H2059" s="8" t="str" cm="1">
        <f t="array" ref="H2059">_xlfn.IFS(Lektionen[[#This Row],[Bearbeitungsdauer_abgewichen]]&gt;0.6,"viel länger",Lektionen[[#This Row],[Bearbeitungsdauer_abgewichen]]&gt;0.3,"länger",Lektionen[[#This Row],[Bearbeitungsdauer_abgewichen]]&lt;-0.3,"kürzer",TRUE,"keine Abweichung")</f>
        <v>keine Abweichung</v>
      </c>
      <c r="I2059">
        <v>3</v>
      </c>
    </row>
    <row r="2060" spans="1:9" hidden="1" x14ac:dyDescent="0.3">
      <c r="A2060" s="13">
        <v>324</v>
      </c>
      <c r="B2060" s="4">
        <v>3</v>
      </c>
      <c r="C2060" t="s">
        <v>552</v>
      </c>
      <c r="D2060" t="s">
        <v>530</v>
      </c>
      <c r="E2060">
        <v>30</v>
      </c>
      <c r="F2060">
        <v>28</v>
      </c>
      <c r="G2060" s="8">
        <f>Lektionen[[#This Row],[Bearbeitungsdauer_real]]/Lektionen[[#This Row],[Bearbeitungsdauer_geschätzt]]-1</f>
        <v>-6.6666666666666652E-2</v>
      </c>
      <c r="H2060" s="8" t="str" cm="1">
        <f t="array" ref="H2060">_xlfn.IFS(Lektionen[[#This Row],[Bearbeitungsdauer_abgewichen]]&gt;0.6,"viel länger",Lektionen[[#This Row],[Bearbeitungsdauer_abgewichen]]&gt;0.3,"länger",Lektionen[[#This Row],[Bearbeitungsdauer_abgewichen]]&lt;-0.3,"kürzer",TRUE,"keine Abweichung")</f>
        <v>keine Abweichung</v>
      </c>
      <c r="I2060">
        <v>3</v>
      </c>
    </row>
    <row r="2061" spans="1:9" hidden="1" x14ac:dyDescent="0.3">
      <c r="A2061" s="13">
        <v>324</v>
      </c>
      <c r="B2061" s="4">
        <v>4</v>
      </c>
      <c r="C2061" t="s">
        <v>531</v>
      </c>
      <c r="D2061" t="s">
        <v>530</v>
      </c>
      <c r="E2061">
        <v>30</v>
      </c>
      <c r="F2061">
        <v>25</v>
      </c>
      <c r="G2061" s="8">
        <f>Lektionen[[#This Row],[Bearbeitungsdauer_real]]/Lektionen[[#This Row],[Bearbeitungsdauer_geschätzt]]-1</f>
        <v>-0.16666666666666663</v>
      </c>
      <c r="H2061" s="8" t="str" cm="1">
        <f t="array" ref="H2061">_xlfn.IFS(Lektionen[[#This Row],[Bearbeitungsdauer_abgewichen]]&gt;0.6,"viel länger",Lektionen[[#This Row],[Bearbeitungsdauer_abgewichen]]&gt;0.3,"länger",Lektionen[[#This Row],[Bearbeitungsdauer_abgewichen]]&lt;-0.3,"kürzer",TRUE,"keine Abweichung")</f>
        <v>keine Abweichung</v>
      </c>
      <c r="I2061">
        <v>3</v>
      </c>
    </row>
    <row r="2062" spans="1:9" x14ac:dyDescent="0.3">
      <c r="A2062" s="13">
        <v>324</v>
      </c>
      <c r="B2062" s="4">
        <v>5</v>
      </c>
      <c r="C2062" t="s">
        <v>532</v>
      </c>
      <c r="D2062" t="s">
        <v>530</v>
      </c>
      <c r="E2062">
        <v>30</v>
      </c>
      <c r="F2062">
        <v>51</v>
      </c>
      <c r="G2062" s="8">
        <f>Lektionen[[#This Row],[Bearbeitungsdauer_real]]/Lektionen[[#This Row],[Bearbeitungsdauer_geschätzt]]-1</f>
        <v>0.7</v>
      </c>
      <c r="H2062" s="8" t="str" cm="1">
        <f t="array" ref="H2062">_xlfn.IFS(Lektionen[[#This Row],[Bearbeitungsdauer_abgewichen]]&gt;0.6,"viel länger",Lektionen[[#This Row],[Bearbeitungsdauer_abgewichen]]&gt;0.3,"länger",Lektionen[[#This Row],[Bearbeitungsdauer_abgewichen]]&lt;-0.3,"kürzer",TRUE,"keine Abweichung")</f>
        <v>viel länger</v>
      </c>
      <c r="I2062">
        <v>3</v>
      </c>
    </row>
    <row r="2063" spans="1:9" hidden="1" x14ac:dyDescent="0.3">
      <c r="A2063" s="13">
        <v>324</v>
      </c>
      <c r="B2063" s="4">
        <v>6</v>
      </c>
      <c r="C2063" t="s">
        <v>533</v>
      </c>
      <c r="D2063" t="s">
        <v>534</v>
      </c>
      <c r="E2063">
        <v>5</v>
      </c>
      <c r="F2063">
        <v>2</v>
      </c>
      <c r="G2063" s="8">
        <f>Lektionen[[#This Row],[Bearbeitungsdauer_real]]/Lektionen[[#This Row],[Bearbeitungsdauer_geschätzt]]-1</f>
        <v>-0.6</v>
      </c>
      <c r="H2063" s="8" t="str" cm="1">
        <f t="array" ref="H2063">_xlfn.IFS(Lektionen[[#This Row],[Bearbeitungsdauer_abgewichen]]&gt;0.6,"viel länger",Lektionen[[#This Row],[Bearbeitungsdauer_abgewichen]]&gt;0.3,"länger",Lektionen[[#This Row],[Bearbeitungsdauer_abgewichen]]&lt;-0.3,"kürzer",TRUE,"keine Abweichung")</f>
        <v>kürzer</v>
      </c>
      <c r="I2063">
        <v>2</v>
      </c>
    </row>
    <row r="2064" spans="1:9" hidden="1" x14ac:dyDescent="0.3">
      <c r="A2064" s="13">
        <v>324</v>
      </c>
      <c r="B2064" s="4">
        <v>7</v>
      </c>
      <c r="C2064" t="s">
        <v>535</v>
      </c>
      <c r="D2064" t="s">
        <v>536</v>
      </c>
      <c r="E2064">
        <v>10</v>
      </c>
      <c r="F2064">
        <v>12</v>
      </c>
      <c r="G2064" s="8">
        <f>Lektionen[[#This Row],[Bearbeitungsdauer_real]]/Lektionen[[#This Row],[Bearbeitungsdauer_geschätzt]]-1</f>
        <v>0.19999999999999996</v>
      </c>
      <c r="H2064" s="8" t="str" cm="1">
        <f t="array" ref="H2064">_xlfn.IFS(Lektionen[[#This Row],[Bearbeitungsdauer_abgewichen]]&gt;0.6,"viel länger",Lektionen[[#This Row],[Bearbeitungsdauer_abgewichen]]&gt;0.3,"länger",Lektionen[[#This Row],[Bearbeitungsdauer_abgewichen]]&lt;-0.3,"kürzer",TRUE,"keine Abweichung")</f>
        <v>keine Abweichung</v>
      </c>
      <c r="I2064">
        <v>4</v>
      </c>
    </row>
    <row r="2065" spans="1:9" hidden="1" x14ac:dyDescent="0.3">
      <c r="A2065" s="13">
        <v>324</v>
      </c>
      <c r="B2065" s="4">
        <v>8</v>
      </c>
      <c r="C2065" t="s">
        <v>537</v>
      </c>
      <c r="D2065" t="s">
        <v>527</v>
      </c>
      <c r="E2065">
        <v>5</v>
      </c>
      <c r="F2065">
        <v>5</v>
      </c>
      <c r="G2065" s="8">
        <f>Lektionen[[#This Row],[Bearbeitungsdauer_real]]/Lektionen[[#This Row],[Bearbeitungsdauer_geschätzt]]-1</f>
        <v>0</v>
      </c>
      <c r="H2065" s="8" t="str" cm="1">
        <f t="array" ref="H2065">_xlfn.IFS(Lektionen[[#This Row],[Bearbeitungsdauer_abgewichen]]&gt;0.6,"viel länger",Lektionen[[#This Row],[Bearbeitungsdauer_abgewichen]]&gt;0.3,"länger",Lektionen[[#This Row],[Bearbeitungsdauer_abgewichen]]&lt;-0.3,"kürzer",TRUE,"keine Abweichung")</f>
        <v>keine Abweichung</v>
      </c>
      <c r="I2065">
        <v>1</v>
      </c>
    </row>
    <row r="2066" spans="1:9" hidden="1" x14ac:dyDescent="0.3">
      <c r="A2066" s="13">
        <v>325</v>
      </c>
      <c r="B2066" s="4">
        <v>1</v>
      </c>
      <c r="C2066" t="s">
        <v>526</v>
      </c>
      <c r="D2066" t="s">
        <v>527</v>
      </c>
      <c r="E2066">
        <v>4</v>
      </c>
      <c r="F2066">
        <v>6</v>
      </c>
      <c r="G2066" s="8">
        <f>Lektionen[[#This Row],[Bearbeitungsdauer_real]]/Lektionen[[#This Row],[Bearbeitungsdauer_geschätzt]]-1</f>
        <v>0.5</v>
      </c>
      <c r="H2066" s="8" t="str" cm="1">
        <f t="array" ref="H2066">_xlfn.IFS(Lektionen[[#This Row],[Bearbeitungsdauer_abgewichen]]&gt;0.6,"viel länger",Lektionen[[#This Row],[Bearbeitungsdauer_abgewichen]]&gt;0.3,"länger",Lektionen[[#This Row],[Bearbeitungsdauer_abgewichen]]&lt;-0.3,"kürzer",TRUE,"keine Abweichung")</f>
        <v>länger</v>
      </c>
      <c r="I2066">
        <v>1</v>
      </c>
    </row>
    <row r="2067" spans="1:9" hidden="1" x14ac:dyDescent="0.3">
      <c r="A2067" s="13">
        <v>325</v>
      </c>
      <c r="B2067" s="4">
        <v>2</v>
      </c>
      <c r="C2067" t="s">
        <v>528</v>
      </c>
      <c r="D2067" t="s">
        <v>529</v>
      </c>
      <c r="E2067">
        <v>15</v>
      </c>
      <c r="F2067">
        <v>15</v>
      </c>
      <c r="G2067" s="8">
        <f>Lektionen[[#This Row],[Bearbeitungsdauer_real]]/Lektionen[[#This Row],[Bearbeitungsdauer_geschätzt]]-1</f>
        <v>0</v>
      </c>
      <c r="H2067" s="8" t="str" cm="1">
        <f t="array" ref="H2067">_xlfn.IFS(Lektionen[[#This Row],[Bearbeitungsdauer_abgewichen]]&gt;0.6,"viel länger",Lektionen[[#This Row],[Bearbeitungsdauer_abgewichen]]&gt;0.3,"länger",Lektionen[[#This Row],[Bearbeitungsdauer_abgewichen]]&lt;-0.3,"kürzer",TRUE,"keine Abweichung")</f>
        <v>keine Abweichung</v>
      </c>
      <c r="I2067">
        <v>1</v>
      </c>
    </row>
    <row r="2068" spans="1:9" hidden="1" x14ac:dyDescent="0.3">
      <c r="A2068" s="13">
        <v>325</v>
      </c>
      <c r="B2068" s="4">
        <v>3</v>
      </c>
      <c r="C2068" t="s">
        <v>552</v>
      </c>
      <c r="D2068" t="s">
        <v>530</v>
      </c>
      <c r="E2068">
        <v>30</v>
      </c>
      <c r="F2068">
        <v>30</v>
      </c>
      <c r="G2068" s="8">
        <f>Lektionen[[#This Row],[Bearbeitungsdauer_real]]/Lektionen[[#This Row],[Bearbeitungsdauer_geschätzt]]-1</f>
        <v>0</v>
      </c>
      <c r="H2068" s="8" t="str" cm="1">
        <f t="array" ref="H2068">_xlfn.IFS(Lektionen[[#This Row],[Bearbeitungsdauer_abgewichen]]&gt;0.6,"viel länger",Lektionen[[#This Row],[Bearbeitungsdauer_abgewichen]]&gt;0.3,"länger",Lektionen[[#This Row],[Bearbeitungsdauer_abgewichen]]&lt;-0.3,"kürzer",TRUE,"keine Abweichung")</f>
        <v>keine Abweichung</v>
      </c>
      <c r="I2068">
        <v>2</v>
      </c>
    </row>
    <row r="2069" spans="1:9" hidden="1" x14ac:dyDescent="0.3">
      <c r="A2069" s="13">
        <v>325</v>
      </c>
      <c r="B2069" s="4">
        <v>4</v>
      </c>
      <c r="C2069" t="s">
        <v>531</v>
      </c>
      <c r="D2069" t="s">
        <v>530</v>
      </c>
      <c r="E2069">
        <v>30</v>
      </c>
      <c r="F2069">
        <v>28</v>
      </c>
      <c r="G2069" s="8">
        <f>Lektionen[[#This Row],[Bearbeitungsdauer_real]]/Lektionen[[#This Row],[Bearbeitungsdauer_geschätzt]]-1</f>
        <v>-6.6666666666666652E-2</v>
      </c>
      <c r="H2069" s="8" t="str" cm="1">
        <f t="array" ref="H2069">_xlfn.IFS(Lektionen[[#This Row],[Bearbeitungsdauer_abgewichen]]&gt;0.6,"viel länger",Lektionen[[#This Row],[Bearbeitungsdauer_abgewichen]]&gt;0.3,"länger",Lektionen[[#This Row],[Bearbeitungsdauer_abgewichen]]&lt;-0.3,"kürzer",TRUE,"keine Abweichung")</f>
        <v>keine Abweichung</v>
      </c>
      <c r="I2069">
        <v>3</v>
      </c>
    </row>
    <row r="2070" spans="1:9" x14ac:dyDescent="0.3">
      <c r="A2070" s="13">
        <v>325</v>
      </c>
      <c r="B2070" s="4">
        <v>5</v>
      </c>
      <c r="C2070" t="s">
        <v>532</v>
      </c>
      <c r="D2070" t="s">
        <v>530</v>
      </c>
      <c r="E2070">
        <v>30</v>
      </c>
      <c r="F2070">
        <v>42</v>
      </c>
      <c r="G2070" s="8">
        <f>Lektionen[[#This Row],[Bearbeitungsdauer_real]]/Lektionen[[#This Row],[Bearbeitungsdauer_geschätzt]]-1</f>
        <v>0.39999999999999991</v>
      </c>
      <c r="H2070" s="8" t="str" cm="1">
        <f t="array" ref="H2070">_xlfn.IFS(Lektionen[[#This Row],[Bearbeitungsdauer_abgewichen]]&gt;0.6,"viel länger",Lektionen[[#This Row],[Bearbeitungsdauer_abgewichen]]&gt;0.3,"länger",Lektionen[[#This Row],[Bearbeitungsdauer_abgewichen]]&lt;-0.3,"kürzer",TRUE,"keine Abweichung")</f>
        <v>länger</v>
      </c>
      <c r="I2070">
        <v>4</v>
      </c>
    </row>
    <row r="2071" spans="1:9" hidden="1" x14ac:dyDescent="0.3">
      <c r="A2071" s="13">
        <v>325</v>
      </c>
      <c r="B2071" s="4">
        <v>6</v>
      </c>
      <c r="C2071" t="s">
        <v>533</v>
      </c>
      <c r="D2071" t="s">
        <v>534</v>
      </c>
      <c r="E2071">
        <v>5</v>
      </c>
      <c r="F2071">
        <v>1</v>
      </c>
      <c r="G2071" s="8">
        <f>Lektionen[[#This Row],[Bearbeitungsdauer_real]]/Lektionen[[#This Row],[Bearbeitungsdauer_geschätzt]]-1</f>
        <v>-0.8</v>
      </c>
      <c r="H2071" s="8" t="str" cm="1">
        <f t="array" ref="H2071">_xlfn.IFS(Lektionen[[#This Row],[Bearbeitungsdauer_abgewichen]]&gt;0.6,"viel länger",Lektionen[[#This Row],[Bearbeitungsdauer_abgewichen]]&gt;0.3,"länger",Lektionen[[#This Row],[Bearbeitungsdauer_abgewichen]]&lt;-0.3,"kürzer",TRUE,"keine Abweichung")</f>
        <v>kürzer</v>
      </c>
      <c r="I2071">
        <v>2</v>
      </c>
    </row>
    <row r="2072" spans="1:9" hidden="1" x14ac:dyDescent="0.3">
      <c r="A2072" s="13">
        <v>325</v>
      </c>
      <c r="B2072" s="4">
        <v>7</v>
      </c>
      <c r="C2072" t="s">
        <v>535</v>
      </c>
      <c r="D2072" t="s">
        <v>536</v>
      </c>
      <c r="E2072">
        <v>10</v>
      </c>
      <c r="F2072">
        <v>9</v>
      </c>
      <c r="G2072" s="8">
        <f>Lektionen[[#This Row],[Bearbeitungsdauer_real]]/Lektionen[[#This Row],[Bearbeitungsdauer_geschätzt]]-1</f>
        <v>-9.9999999999999978E-2</v>
      </c>
      <c r="H2072" s="8" t="str" cm="1">
        <f t="array" ref="H2072">_xlfn.IFS(Lektionen[[#This Row],[Bearbeitungsdauer_abgewichen]]&gt;0.6,"viel länger",Lektionen[[#This Row],[Bearbeitungsdauer_abgewichen]]&gt;0.3,"länger",Lektionen[[#This Row],[Bearbeitungsdauer_abgewichen]]&lt;-0.3,"kürzer",TRUE,"keine Abweichung")</f>
        <v>keine Abweichung</v>
      </c>
      <c r="I2072">
        <v>4</v>
      </c>
    </row>
    <row r="2073" spans="1:9" hidden="1" x14ac:dyDescent="0.3">
      <c r="A2073" s="13">
        <v>325</v>
      </c>
      <c r="B2073" s="4">
        <v>8</v>
      </c>
      <c r="C2073" t="s">
        <v>537</v>
      </c>
      <c r="D2073" t="s">
        <v>527</v>
      </c>
      <c r="E2073">
        <v>5</v>
      </c>
      <c r="F2073">
        <v>8</v>
      </c>
      <c r="G2073" s="8">
        <f>Lektionen[[#This Row],[Bearbeitungsdauer_real]]/Lektionen[[#This Row],[Bearbeitungsdauer_geschätzt]]-1</f>
        <v>0.60000000000000009</v>
      </c>
      <c r="H2073" s="8" t="str" cm="1">
        <f t="array" ref="H2073">_xlfn.IFS(Lektionen[[#This Row],[Bearbeitungsdauer_abgewichen]]&gt;0.6,"viel länger",Lektionen[[#This Row],[Bearbeitungsdauer_abgewichen]]&gt;0.3,"länger",Lektionen[[#This Row],[Bearbeitungsdauer_abgewichen]]&lt;-0.3,"kürzer",TRUE,"keine Abweichung")</f>
        <v>länger</v>
      </c>
      <c r="I2073">
        <v>1</v>
      </c>
    </row>
    <row r="2074" spans="1:9" hidden="1" x14ac:dyDescent="0.3">
      <c r="A2074" s="13">
        <v>326</v>
      </c>
      <c r="B2074" s="4">
        <v>1</v>
      </c>
      <c r="C2074" t="s">
        <v>526</v>
      </c>
      <c r="D2074" t="s">
        <v>527</v>
      </c>
      <c r="E2074">
        <v>4</v>
      </c>
      <c r="F2074">
        <v>5</v>
      </c>
      <c r="G2074" s="8">
        <f>Lektionen[[#This Row],[Bearbeitungsdauer_real]]/Lektionen[[#This Row],[Bearbeitungsdauer_geschätzt]]-1</f>
        <v>0.25</v>
      </c>
      <c r="H2074" s="8" t="str" cm="1">
        <f t="array" ref="H2074">_xlfn.IFS(Lektionen[[#This Row],[Bearbeitungsdauer_abgewichen]]&gt;0.6,"viel länger",Lektionen[[#This Row],[Bearbeitungsdauer_abgewichen]]&gt;0.3,"länger",Lektionen[[#This Row],[Bearbeitungsdauer_abgewichen]]&lt;-0.3,"kürzer",TRUE,"keine Abweichung")</f>
        <v>keine Abweichung</v>
      </c>
      <c r="I2074">
        <v>1</v>
      </c>
    </row>
    <row r="2075" spans="1:9" hidden="1" x14ac:dyDescent="0.3">
      <c r="A2075" s="13">
        <v>326</v>
      </c>
      <c r="B2075" s="4">
        <v>2</v>
      </c>
      <c r="C2075" t="s">
        <v>528</v>
      </c>
      <c r="D2075" t="s">
        <v>529</v>
      </c>
      <c r="E2075">
        <v>15</v>
      </c>
      <c r="F2075">
        <v>20</v>
      </c>
      <c r="G2075" s="8">
        <f>Lektionen[[#This Row],[Bearbeitungsdauer_real]]/Lektionen[[#This Row],[Bearbeitungsdauer_geschätzt]]-1</f>
        <v>0.33333333333333326</v>
      </c>
      <c r="H2075" s="8" t="str" cm="1">
        <f t="array" ref="H2075">_xlfn.IFS(Lektionen[[#This Row],[Bearbeitungsdauer_abgewichen]]&gt;0.6,"viel länger",Lektionen[[#This Row],[Bearbeitungsdauer_abgewichen]]&gt;0.3,"länger",Lektionen[[#This Row],[Bearbeitungsdauer_abgewichen]]&lt;-0.3,"kürzer",TRUE,"keine Abweichung")</f>
        <v>länger</v>
      </c>
      <c r="I2075">
        <v>1</v>
      </c>
    </row>
    <row r="2076" spans="1:9" hidden="1" x14ac:dyDescent="0.3">
      <c r="A2076" s="13">
        <v>326</v>
      </c>
      <c r="B2076" s="4">
        <v>3</v>
      </c>
      <c r="C2076" t="s">
        <v>552</v>
      </c>
      <c r="D2076" t="s">
        <v>530</v>
      </c>
      <c r="E2076">
        <v>30</v>
      </c>
      <c r="F2076">
        <v>28</v>
      </c>
      <c r="G2076" s="8">
        <f>Lektionen[[#This Row],[Bearbeitungsdauer_real]]/Lektionen[[#This Row],[Bearbeitungsdauer_geschätzt]]-1</f>
        <v>-6.6666666666666652E-2</v>
      </c>
      <c r="H2076" s="8" t="str" cm="1">
        <f t="array" ref="H2076">_xlfn.IFS(Lektionen[[#This Row],[Bearbeitungsdauer_abgewichen]]&gt;0.6,"viel länger",Lektionen[[#This Row],[Bearbeitungsdauer_abgewichen]]&gt;0.3,"länger",Lektionen[[#This Row],[Bearbeitungsdauer_abgewichen]]&lt;-0.3,"kürzer",TRUE,"keine Abweichung")</f>
        <v>keine Abweichung</v>
      </c>
      <c r="I2076">
        <v>2</v>
      </c>
    </row>
    <row r="2077" spans="1:9" hidden="1" x14ac:dyDescent="0.3">
      <c r="A2077" s="13">
        <v>326</v>
      </c>
      <c r="B2077" s="4">
        <v>4</v>
      </c>
      <c r="C2077" t="s">
        <v>531</v>
      </c>
      <c r="D2077" t="s">
        <v>530</v>
      </c>
      <c r="E2077">
        <v>30</v>
      </c>
      <c r="F2077">
        <v>26</v>
      </c>
      <c r="G2077" s="8">
        <f>Lektionen[[#This Row],[Bearbeitungsdauer_real]]/Lektionen[[#This Row],[Bearbeitungsdauer_geschätzt]]-1</f>
        <v>-0.1333333333333333</v>
      </c>
      <c r="H2077" s="8" t="str" cm="1">
        <f t="array" ref="H2077">_xlfn.IFS(Lektionen[[#This Row],[Bearbeitungsdauer_abgewichen]]&gt;0.6,"viel länger",Lektionen[[#This Row],[Bearbeitungsdauer_abgewichen]]&gt;0.3,"länger",Lektionen[[#This Row],[Bearbeitungsdauer_abgewichen]]&lt;-0.3,"kürzer",TRUE,"keine Abweichung")</f>
        <v>keine Abweichung</v>
      </c>
      <c r="I2077">
        <v>4</v>
      </c>
    </row>
    <row r="2078" spans="1:9" x14ac:dyDescent="0.3">
      <c r="A2078" s="13">
        <v>326</v>
      </c>
      <c r="B2078" s="4">
        <v>5</v>
      </c>
      <c r="C2078" t="s">
        <v>532</v>
      </c>
      <c r="D2078" t="s">
        <v>530</v>
      </c>
      <c r="E2078">
        <v>30</v>
      </c>
      <c r="F2078">
        <v>36</v>
      </c>
      <c r="G2078" s="8">
        <f>Lektionen[[#This Row],[Bearbeitungsdauer_real]]/Lektionen[[#This Row],[Bearbeitungsdauer_geschätzt]]-1</f>
        <v>0.19999999999999996</v>
      </c>
      <c r="H2078" s="8" t="str" cm="1">
        <f t="array" ref="H2078">_xlfn.IFS(Lektionen[[#This Row],[Bearbeitungsdauer_abgewichen]]&gt;0.6,"viel länger",Lektionen[[#This Row],[Bearbeitungsdauer_abgewichen]]&gt;0.3,"länger",Lektionen[[#This Row],[Bearbeitungsdauer_abgewichen]]&lt;-0.3,"kürzer",TRUE,"keine Abweichung")</f>
        <v>keine Abweichung</v>
      </c>
      <c r="I2078">
        <v>4</v>
      </c>
    </row>
    <row r="2079" spans="1:9" hidden="1" x14ac:dyDescent="0.3">
      <c r="A2079" s="13">
        <v>326</v>
      </c>
      <c r="B2079" s="4">
        <v>6</v>
      </c>
      <c r="C2079" t="s">
        <v>533</v>
      </c>
      <c r="D2079" t="s">
        <v>534</v>
      </c>
      <c r="E2079">
        <v>5</v>
      </c>
      <c r="F2079">
        <v>1</v>
      </c>
      <c r="G2079" s="8">
        <f>Lektionen[[#This Row],[Bearbeitungsdauer_real]]/Lektionen[[#This Row],[Bearbeitungsdauer_geschätzt]]-1</f>
        <v>-0.8</v>
      </c>
      <c r="H2079" s="8" t="str" cm="1">
        <f t="array" ref="H2079">_xlfn.IFS(Lektionen[[#This Row],[Bearbeitungsdauer_abgewichen]]&gt;0.6,"viel länger",Lektionen[[#This Row],[Bearbeitungsdauer_abgewichen]]&gt;0.3,"länger",Lektionen[[#This Row],[Bearbeitungsdauer_abgewichen]]&lt;-0.3,"kürzer",TRUE,"keine Abweichung")</f>
        <v>kürzer</v>
      </c>
      <c r="I2079">
        <v>2</v>
      </c>
    </row>
    <row r="2080" spans="1:9" hidden="1" x14ac:dyDescent="0.3">
      <c r="A2080" s="13">
        <v>326</v>
      </c>
      <c r="B2080" s="4">
        <v>7</v>
      </c>
      <c r="C2080" t="s">
        <v>535</v>
      </c>
      <c r="D2080" t="s">
        <v>536</v>
      </c>
      <c r="E2080">
        <v>10</v>
      </c>
      <c r="F2080">
        <v>11</v>
      </c>
      <c r="G2080" s="8">
        <f>Lektionen[[#This Row],[Bearbeitungsdauer_real]]/Lektionen[[#This Row],[Bearbeitungsdauer_geschätzt]]-1</f>
        <v>0.10000000000000009</v>
      </c>
      <c r="H2080" s="8" t="str" cm="1">
        <f t="array" ref="H2080">_xlfn.IFS(Lektionen[[#This Row],[Bearbeitungsdauer_abgewichen]]&gt;0.6,"viel länger",Lektionen[[#This Row],[Bearbeitungsdauer_abgewichen]]&gt;0.3,"länger",Lektionen[[#This Row],[Bearbeitungsdauer_abgewichen]]&lt;-0.3,"kürzer",TRUE,"keine Abweichung")</f>
        <v>keine Abweichung</v>
      </c>
      <c r="I2080">
        <v>4</v>
      </c>
    </row>
    <row r="2081" spans="1:9" hidden="1" x14ac:dyDescent="0.3">
      <c r="A2081" s="13">
        <v>326</v>
      </c>
      <c r="B2081" s="4">
        <v>8</v>
      </c>
      <c r="C2081" t="s">
        <v>537</v>
      </c>
      <c r="D2081" t="s">
        <v>527</v>
      </c>
      <c r="E2081">
        <v>5</v>
      </c>
      <c r="F2081">
        <v>5</v>
      </c>
      <c r="G2081" s="8">
        <f>Lektionen[[#This Row],[Bearbeitungsdauer_real]]/Lektionen[[#This Row],[Bearbeitungsdauer_geschätzt]]-1</f>
        <v>0</v>
      </c>
      <c r="H2081" s="8" t="str" cm="1">
        <f t="array" ref="H2081">_xlfn.IFS(Lektionen[[#This Row],[Bearbeitungsdauer_abgewichen]]&gt;0.6,"viel länger",Lektionen[[#This Row],[Bearbeitungsdauer_abgewichen]]&gt;0.3,"länger",Lektionen[[#This Row],[Bearbeitungsdauer_abgewichen]]&lt;-0.3,"kürzer",TRUE,"keine Abweichung")</f>
        <v>keine Abweichung</v>
      </c>
      <c r="I2081">
        <v>1</v>
      </c>
    </row>
    <row r="2082" spans="1:9" hidden="1" x14ac:dyDescent="0.3">
      <c r="A2082" s="13">
        <v>328</v>
      </c>
      <c r="B2082" s="4">
        <v>1</v>
      </c>
      <c r="C2082" t="s">
        <v>526</v>
      </c>
      <c r="D2082" t="s">
        <v>527</v>
      </c>
      <c r="E2082">
        <v>4</v>
      </c>
      <c r="F2082">
        <v>4</v>
      </c>
      <c r="G2082" s="8">
        <f>Lektionen[[#This Row],[Bearbeitungsdauer_real]]/Lektionen[[#This Row],[Bearbeitungsdauer_geschätzt]]-1</f>
        <v>0</v>
      </c>
      <c r="H2082" s="8" t="str" cm="1">
        <f t="array" ref="H2082">_xlfn.IFS(Lektionen[[#This Row],[Bearbeitungsdauer_abgewichen]]&gt;0.6,"viel länger",Lektionen[[#This Row],[Bearbeitungsdauer_abgewichen]]&gt;0.3,"länger",Lektionen[[#This Row],[Bearbeitungsdauer_abgewichen]]&lt;-0.3,"kürzer",TRUE,"keine Abweichung")</f>
        <v>keine Abweichung</v>
      </c>
      <c r="I2082">
        <v>1</v>
      </c>
    </row>
    <row r="2083" spans="1:9" hidden="1" x14ac:dyDescent="0.3">
      <c r="A2083" s="13">
        <v>328</v>
      </c>
      <c r="B2083" s="4">
        <v>2</v>
      </c>
      <c r="C2083" t="s">
        <v>528</v>
      </c>
      <c r="D2083" t="s">
        <v>529</v>
      </c>
      <c r="E2083">
        <v>15</v>
      </c>
      <c r="F2083">
        <v>19</v>
      </c>
      <c r="G2083" s="8">
        <f>Lektionen[[#This Row],[Bearbeitungsdauer_real]]/Lektionen[[#This Row],[Bearbeitungsdauer_geschätzt]]-1</f>
        <v>0.26666666666666661</v>
      </c>
      <c r="H2083" s="8" t="str" cm="1">
        <f t="array" ref="H2083">_xlfn.IFS(Lektionen[[#This Row],[Bearbeitungsdauer_abgewichen]]&gt;0.6,"viel länger",Lektionen[[#This Row],[Bearbeitungsdauer_abgewichen]]&gt;0.3,"länger",Lektionen[[#This Row],[Bearbeitungsdauer_abgewichen]]&lt;-0.3,"kürzer",TRUE,"keine Abweichung")</f>
        <v>keine Abweichung</v>
      </c>
      <c r="I2083">
        <v>2</v>
      </c>
    </row>
    <row r="2084" spans="1:9" hidden="1" x14ac:dyDescent="0.3">
      <c r="A2084" s="13">
        <v>328</v>
      </c>
      <c r="B2084" s="4">
        <v>3</v>
      </c>
      <c r="C2084" t="s">
        <v>552</v>
      </c>
      <c r="D2084" t="s">
        <v>530</v>
      </c>
      <c r="E2084">
        <v>30</v>
      </c>
      <c r="F2084">
        <v>21</v>
      </c>
      <c r="G2084" s="8">
        <f>Lektionen[[#This Row],[Bearbeitungsdauer_real]]/Lektionen[[#This Row],[Bearbeitungsdauer_geschätzt]]-1</f>
        <v>-0.30000000000000004</v>
      </c>
      <c r="H2084" s="8" t="str" cm="1">
        <f t="array" ref="H2084">_xlfn.IFS(Lektionen[[#This Row],[Bearbeitungsdauer_abgewichen]]&gt;0.6,"viel länger",Lektionen[[#This Row],[Bearbeitungsdauer_abgewichen]]&gt;0.3,"länger",Lektionen[[#This Row],[Bearbeitungsdauer_abgewichen]]&lt;-0.3,"kürzer",TRUE,"keine Abweichung")</f>
        <v>keine Abweichung</v>
      </c>
      <c r="I2084">
        <v>2</v>
      </c>
    </row>
    <row r="2085" spans="1:9" hidden="1" x14ac:dyDescent="0.3">
      <c r="A2085" s="13">
        <v>328</v>
      </c>
      <c r="B2085" s="4">
        <v>4</v>
      </c>
      <c r="C2085" t="s">
        <v>531</v>
      </c>
      <c r="D2085" t="s">
        <v>530</v>
      </c>
      <c r="E2085">
        <v>30</v>
      </c>
      <c r="F2085">
        <v>22</v>
      </c>
      <c r="G2085" s="8">
        <f>Lektionen[[#This Row],[Bearbeitungsdauer_real]]/Lektionen[[#This Row],[Bearbeitungsdauer_geschätzt]]-1</f>
        <v>-0.26666666666666672</v>
      </c>
      <c r="H2085" s="8" t="str" cm="1">
        <f t="array" ref="H2085">_xlfn.IFS(Lektionen[[#This Row],[Bearbeitungsdauer_abgewichen]]&gt;0.6,"viel länger",Lektionen[[#This Row],[Bearbeitungsdauer_abgewichen]]&gt;0.3,"länger",Lektionen[[#This Row],[Bearbeitungsdauer_abgewichen]]&lt;-0.3,"kürzer",TRUE,"keine Abweichung")</f>
        <v>keine Abweichung</v>
      </c>
      <c r="I2085">
        <v>3</v>
      </c>
    </row>
    <row r="2086" spans="1:9" x14ac:dyDescent="0.3">
      <c r="A2086" s="13">
        <v>328</v>
      </c>
      <c r="B2086" s="4">
        <v>5</v>
      </c>
      <c r="C2086" t="s">
        <v>532</v>
      </c>
      <c r="D2086" t="s">
        <v>530</v>
      </c>
      <c r="E2086">
        <v>30</v>
      </c>
      <c r="F2086">
        <v>42</v>
      </c>
      <c r="G2086" s="8">
        <f>Lektionen[[#This Row],[Bearbeitungsdauer_real]]/Lektionen[[#This Row],[Bearbeitungsdauer_geschätzt]]-1</f>
        <v>0.39999999999999991</v>
      </c>
      <c r="H2086" s="8" t="str" cm="1">
        <f t="array" ref="H2086">_xlfn.IFS(Lektionen[[#This Row],[Bearbeitungsdauer_abgewichen]]&gt;0.6,"viel länger",Lektionen[[#This Row],[Bearbeitungsdauer_abgewichen]]&gt;0.3,"länger",Lektionen[[#This Row],[Bearbeitungsdauer_abgewichen]]&lt;-0.3,"kürzer",TRUE,"keine Abweichung")</f>
        <v>länger</v>
      </c>
      <c r="I2086">
        <v>3</v>
      </c>
    </row>
    <row r="2087" spans="1:9" hidden="1" x14ac:dyDescent="0.3">
      <c r="A2087" s="13">
        <v>328</v>
      </c>
      <c r="B2087" s="4">
        <v>6</v>
      </c>
      <c r="C2087" t="s">
        <v>533</v>
      </c>
      <c r="D2087" t="s">
        <v>534</v>
      </c>
      <c r="E2087">
        <v>5</v>
      </c>
      <c r="F2087">
        <v>1</v>
      </c>
      <c r="G2087" s="8">
        <f>Lektionen[[#This Row],[Bearbeitungsdauer_real]]/Lektionen[[#This Row],[Bearbeitungsdauer_geschätzt]]-1</f>
        <v>-0.8</v>
      </c>
      <c r="H2087" s="8" t="str" cm="1">
        <f t="array" ref="H2087">_xlfn.IFS(Lektionen[[#This Row],[Bearbeitungsdauer_abgewichen]]&gt;0.6,"viel länger",Lektionen[[#This Row],[Bearbeitungsdauer_abgewichen]]&gt;0.3,"länger",Lektionen[[#This Row],[Bearbeitungsdauer_abgewichen]]&lt;-0.3,"kürzer",TRUE,"keine Abweichung")</f>
        <v>kürzer</v>
      </c>
      <c r="I2087">
        <v>1</v>
      </c>
    </row>
    <row r="2088" spans="1:9" hidden="1" x14ac:dyDescent="0.3">
      <c r="A2088" s="13">
        <v>328</v>
      </c>
      <c r="B2088" s="4">
        <v>7</v>
      </c>
      <c r="C2088" t="s">
        <v>535</v>
      </c>
      <c r="D2088" t="s">
        <v>536</v>
      </c>
      <c r="E2088">
        <v>10</v>
      </c>
      <c r="F2088">
        <v>8</v>
      </c>
      <c r="G2088" s="8">
        <f>Lektionen[[#This Row],[Bearbeitungsdauer_real]]/Lektionen[[#This Row],[Bearbeitungsdauer_geschätzt]]-1</f>
        <v>-0.19999999999999996</v>
      </c>
      <c r="H2088" s="8" t="str" cm="1">
        <f t="array" ref="H2088">_xlfn.IFS(Lektionen[[#This Row],[Bearbeitungsdauer_abgewichen]]&gt;0.6,"viel länger",Lektionen[[#This Row],[Bearbeitungsdauer_abgewichen]]&gt;0.3,"länger",Lektionen[[#This Row],[Bearbeitungsdauer_abgewichen]]&lt;-0.3,"kürzer",TRUE,"keine Abweichung")</f>
        <v>keine Abweichung</v>
      </c>
      <c r="I2088">
        <v>3</v>
      </c>
    </row>
    <row r="2089" spans="1:9" hidden="1" x14ac:dyDescent="0.3">
      <c r="A2089" s="13">
        <v>328</v>
      </c>
      <c r="B2089" s="4">
        <v>8</v>
      </c>
      <c r="C2089" t="s">
        <v>537</v>
      </c>
      <c r="D2089" t="s">
        <v>527</v>
      </c>
      <c r="E2089">
        <v>5</v>
      </c>
      <c r="F2089">
        <v>5</v>
      </c>
      <c r="G2089" s="8">
        <f>Lektionen[[#This Row],[Bearbeitungsdauer_real]]/Lektionen[[#This Row],[Bearbeitungsdauer_geschätzt]]-1</f>
        <v>0</v>
      </c>
      <c r="H2089" s="8" t="str" cm="1">
        <f t="array" ref="H2089">_xlfn.IFS(Lektionen[[#This Row],[Bearbeitungsdauer_abgewichen]]&gt;0.6,"viel länger",Lektionen[[#This Row],[Bearbeitungsdauer_abgewichen]]&gt;0.3,"länger",Lektionen[[#This Row],[Bearbeitungsdauer_abgewichen]]&lt;-0.3,"kürzer",TRUE,"keine Abweichung")</f>
        <v>keine Abweichung</v>
      </c>
      <c r="I2089">
        <v>1</v>
      </c>
    </row>
    <row r="2090" spans="1:9" hidden="1" x14ac:dyDescent="0.3">
      <c r="A2090" s="13">
        <v>329</v>
      </c>
      <c r="B2090" s="4">
        <v>1</v>
      </c>
      <c r="C2090" t="s">
        <v>526</v>
      </c>
      <c r="D2090" t="s">
        <v>527</v>
      </c>
      <c r="E2090">
        <v>4</v>
      </c>
      <c r="F2090">
        <v>4</v>
      </c>
      <c r="G2090" s="8">
        <f>Lektionen[[#This Row],[Bearbeitungsdauer_real]]/Lektionen[[#This Row],[Bearbeitungsdauer_geschätzt]]-1</f>
        <v>0</v>
      </c>
      <c r="H2090" s="8" t="str" cm="1">
        <f t="array" ref="H2090">_xlfn.IFS(Lektionen[[#This Row],[Bearbeitungsdauer_abgewichen]]&gt;0.6,"viel länger",Lektionen[[#This Row],[Bearbeitungsdauer_abgewichen]]&gt;0.3,"länger",Lektionen[[#This Row],[Bearbeitungsdauer_abgewichen]]&lt;-0.3,"kürzer",TRUE,"keine Abweichung")</f>
        <v>keine Abweichung</v>
      </c>
      <c r="I2090">
        <v>1</v>
      </c>
    </row>
    <row r="2091" spans="1:9" hidden="1" x14ac:dyDescent="0.3">
      <c r="A2091" s="13">
        <v>329</v>
      </c>
      <c r="B2091" s="4">
        <v>2</v>
      </c>
      <c r="C2091" t="s">
        <v>528</v>
      </c>
      <c r="D2091" t="s">
        <v>529</v>
      </c>
      <c r="E2091">
        <v>15</v>
      </c>
      <c r="F2091">
        <v>20</v>
      </c>
      <c r="G2091" s="8">
        <f>Lektionen[[#This Row],[Bearbeitungsdauer_real]]/Lektionen[[#This Row],[Bearbeitungsdauer_geschätzt]]-1</f>
        <v>0.33333333333333326</v>
      </c>
      <c r="H2091" s="8" t="str" cm="1">
        <f t="array" ref="H2091">_xlfn.IFS(Lektionen[[#This Row],[Bearbeitungsdauer_abgewichen]]&gt;0.6,"viel länger",Lektionen[[#This Row],[Bearbeitungsdauer_abgewichen]]&gt;0.3,"länger",Lektionen[[#This Row],[Bearbeitungsdauer_abgewichen]]&lt;-0.3,"kürzer",TRUE,"keine Abweichung")</f>
        <v>länger</v>
      </c>
      <c r="I2091">
        <v>1</v>
      </c>
    </row>
    <row r="2092" spans="1:9" hidden="1" x14ac:dyDescent="0.3">
      <c r="A2092" s="13">
        <v>329</v>
      </c>
      <c r="B2092" s="4">
        <v>3</v>
      </c>
      <c r="C2092" t="s">
        <v>552</v>
      </c>
      <c r="D2092" t="s">
        <v>530</v>
      </c>
      <c r="E2092">
        <v>30</v>
      </c>
      <c r="F2092">
        <v>28</v>
      </c>
      <c r="G2092" s="8">
        <f>Lektionen[[#This Row],[Bearbeitungsdauer_real]]/Lektionen[[#This Row],[Bearbeitungsdauer_geschätzt]]-1</f>
        <v>-6.6666666666666652E-2</v>
      </c>
      <c r="H2092" s="8" t="str" cm="1">
        <f t="array" ref="H2092">_xlfn.IFS(Lektionen[[#This Row],[Bearbeitungsdauer_abgewichen]]&gt;0.6,"viel länger",Lektionen[[#This Row],[Bearbeitungsdauer_abgewichen]]&gt;0.3,"länger",Lektionen[[#This Row],[Bearbeitungsdauer_abgewichen]]&lt;-0.3,"kürzer",TRUE,"keine Abweichung")</f>
        <v>keine Abweichung</v>
      </c>
      <c r="I2092">
        <v>3</v>
      </c>
    </row>
    <row r="2093" spans="1:9" hidden="1" x14ac:dyDescent="0.3">
      <c r="A2093" s="13">
        <v>329</v>
      </c>
      <c r="B2093" s="4">
        <v>4</v>
      </c>
      <c r="C2093" t="s">
        <v>531</v>
      </c>
      <c r="D2093" t="s">
        <v>530</v>
      </c>
      <c r="E2093">
        <v>30</v>
      </c>
      <c r="F2093">
        <v>27</v>
      </c>
      <c r="G2093" s="8">
        <f>Lektionen[[#This Row],[Bearbeitungsdauer_real]]/Lektionen[[#This Row],[Bearbeitungsdauer_geschätzt]]-1</f>
        <v>-9.9999999999999978E-2</v>
      </c>
      <c r="H2093" s="8" t="str" cm="1">
        <f t="array" ref="H2093">_xlfn.IFS(Lektionen[[#This Row],[Bearbeitungsdauer_abgewichen]]&gt;0.6,"viel länger",Lektionen[[#This Row],[Bearbeitungsdauer_abgewichen]]&gt;0.3,"länger",Lektionen[[#This Row],[Bearbeitungsdauer_abgewichen]]&lt;-0.3,"kürzer",TRUE,"keine Abweichung")</f>
        <v>keine Abweichung</v>
      </c>
      <c r="I2093">
        <v>2</v>
      </c>
    </row>
    <row r="2094" spans="1:9" x14ac:dyDescent="0.3">
      <c r="A2094" s="13">
        <v>329</v>
      </c>
      <c r="B2094" s="4">
        <v>5</v>
      </c>
      <c r="C2094" t="s">
        <v>532</v>
      </c>
      <c r="D2094" t="s">
        <v>530</v>
      </c>
      <c r="E2094">
        <v>30</v>
      </c>
      <c r="F2094">
        <v>40</v>
      </c>
      <c r="G2094" s="8">
        <f>Lektionen[[#This Row],[Bearbeitungsdauer_real]]/Lektionen[[#This Row],[Bearbeitungsdauer_geschätzt]]-1</f>
        <v>0.33333333333333326</v>
      </c>
      <c r="H2094" s="8" t="str" cm="1">
        <f t="array" ref="H2094">_xlfn.IFS(Lektionen[[#This Row],[Bearbeitungsdauer_abgewichen]]&gt;0.6,"viel länger",Lektionen[[#This Row],[Bearbeitungsdauer_abgewichen]]&gt;0.3,"länger",Lektionen[[#This Row],[Bearbeitungsdauer_abgewichen]]&lt;-0.3,"kürzer",TRUE,"keine Abweichung")</f>
        <v>länger</v>
      </c>
      <c r="I2094">
        <v>4</v>
      </c>
    </row>
    <row r="2095" spans="1:9" hidden="1" x14ac:dyDescent="0.3">
      <c r="A2095" s="13">
        <v>329</v>
      </c>
      <c r="B2095" s="4">
        <v>6</v>
      </c>
      <c r="C2095" t="s">
        <v>533</v>
      </c>
      <c r="D2095" t="s">
        <v>534</v>
      </c>
      <c r="E2095">
        <v>5</v>
      </c>
      <c r="F2095">
        <v>4</v>
      </c>
      <c r="G2095" s="8">
        <f>Lektionen[[#This Row],[Bearbeitungsdauer_real]]/Lektionen[[#This Row],[Bearbeitungsdauer_geschätzt]]-1</f>
        <v>-0.19999999999999996</v>
      </c>
      <c r="H2095" s="8" t="str" cm="1">
        <f t="array" ref="H2095">_xlfn.IFS(Lektionen[[#This Row],[Bearbeitungsdauer_abgewichen]]&gt;0.6,"viel länger",Lektionen[[#This Row],[Bearbeitungsdauer_abgewichen]]&gt;0.3,"länger",Lektionen[[#This Row],[Bearbeitungsdauer_abgewichen]]&lt;-0.3,"kürzer",TRUE,"keine Abweichung")</f>
        <v>keine Abweichung</v>
      </c>
      <c r="I2095">
        <v>2</v>
      </c>
    </row>
    <row r="2096" spans="1:9" hidden="1" x14ac:dyDescent="0.3">
      <c r="A2096" s="13">
        <v>329</v>
      </c>
      <c r="B2096" s="4">
        <v>7</v>
      </c>
      <c r="C2096" t="s">
        <v>535</v>
      </c>
      <c r="D2096" t="s">
        <v>536</v>
      </c>
      <c r="E2096">
        <v>10</v>
      </c>
      <c r="F2096">
        <v>11</v>
      </c>
      <c r="G2096" s="8">
        <f>Lektionen[[#This Row],[Bearbeitungsdauer_real]]/Lektionen[[#This Row],[Bearbeitungsdauer_geschätzt]]-1</f>
        <v>0.10000000000000009</v>
      </c>
      <c r="H2096" s="8" t="str" cm="1">
        <f t="array" ref="H2096">_xlfn.IFS(Lektionen[[#This Row],[Bearbeitungsdauer_abgewichen]]&gt;0.6,"viel länger",Lektionen[[#This Row],[Bearbeitungsdauer_abgewichen]]&gt;0.3,"länger",Lektionen[[#This Row],[Bearbeitungsdauer_abgewichen]]&lt;-0.3,"kürzer",TRUE,"keine Abweichung")</f>
        <v>keine Abweichung</v>
      </c>
      <c r="I2096">
        <v>3</v>
      </c>
    </row>
    <row r="2097" spans="1:9" hidden="1" x14ac:dyDescent="0.3">
      <c r="A2097" s="13">
        <v>329</v>
      </c>
      <c r="B2097" s="4">
        <v>8</v>
      </c>
      <c r="C2097" t="s">
        <v>537</v>
      </c>
      <c r="D2097" t="s">
        <v>527</v>
      </c>
      <c r="E2097">
        <v>5</v>
      </c>
      <c r="F2097">
        <v>5</v>
      </c>
      <c r="G2097" s="8">
        <f>Lektionen[[#This Row],[Bearbeitungsdauer_real]]/Lektionen[[#This Row],[Bearbeitungsdauer_geschätzt]]-1</f>
        <v>0</v>
      </c>
      <c r="H2097" s="8" t="str" cm="1">
        <f t="array" ref="H2097">_xlfn.IFS(Lektionen[[#This Row],[Bearbeitungsdauer_abgewichen]]&gt;0.6,"viel länger",Lektionen[[#This Row],[Bearbeitungsdauer_abgewichen]]&gt;0.3,"länger",Lektionen[[#This Row],[Bearbeitungsdauer_abgewichen]]&lt;-0.3,"kürzer",TRUE,"keine Abweichung")</f>
        <v>keine Abweichung</v>
      </c>
      <c r="I2097">
        <v>1</v>
      </c>
    </row>
    <row r="2098" spans="1:9" hidden="1" x14ac:dyDescent="0.3">
      <c r="A2098" s="13">
        <v>330</v>
      </c>
      <c r="B2098" s="4">
        <v>1</v>
      </c>
      <c r="C2098" t="s">
        <v>526</v>
      </c>
      <c r="D2098" t="s">
        <v>527</v>
      </c>
      <c r="E2098">
        <v>4</v>
      </c>
      <c r="F2098">
        <v>4</v>
      </c>
      <c r="G2098" s="8">
        <f>Lektionen[[#This Row],[Bearbeitungsdauer_real]]/Lektionen[[#This Row],[Bearbeitungsdauer_geschätzt]]-1</f>
        <v>0</v>
      </c>
      <c r="H2098" s="8" t="str" cm="1">
        <f t="array" ref="H2098">_xlfn.IFS(Lektionen[[#This Row],[Bearbeitungsdauer_abgewichen]]&gt;0.6,"viel länger",Lektionen[[#This Row],[Bearbeitungsdauer_abgewichen]]&gt;0.3,"länger",Lektionen[[#This Row],[Bearbeitungsdauer_abgewichen]]&lt;-0.3,"kürzer",TRUE,"keine Abweichung")</f>
        <v>keine Abweichung</v>
      </c>
      <c r="I2098">
        <v>1</v>
      </c>
    </row>
    <row r="2099" spans="1:9" hidden="1" x14ac:dyDescent="0.3">
      <c r="A2099" s="13">
        <v>330</v>
      </c>
      <c r="B2099" s="4">
        <v>2</v>
      </c>
      <c r="C2099" t="s">
        <v>528</v>
      </c>
      <c r="D2099" t="s">
        <v>529</v>
      </c>
      <c r="E2099">
        <v>15</v>
      </c>
      <c r="F2099">
        <v>15</v>
      </c>
      <c r="G2099" s="8">
        <f>Lektionen[[#This Row],[Bearbeitungsdauer_real]]/Lektionen[[#This Row],[Bearbeitungsdauer_geschätzt]]-1</f>
        <v>0</v>
      </c>
      <c r="H2099" s="8" t="str" cm="1">
        <f t="array" ref="H2099">_xlfn.IFS(Lektionen[[#This Row],[Bearbeitungsdauer_abgewichen]]&gt;0.6,"viel länger",Lektionen[[#This Row],[Bearbeitungsdauer_abgewichen]]&gt;0.3,"länger",Lektionen[[#This Row],[Bearbeitungsdauer_abgewichen]]&lt;-0.3,"kürzer",TRUE,"keine Abweichung")</f>
        <v>keine Abweichung</v>
      </c>
      <c r="I2099">
        <v>3</v>
      </c>
    </row>
    <row r="2100" spans="1:9" hidden="1" x14ac:dyDescent="0.3">
      <c r="A2100" s="13">
        <v>330</v>
      </c>
      <c r="B2100" s="4">
        <v>3</v>
      </c>
      <c r="C2100" t="s">
        <v>552</v>
      </c>
      <c r="D2100" t="s">
        <v>530</v>
      </c>
      <c r="E2100">
        <v>30</v>
      </c>
      <c r="F2100">
        <v>29</v>
      </c>
      <c r="G2100" s="8">
        <f>Lektionen[[#This Row],[Bearbeitungsdauer_real]]/Lektionen[[#This Row],[Bearbeitungsdauer_geschätzt]]-1</f>
        <v>-3.3333333333333326E-2</v>
      </c>
      <c r="H2100" s="8" t="str" cm="1">
        <f t="array" ref="H2100">_xlfn.IFS(Lektionen[[#This Row],[Bearbeitungsdauer_abgewichen]]&gt;0.6,"viel länger",Lektionen[[#This Row],[Bearbeitungsdauer_abgewichen]]&gt;0.3,"länger",Lektionen[[#This Row],[Bearbeitungsdauer_abgewichen]]&lt;-0.3,"kürzer",TRUE,"keine Abweichung")</f>
        <v>keine Abweichung</v>
      </c>
      <c r="I2100">
        <v>3</v>
      </c>
    </row>
    <row r="2101" spans="1:9" hidden="1" x14ac:dyDescent="0.3">
      <c r="A2101" s="13">
        <v>330</v>
      </c>
      <c r="B2101" s="4">
        <v>4</v>
      </c>
      <c r="C2101" t="s">
        <v>531</v>
      </c>
      <c r="D2101" t="s">
        <v>530</v>
      </c>
      <c r="E2101">
        <v>30</v>
      </c>
      <c r="F2101">
        <v>27</v>
      </c>
      <c r="G2101" s="8">
        <f>Lektionen[[#This Row],[Bearbeitungsdauer_real]]/Lektionen[[#This Row],[Bearbeitungsdauer_geschätzt]]-1</f>
        <v>-9.9999999999999978E-2</v>
      </c>
      <c r="H2101" s="8" t="str" cm="1">
        <f t="array" ref="H2101">_xlfn.IFS(Lektionen[[#This Row],[Bearbeitungsdauer_abgewichen]]&gt;0.6,"viel länger",Lektionen[[#This Row],[Bearbeitungsdauer_abgewichen]]&gt;0.3,"länger",Lektionen[[#This Row],[Bearbeitungsdauer_abgewichen]]&lt;-0.3,"kürzer",TRUE,"keine Abweichung")</f>
        <v>keine Abweichung</v>
      </c>
      <c r="I2101">
        <v>2</v>
      </c>
    </row>
    <row r="2102" spans="1:9" x14ac:dyDescent="0.3">
      <c r="A2102" s="13">
        <v>330</v>
      </c>
      <c r="B2102" s="4">
        <v>5</v>
      </c>
      <c r="C2102" t="s">
        <v>532</v>
      </c>
      <c r="D2102" t="s">
        <v>530</v>
      </c>
      <c r="E2102">
        <v>30</v>
      </c>
      <c r="F2102">
        <v>46</v>
      </c>
      <c r="G2102" s="8">
        <f>Lektionen[[#This Row],[Bearbeitungsdauer_real]]/Lektionen[[#This Row],[Bearbeitungsdauer_geschätzt]]-1</f>
        <v>0.53333333333333344</v>
      </c>
      <c r="H2102" s="8" t="str" cm="1">
        <f t="array" ref="H2102">_xlfn.IFS(Lektionen[[#This Row],[Bearbeitungsdauer_abgewichen]]&gt;0.6,"viel länger",Lektionen[[#This Row],[Bearbeitungsdauer_abgewichen]]&gt;0.3,"länger",Lektionen[[#This Row],[Bearbeitungsdauer_abgewichen]]&lt;-0.3,"kürzer",TRUE,"keine Abweichung")</f>
        <v>länger</v>
      </c>
      <c r="I2102">
        <v>3</v>
      </c>
    </row>
    <row r="2103" spans="1:9" hidden="1" x14ac:dyDescent="0.3">
      <c r="A2103" s="13">
        <v>330</v>
      </c>
      <c r="B2103" s="4">
        <v>6</v>
      </c>
      <c r="C2103" t="s">
        <v>533</v>
      </c>
      <c r="D2103" t="s">
        <v>534</v>
      </c>
      <c r="E2103">
        <v>5</v>
      </c>
      <c r="F2103">
        <v>2</v>
      </c>
      <c r="G2103" s="8">
        <f>Lektionen[[#This Row],[Bearbeitungsdauer_real]]/Lektionen[[#This Row],[Bearbeitungsdauer_geschätzt]]-1</f>
        <v>-0.6</v>
      </c>
      <c r="H2103" s="8" t="str" cm="1">
        <f t="array" ref="H2103">_xlfn.IFS(Lektionen[[#This Row],[Bearbeitungsdauer_abgewichen]]&gt;0.6,"viel länger",Lektionen[[#This Row],[Bearbeitungsdauer_abgewichen]]&gt;0.3,"länger",Lektionen[[#This Row],[Bearbeitungsdauer_abgewichen]]&lt;-0.3,"kürzer",TRUE,"keine Abweichung")</f>
        <v>kürzer</v>
      </c>
      <c r="I2103">
        <v>2</v>
      </c>
    </row>
    <row r="2104" spans="1:9" hidden="1" x14ac:dyDescent="0.3">
      <c r="A2104" s="13">
        <v>330</v>
      </c>
      <c r="B2104" s="4">
        <v>7</v>
      </c>
      <c r="C2104" t="s">
        <v>535</v>
      </c>
      <c r="D2104" t="s">
        <v>536</v>
      </c>
      <c r="E2104">
        <v>10</v>
      </c>
      <c r="F2104">
        <v>8</v>
      </c>
      <c r="G2104" s="8">
        <f>Lektionen[[#This Row],[Bearbeitungsdauer_real]]/Lektionen[[#This Row],[Bearbeitungsdauer_geschätzt]]-1</f>
        <v>-0.19999999999999996</v>
      </c>
      <c r="H2104" s="8" t="str" cm="1">
        <f t="array" ref="H2104">_xlfn.IFS(Lektionen[[#This Row],[Bearbeitungsdauer_abgewichen]]&gt;0.6,"viel länger",Lektionen[[#This Row],[Bearbeitungsdauer_abgewichen]]&gt;0.3,"länger",Lektionen[[#This Row],[Bearbeitungsdauer_abgewichen]]&lt;-0.3,"kürzer",TRUE,"keine Abweichung")</f>
        <v>keine Abweichung</v>
      </c>
      <c r="I2104">
        <v>3</v>
      </c>
    </row>
    <row r="2105" spans="1:9" hidden="1" x14ac:dyDescent="0.3">
      <c r="A2105" s="13">
        <v>330</v>
      </c>
      <c r="B2105" s="4">
        <v>8</v>
      </c>
      <c r="C2105" t="s">
        <v>537</v>
      </c>
      <c r="D2105" t="s">
        <v>527</v>
      </c>
      <c r="E2105">
        <v>5</v>
      </c>
      <c r="F2105">
        <v>5</v>
      </c>
      <c r="G2105" s="8">
        <f>Lektionen[[#This Row],[Bearbeitungsdauer_real]]/Lektionen[[#This Row],[Bearbeitungsdauer_geschätzt]]-1</f>
        <v>0</v>
      </c>
      <c r="H2105" s="8" t="str" cm="1">
        <f t="array" ref="H2105">_xlfn.IFS(Lektionen[[#This Row],[Bearbeitungsdauer_abgewichen]]&gt;0.6,"viel länger",Lektionen[[#This Row],[Bearbeitungsdauer_abgewichen]]&gt;0.3,"länger",Lektionen[[#This Row],[Bearbeitungsdauer_abgewichen]]&lt;-0.3,"kürzer",TRUE,"keine Abweichung")</f>
        <v>keine Abweichung</v>
      </c>
      <c r="I2105">
        <v>1</v>
      </c>
    </row>
    <row r="2106" spans="1:9" hidden="1" x14ac:dyDescent="0.3">
      <c r="A2106" s="13">
        <v>331</v>
      </c>
      <c r="B2106" s="4">
        <v>1</v>
      </c>
      <c r="C2106" t="s">
        <v>526</v>
      </c>
      <c r="D2106" t="s">
        <v>527</v>
      </c>
      <c r="E2106">
        <v>4</v>
      </c>
      <c r="F2106">
        <v>4</v>
      </c>
      <c r="G2106" s="8">
        <f>Lektionen[[#This Row],[Bearbeitungsdauer_real]]/Lektionen[[#This Row],[Bearbeitungsdauer_geschätzt]]-1</f>
        <v>0</v>
      </c>
      <c r="H2106" s="8" t="str" cm="1">
        <f t="array" ref="H2106">_xlfn.IFS(Lektionen[[#This Row],[Bearbeitungsdauer_abgewichen]]&gt;0.6,"viel länger",Lektionen[[#This Row],[Bearbeitungsdauer_abgewichen]]&gt;0.3,"länger",Lektionen[[#This Row],[Bearbeitungsdauer_abgewichen]]&lt;-0.3,"kürzer",TRUE,"keine Abweichung")</f>
        <v>keine Abweichung</v>
      </c>
      <c r="I2106">
        <v>1</v>
      </c>
    </row>
    <row r="2107" spans="1:9" hidden="1" x14ac:dyDescent="0.3">
      <c r="A2107" s="13">
        <v>331</v>
      </c>
      <c r="B2107" s="4">
        <v>2</v>
      </c>
      <c r="C2107" t="s">
        <v>528</v>
      </c>
      <c r="D2107" t="s">
        <v>529</v>
      </c>
      <c r="E2107">
        <v>15</v>
      </c>
      <c r="F2107">
        <v>15</v>
      </c>
      <c r="G2107" s="8">
        <f>Lektionen[[#This Row],[Bearbeitungsdauer_real]]/Lektionen[[#This Row],[Bearbeitungsdauer_geschätzt]]-1</f>
        <v>0</v>
      </c>
      <c r="H2107" s="8" t="str" cm="1">
        <f t="array" ref="H2107">_xlfn.IFS(Lektionen[[#This Row],[Bearbeitungsdauer_abgewichen]]&gt;0.6,"viel länger",Lektionen[[#This Row],[Bearbeitungsdauer_abgewichen]]&gt;0.3,"länger",Lektionen[[#This Row],[Bearbeitungsdauer_abgewichen]]&lt;-0.3,"kürzer",TRUE,"keine Abweichung")</f>
        <v>keine Abweichung</v>
      </c>
      <c r="I2107">
        <v>2</v>
      </c>
    </row>
    <row r="2108" spans="1:9" hidden="1" x14ac:dyDescent="0.3">
      <c r="A2108" s="13">
        <v>331</v>
      </c>
      <c r="B2108" s="4">
        <v>3</v>
      </c>
      <c r="C2108" t="s">
        <v>552</v>
      </c>
      <c r="D2108" t="s">
        <v>530</v>
      </c>
      <c r="E2108">
        <v>30</v>
      </c>
      <c r="F2108">
        <v>30</v>
      </c>
      <c r="G2108" s="8">
        <f>Lektionen[[#This Row],[Bearbeitungsdauer_real]]/Lektionen[[#This Row],[Bearbeitungsdauer_geschätzt]]-1</f>
        <v>0</v>
      </c>
      <c r="H2108" s="8" t="str" cm="1">
        <f t="array" ref="H2108">_xlfn.IFS(Lektionen[[#This Row],[Bearbeitungsdauer_abgewichen]]&gt;0.6,"viel länger",Lektionen[[#This Row],[Bearbeitungsdauer_abgewichen]]&gt;0.3,"länger",Lektionen[[#This Row],[Bearbeitungsdauer_abgewichen]]&lt;-0.3,"kürzer",TRUE,"keine Abweichung")</f>
        <v>keine Abweichung</v>
      </c>
      <c r="I2108">
        <v>3</v>
      </c>
    </row>
    <row r="2109" spans="1:9" hidden="1" x14ac:dyDescent="0.3">
      <c r="A2109" s="13">
        <v>331</v>
      </c>
      <c r="B2109" s="4">
        <v>4</v>
      </c>
      <c r="C2109" t="s">
        <v>531</v>
      </c>
      <c r="D2109" t="s">
        <v>530</v>
      </c>
      <c r="E2109">
        <v>30</v>
      </c>
      <c r="F2109">
        <v>33</v>
      </c>
      <c r="G2109" s="8">
        <f>Lektionen[[#This Row],[Bearbeitungsdauer_real]]/Lektionen[[#This Row],[Bearbeitungsdauer_geschätzt]]-1</f>
        <v>0.10000000000000009</v>
      </c>
      <c r="H2109" s="8" t="str" cm="1">
        <f t="array" ref="H2109">_xlfn.IFS(Lektionen[[#This Row],[Bearbeitungsdauer_abgewichen]]&gt;0.6,"viel länger",Lektionen[[#This Row],[Bearbeitungsdauer_abgewichen]]&gt;0.3,"länger",Lektionen[[#This Row],[Bearbeitungsdauer_abgewichen]]&lt;-0.3,"kürzer",TRUE,"keine Abweichung")</f>
        <v>keine Abweichung</v>
      </c>
      <c r="I2109">
        <v>2</v>
      </c>
    </row>
    <row r="2110" spans="1:9" x14ac:dyDescent="0.3">
      <c r="A2110" s="13">
        <v>331</v>
      </c>
      <c r="B2110" s="4">
        <v>5</v>
      </c>
      <c r="C2110" t="s">
        <v>532</v>
      </c>
      <c r="D2110" t="s">
        <v>530</v>
      </c>
      <c r="E2110">
        <v>30</v>
      </c>
      <c r="F2110">
        <v>48</v>
      </c>
      <c r="G2110" s="8">
        <f>Lektionen[[#This Row],[Bearbeitungsdauer_real]]/Lektionen[[#This Row],[Bearbeitungsdauer_geschätzt]]-1</f>
        <v>0.60000000000000009</v>
      </c>
      <c r="H2110" s="8" t="str" cm="1">
        <f t="array" ref="H2110">_xlfn.IFS(Lektionen[[#This Row],[Bearbeitungsdauer_abgewichen]]&gt;0.6,"viel länger",Lektionen[[#This Row],[Bearbeitungsdauer_abgewichen]]&gt;0.3,"länger",Lektionen[[#This Row],[Bearbeitungsdauer_abgewichen]]&lt;-0.3,"kürzer",TRUE,"keine Abweichung")</f>
        <v>länger</v>
      </c>
      <c r="I2110">
        <v>3</v>
      </c>
    </row>
    <row r="2111" spans="1:9" hidden="1" x14ac:dyDescent="0.3">
      <c r="A2111" s="13">
        <v>331</v>
      </c>
      <c r="B2111" s="4">
        <v>6</v>
      </c>
      <c r="C2111" t="s">
        <v>533</v>
      </c>
      <c r="D2111" t="s">
        <v>534</v>
      </c>
      <c r="E2111">
        <v>5</v>
      </c>
      <c r="F2111">
        <v>1</v>
      </c>
      <c r="G2111" s="8">
        <f>Lektionen[[#This Row],[Bearbeitungsdauer_real]]/Lektionen[[#This Row],[Bearbeitungsdauer_geschätzt]]-1</f>
        <v>-0.8</v>
      </c>
      <c r="H2111" s="8" t="str" cm="1">
        <f t="array" ref="H2111">_xlfn.IFS(Lektionen[[#This Row],[Bearbeitungsdauer_abgewichen]]&gt;0.6,"viel länger",Lektionen[[#This Row],[Bearbeitungsdauer_abgewichen]]&gt;0.3,"länger",Lektionen[[#This Row],[Bearbeitungsdauer_abgewichen]]&lt;-0.3,"kürzer",TRUE,"keine Abweichung")</f>
        <v>kürzer</v>
      </c>
      <c r="I2111">
        <v>2</v>
      </c>
    </row>
    <row r="2112" spans="1:9" hidden="1" x14ac:dyDescent="0.3">
      <c r="A2112" s="13">
        <v>331</v>
      </c>
      <c r="B2112" s="4">
        <v>7</v>
      </c>
      <c r="C2112" t="s">
        <v>535</v>
      </c>
      <c r="D2112" t="s">
        <v>536</v>
      </c>
      <c r="E2112">
        <v>10</v>
      </c>
      <c r="F2112">
        <v>11</v>
      </c>
      <c r="G2112" s="8">
        <f>Lektionen[[#This Row],[Bearbeitungsdauer_real]]/Lektionen[[#This Row],[Bearbeitungsdauer_geschätzt]]-1</f>
        <v>0.10000000000000009</v>
      </c>
      <c r="H2112" s="8" t="str" cm="1">
        <f t="array" ref="H2112">_xlfn.IFS(Lektionen[[#This Row],[Bearbeitungsdauer_abgewichen]]&gt;0.6,"viel länger",Lektionen[[#This Row],[Bearbeitungsdauer_abgewichen]]&gt;0.3,"länger",Lektionen[[#This Row],[Bearbeitungsdauer_abgewichen]]&lt;-0.3,"kürzer",TRUE,"keine Abweichung")</f>
        <v>keine Abweichung</v>
      </c>
      <c r="I2112">
        <v>4</v>
      </c>
    </row>
    <row r="2113" spans="1:9" hidden="1" x14ac:dyDescent="0.3">
      <c r="A2113" s="13">
        <v>331</v>
      </c>
      <c r="B2113" s="4">
        <v>8</v>
      </c>
      <c r="C2113" t="s">
        <v>537</v>
      </c>
      <c r="D2113" t="s">
        <v>527</v>
      </c>
      <c r="E2113">
        <v>5</v>
      </c>
      <c r="F2113">
        <v>5</v>
      </c>
      <c r="G2113" s="8">
        <f>Lektionen[[#This Row],[Bearbeitungsdauer_real]]/Lektionen[[#This Row],[Bearbeitungsdauer_geschätzt]]-1</f>
        <v>0</v>
      </c>
      <c r="H2113" s="8" t="str" cm="1">
        <f t="array" ref="H2113">_xlfn.IFS(Lektionen[[#This Row],[Bearbeitungsdauer_abgewichen]]&gt;0.6,"viel länger",Lektionen[[#This Row],[Bearbeitungsdauer_abgewichen]]&gt;0.3,"länger",Lektionen[[#This Row],[Bearbeitungsdauer_abgewichen]]&lt;-0.3,"kürzer",TRUE,"keine Abweichung")</f>
        <v>keine Abweichung</v>
      </c>
      <c r="I2113">
        <v>1</v>
      </c>
    </row>
    <row r="2114" spans="1:9" hidden="1" x14ac:dyDescent="0.3">
      <c r="A2114" s="13">
        <v>332</v>
      </c>
      <c r="B2114" s="4">
        <v>1</v>
      </c>
      <c r="C2114" t="s">
        <v>526</v>
      </c>
      <c r="D2114" t="s">
        <v>527</v>
      </c>
      <c r="E2114">
        <v>4</v>
      </c>
      <c r="F2114">
        <v>4</v>
      </c>
      <c r="G2114" s="8">
        <f>Lektionen[[#This Row],[Bearbeitungsdauer_real]]/Lektionen[[#This Row],[Bearbeitungsdauer_geschätzt]]-1</f>
        <v>0</v>
      </c>
      <c r="H2114" s="8" t="str" cm="1">
        <f t="array" ref="H2114">_xlfn.IFS(Lektionen[[#This Row],[Bearbeitungsdauer_abgewichen]]&gt;0.6,"viel länger",Lektionen[[#This Row],[Bearbeitungsdauer_abgewichen]]&gt;0.3,"länger",Lektionen[[#This Row],[Bearbeitungsdauer_abgewichen]]&lt;-0.3,"kürzer",TRUE,"keine Abweichung")</f>
        <v>keine Abweichung</v>
      </c>
      <c r="I2114">
        <v>1</v>
      </c>
    </row>
    <row r="2115" spans="1:9" hidden="1" x14ac:dyDescent="0.3">
      <c r="A2115" s="13">
        <v>332</v>
      </c>
      <c r="B2115" s="4">
        <v>2</v>
      </c>
      <c r="C2115" t="s">
        <v>528</v>
      </c>
      <c r="D2115" t="s">
        <v>529</v>
      </c>
      <c r="E2115">
        <v>15</v>
      </c>
      <c r="F2115">
        <v>20</v>
      </c>
      <c r="G2115" s="8">
        <f>Lektionen[[#This Row],[Bearbeitungsdauer_real]]/Lektionen[[#This Row],[Bearbeitungsdauer_geschätzt]]-1</f>
        <v>0.33333333333333326</v>
      </c>
      <c r="H2115" s="8" t="str" cm="1">
        <f t="array" ref="H2115">_xlfn.IFS(Lektionen[[#This Row],[Bearbeitungsdauer_abgewichen]]&gt;0.6,"viel länger",Lektionen[[#This Row],[Bearbeitungsdauer_abgewichen]]&gt;0.3,"länger",Lektionen[[#This Row],[Bearbeitungsdauer_abgewichen]]&lt;-0.3,"kürzer",TRUE,"keine Abweichung")</f>
        <v>länger</v>
      </c>
      <c r="I2115">
        <v>1</v>
      </c>
    </row>
    <row r="2116" spans="1:9" hidden="1" x14ac:dyDescent="0.3">
      <c r="A2116" s="13">
        <v>332</v>
      </c>
      <c r="B2116" s="4">
        <v>3</v>
      </c>
      <c r="C2116" t="s">
        <v>552</v>
      </c>
      <c r="D2116" t="s">
        <v>530</v>
      </c>
      <c r="E2116">
        <v>30</v>
      </c>
      <c r="F2116">
        <v>29</v>
      </c>
      <c r="G2116" s="8">
        <f>Lektionen[[#This Row],[Bearbeitungsdauer_real]]/Lektionen[[#This Row],[Bearbeitungsdauer_geschätzt]]-1</f>
        <v>-3.3333333333333326E-2</v>
      </c>
      <c r="H2116" s="8" t="str" cm="1">
        <f t="array" ref="H2116">_xlfn.IFS(Lektionen[[#This Row],[Bearbeitungsdauer_abgewichen]]&gt;0.6,"viel länger",Lektionen[[#This Row],[Bearbeitungsdauer_abgewichen]]&gt;0.3,"länger",Lektionen[[#This Row],[Bearbeitungsdauer_abgewichen]]&lt;-0.3,"kürzer",TRUE,"keine Abweichung")</f>
        <v>keine Abweichung</v>
      </c>
      <c r="I2116">
        <v>3</v>
      </c>
    </row>
    <row r="2117" spans="1:9" hidden="1" x14ac:dyDescent="0.3">
      <c r="A2117" s="13">
        <v>332</v>
      </c>
      <c r="B2117" s="4">
        <v>4</v>
      </c>
      <c r="C2117" t="s">
        <v>531</v>
      </c>
      <c r="D2117" t="s">
        <v>530</v>
      </c>
      <c r="E2117">
        <v>30</v>
      </c>
      <c r="F2117">
        <v>24</v>
      </c>
      <c r="G2117" s="8">
        <f>Lektionen[[#This Row],[Bearbeitungsdauer_real]]/Lektionen[[#This Row],[Bearbeitungsdauer_geschätzt]]-1</f>
        <v>-0.19999999999999996</v>
      </c>
      <c r="H2117" s="8" t="str" cm="1">
        <f t="array" ref="H2117">_xlfn.IFS(Lektionen[[#This Row],[Bearbeitungsdauer_abgewichen]]&gt;0.6,"viel länger",Lektionen[[#This Row],[Bearbeitungsdauer_abgewichen]]&gt;0.3,"länger",Lektionen[[#This Row],[Bearbeitungsdauer_abgewichen]]&lt;-0.3,"kürzer",TRUE,"keine Abweichung")</f>
        <v>keine Abweichung</v>
      </c>
      <c r="I2117">
        <v>3</v>
      </c>
    </row>
    <row r="2118" spans="1:9" x14ac:dyDescent="0.3">
      <c r="A2118" s="13">
        <v>332</v>
      </c>
      <c r="B2118" s="4">
        <v>5</v>
      </c>
      <c r="C2118" t="s">
        <v>532</v>
      </c>
      <c r="D2118" t="s">
        <v>530</v>
      </c>
      <c r="E2118">
        <v>30</v>
      </c>
      <c r="F2118">
        <v>53</v>
      </c>
      <c r="G2118" s="8">
        <f>Lektionen[[#This Row],[Bearbeitungsdauer_real]]/Lektionen[[#This Row],[Bearbeitungsdauer_geschätzt]]-1</f>
        <v>0.76666666666666661</v>
      </c>
      <c r="H2118" s="8" t="str" cm="1">
        <f t="array" ref="H2118">_xlfn.IFS(Lektionen[[#This Row],[Bearbeitungsdauer_abgewichen]]&gt;0.6,"viel länger",Lektionen[[#This Row],[Bearbeitungsdauer_abgewichen]]&gt;0.3,"länger",Lektionen[[#This Row],[Bearbeitungsdauer_abgewichen]]&lt;-0.3,"kürzer",TRUE,"keine Abweichung")</f>
        <v>viel länger</v>
      </c>
      <c r="I2118">
        <v>3</v>
      </c>
    </row>
    <row r="2119" spans="1:9" hidden="1" x14ac:dyDescent="0.3">
      <c r="A2119" s="13">
        <v>332</v>
      </c>
      <c r="B2119" s="4">
        <v>6</v>
      </c>
      <c r="C2119" t="s">
        <v>533</v>
      </c>
      <c r="D2119" t="s">
        <v>534</v>
      </c>
      <c r="E2119">
        <v>5</v>
      </c>
      <c r="F2119">
        <v>1</v>
      </c>
      <c r="G2119" s="8">
        <f>Lektionen[[#This Row],[Bearbeitungsdauer_real]]/Lektionen[[#This Row],[Bearbeitungsdauer_geschätzt]]-1</f>
        <v>-0.8</v>
      </c>
      <c r="H2119" s="8" t="str" cm="1">
        <f t="array" ref="H2119">_xlfn.IFS(Lektionen[[#This Row],[Bearbeitungsdauer_abgewichen]]&gt;0.6,"viel länger",Lektionen[[#This Row],[Bearbeitungsdauer_abgewichen]]&gt;0.3,"länger",Lektionen[[#This Row],[Bearbeitungsdauer_abgewichen]]&lt;-0.3,"kürzer",TRUE,"keine Abweichung")</f>
        <v>kürzer</v>
      </c>
      <c r="I2119">
        <v>2</v>
      </c>
    </row>
    <row r="2120" spans="1:9" hidden="1" x14ac:dyDescent="0.3">
      <c r="A2120" s="13">
        <v>332</v>
      </c>
      <c r="B2120" s="4">
        <v>7</v>
      </c>
      <c r="C2120" t="s">
        <v>535</v>
      </c>
      <c r="D2120" t="s">
        <v>536</v>
      </c>
      <c r="E2120">
        <v>10</v>
      </c>
      <c r="F2120">
        <v>8</v>
      </c>
      <c r="G2120" s="8">
        <f>Lektionen[[#This Row],[Bearbeitungsdauer_real]]/Lektionen[[#This Row],[Bearbeitungsdauer_geschätzt]]-1</f>
        <v>-0.19999999999999996</v>
      </c>
      <c r="H2120" s="8" t="str" cm="1">
        <f t="array" ref="H2120">_xlfn.IFS(Lektionen[[#This Row],[Bearbeitungsdauer_abgewichen]]&gt;0.6,"viel länger",Lektionen[[#This Row],[Bearbeitungsdauer_abgewichen]]&gt;0.3,"länger",Lektionen[[#This Row],[Bearbeitungsdauer_abgewichen]]&lt;-0.3,"kürzer",TRUE,"keine Abweichung")</f>
        <v>keine Abweichung</v>
      </c>
      <c r="I2120">
        <v>3</v>
      </c>
    </row>
    <row r="2121" spans="1:9" hidden="1" x14ac:dyDescent="0.3">
      <c r="A2121" s="13">
        <v>332</v>
      </c>
      <c r="B2121" s="4">
        <v>8</v>
      </c>
      <c r="C2121" t="s">
        <v>537</v>
      </c>
      <c r="D2121" t="s">
        <v>527</v>
      </c>
      <c r="E2121">
        <v>5</v>
      </c>
      <c r="F2121">
        <v>5</v>
      </c>
      <c r="G2121" s="8">
        <f>Lektionen[[#This Row],[Bearbeitungsdauer_real]]/Lektionen[[#This Row],[Bearbeitungsdauer_geschätzt]]-1</f>
        <v>0</v>
      </c>
      <c r="H2121" s="8" t="str" cm="1">
        <f t="array" ref="H2121">_xlfn.IFS(Lektionen[[#This Row],[Bearbeitungsdauer_abgewichen]]&gt;0.6,"viel länger",Lektionen[[#This Row],[Bearbeitungsdauer_abgewichen]]&gt;0.3,"länger",Lektionen[[#This Row],[Bearbeitungsdauer_abgewichen]]&lt;-0.3,"kürzer",TRUE,"keine Abweichung")</f>
        <v>keine Abweichung</v>
      </c>
      <c r="I2121">
        <v>1</v>
      </c>
    </row>
    <row r="2122" spans="1:9" hidden="1" x14ac:dyDescent="0.3">
      <c r="A2122" s="13">
        <v>333</v>
      </c>
      <c r="B2122" s="4">
        <v>1</v>
      </c>
      <c r="C2122" t="s">
        <v>526</v>
      </c>
      <c r="D2122" t="s">
        <v>527</v>
      </c>
      <c r="E2122">
        <v>4</v>
      </c>
      <c r="F2122">
        <v>4</v>
      </c>
      <c r="G2122" s="8">
        <f>Lektionen[[#This Row],[Bearbeitungsdauer_real]]/Lektionen[[#This Row],[Bearbeitungsdauer_geschätzt]]-1</f>
        <v>0</v>
      </c>
      <c r="H2122" s="8" t="str" cm="1">
        <f t="array" ref="H2122">_xlfn.IFS(Lektionen[[#This Row],[Bearbeitungsdauer_abgewichen]]&gt;0.6,"viel länger",Lektionen[[#This Row],[Bearbeitungsdauer_abgewichen]]&gt;0.3,"länger",Lektionen[[#This Row],[Bearbeitungsdauer_abgewichen]]&lt;-0.3,"kürzer",TRUE,"keine Abweichung")</f>
        <v>keine Abweichung</v>
      </c>
      <c r="I2122">
        <v>1</v>
      </c>
    </row>
    <row r="2123" spans="1:9" hidden="1" x14ac:dyDescent="0.3">
      <c r="A2123" s="13">
        <v>333</v>
      </c>
      <c r="B2123" s="4">
        <v>2</v>
      </c>
      <c r="C2123" t="s">
        <v>528</v>
      </c>
      <c r="D2123" t="s">
        <v>529</v>
      </c>
      <c r="E2123">
        <v>15</v>
      </c>
      <c r="F2123">
        <v>16</v>
      </c>
      <c r="G2123" s="8">
        <f>Lektionen[[#This Row],[Bearbeitungsdauer_real]]/Lektionen[[#This Row],[Bearbeitungsdauer_geschätzt]]-1</f>
        <v>6.6666666666666652E-2</v>
      </c>
      <c r="H2123" s="8" t="str" cm="1">
        <f t="array" ref="H2123">_xlfn.IFS(Lektionen[[#This Row],[Bearbeitungsdauer_abgewichen]]&gt;0.6,"viel länger",Lektionen[[#This Row],[Bearbeitungsdauer_abgewichen]]&gt;0.3,"länger",Lektionen[[#This Row],[Bearbeitungsdauer_abgewichen]]&lt;-0.3,"kürzer",TRUE,"keine Abweichung")</f>
        <v>keine Abweichung</v>
      </c>
      <c r="I2123">
        <v>1</v>
      </c>
    </row>
    <row r="2124" spans="1:9" hidden="1" x14ac:dyDescent="0.3">
      <c r="A2124" s="13">
        <v>333</v>
      </c>
      <c r="B2124" s="4">
        <v>3</v>
      </c>
      <c r="C2124" t="s">
        <v>552</v>
      </c>
      <c r="D2124" t="s">
        <v>530</v>
      </c>
      <c r="E2124">
        <v>30</v>
      </c>
      <c r="F2124">
        <v>37</v>
      </c>
      <c r="G2124" s="8">
        <f>Lektionen[[#This Row],[Bearbeitungsdauer_real]]/Lektionen[[#This Row],[Bearbeitungsdauer_geschätzt]]-1</f>
        <v>0.23333333333333339</v>
      </c>
      <c r="H2124" s="8" t="str" cm="1">
        <f t="array" ref="H2124">_xlfn.IFS(Lektionen[[#This Row],[Bearbeitungsdauer_abgewichen]]&gt;0.6,"viel länger",Lektionen[[#This Row],[Bearbeitungsdauer_abgewichen]]&gt;0.3,"länger",Lektionen[[#This Row],[Bearbeitungsdauer_abgewichen]]&lt;-0.3,"kürzer",TRUE,"keine Abweichung")</f>
        <v>keine Abweichung</v>
      </c>
      <c r="I2124">
        <v>3</v>
      </c>
    </row>
    <row r="2125" spans="1:9" hidden="1" x14ac:dyDescent="0.3">
      <c r="A2125" s="13">
        <v>333</v>
      </c>
      <c r="B2125" s="4">
        <v>4</v>
      </c>
      <c r="C2125" t="s">
        <v>531</v>
      </c>
      <c r="D2125" t="s">
        <v>530</v>
      </c>
      <c r="E2125">
        <v>30</v>
      </c>
      <c r="F2125">
        <v>28</v>
      </c>
      <c r="G2125" s="8">
        <f>Lektionen[[#This Row],[Bearbeitungsdauer_real]]/Lektionen[[#This Row],[Bearbeitungsdauer_geschätzt]]-1</f>
        <v>-6.6666666666666652E-2</v>
      </c>
      <c r="H2125" s="8" t="str" cm="1">
        <f t="array" ref="H2125">_xlfn.IFS(Lektionen[[#This Row],[Bearbeitungsdauer_abgewichen]]&gt;0.6,"viel länger",Lektionen[[#This Row],[Bearbeitungsdauer_abgewichen]]&gt;0.3,"länger",Lektionen[[#This Row],[Bearbeitungsdauer_abgewichen]]&lt;-0.3,"kürzer",TRUE,"keine Abweichung")</f>
        <v>keine Abweichung</v>
      </c>
      <c r="I2125">
        <v>3</v>
      </c>
    </row>
    <row r="2126" spans="1:9" x14ac:dyDescent="0.3">
      <c r="A2126" s="13">
        <v>333</v>
      </c>
      <c r="B2126" s="4">
        <v>5</v>
      </c>
      <c r="C2126" t="s">
        <v>532</v>
      </c>
      <c r="D2126" t="s">
        <v>530</v>
      </c>
      <c r="E2126">
        <v>30</v>
      </c>
      <c r="F2126">
        <v>53</v>
      </c>
      <c r="G2126" s="8">
        <f>Lektionen[[#This Row],[Bearbeitungsdauer_real]]/Lektionen[[#This Row],[Bearbeitungsdauer_geschätzt]]-1</f>
        <v>0.76666666666666661</v>
      </c>
      <c r="H2126" s="8" t="str" cm="1">
        <f t="array" ref="H2126">_xlfn.IFS(Lektionen[[#This Row],[Bearbeitungsdauer_abgewichen]]&gt;0.6,"viel länger",Lektionen[[#This Row],[Bearbeitungsdauer_abgewichen]]&gt;0.3,"länger",Lektionen[[#This Row],[Bearbeitungsdauer_abgewichen]]&lt;-0.3,"kürzer",TRUE,"keine Abweichung")</f>
        <v>viel länger</v>
      </c>
      <c r="I2126">
        <v>3</v>
      </c>
    </row>
    <row r="2127" spans="1:9" hidden="1" x14ac:dyDescent="0.3">
      <c r="A2127" s="13">
        <v>333</v>
      </c>
      <c r="B2127" s="4">
        <v>6</v>
      </c>
      <c r="C2127" t="s">
        <v>533</v>
      </c>
      <c r="D2127" t="s">
        <v>534</v>
      </c>
      <c r="E2127">
        <v>5</v>
      </c>
      <c r="F2127">
        <v>2</v>
      </c>
      <c r="G2127" s="8">
        <f>Lektionen[[#This Row],[Bearbeitungsdauer_real]]/Lektionen[[#This Row],[Bearbeitungsdauer_geschätzt]]-1</f>
        <v>-0.6</v>
      </c>
      <c r="H2127" s="8" t="str" cm="1">
        <f t="array" ref="H2127">_xlfn.IFS(Lektionen[[#This Row],[Bearbeitungsdauer_abgewichen]]&gt;0.6,"viel länger",Lektionen[[#This Row],[Bearbeitungsdauer_abgewichen]]&gt;0.3,"länger",Lektionen[[#This Row],[Bearbeitungsdauer_abgewichen]]&lt;-0.3,"kürzer",TRUE,"keine Abweichung")</f>
        <v>kürzer</v>
      </c>
      <c r="I2127">
        <v>2</v>
      </c>
    </row>
    <row r="2128" spans="1:9" hidden="1" x14ac:dyDescent="0.3">
      <c r="A2128" s="13">
        <v>333</v>
      </c>
      <c r="B2128" s="4">
        <v>7</v>
      </c>
      <c r="C2128" t="s">
        <v>535</v>
      </c>
      <c r="D2128" t="s">
        <v>536</v>
      </c>
      <c r="E2128">
        <v>10</v>
      </c>
      <c r="F2128">
        <v>9</v>
      </c>
      <c r="G2128" s="8">
        <f>Lektionen[[#This Row],[Bearbeitungsdauer_real]]/Lektionen[[#This Row],[Bearbeitungsdauer_geschätzt]]-1</f>
        <v>-9.9999999999999978E-2</v>
      </c>
      <c r="H2128" s="8" t="str" cm="1">
        <f t="array" ref="H2128">_xlfn.IFS(Lektionen[[#This Row],[Bearbeitungsdauer_abgewichen]]&gt;0.6,"viel länger",Lektionen[[#This Row],[Bearbeitungsdauer_abgewichen]]&gt;0.3,"länger",Lektionen[[#This Row],[Bearbeitungsdauer_abgewichen]]&lt;-0.3,"kürzer",TRUE,"keine Abweichung")</f>
        <v>keine Abweichung</v>
      </c>
      <c r="I2128">
        <v>4</v>
      </c>
    </row>
    <row r="2129" spans="1:9" hidden="1" x14ac:dyDescent="0.3">
      <c r="A2129" s="13">
        <v>333</v>
      </c>
      <c r="B2129" s="4">
        <v>8</v>
      </c>
      <c r="C2129" t="s">
        <v>537</v>
      </c>
      <c r="D2129" t="s">
        <v>527</v>
      </c>
      <c r="E2129">
        <v>5</v>
      </c>
      <c r="F2129">
        <v>5</v>
      </c>
      <c r="G2129" s="8">
        <f>Lektionen[[#This Row],[Bearbeitungsdauer_real]]/Lektionen[[#This Row],[Bearbeitungsdauer_geschätzt]]-1</f>
        <v>0</v>
      </c>
      <c r="H2129" s="8" t="str" cm="1">
        <f t="array" ref="H2129">_xlfn.IFS(Lektionen[[#This Row],[Bearbeitungsdauer_abgewichen]]&gt;0.6,"viel länger",Lektionen[[#This Row],[Bearbeitungsdauer_abgewichen]]&gt;0.3,"länger",Lektionen[[#This Row],[Bearbeitungsdauer_abgewichen]]&lt;-0.3,"kürzer",TRUE,"keine Abweichung")</f>
        <v>keine Abweichung</v>
      </c>
      <c r="I2129">
        <v>1</v>
      </c>
    </row>
    <row r="2130" spans="1:9" hidden="1" x14ac:dyDescent="0.3">
      <c r="A2130" s="13">
        <v>334</v>
      </c>
      <c r="B2130" s="4">
        <v>1</v>
      </c>
      <c r="C2130" t="s">
        <v>526</v>
      </c>
      <c r="D2130" t="s">
        <v>527</v>
      </c>
      <c r="E2130">
        <v>4</v>
      </c>
      <c r="F2130">
        <v>4</v>
      </c>
      <c r="G2130" s="8">
        <f>Lektionen[[#This Row],[Bearbeitungsdauer_real]]/Lektionen[[#This Row],[Bearbeitungsdauer_geschätzt]]-1</f>
        <v>0</v>
      </c>
      <c r="H2130" s="8" t="str" cm="1">
        <f t="array" ref="H2130">_xlfn.IFS(Lektionen[[#This Row],[Bearbeitungsdauer_abgewichen]]&gt;0.6,"viel länger",Lektionen[[#This Row],[Bearbeitungsdauer_abgewichen]]&gt;0.3,"länger",Lektionen[[#This Row],[Bearbeitungsdauer_abgewichen]]&lt;-0.3,"kürzer",TRUE,"keine Abweichung")</f>
        <v>keine Abweichung</v>
      </c>
      <c r="I2130">
        <v>1</v>
      </c>
    </row>
    <row r="2131" spans="1:9" hidden="1" x14ac:dyDescent="0.3">
      <c r="A2131" s="13">
        <v>334</v>
      </c>
      <c r="B2131" s="4">
        <v>2</v>
      </c>
      <c r="C2131" t="s">
        <v>528</v>
      </c>
      <c r="D2131" t="s">
        <v>529</v>
      </c>
      <c r="E2131">
        <v>15</v>
      </c>
      <c r="F2131">
        <v>18</v>
      </c>
      <c r="G2131" s="8">
        <f>Lektionen[[#This Row],[Bearbeitungsdauer_real]]/Lektionen[[#This Row],[Bearbeitungsdauer_geschätzt]]-1</f>
        <v>0.19999999999999996</v>
      </c>
      <c r="H2131" s="8" t="str" cm="1">
        <f t="array" ref="H2131">_xlfn.IFS(Lektionen[[#This Row],[Bearbeitungsdauer_abgewichen]]&gt;0.6,"viel länger",Lektionen[[#This Row],[Bearbeitungsdauer_abgewichen]]&gt;0.3,"länger",Lektionen[[#This Row],[Bearbeitungsdauer_abgewichen]]&lt;-0.3,"kürzer",TRUE,"keine Abweichung")</f>
        <v>keine Abweichung</v>
      </c>
      <c r="I2131">
        <v>2</v>
      </c>
    </row>
    <row r="2132" spans="1:9" hidden="1" x14ac:dyDescent="0.3">
      <c r="A2132" s="13">
        <v>334</v>
      </c>
      <c r="B2132" s="4">
        <v>3</v>
      </c>
      <c r="C2132" t="s">
        <v>552</v>
      </c>
      <c r="D2132" t="s">
        <v>530</v>
      </c>
      <c r="E2132">
        <v>30</v>
      </c>
      <c r="F2132">
        <v>29</v>
      </c>
      <c r="G2132" s="8">
        <f>Lektionen[[#This Row],[Bearbeitungsdauer_real]]/Lektionen[[#This Row],[Bearbeitungsdauer_geschätzt]]-1</f>
        <v>-3.3333333333333326E-2</v>
      </c>
      <c r="H2132" s="8" t="str" cm="1">
        <f t="array" ref="H2132">_xlfn.IFS(Lektionen[[#This Row],[Bearbeitungsdauer_abgewichen]]&gt;0.6,"viel länger",Lektionen[[#This Row],[Bearbeitungsdauer_abgewichen]]&gt;0.3,"länger",Lektionen[[#This Row],[Bearbeitungsdauer_abgewichen]]&lt;-0.3,"kürzer",TRUE,"keine Abweichung")</f>
        <v>keine Abweichung</v>
      </c>
      <c r="I2132">
        <v>2</v>
      </c>
    </row>
    <row r="2133" spans="1:9" hidden="1" x14ac:dyDescent="0.3">
      <c r="A2133" s="13">
        <v>334</v>
      </c>
      <c r="B2133" s="4">
        <v>4</v>
      </c>
      <c r="C2133" t="s">
        <v>531</v>
      </c>
      <c r="D2133" t="s">
        <v>530</v>
      </c>
      <c r="E2133">
        <v>30</v>
      </c>
      <c r="F2133">
        <v>24</v>
      </c>
      <c r="G2133" s="8">
        <f>Lektionen[[#This Row],[Bearbeitungsdauer_real]]/Lektionen[[#This Row],[Bearbeitungsdauer_geschätzt]]-1</f>
        <v>-0.19999999999999996</v>
      </c>
      <c r="H2133" s="8" t="str" cm="1">
        <f t="array" ref="H2133">_xlfn.IFS(Lektionen[[#This Row],[Bearbeitungsdauer_abgewichen]]&gt;0.6,"viel länger",Lektionen[[#This Row],[Bearbeitungsdauer_abgewichen]]&gt;0.3,"länger",Lektionen[[#This Row],[Bearbeitungsdauer_abgewichen]]&lt;-0.3,"kürzer",TRUE,"keine Abweichung")</f>
        <v>keine Abweichung</v>
      </c>
      <c r="I2133">
        <v>4</v>
      </c>
    </row>
    <row r="2134" spans="1:9" x14ac:dyDescent="0.3">
      <c r="A2134" s="13">
        <v>334</v>
      </c>
      <c r="B2134" s="4">
        <v>5</v>
      </c>
      <c r="C2134" t="s">
        <v>532</v>
      </c>
      <c r="D2134" t="s">
        <v>530</v>
      </c>
      <c r="E2134">
        <v>30</v>
      </c>
      <c r="F2134">
        <v>48</v>
      </c>
      <c r="G2134" s="8">
        <f>Lektionen[[#This Row],[Bearbeitungsdauer_real]]/Lektionen[[#This Row],[Bearbeitungsdauer_geschätzt]]-1</f>
        <v>0.60000000000000009</v>
      </c>
      <c r="H2134" s="8" t="str" cm="1">
        <f t="array" ref="H2134">_xlfn.IFS(Lektionen[[#This Row],[Bearbeitungsdauer_abgewichen]]&gt;0.6,"viel länger",Lektionen[[#This Row],[Bearbeitungsdauer_abgewichen]]&gt;0.3,"länger",Lektionen[[#This Row],[Bearbeitungsdauer_abgewichen]]&lt;-0.3,"kürzer",TRUE,"keine Abweichung")</f>
        <v>länger</v>
      </c>
      <c r="I2134">
        <v>4</v>
      </c>
    </row>
    <row r="2135" spans="1:9" hidden="1" x14ac:dyDescent="0.3">
      <c r="A2135" s="13">
        <v>334</v>
      </c>
      <c r="B2135" s="4">
        <v>6</v>
      </c>
      <c r="C2135" t="s">
        <v>533</v>
      </c>
      <c r="D2135" t="s">
        <v>534</v>
      </c>
      <c r="E2135">
        <v>5</v>
      </c>
      <c r="F2135">
        <v>3</v>
      </c>
      <c r="G2135" s="8">
        <f>Lektionen[[#This Row],[Bearbeitungsdauer_real]]/Lektionen[[#This Row],[Bearbeitungsdauer_geschätzt]]-1</f>
        <v>-0.4</v>
      </c>
      <c r="H2135" s="8" t="str" cm="1">
        <f t="array" ref="H2135">_xlfn.IFS(Lektionen[[#This Row],[Bearbeitungsdauer_abgewichen]]&gt;0.6,"viel länger",Lektionen[[#This Row],[Bearbeitungsdauer_abgewichen]]&gt;0.3,"länger",Lektionen[[#This Row],[Bearbeitungsdauer_abgewichen]]&lt;-0.3,"kürzer",TRUE,"keine Abweichung")</f>
        <v>kürzer</v>
      </c>
      <c r="I2135">
        <v>2</v>
      </c>
    </row>
    <row r="2136" spans="1:9" hidden="1" x14ac:dyDescent="0.3">
      <c r="A2136" s="13">
        <v>334</v>
      </c>
      <c r="B2136" s="4">
        <v>7</v>
      </c>
      <c r="C2136" t="s">
        <v>535</v>
      </c>
      <c r="D2136" t="s">
        <v>536</v>
      </c>
      <c r="E2136">
        <v>10</v>
      </c>
      <c r="F2136">
        <v>10</v>
      </c>
      <c r="G2136" s="8">
        <f>Lektionen[[#This Row],[Bearbeitungsdauer_real]]/Lektionen[[#This Row],[Bearbeitungsdauer_geschätzt]]-1</f>
        <v>0</v>
      </c>
      <c r="H2136" s="8" t="str" cm="1">
        <f t="array" ref="H2136">_xlfn.IFS(Lektionen[[#This Row],[Bearbeitungsdauer_abgewichen]]&gt;0.6,"viel länger",Lektionen[[#This Row],[Bearbeitungsdauer_abgewichen]]&gt;0.3,"länger",Lektionen[[#This Row],[Bearbeitungsdauer_abgewichen]]&lt;-0.3,"kürzer",TRUE,"keine Abweichung")</f>
        <v>keine Abweichung</v>
      </c>
      <c r="I2136">
        <v>4</v>
      </c>
    </row>
    <row r="2137" spans="1:9" hidden="1" x14ac:dyDescent="0.3">
      <c r="A2137" s="13">
        <v>334</v>
      </c>
      <c r="B2137" s="4">
        <v>8</v>
      </c>
      <c r="C2137" t="s">
        <v>537</v>
      </c>
      <c r="D2137" t="s">
        <v>527</v>
      </c>
      <c r="E2137">
        <v>5</v>
      </c>
      <c r="F2137">
        <v>5</v>
      </c>
      <c r="G2137" s="8">
        <f>Lektionen[[#This Row],[Bearbeitungsdauer_real]]/Lektionen[[#This Row],[Bearbeitungsdauer_geschätzt]]-1</f>
        <v>0</v>
      </c>
      <c r="H2137" s="8" t="str" cm="1">
        <f t="array" ref="H2137">_xlfn.IFS(Lektionen[[#This Row],[Bearbeitungsdauer_abgewichen]]&gt;0.6,"viel länger",Lektionen[[#This Row],[Bearbeitungsdauer_abgewichen]]&gt;0.3,"länger",Lektionen[[#This Row],[Bearbeitungsdauer_abgewichen]]&lt;-0.3,"kürzer",TRUE,"keine Abweichung")</f>
        <v>keine Abweichung</v>
      </c>
      <c r="I2137">
        <v>1</v>
      </c>
    </row>
    <row r="2138" spans="1:9" hidden="1" x14ac:dyDescent="0.3">
      <c r="A2138" s="13">
        <v>335</v>
      </c>
      <c r="B2138" s="4">
        <v>1</v>
      </c>
      <c r="C2138" t="s">
        <v>526</v>
      </c>
      <c r="D2138" t="s">
        <v>527</v>
      </c>
      <c r="E2138">
        <v>4</v>
      </c>
      <c r="F2138">
        <v>4</v>
      </c>
      <c r="G2138" s="8">
        <f>Lektionen[[#This Row],[Bearbeitungsdauer_real]]/Lektionen[[#This Row],[Bearbeitungsdauer_geschätzt]]-1</f>
        <v>0</v>
      </c>
      <c r="H2138" s="8" t="str" cm="1">
        <f t="array" ref="H2138">_xlfn.IFS(Lektionen[[#This Row],[Bearbeitungsdauer_abgewichen]]&gt;0.6,"viel länger",Lektionen[[#This Row],[Bearbeitungsdauer_abgewichen]]&gt;0.3,"länger",Lektionen[[#This Row],[Bearbeitungsdauer_abgewichen]]&lt;-0.3,"kürzer",TRUE,"keine Abweichung")</f>
        <v>keine Abweichung</v>
      </c>
      <c r="I2138">
        <v>1</v>
      </c>
    </row>
    <row r="2139" spans="1:9" hidden="1" x14ac:dyDescent="0.3">
      <c r="A2139" s="13">
        <v>335</v>
      </c>
      <c r="B2139" s="4">
        <v>2</v>
      </c>
      <c r="C2139" t="s">
        <v>528</v>
      </c>
      <c r="D2139" t="s">
        <v>529</v>
      </c>
      <c r="E2139">
        <v>15</v>
      </c>
      <c r="F2139">
        <v>16</v>
      </c>
      <c r="G2139" s="8">
        <f>Lektionen[[#This Row],[Bearbeitungsdauer_real]]/Lektionen[[#This Row],[Bearbeitungsdauer_geschätzt]]-1</f>
        <v>6.6666666666666652E-2</v>
      </c>
      <c r="H2139" s="8" t="str" cm="1">
        <f t="array" ref="H2139">_xlfn.IFS(Lektionen[[#This Row],[Bearbeitungsdauer_abgewichen]]&gt;0.6,"viel länger",Lektionen[[#This Row],[Bearbeitungsdauer_abgewichen]]&gt;0.3,"länger",Lektionen[[#This Row],[Bearbeitungsdauer_abgewichen]]&lt;-0.3,"kürzer",TRUE,"keine Abweichung")</f>
        <v>keine Abweichung</v>
      </c>
      <c r="I2139">
        <v>2</v>
      </c>
    </row>
    <row r="2140" spans="1:9" hidden="1" x14ac:dyDescent="0.3">
      <c r="A2140" s="13">
        <v>335</v>
      </c>
      <c r="B2140" s="4">
        <v>3</v>
      </c>
      <c r="C2140" t="s">
        <v>552</v>
      </c>
      <c r="D2140" t="s">
        <v>530</v>
      </c>
      <c r="E2140">
        <v>30</v>
      </c>
      <c r="F2140">
        <v>29</v>
      </c>
      <c r="G2140" s="8">
        <f>Lektionen[[#This Row],[Bearbeitungsdauer_real]]/Lektionen[[#This Row],[Bearbeitungsdauer_geschätzt]]-1</f>
        <v>-3.3333333333333326E-2</v>
      </c>
      <c r="H2140" s="8" t="str" cm="1">
        <f t="array" ref="H2140">_xlfn.IFS(Lektionen[[#This Row],[Bearbeitungsdauer_abgewichen]]&gt;0.6,"viel länger",Lektionen[[#This Row],[Bearbeitungsdauer_abgewichen]]&gt;0.3,"länger",Lektionen[[#This Row],[Bearbeitungsdauer_abgewichen]]&lt;-0.3,"kürzer",TRUE,"keine Abweichung")</f>
        <v>keine Abweichung</v>
      </c>
      <c r="I2140">
        <v>3</v>
      </c>
    </row>
    <row r="2141" spans="1:9" hidden="1" x14ac:dyDescent="0.3">
      <c r="A2141" s="13">
        <v>335</v>
      </c>
      <c r="B2141" s="4">
        <v>4</v>
      </c>
      <c r="C2141" t="s">
        <v>531</v>
      </c>
      <c r="D2141" t="s">
        <v>530</v>
      </c>
      <c r="E2141">
        <v>30</v>
      </c>
      <c r="F2141">
        <v>28</v>
      </c>
      <c r="G2141" s="8">
        <f>Lektionen[[#This Row],[Bearbeitungsdauer_real]]/Lektionen[[#This Row],[Bearbeitungsdauer_geschätzt]]-1</f>
        <v>-6.6666666666666652E-2</v>
      </c>
      <c r="H2141" s="8" t="str" cm="1">
        <f t="array" ref="H2141">_xlfn.IFS(Lektionen[[#This Row],[Bearbeitungsdauer_abgewichen]]&gt;0.6,"viel länger",Lektionen[[#This Row],[Bearbeitungsdauer_abgewichen]]&gt;0.3,"länger",Lektionen[[#This Row],[Bearbeitungsdauer_abgewichen]]&lt;-0.3,"kürzer",TRUE,"keine Abweichung")</f>
        <v>keine Abweichung</v>
      </c>
      <c r="I2141">
        <v>3</v>
      </c>
    </row>
    <row r="2142" spans="1:9" x14ac:dyDescent="0.3">
      <c r="A2142" s="13">
        <v>335</v>
      </c>
      <c r="B2142" s="4">
        <v>5</v>
      </c>
      <c r="C2142" t="s">
        <v>532</v>
      </c>
      <c r="D2142" t="s">
        <v>530</v>
      </c>
      <c r="E2142">
        <v>30</v>
      </c>
      <c r="F2142">
        <v>50</v>
      </c>
      <c r="G2142" s="8">
        <f>Lektionen[[#This Row],[Bearbeitungsdauer_real]]/Lektionen[[#This Row],[Bearbeitungsdauer_geschätzt]]-1</f>
        <v>0.66666666666666674</v>
      </c>
      <c r="H2142" s="8" t="str" cm="1">
        <f t="array" ref="H2142">_xlfn.IFS(Lektionen[[#This Row],[Bearbeitungsdauer_abgewichen]]&gt;0.6,"viel länger",Lektionen[[#This Row],[Bearbeitungsdauer_abgewichen]]&gt;0.3,"länger",Lektionen[[#This Row],[Bearbeitungsdauer_abgewichen]]&lt;-0.3,"kürzer",TRUE,"keine Abweichung")</f>
        <v>viel länger</v>
      </c>
      <c r="I2142">
        <v>4</v>
      </c>
    </row>
    <row r="2143" spans="1:9" hidden="1" x14ac:dyDescent="0.3">
      <c r="A2143" s="13">
        <v>335</v>
      </c>
      <c r="B2143" s="4">
        <v>6</v>
      </c>
      <c r="C2143" t="s">
        <v>533</v>
      </c>
      <c r="D2143" t="s">
        <v>534</v>
      </c>
      <c r="E2143">
        <v>5</v>
      </c>
      <c r="F2143">
        <v>2</v>
      </c>
      <c r="G2143" s="8">
        <f>Lektionen[[#This Row],[Bearbeitungsdauer_real]]/Lektionen[[#This Row],[Bearbeitungsdauer_geschätzt]]-1</f>
        <v>-0.6</v>
      </c>
      <c r="H2143" s="8" t="str" cm="1">
        <f t="array" ref="H2143">_xlfn.IFS(Lektionen[[#This Row],[Bearbeitungsdauer_abgewichen]]&gt;0.6,"viel länger",Lektionen[[#This Row],[Bearbeitungsdauer_abgewichen]]&gt;0.3,"länger",Lektionen[[#This Row],[Bearbeitungsdauer_abgewichen]]&lt;-0.3,"kürzer",TRUE,"keine Abweichung")</f>
        <v>kürzer</v>
      </c>
      <c r="I2143">
        <v>2</v>
      </c>
    </row>
    <row r="2144" spans="1:9" hidden="1" x14ac:dyDescent="0.3">
      <c r="A2144" s="13">
        <v>335</v>
      </c>
      <c r="B2144" s="4">
        <v>7</v>
      </c>
      <c r="C2144" t="s">
        <v>535</v>
      </c>
      <c r="D2144" t="s">
        <v>536</v>
      </c>
      <c r="E2144">
        <v>10</v>
      </c>
      <c r="F2144">
        <v>10</v>
      </c>
      <c r="G2144" s="8">
        <f>Lektionen[[#This Row],[Bearbeitungsdauer_real]]/Lektionen[[#This Row],[Bearbeitungsdauer_geschätzt]]-1</f>
        <v>0</v>
      </c>
      <c r="H2144" s="8" t="str" cm="1">
        <f t="array" ref="H2144">_xlfn.IFS(Lektionen[[#This Row],[Bearbeitungsdauer_abgewichen]]&gt;0.6,"viel länger",Lektionen[[#This Row],[Bearbeitungsdauer_abgewichen]]&gt;0.3,"länger",Lektionen[[#This Row],[Bearbeitungsdauer_abgewichen]]&lt;-0.3,"kürzer",TRUE,"keine Abweichung")</f>
        <v>keine Abweichung</v>
      </c>
      <c r="I2144">
        <v>3</v>
      </c>
    </row>
    <row r="2145" spans="1:9" hidden="1" x14ac:dyDescent="0.3">
      <c r="A2145" s="13">
        <v>335</v>
      </c>
      <c r="B2145" s="4">
        <v>8</v>
      </c>
      <c r="C2145" t="s">
        <v>537</v>
      </c>
      <c r="D2145" t="s">
        <v>527</v>
      </c>
      <c r="E2145">
        <v>5</v>
      </c>
      <c r="F2145">
        <v>5</v>
      </c>
      <c r="G2145" s="8">
        <f>Lektionen[[#This Row],[Bearbeitungsdauer_real]]/Lektionen[[#This Row],[Bearbeitungsdauer_geschätzt]]-1</f>
        <v>0</v>
      </c>
      <c r="H2145" s="8" t="str" cm="1">
        <f t="array" ref="H2145">_xlfn.IFS(Lektionen[[#This Row],[Bearbeitungsdauer_abgewichen]]&gt;0.6,"viel länger",Lektionen[[#This Row],[Bearbeitungsdauer_abgewichen]]&gt;0.3,"länger",Lektionen[[#This Row],[Bearbeitungsdauer_abgewichen]]&lt;-0.3,"kürzer",TRUE,"keine Abweichung")</f>
        <v>keine Abweichung</v>
      </c>
      <c r="I2145">
        <v>1</v>
      </c>
    </row>
    <row r="2146" spans="1:9" hidden="1" x14ac:dyDescent="0.3">
      <c r="A2146" s="13">
        <v>336</v>
      </c>
      <c r="B2146" s="4">
        <v>1</v>
      </c>
      <c r="C2146" t="s">
        <v>526</v>
      </c>
      <c r="D2146" t="s">
        <v>527</v>
      </c>
      <c r="E2146">
        <v>4</v>
      </c>
      <c r="F2146">
        <v>4</v>
      </c>
      <c r="G2146" s="8">
        <f>Lektionen[[#This Row],[Bearbeitungsdauer_real]]/Lektionen[[#This Row],[Bearbeitungsdauer_geschätzt]]-1</f>
        <v>0</v>
      </c>
      <c r="H2146" s="8" t="str" cm="1">
        <f t="array" ref="H2146">_xlfn.IFS(Lektionen[[#This Row],[Bearbeitungsdauer_abgewichen]]&gt;0.6,"viel länger",Lektionen[[#This Row],[Bearbeitungsdauer_abgewichen]]&gt;0.3,"länger",Lektionen[[#This Row],[Bearbeitungsdauer_abgewichen]]&lt;-0.3,"kürzer",TRUE,"keine Abweichung")</f>
        <v>keine Abweichung</v>
      </c>
      <c r="I2146">
        <v>1</v>
      </c>
    </row>
    <row r="2147" spans="1:9" hidden="1" x14ac:dyDescent="0.3">
      <c r="A2147" s="13">
        <v>336</v>
      </c>
      <c r="B2147" s="4">
        <v>2</v>
      </c>
      <c r="C2147" t="s">
        <v>528</v>
      </c>
      <c r="D2147" t="s">
        <v>529</v>
      </c>
      <c r="E2147">
        <v>15</v>
      </c>
      <c r="F2147">
        <v>17</v>
      </c>
      <c r="G2147" s="8">
        <f>Lektionen[[#This Row],[Bearbeitungsdauer_real]]/Lektionen[[#This Row],[Bearbeitungsdauer_geschätzt]]-1</f>
        <v>0.1333333333333333</v>
      </c>
      <c r="H2147" s="8" t="str" cm="1">
        <f t="array" ref="H2147">_xlfn.IFS(Lektionen[[#This Row],[Bearbeitungsdauer_abgewichen]]&gt;0.6,"viel länger",Lektionen[[#This Row],[Bearbeitungsdauer_abgewichen]]&gt;0.3,"länger",Lektionen[[#This Row],[Bearbeitungsdauer_abgewichen]]&lt;-0.3,"kürzer",TRUE,"keine Abweichung")</f>
        <v>keine Abweichung</v>
      </c>
      <c r="I2147">
        <v>1</v>
      </c>
    </row>
    <row r="2148" spans="1:9" hidden="1" x14ac:dyDescent="0.3">
      <c r="A2148" s="13">
        <v>336</v>
      </c>
      <c r="B2148" s="4">
        <v>3</v>
      </c>
      <c r="C2148" t="s">
        <v>552</v>
      </c>
      <c r="D2148" t="s">
        <v>530</v>
      </c>
      <c r="E2148">
        <v>30</v>
      </c>
      <c r="F2148">
        <v>30</v>
      </c>
      <c r="G2148" s="8">
        <f>Lektionen[[#This Row],[Bearbeitungsdauer_real]]/Lektionen[[#This Row],[Bearbeitungsdauer_geschätzt]]-1</f>
        <v>0</v>
      </c>
      <c r="H2148" s="8" t="str" cm="1">
        <f t="array" ref="H2148">_xlfn.IFS(Lektionen[[#This Row],[Bearbeitungsdauer_abgewichen]]&gt;0.6,"viel länger",Lektionen[[#This Row],[Bearbeitungsdauer_abgewichen]]&gt;0.3,"länger",Lektionen[[#This Row],[Bearbeitungsdauer_abgewichen]]&lt;-0.3,"kürzer",TRUE,"keine Abweichung")</f>
        <v>keine Abweichung</v>
      </c>
      <c r="I2148">
        <v>2</v>
      </c>
    </row>
    <row r="2149" spans="1:9" hidden="1" x14ac:dyDescent="0.3">
      <c r="A2149" s="13">
        <v>336</v>
      </c>
      <c r="B2149" s="4">
        <v>4</v>
      </c>
      <c r="C2149" t="s">
        <v>531</v>
      </c>
      <c r="D2149" t="s">
        <v>530</v>
      </c>
      <c r="E2149">
        <v>30</v>
      </c>
      <c r="F2149">
        <v>18</v>
      </c>
      <c r="G2149" s="8">
        <f>Lektionen[[#This Row],[Bearbeitungsdauer_real]]/Lektionen[[#This Row],[Bearbeitungsdauer_geschätzt]]-1</f>
        <v>-0.4</v>
      </c>
      <c r="H2149" s="8" t="str" cm="1">
        <f t="array" ref="H2149">_xlfn.IFS(Lektionen[[#This Row],[Bearbeitungsdauer_abgewichen]]&gt;0.6,"viel länger",Lektionen[[#This Row],[Bearbeitungsdauer_abgewichen]]&gt;0.3,"länger",Lektionen[[#This Row],[Bearbeitungsdauer_abgewichen]]&lt;-0.3,"kürzer",TRUE,"keine Abweichung")</f>
        <v>kürzer</v>
      </c>
      <c r="I2149">
        <v>3</v>
      </c>
    </row>
    <row r="2150" spans="1:9" x14ac:dyDescent="0.3">
      <c r="A2150" s="13">
        <v>336</v>
      </c>
      <c r="B2150" s="4">
        <v>5</v>
      </c>
      <c r="C2150" t="s">
        <v>532</v>
      </c>
      <c r="D2150" t="s">
        <v>530</v>
      </c>
      <c r="E2150">
        <v>30</v>
      </c>
      <c r="F2150">
        <v>48</v>
      </c>
      <c r="G2150" s="8">
        <f>Lektionen[[#This Row],[Bearbeitungsdauer_real]]/Lektionen[[#This Row],[Bearbeitungsdauer_geschätzt]]-1</f>
        <v>0.60000000000000009</v>
      </c>
      <c r="H2150" s="8" t="str" cm="1">
        <f t="array" ref="H2150">_xlfn.IFS(Lektionen[[#This Row],[Bearbeitungsdauer_abgewichen]]&gt;0.6,"viel länger",Lektionen[[#This Row],[Bearbeitungsdauer_abgewichen]]&gt;0.3,"länger",Lektionen[[#This Row],[Bearbeitungsdauer_abgewichen]]&lt;-0.3,"kürzer",TRUE,"keine Abweichung")</f>
        <v>länger</v>
      </c>
      <c r="I2150">
        <v>4</v>
      </c>
    </row>
    <row r="2151" spans="1:9" hidden="1" x14ac:dyDescent="0.3">
      <c r="A2151" s="13">
        <v>336</v>
      </c>
      <c r="B2151" s="4">
        <v>6</v>
      </c>
      <c r="C2151" t="s">
        <v>533</v>
      </c>
      <c r="D2151" t="s">
        <v>534</v>
      </c>
      <c r="E2151">
        <v>5</v>
      </c>
      <c r="F2151">
        <v>2</v>
      </c>
      <c r="G2151" s="8">
        <f>Lektionen[[#This Row],[Bearbeitungsdauer_real]]/Lektionen[[#This Row],[Bearbeitungsdauer_geschätzt]]-1</f>
        <v>-0.6</v>
      </c>
      <c r="H2151" s="8" t="str" cm="1">
        <f t="array" ref="H2151">_xlfn.IFS(Lektionen[[#This Row],[Bearbeitungsdauer_abgewichen]]&gt;0.6,"viel länger",Lektionen[[#This Row],[Bearbeitungsdauer_abgewichen]]&gt;0.3,"länger",Lektionen[[#This Row],[Bearbeitungsdauer_abgewichen]]&lt;-0.3,"kürzer",TRUE,"keine Abweichung")</f>
        <v>kürzer</v>
      </c>
      <c r="I2151">
        <v>3</v>
      </c>
    </row>
    <row r="2152" spans="1:9" hidden="1" x14ac:dyDescent="0.3">
      <c r="A2152" s="13">
        <v>336</v>
      </c>
      <c r="B2152" s="4">
        <v>7</v>
      </c>
      <c r="C2152" t="s">
        <v>535</v>
      </c>
      <c r="D2152" t="s">
        <v>536</v>
      </c>
      <c r="E2152">
        <v>10</v>
      </c>
      <c r="F2152">
        <v>8</v>
      </c>
      <c r="G2152" s="8">
        <f>Lektionen[[#This Row],[Bearbeitungsdauer_real]]/Lektionen[[#This Row],[Bearbeitungsdauer_geschätzt]]-1</f>
        <v>-0.19999999999999996</v>
      </c>
      <c r="H2152" s="8" t="str" cm="1">
        <f t="array" ref="H2152">_xlfn.IFS(Lektionen[[#This Row],[Bearbeitungsdauer_abgewichen]]&gt;0.6,"viel länger",Lektionen[[#This Row],[Bearbeitungsdauer_abgewichen]]&gt;0.3,"länger",Lektionen[[#This Row],[Bearbeitungsdauer_abgewichen]]&lt;-0.3,"kürzer",TRUE,"keine Abweichung")</f>
        <v>keine Abweichung</v>
      </c>
      <c r="I2152">
        <v>3</v>
      </c>
    </row>
    <row r="2153" spans="1:9" hidden="1" x14ac:dyDescent="0.3">
      <c r="A2153" s="13">
        <v>336</v>
      </c>
      <c r="B2153" s="4">
        <v>8</v>
      </c>
      <c r="C2153" t="s">
        <v>537</v>
      </c>
      <c r="D2153" t="s">
        <v>527</v>
      </c>
      <c r="E2153">
        <v>5</v>
      </c>
      <c r="F2153">
        <v>5</v>
      </c>
      <c r="G2153" s="8">
        <f>Lektionen[[#This Row],[Bearbeitungsdauer_real]]/Lektionen[[#This Row],[Bearbeitungsdauer_geschätzt]]-1</f>
        <v>0</v>
      </c>
      <c r="H2153" s="8" t="str" cm="1">
        <f t="array" ref="H2153">_xlfn.IFS(Lektionen[[#This Row],[Bearbeitungsdauer_abgewichen]]&gt;0.6,"viel länger",Lektionen[[#This Row],[Bearbeitungsdauer_abgewichen]]&gt;0.3,"länger",Lektionen[[#This Row],[Bearbeitungsdauer_abgewichen]]&lt;-0.3,"kürzer",TRUE,"keine Abweichung")</f>
        <v>keine Abweichung</v>
      </c>
      <c r="I2153">
        <v>1</v>
      </c>
    </row>
    <row r="2154" spans="1:9" hidden="1" x14ac:dyDescent="0.3">
      <c r="A2154" s="13">
        <v>337</v>
      </c>
      <c r="B2154" s="4">
        <v>1</v>
      </c>
      <c r="C2154" t="s">
        <v>526</v>
      </c>
      <c r="D2154" t="s">
        <v>527</v>
      </c>
      <c r="E2154">
        <v>4</v>
      </c>
      <c r="F2154">
        <v>6</v>
      </c>
      <c r="G2154" s="8">
        <f>Lektionen[[#This Row],[Bearbeitungsdauer_real]]/Lektionen[[#This Row],[Bearbeitungsdauer_geschätzt]]-1</f>
        <v>0.5</v>
      </c>
      <c r="H2154" s="8" t="str" cm="1">
        <f t="array" ref="H2154">_xlfn.IFS(Lektionen[[#This Row],[Bearbeitungsdauer_abgewichen]]&gt;0.6,"viel länger",Lektionen[[#This Row],[Bearbeitungsdauer_abgewichen]]&gt;0.3,"länger",Lektionen[[#This Row],[Bearbeitungsdauer_abgewichen]]&lt;-0.3,"kürzer",TRUE,"keine Abweichung")</f>
        <v>länger</v>
      </c>
      <c r="I2154">
        <v>1</v>
      </c>
    </row>
    <row r="2155" spans="1:9" hidden="1" x14ac:dyDescent="0.3">
      <c r="A2155" s="13">
        <v>337</v>
      </c>
      <c r="B2155" s="4">
        <v>2</v>
      </c>
      <c r="C2155" t="s">
        <v>528</v>
      </c>
      <c r="D2155" t="s">
        <v>529</v>
      </c>
      <c r="E2155">
        <v>15</v>
      </c>
      <c r="F2155">
        <v>20</v>
      </c>
      <c r="G2155" s="8">
        <f>Lektionen[[#This Row],[Bearbeitungsdauer_real]]/Lektionen[[#This Row],[Bearbeitungsdauer_geschätzt]]-1</f>
        <v>0.33333333333333326</v>
      </c>
      <c r="H2155" s="8" t="str" cm="1">
        <f t="array" ref="H2155">_xlfn.IFS(Lektionen[[#This Row],[Bearbeitungsdauer_abgewichen]]&gt;0.6,"viel länger",Lektionen[[#This Row],[Bearbeitungsdauer_abgewichen]]&gt;0.3,"länger",Lektionen[[#This Row],[Bearbeitungsdauer_abgewichen]]&lt;-0.3,"kürzer",TRUE,"keine Abweichung")</f>
        <v>länger</v>
      </c>
      <c r="I2155">
        <v>1</v>
      </c>
    </row>
    <row r="2156" spans="1:9" hidden="1" x14ac:dyDescent="0.3">
      <c r="A2156" s="13">
        <v>337</v>
      </c>
      <c r="B2156" s="4">
        <v>3</v>
      </c>
      <c r="C2156" t="s">
        <v>552</v>
      </c>
      <c r="D2156" t="s">
        <v>530</v>
      </c>
      <c r="E2156">
        <v>30</v>
      </c>
      <c r="F2156">
        <v>28</v>
      </c>
      <c r="G2156" s="8">
        <f>Lektionen[[#This Row],[Bearbeitungsdauer_real]]/Lektionen[[#This Row],[Bearbeitungsdauer_geschätzt]]-1</f>
        <v>-6.6666666666666652E-2</v>
      </c>
      <c r="H2156" s="8" t="str" cm="1">
        <f t="array" ref="H2156">_xlfn.IFS(Lektionen[[#This Row],[Bearbeitungsdauer_abgewichen]]&gt;0.6,"viel länger",Lektionen[[#This Row],[Bearbeitungsdauer_abgewichen]]&gt;0.3,"länger",Lektionen[[#This Row],[Bearbeitungsdauer_abgewichen]]&lt;-0.3,"kürzer",TRUE,"keine Abweichung")</f>
        <v>keine Abweichung</v>
      </c>
      <c r="I2156">
        <v>2</v>
      </c>
    </row>
    <row r="2157" spans="1:9" hidden="1" x14ac:dyDescent="0.3">
      <c r="A2157" s="13">
        <v>337</v>
      </c>
      <c r="B2157" s="4">
        <v>4</v>
      </c>
      <c r="C2157" t="s">
        <v>531</v>
      </c>
      <c r="D2157" t="s">
        <v>530</v>
      </c>
      <c r="E2157">
        <v>30</v>
      </c>
      <c r="F2157">
        <v>21</v>
      </c>
      <c r="G2157" s="8">
        <f>Lektionen[[#This Row],[Bearbeitungsdauer_real]]/Lektionen[[#This Row],[Bearbeitungsdauer_geschätzt]]-1</f>
        <v>-0.30000000000000004</v>
      </c>
      <c r="H2157" s="8" t="str" cm="1">
        <f t="array" ref="H2157">_xlfn.IFS(Lektionen[[#This Row],[Bearbeitungsdauer_abgewichen]]&gt;0.6,"viel länger",Lektionen[[#This Row],[Bearbeitungsdauer_abgewichen]]&gt;0.3,"länger",Lektionen[[#This Row],[Bearbeitungsdauer_abgewichen]]&lt;-0.3,"kürzer",TRUE,"keine Abweichung")</f>
        <v>keine Abweichung</v>
      </c>
      <c r="I2157">
        <v>3</v>
      </c>
    </row>
    <row r="2158" spans="1:9" x14ac:dyDescent="0.3">
      <c r="A2158" s="13">
        <v>337</v>
      </c>
      <c r="B2158" s="4">
        <v>5</v>
      </c>
      <c r="C2158" t="s">
        <v>532</v>
      </c>
      <c r="D2158" t="s">
        <v>530</v>
      </c>
      <c r="E2158">
        <v>30</v>
      </c>
      <c r="F2158">
        <v>45</v>
      </c>
      <c r="G2158" s="8">
        <f>Lektionen[[#This Row],[Bearbeitungsdauer_real]]/Lektionen[[#This Row],[Bearbeitungsdauer_geschätzt]]-1</f>
        <v>0.5</v>
      </c>
      <c r="H2158" s="8" t="str" cm="1">
        <f t="array" ref="H2158">_xlfn.IFS(Lektionen[[#This Row],[Bearbeitungsdauer_abgewichen]]&gt;0.6,"viel länger",Lektionen[[#This Row],[Bearbeitungsdauer_abgewichen]]&gt;0.3,"länger",Lektionen[[#This Row],[Bearbeitungsdauer_abgewichen]]&lt;-0.3,"kürzer",TRUE,"keine Abweichung")</f>
        <v>länger</v>
      </c>
      <c r="I2158">
        <v>4</v>
      </c>
    </row>
    <row r="2159" spans="1:9" hidden="1" x14ac:dyDescent="0.3">
      <c r="A2159" s="13">
        <v>337</v>
      </c>
      <c r="B2159" s="4">
        <v>6</v>
      </c>
      <c r="C2159" t="s">
        <v>533</v>
      </c>
      <c r="D2159" t="s">
        <v>534</v>
      </c>
      <c r="E2159">
        <v>5</v>
      </c>
      <c r="F2159">
        <v>4</v>
      </c>
      <c r="G2159" s="8">
        <f>Lektionen[[#This Row],[Bearbeitungsdauer_real]]/Lektionen[[#This Row],[Bearbeitungsdauer_geschätzt]]-1</f>
        <v>-0.19999999999999996</v>
      </c>
      <c r="H2159" s="8" t="str" cm="1">
        <f t="array" ref="H2159">_xlfn.IFS(Lektionen[[#This Row],[Bearbeitungsdauer_abgewichen]]&gt;0.6,"viel länger",Lektionen[[#This Row],[Bearbeitungsdauer_abgewichen]]&gt;0.3,"länger",Lektionen[[#This Row],[Bearbeitungsdauer_abgewichen]]&lt;-0.3,"kürzer",TRUE,"keine Abweichung")</f>
        <v>keine Abweichung</v>
      </c>
      <c r="I2159">
        <v>2</v>
      </c>
    </row>
    <row r="2160" spans="1:9" hidden="1" x14ac:dyDescent="0.3">
      <c r="A2160" s="13">
        <v>337</v>
      </c>
      <c r="B2160" s="4">
        <v>7</v>
      </c>
      <c r="C2160" t="s">
        <v>535</v>
      </c>
      <c r="D2160" t="s">
        <v>536</v>
      </c>
      <c r="E2160">
        <v>10</v>
      </c>
      <c r="F2160">
        <v>12</v>
      </c>
      <c r="G2160" s="8">
        <f>Lektionen[[#This Row],[Bearbeitungsdauer_real]]/Lektionen[[#This Row],[Bearbeitungsdauer_geschätzt]]-1</f>
        <v>0.19999999999999996</v>
      </c>
      <c r="H2160" s="8" t="str" cm="1">
        <f t="array" ref="H2160">_xlfn.IFS(Lektionen[[#This Row],[Bearbeitungsdauer_abgewichen]]&gt;0.6,"viel länger",Lektionen[[#This Row],[Bearbeitungsdauer_abgewichen]]&gt;0.3,"länger",Lektionen[[#This Row],[Bearbeitungsdauer_abgewichen]]&lt;-0.3,"kürzer",TRUE,"keine Abweichung")</f>
        <v>keine Abweichung</v>
      </c>
      <c r="I2160">
        <v>3</v>
      </c>
    </row>
    <row r="2161" spans="1:9" hidden="1" x14ac:dyDescent="0.3">
      <c r="A2161" s="13">
        <v>337</v>
      </c>
      <c r="B2161" s="4">
        <v>8</v>
      </c>
      <c r="C2161" t="s">
        <v>537</v>
      </c>
      <c r="D2161" t="s">
        <v>527</v>
      </c>
      <c r="E2161">
        <v>5</v>
      </c>
      <c r="F2161">
        <v>5</v>
      </c>
      <c r="G2161" s="8">
        <f>Lektionen[[#This Row],[Bearbeitungsdauer_real]]/Lektionen[[#This Row],[Bearbeitungsdauer_geschätzt]]-1</f>
        <v>0</v>
      </c>
      <c r="H2161" s="8" t="str" cm="1">
        <f t="array" ref="H2161">_xlfn.IFS(Lektionen[[#This Row],[Bearbeitungsdauer_abgewichen]]&gt;0.6,"viel länger",Lektionen[[#This Row],[Bearbeitungsdauer_abgewichen]]&gt;0.3,"länger",Lektionen[[#This Row],[Bearbeitungsdauer_abgewichen]]&lt;-0.3,"kürzer",TRUE,"keine Abweichung")</f>
        <v>keine Abweichung</v>
      </c>
      <c r="I2161">
        <v>1</v>
      </c>
    </row>
    <row r="2162" spans="1:9" hidden="1" x14ac:dyDescent="0.3">
      <c r="A2162" s="13">
        <v>338</v>
      </c>
      <c r="B2162" s="4">
        <v>1</v>
      </c>
      <c r="C2162" t="s">
        <v>526</v>
      </c>
      <c r="D2162" t="s">
        <v>527</v>
      </c>
      <c r="E2162">
        <v>4</v>
      </c>
      <c r="F2162">
        <v>4</v>
      </c>
      <c r="G2162" s="8">
        <f>Lektionen[[#This Row],[Bearbeitungsdauer_real]]/Lektionen[[#This Row],[Bearbeitungsdauer_geschätzt]]-1</f>
        <v>0</v>
      </c>
      <c r="H2162" s="8" t="str" cm="1">
        <f t="array" ref="H2162">_xlfn.IFS(Lektionen[[#This Row],[Bearbeitungsdauer_abgewichen]]&gt;0.6,"viel länger",Lektionen[[#This Row],[Bearbeitungsdauer_abgewichen]]&gt;0.3,"länger",Lektionen[[#This Row],[Bearbeitungsdauer_abgewichen]]&lt;-0.3,"kürzer",TRUE,"keine Abweichung")</f>
        <v>keine Abweichung</v>
      </c>
      <c r="I2162">
        <v>1</v>
      </c>
    </row>
    <row r="2163" spans="1:9" hidden="1" x14ac:dyDescent="0.3">
      <c r="A2163" s="13">
        <v>338</v>
      </c>
      <c r="B2163" s="4">
        <v>2</v>
      </c>
      <c r="C2163" t="s">
        <v>528</v>
      </c>
      <c r="D2163" t="s">
        <v>529</v>
      </c>
      <c r="E2163">
        <v>15</v>
      </c>
      <c r="F2163">
        <v>18</v>
      </c>
      <c r="G2163" s="8">
        <f>Lektionen[[#This Row],[Bearbeitungsdauer_real]]/Lektionen[[#This Row],[Bearbeitungsdauer_geschätzt]]-1</f>
        <v>0.19999999999999996</v>
      </c>
      <c r="H2163" s="8" t="str" cm="1">
        <f t="array" ref="H2163">_xlfn.IFS(Lektionen[[#This Row],[Bearbeitungsdauer_abgewichen]]&gt;0.6,"viel länger",Lektionen[[#This Row],[Bearbeitungsdauer_abgewichen]]&gt;0.3,"länger",Lektionen[[#This Row],[Bearbeitungsdauer_abgewichen]]&lt;-0.3,"kürzer",TRUE,"keine Abweichung")</f>
        <v>keine Abweichung</v>
      </c>
      <c r="I2163">
        <v>1</v>
      </c>
    </row>
    <row r="2164" spans="1:9" hidden="1" x14ac:dyDescent="0.3">
      <c r="A2164" s="13">
        <v>338</v>
      </c>
      <c r="B2164" s="4">
        <v>3</v>
      </c>
      <c r="C2164" t="s">
        <v>552</v>
      </c>
      <c r="D2164" t="s">
        <v>530</v>
      </c>
      <c r="E2164">
        <v>30</v>
      </c>
      <c r="F2164">
        <v>22</v>
      </c>
      <c r="G2164" s="8">
        <f>Lektionen[[#This Row],[Bearbeitungsdauer_real]]/Lektionen[[#This Row],[Bearbeitungsdauer_geschätzt]]-1</f>
        <v>-0.26666666666666672</v>
      </c>
      <c r="H2164" s="8" t="str" cm="1">
        <f t="array" ref="H2164">_xlfn.IFS(Lektionen[[#This Row],[Bearbeitungsdauer_abgewichen]]&gt;0.6,"viel länger",Lektionen[[#This Row],[Bearbeitungsdauer_abgewichen]]&gt;0.3,"länger",Lektionen[[#This Row],[Bearbeitungsdauer_abgewichen]]&lt;-0.3,"kürzer",TRUE,"keine Abweichung")</f>
        <v>keine Abweichung</v>
      </c>
      <c r="I2164">
        <v>3</v>
      </c>
    </row>
    <row r="2165" spans="1:9" hidden="1" x14ac:dyDescent="0.3">
      <c r="A2165" s="13">
        <v>338</v>
      </c>
      <c r="B2165" s="4">
        <v>4</v>
      </c>
      <c r="C2165" t="s">
        <v>531</v>
      </c>
      <c r="D2165" t="s">
        <v>530</v>
      </c>
      <c r="E2165">
        <v>30</v>
      </c>
      <c r="F2165">
        <v>18</v>
      </c>
      <c r="G2165" s="8">
        <f>Lektionen[[#This Row],[Bearbeitungsdauer_real]]/Lektionen[[#This Row],[Bearbeitungsdauer_geschätzt]]-1</f>
        <v>-0.4</v>
      </c>
      <c r="H2165" s="8" t="str" cm="1">
        <f t="array" ref="H2165">_xlfn.IFS(Lektionen[[#This Row],[Bearbeitungsdauer_abgewichen]]&gt;0.6,"viel länger",Lektionen[[#This Row],[Bearbeitungsdauer_abgewichen]]&gt;0.3,"länger",Lektionen[[#This Row],[Bearbeitungsdauer_abgewichen]]&lt;-0.3,"kürzer",TRUE,"keine Abweichung")</f>
        <v>kürzer</v>
      </c>
      <c r="I2165">
        <v>3</v>
      </c>
    </row>
    <row r="2166" spans="1:9" x14ac:dyDescent="0.3">
      <c r="A2166" s="13">
        <v>338</v>
      </c>
      <c r="B2166" s="4">
        <v>5</v>
      </c>
      <c r="C2166" t="s">
        <v>532</v>
      </c>
      <c r="D2166" t="s">
        <v>530</v>
      </c>
      <c r="E2166">
        <v>30</v>
      </c>
      <c r="F2166">
        <v>51</v>
      </c>
      <c r="G2166" s="8">
        <f>Lektionen[[#This Row],[Bearbeitungsdauer_real]]/Lektionen[[#This Row],[Bearbeitungsdauer_geschätzt]]-1</f>
        <v>0.7</v>
      </c>
      <c r="H2166" s="8" t="str" cm="1">
        <f t="array" ref="H2166">_xlfn.IFS(Lektionen[[#This Row],[Bearbeitungsdauer_abgewichen]]&gt;0.6,"viel länger",Lektionen[[#This Row],[Bearbeitungsdauer_abgewichen]]&gt;0.3,"länger",Lektionen[[#This Row],[Bearbeitungsdauer_abgewichen]]&lt;-0.3,"kürzer",TRUE,"keine Abweichung")</f>
        <v>viel länger</v>
      </c>
      <c r="I2166">
        <v>3</v>
      </c>
    </row>
    <row r="2167" spans="1:9" hidden="1" x14ac:dyDescent="0.3">
      <c r="A2167" s="13">
        <v>338</v>
      </c>
      <c r="B2167" s="4">
        <v>6</v>
      </c>
      <c r="C2167" t="s">
        <v>533</v>
      </c>
      <c r="D2167" t="s">
        <v>534</v>
      </c>
      <c r="E2167">
        <v>5</v>
      </c>
      <c r="F2167">
        <v>1</v>
      </c>
      <c r="G2167" s="8">
        <f>Lektionen[[#This Row],[Bearbeitungsdauer_real]]/Lektionen[[#This Row],[Bearbeitungsdauer_geschätzt]]-1</f>
        <v>-0.8</v>
      </c>
      <c r="H2167" s="8" t="str" cm="1">
        <f t="array" ref="H2167">_xlfn.IFS(Lektionen[[#This Row],[Bearbeitungsdauer_abgewichen]]&gt;0.6,"viel länger",Lektionen[[#This Row],[Bearbeitungsdauer_abgewichen]]&gt;0.3,"länger",Lektionen[[#This Row],[Bearbeitungsdauer_abgewichen]]&lt;-0.3,"kürzer",TRUE,"keine Abweichung")</f>
        <v>kürzer</v>
      </c>
      <c r="I2167">
        <v>2</v>
      </c>
    </row>
    <row r="2168" spans="1:9" hidden="1" x14ac:dyDescent="0.3">
      <c r="A2168" s="13">
        <v>338</v>
      </c>
      <c r="B2168" s="4">
        <v>7</v>
      </c>
      <c r="C2168" t="s">
        <v>535</v>
      </c>
      <c r="D2168" t="s">
        <v>536</v>
      </c>
      <c r="E2168">
        <v>10</v>
      </c>
      <c r="F2168">
        <v>10</v>
      </c>
      <c r="G2168" s="8">
        <f>Lektionen[[#This Row],[Bearbeitungsdauer_real]]/Lektionen[[#This Row],[Bearbeitungsdauer_geschätzt]]-1</f>
        <v>0</v>
      </c>
      <c r="H2168" s="8" t="str" cm="1">
        <f t="array" ref="H2168">_xlfn.IFS(Lektionen[[#This Row],[Bearbeitungsdauer_abgewichen]]&gt;0.6,"viel länger",Lektionen[[#This Row],[Bearbeitungsdauer_abgewichen]]&gt;0.3,"länger",Lektionen[[#This Row],[Bearbeitungsdauer_abgewichen]]&lt;-0.3,"kürzer",TRUE,"keine Abweichung")</f>
        <v>keine Abweichung</v>
      </c>
      <c r="I2168">
        <v>3</v>
      </c>
    </row>
    <row r="2169" spans="1:9" hidden="1" x14ac:dyDescent="0.3">
      <c r="A2169" s="13">
        <v>338</v>
      </c>
      <c r="B2169" s="4">
        <v>8</v>
      </c>
      <c r="C2169" t="s">
        <v>537</v>
      </c>
      <c r="D2169" t="s">
        <v>527</v>
      </c>
      <c r="E2169">
        <v>5</v>
      </c>
      <c r="F2169">
        <v>5</v>
      </c>
      <c r="G2169" s="8">
        <f>Lektionen[[#This Row],[Bearbeitungsdauer_real]]/Lektionen[[#This Row],[Bearbeitungsdauer_geschätzt]]-1</f>
        <v>0</v>
      </c>
      <c r="H2169" s="8" t="str" cm="1">
        <f t="array" ref="H2169">_xlfn.IFS(Lektionen[[#This Row],[Bearbeitungsdauer_abgewichen]]&gt;0.6,"viel länger",Lektionen[[#This Row],[Bearbeitungsdauer_abgewichen]]&gt;0.3,"länger",Lektionen[[#This Row],[Bearbeitungsdauer_abgewichen]]&lt;-0.3,"kürzer",TRUE,"keine Abweichung")</f>
        <v>keine Abweichung</v>
      </c>
      <c r="I2169">
        <v>1</v>
      </c>
    </row>
    <row r="2170" spans="1:9" hidden="1" x14ac:dyDescent="0.3">
      <c r="A2170" s="13">
        <v>341</v>
      </c>
      <c r="B2170" s="4">
        <v>1</v>
      </c>
      <c r="C2170" t="s">
        <v>526</v>
      </c>
      <c r="D2170" t="s">
        <v>527</v>
      </c>
      <c r="E2170">
        <v>4</v>
      </c>
      <c r="F2170">
        <v>4</v>
      </c>
      <c r="G2170" s="8">
        <f>Lektionen[[#This Row],[Bearbeitungsdauer_real]]/Lektionen[[#This Row],[Bearbeitungsdauer_geschätzt]]-1</f>
        <v>0</v>
      </c>
      <c r="H2170" s="8" t="str" cm="1">
        <f t="array" ref="H2170">_xlfn.IFS(Lektionen[[#This Row],[Bearbeitungsdauer_abgewichen]]&gt;0.6,"viel länger",Lektionen[[#This Row],[Bearbeitungsdauer_abgewichen]]&gt;0.3,"länger",Lektionen[[#This Row],[Bearbeitungsdauer_abgewichen]]&lt;-0.3,"kürzer",TRUE,"keine Abweichung")</f>
        <v>keine Abweichung</v>
      </c>
      <c r="I2170">
        <v>1</v>
      </c>
    </row>
    <row r="2171" spans="1:9" hidden="1" x14ac:dyDescent="0.3">
      <c r="A2171" s="13">
        <v>341</v>
      </c>
      <c r="B2171" s="4">
        <v>2</v>
      </c>
      <c r="C2171" t="s">
        <v>528</v>
      </c>
      <c r="D2171" t="s">
        <v>529</v>
      </c>
      <c r="E2171">
        <v>15</v>
      </c>
      <c r="F2171">
        <v>18</v>
      </c>
      <c r="G2171" s="8">
        <f>Lektionen[[#This Row],[Bearbeitungsdauer_real]]/Lektionen[[#This Row],[Bearbeitungsdauer_geschätzt]]-1</f>
        <v>0.19999999999999996</v>
      </c>
      <c r="H2171" s="8" t="str" cm="1">
        <f t="array" ref="H2171">_xlfn.IFS(Lektionen[[#This Row],[Bearbeitungsdauer_abgewichen]]&gt;0.6,"viel länger",Lektionen[[#This Row],[Bearbeitungsdauer_abgewichen]]&gt;0.3,"länger",Lektionen[[#This Row],[Bearbeitungsdauer_abgewichen]]&lt;-0.3,"kürzer",TRUE,"keine Abweichung")</f>
        <v>keine Abweichung</v>
      </c>
      <c r="I2171">
        <v>2</v>
      </c>
    </row>
    <row r="2172" spans="1:9" hidden="1" x14ac:dyDescent="0.3">
      <c r="A2172" s="13">
        <v>341</v>
      </c>
      <c r="B2172" s="4">
        <v>3</v>
      </c>
      <c r="C2172" t="s">
        <v>552</v>
      </c>
      <c r="D2172" t="s">
        <v>530</v>
      </c>
      <c r="E2172">
        <v>30</v>
      </c>
      <c r="F2172">
        <v>29</v>
      </c>
      <c r="G2172" s="8">
        <f>Lektionen[[#This Row],[Bearbeitungsdauer_real]]/Lektionen[[#This Row],[Bearbeitungsdauer_geschätzt]]-1</f>
        <v>-3.3333333333333326E-2</v>
      </c>
      <c r="H2172" s="8" t="str" cm="1">
        <f t="array" ref="H2172">_xlfn.IFS(Lektionen[[#This Row],[Bearbeitungsdauer_abgewichen]]&gt;0.6,"viel länger",Lektionen[[#This Row],[Bearbeitungsdauer_abgewichen]]&gt;0.3,"länger",Lektionen[[#This Row],[Bearbeitungsdauer_abgewichen]]&lt;-0.3,"kürzer",TRUE,"keine Abweichung")</f>
        <v>keine Abweichung</v>
      </c>
      <c r="I2172">
        <v>2</v>
      </c>
    </row>
    <row r="2173" spans="1:9" hidden="1" x14ac:dyDescent="0.3">
      <c r="A2173" s="13">
        <v>341</v>
      </c>
      <c r="B2173" s="4">
        <v>4</v>
      </c>
      <c r="C2173" t="s">
        <v>531</v>
      </c>
      <c r="D2173" t="s">
        <v>530</v>
      </c>
      <c r="E2173">
        <v>30</v>
      </c>
      <c r="F2173">
        <v>30</v>
      </c>
      <c r="G2173" s="8">
        <f>Lektionen[[#This Row],[Bearbeitungsdauer_real]]/Lektionen[[#This Row],[Bearbeitungsdauer_geschätzt]]-1</f>
        <v>0</v>
      </c>
      <c r="H2173" s="8" t="str" cm="1">
        <f t="array" ref="H2173">_xlfn.IFS(Lektionen[[#This Row],[Bearbeitungsdauer_abgewichen]]&gt;0.6,"viel länger",Lektionen[[#This Row],[Bearbeitungsdauer_abgewichen]]&gt;0.3,"länger",Lektionen[[#This Row],[Bearbeitungsdauer_abgewichen]]&lt;-0.3,"kürzer",TRUE,"keine Abweichung")</f>
        <v>keine Abweichung</v>
      </c>
      <c r="I2173">
        <v>3</v>
      </c>
    </row>
    <row r="2174" spans="1:9" x14ac:dyDescent="0.3">
      <c r="A2174" s="13">
        <v>341</v>
      </c>
      <c r="B2174" s="4">
        <v>5</v>
      </c>
      <c r="C2174" t="s">
        <v>532</v>
      </c>
      <c r="D2174" t="s">
        <v>530</v>
      </c>
      <c r="E2174">
        <v>30</v>
      </c>
      <c r="F2174">
        <v>51</v>
      </c>
      <c r="G2174" s="8">
        <f>Lektionen[[#This Row],[Bearbeitungsdauer_real]]/Lektionen[[#This Row],[Bearbeitungsdauer_geschätzt]]-1</f>
        <v>0.7</v>
      </c>
      <c r="H2174" s="8" t="str" cm="1">
        <f t="array" ref="H2174">_xlfn.IFS(Lektionen[[#This Row],[Bearbeitungsdauer_abgewichen]]&gt;0.6,"viel länger",Lektionen[[#This Row],[Bearbeitungsdauer_abgewichen]]&gt;0.3,"länger",Lektionen[[#This Row],[Bearbeitungsdauer_abgewichen]]&lt;-0.3,"kürzer",TRUE,"keine Abweichung")</f>
        <v>viel länger</v>
      </c>
      <c r="I2174">
        <v>4</v>
      </c>
    </row>
    <row r="2175" spans="1:9" hidden="1" x14ac:dyDescent="0.3">
      <c r="A2175" s="13">
        <v>341</v>
      </c>
      <c r="B2175" s="4">
        <v>6</v>
      </c>
      <c r="C2175" t="s">
        <v>533</v>
      </c>
      <c r="D2175" t="s">
        <v>534</v>
      </c>
      <c r="E2175">
        <v>5</v>
      </c>
      <c r="F2175">
        <v>1</v>
      </c>
      <c r="G2175" s="8">
        <f>Lektionen[[#This Row],[Bearbeitungsdauer_real]]/Lektionen[[#This Row],[Bearbeitungsdauer_geschätzt]]-1</f>
        <v>-0.8</v>
      </c>
      <c r="H2175" s="8" t="str" cm="1">
        <f t="array" ref="H2175">_xlfn.IFS(Lektionen[[#This Row],[Bearbeitungsdauer_abgewichen]]&gt;0.6,"viel länger",Lektionen[[#This Row],[Bearbeitungsdauer_abgewichen]]&gt;0.3,"länger",Lektionen[[#This Row],[Bearbeitungsdauer_abgewichen]]&lt;-0.3,"kürzer",TRUE,"keine Abweichung")</f>
        <v>kürzer</v>
      </c>
      <c r="I2175">
        <v>2</v>
      </c>
    </row>
    <row r="2176" spans="1:9" hidden="1" x14ac:dyDescent="0.3">
      <c r="A2176" s="13">
        <v>341</v>
      </c>
      <c r="B2176" s="4">
        <v>7</v>
      </c>
      <c r="C2176" t="s">
        <v>535</v>
      </c>
      <c r="D2176" t="s">
        <v>536</v>
      </c>
      <c r="E2176">
        <v>10</v>
      </c>
      <c r="F2176">
        <v>10</v>
      </c>
      <c r="G2176" s="8">
        <f>Lektionen[[#This Row],[Bearbeitungsdauer_real]]/Lektionen[[#This Row],[Bearbeitungsdauer_geschätzt]]-1</f>
        <v>0</v>
      </c>
      <c r="H2176" s="8" t="str" cm="1">
        <f t="array" ref="H2176">_xlfn.IFS(Lektionen[[#This Row],[Bearbeitungsdauer_abgewichen]]&gt;0.6,"viel länger",Lektionen[[#This Row],[Bearbeitungsdauer_abgewichen]]&gt;0.3,"länger",Lektionen[[#This Row],[Bearbeitungsdauer_abgewichen]]&lt;-0.3,"kürzer",TRUE,"keine Abweichung")</f>
        <v>keine Abweichung</v>
      </c>
      <c r="I2176">
        <v>4</v>
      </c>
    </row>
    <row r="2177" spans="1:9" hidden="1" x14ac:dyDescent="0.3">
      <c r="A2177" s="13">
        <v>341</v>
      </c>
      <c r="B2177" s="4">
        <v>8</v>
      </c>
      <c r="C2177" t="s">
        <v>537</v>
      </c>
      <c r="D2177" t="s">
        <v>527</v>
      </c>
      <c r="E2177">
        <v>5</v>
      </c>
      <c r="F2177">
        <v>7</v>
      </c>
      <c r="G2177" s="8">
        <f>Lektionen[[#This Row],[Bearbeitungsdauer_real]]/Lektionen[[#This Row],[Bearbeitungsdauer_geschätzt]]-1</f>
        <v>0.39999999999999991</v>
      </c>
      <c r="H2177" s="8" t="str" cm="1">
        <f t="array" ref="H2177">_xlfn.IFS(Lektionen[[#This Row],[Bearbeitungsdauer_abgewichen]]&gt;0.6,"viel länger",Lektionen[[#This Row],[Bearbeitungsdauer_abgewichen]]&gt;0.3,"länger",Lektionen[[#This Row],[Bearbeitungsdauer_abgewichen]]&lt;-0.3,"kürzer",TRUE,"keine Abweichung")</f>
        <v>länger</v>
      </c>
      <c r="I2177">
        <v>1</v>
      </c>
    </row>
    <row r="2178" spans="1:9" hidden="1" x14ac:dyDescent="0.3">
      <c r="A2178" s="13">
        <v>342</v>
      </c>
      <c r="B2178" s="4">
        <v>1</v>
      </c>
      <c r="C2178" t="s">
        <v>526</v>
      </c>
      <c r="D2178" t="s">
        <v>527</v>
      </c>
      <c r="E2178">
        <v>4</v>
      </c>
      <c r="F2178">
        <v>4</v>
      </c>
      <c r="G2178" s="8">
        <f>Lektionen[[#This Row],[Bearbeitungsdauer_real]]/Lektionen[[#This Row],[Bearbeitungsdauer_geschätzt]]-1</f>
        <v>0</v>
      </c>
      <c r="H2178" s="8" t="str" cm="1">
        <f t="array" ref="H2178">_xlfn.IFS(Lektionen[[#This Row],[Bearbeitungsdauer_abgewichen]]&gt;0.6,"viel länger",Lektionen[[#This Row],[Bearbeitungsdauer_abgewichen]]&gt;0.3,"länger",Lektionen[[#This Row],[Bearbeitungsdauer_abgewichen]]&lt;-0.3,"kürzer",TRUE,"keine Abweichung")</f>
        <v>keine Abweichung</v>
      </c>
      <c r="I2178">
        <v>1</v>
      </c>
    </row>
    <row r="2179" spans="1:9" hidden="1" x14ac:dyDescent="0.3">
      <c r="A2179" s="13">
        <v>342</v>
      </c>
      <c r="B2179" s="4">
        <v>2</v>
      </c>
      <c r="C2179" t="s">
        <v>528</v>
      </c>
      <c r="D2179" t="s">
        <v>529</v>
      </c>
      <c r="E2179">
        <v>15</v>
      </c>
      <c r="F2179">
        <v>22</v>
      </c>
      <c r="G2179" s="8">
        <f>Lektionen[[#This Row],[Bearbeitungsdauer_real]]/Lektionen[[#This Row],[Bearbeitungsdauer_geschätzt]]-1</f>
        <v>0.46666666666666656</v>
      </c>
      <c r="H2179" s="8" t="str" cm="1">
        <f t="array" ref="H2179">_xlfn.IFS(Lektionen[[#This Row],[Bearbeitungsdauer_abgewichen]]&gt;0.6,"viel länger",Lektionen[[#This Row],[Bearbeitungsdauer_abgewichen]]&gt;0.3,"länger",Lektionen[[#This Row],[Bearbeitungsdauer_abgewichen]]&lt;-0.3,"kürzer",TRUE,"keine Abweichung")</f>
        <v>länger</v>
      </c>
      <c r="I2179">
        <v>2</v>
      </c>
    </row>
    <row r="2180" spans="1:9" hidden="1" x14ac:dyDescent="0.3">
      <c r="A2180" s="13">
        <v>342</v>
      </c>
      <c r="B2180" s="4">
        <v>3</v>
      </c>
      <c r="C2180" t="s">
        <v>552</v>
      </c>
      <c r="D2180" t="s">
        <v>530</v>
      </c>
      <c r="E2180">
        <v>30</v>
      </c>
      <c r="F2180">
        <v>30</v>
      </c>
      <c r="G2180" s="8">
        <f>Lektionen[[#This Row],[Bearbeitungsdauer_real]]/Lektionen[[#This Row],[Bearbeitungsdauer_geschätzt]]-1</f>
        <v>0</v>
      </c>
      <c r="H2180" s="8" t="str" cm="1">
        <f t="array" ref="H2180">_xlfn.IFS(Lektionen[[#This Row],[Bearbeitungsdauer_abgewichen]]&gt;0.6,"viel länger",Lektionen[[#This Row],[Bearbeitungsdauer_abgewichen]]&gt;0.3,"länger",Lektionen[[#This Row],[Bearbeitungsdauer_abgewichen]]&lt;-0.3,"kürzer",TRUE,"keine Abweichung")</f>
        <v>keine Abweichung</v>
      </c>
      <c r="I2180">
        <v>2</v>
      </c>
    </row>
    <row r="2181" spans="1:9" hidden="1" x14ac:dyDescent="0.3">
      <c r="A2181" s="13">
        <v>342</v>
      </c>
      <c r="B2181" s="4">
        <v>4</v>
      </c>
      <c r="C2181" t="s">
        <v>531</v>
      </c>
      <c r="D2181" t="s">
        <v>530</v>
      </c>
      <c r="E2181">
        <v>30</v>
      </c>
      <c r="F2181">
        <v>25</v>
      </c>
      <c r="G2181" s="8">
        <f>Lektionen[[#This Row],[Bearbeitungsdauer_real]]/Lektionen[[#This Row],[Bearbeitungsdauer_geschätzt]]-1</f>
        <v>-0.16666666666666663</v>
      </c>
      <c r="H2181" s="8" t="str" cm="1">
        <f t="array" ref="H2181">_xlfn.IFS(Lektionen[[#This Row],[Bearbeitungsdauer_abgewichen]]&gt;0.6,"viel länger",Lektionen[[#This Row],[Bearbeitungsdauer_abgewichen]]&gt;0.3,"länger",Lektionen[[#This Row],[Bearbeitungsdauer_abgewichen]]&lt;-0.3,"kürzer",TRUE,"keine Abweichung")</f>
        <v>keine Abweichung</v>
      </c>
      <c r="I2181">
        <v>3</v>
      </c>
    </row>
    <row r="2182" spans="1:9" x14ac:dyDescent="0.3">
      <c r="A2182" s="13">
        <v>342</v>
      </c>
      <c r="B2182" s="4">
        <v>5</v>
      </c>
      <c r="C2182" t="s">
        <v>532</v>
      </c>
      <c r="D2182" t="s">
        <v>530</v>
      </c>
      <c r="E2182">
        <v>30</v>
      </c>
      <c r="F2182">
        <v>50</v>
      </c>
      <c r="G2182" s="8">
        <f>Lektionen[[#This Row],[Bearbeitungsdauer_real]]/Lektionen[[#This Row],[Bearbeitungsdauer_geschätzt]]-1</f>
        <v>0.66666666666666674</v>
      </c>
      <c r="H2182" s="8" t="str" cm="1">
        <f t="array" ref="H2182">_xlfn.IFS(Lektionen[[#This Row],[Bearbeitungsdauer_abgewichen]]&gt;0.6,"viel länger",Lektionen[[#This Row],[Bearbeitungsdauer_abgewichen]]&gt;0.3,"länger",Lektionen[[#This Row],[Bearbeitungsdauer_abgewichen]]&lt;-0.3,"kürzer",TRUE,"keine Abweichung")</f>
        <v>viel länger</v>
      </c>
      <c r="I2182">
        <v>4</v>
      </c>
    </row>
    <row r="2183" spans="1:9" hidden="1" x14ac:dyDescent="0.3">
      <c r="A2183" s="13">
        <v>342</v>
      </c>
      <c r="B2183" s="4">
        <v>6</v>
      </c>
      <c r="C2183" t="s">
        <v>533</v>
      </c>
      <c r="D2183" t="s">
        <v>534</v>
      </c>
      <c r="E2183">
        <v>5</v>
      </c>
      <c r="F2183">
        <v>3</v>
      </c>
      <c r="G2183" s="8">
        <f>Lektionen[[#This Row],[Bearbeitungsdauer_real]]/Lektionen[[#This Row],[Bearbeitungsdauer_geschätzt]]-1</f>
        <v>-0.4</v>
      </c>
      <c r="H2183" s="8" t="str" cm="1">
        <f t="array" ref="H2183">_xlfn.IFS(Lektionen[[#This Row],[Bearbeitungsdauer_abgewichen]]&gt;0.6,"viel länger",Lektionen[[#This Row],[Bearbeitungsdauer_abgewichen]]&gt;0.3,"länger",Lektionen[[#This Row],[Bearbeitungsdauer_abgewichen]]&lt;-0.3,"kürzer",TRUE,"keine Abweichung")</f>
        <v>kürzer</v>
      </c>
      <c r="I2183">
        <v>2</v>
      </c>
    </row>
    <row r="2184" spans="1:9" hidden="1" x14ac:dyDescent="0.3">
      <c r="A2184" s="13">
        <v>342</v>
      </c>
      <c r="B2184" s="4">
        <v>7</v>
      </c>
      <c r="C2184" t="s">
        <v>535</v>
      </c>
      <c r="D2184" t="s">
        <v>536</v>
      </c>
      <c r="E2184">
        <v>10</v>
      </c>
      <c r="F2184">
        <v>8</v>
      </c>
      <c r="G2184" s="8">
        <f>Lektionen[[#This Row],[Bearbeitungsdauer_real]]/Lektionen[[#This Row],[Bearbeitungsdauer_geschätzt]]-1</f>
        <v>-0.19999999999999996</v>
      </c>
      <c r="H2184" s="8" t="str" cm="1">
        <f t="array" ref="H2184">_xlfn.IFS(Lektionen[[#This Row],[Bearbeitungsdauer_abgewichen]]&gt;0.6,"viel länger",Lektionen[[#This Row],[Bearbeitungsdauer_abgewichen]]&gt;0.3,"länger",Lektionen[[#This Row],[Bearbeitungsdauer_abgewichen]]&lt;-0.3,"kürzer",TRUE,"keine Abweichung")</f>
        <v>keine Abweichung</v>
      </c>
      <c r="I2184">
        <v>3</v>
      </c>
    </row>
    <row r="2185" spans="1:9" hidden="1" x14ac:dyDescent="0.3">
      <c r="A2185" s="13">
        <v>342</v>
      </c>
      <c r="B2185" s="4">
        <v>8</v>
      </c>
      <c r="C2185" t="s">
        <v>537</v>
      </c>
      <c r="D2185" t="s">
        <v>527</v>
      </c>
      <c r="E2185">
        <v>5</v>
      </c>
      <c r="F2185">
        <v>7</v>
      </c>
      <c r="G2185" s="8">
        <f>Lektionen[[#This Row],[Bearbeitungsdauer_real]]/Lektionen[[#This Row],[Bearbeitungsdauer_geschätzt]]-1</f>
        <v>0.39999999999999991</v>
      </c>
      <c r="H2185" s="8" t="str" cm="1">
        <f t="array" ref="H2185">_xlfn.IFS(Lektionen[[#This Row],[Bearbeitungsdauer_abgewichen]]&gt;0.6,"viel länger",Lektionen[[#This Row],[Bearbeitungsdauer_abgewichen]]&gt;0.3,"länger",Lektionen[[#This Row],[Bearbeitungsdauer_abgewichen]]&lt;-0.3,"kürzer",TRUE,"keine Abweichung")</f>
        <v>länger</v>
      </c>
      <c r="I2185">
        <v>1</v>
      </c>
    </row>
    <row r="2186" spans="1:9" hidden="1" x14ac:dyDescent="0.3">
      <c r="A2186" s="13">
        <v>343</v>
      </c>
      <c r="B2186" s="4">
        <v>1</v>
      </c>
      <c r="C2186" t="s">
        <v>526</v>
      </c>
      <c r="D2186" t="s">
        <v>527</v>
      </c>
      <c r="E2186">
        <v>4</v>
      </c>
      <c r="F2186">
        <v>4</v>
      </c>
      <c r="G2186" s="8">
        <f>Lektionen[[#This Row],[Bearbeitungsdauer_real]]/Lektionen[[#This Row],[Bearbeitungsdauer_geschätzt]]-1</f>
        <v>0</v>
      </c>
      <c r="H2186" s="8" t="str" cm="1">
        <f t="array" ref="H2186">_xlfn.IFS(Lektionen[[#This Row],[Bearbeitungsdauer_abgewichen]]&gt;0.6,"viel länger",Lektionen[[#This Row],[Bearbeitungsdauer_abgewichen]]&gt;0.3,"länger",Lektionen[[#This Row],[Bearbeitungsdauer_abgewichen]]&lt;-0.3,"kürzer",TRUE,"keine Abweichung")</f>
        <v>keine Abweichung</v>
      </c>
      <c r="I2186">
        <v>1</v>
      </c>
    </row>
    <row r="2187" spans="1:9" hidden="1" x14ac:dyDescent="0.3">
      <c r="A2187" s="13">
        <v>343</v>
      </c>
      <c r="B2187" s="4">
        <v>2</v>
      </c>
      <c r="C2187" t="s">
        <v>528</v>
      </c>
      <c r="D2187" t="s">
        <v>529</v>
      </c>
      <c r="E2187">
        <v>15</v>
      </c>
      <c r="F2187">
        <v>16</v>
      </c>
      <c r="G2187" s="8">
        <f>Lektionen[[#This Row],[Bearbeitungsdauer_real]]/Lektionen[[#This Row],[Bearbeitungsdauer_geschätzt]]-1</f>
        <v>6.6666666666666652E-2</v>
      </c>
      <c r="H2187" s="8" t="str" cm="1">
        <f t="array" ref="H2187">_xlfn.IFS(Lektionen[[#This Row],[Bearbeitungsdauer_abgewichen]]&gt;0.6,"viel länger",Lektionen[[#This Row],[Bearbeitungsdauer_abgewichen]]&gt;0.3,"länger",Lektionen[[#This Row],[Bearbeitungsdauer_abgewichen]]&lt;-0.3,"kürzer",TRUE,"keine Abweichung")</f>
        <v>keine Abweichung</v>
      </c>
      <c r="I2187">
        <v>1</v>
      </c>
    </row>
    <row r="2188" spans="1:9" hidden="1" x14ac:dyDescent="0.3">
      <c r="A2188" s="13">
        <v>343</v>
      </c>
      <c r="B2188" s="4">
        <v>3</v>
      </c>
      <c r="C2188" t="s">
        <v>552</v>
      </c>
      <c r="D2188" t="s">
        <v>530</v>
      </c>
      <c r="E2188">
        <v>30</v>
      </c>
      <c r="F2188">
        <v>29</v>
      </c>
      <c r="G2188" s="8">
        <f>Lektionen[[#This Row],[Bearbeitungsdauer_real]]/Lektionen[[#This Row],[Bearbeitungsdauer_geschätzt]]-1</f>
        <v>-3.3333333333333326E-2</v>
      </c>
      <c r="H2188" s="8" t="str" cm="1">
        <f t="array" ref="H2188">_xlfn.IFS(Lektionen[[#This Row],[Bearbeitungsdauer_abgewichen]]&gt;0.6,"viel länger",Lektionen[[#This Row],[Bearbeitungsdauer_abgewichen]]&gt;0.3,"länger",Lektionen[[#This Row],[Bearbeitungsdauer_abgewichen]]&lt;-0.3,"kürzer",TRUE,"keine Abweichung")</f>
        <v>keine Abweichung</v>
      </c>
      <c r="I2188">
        <v>3</v>
      </c>
    </row>
    <row r="2189" spans="1:9" hidden="1" x14ac:dyDescent="0.3">
      <c r="A2189" s="13">
        <v>343</v>
      </c>
      <c r="B2189" s="4">
        <v>4</v>
      </c>
      <c r="C2189" t="s">
        <v>531</v>
      </c>
      <c r="D2189" t="s">
        <v>530</v>
      </c>
      <c r="E2189">
        <v>30</v>
      </c>
      <c r="F2189">
        <v>24</v>
      </c>
      <c r="G2189" s="8">
        <f>Lektionen[[#This Row],[Bearbeitungsdauer_real]]/Lektionen[[#This Row],[Bearbeitungsdauer_geschätzt]]-1</f>
        <v>-0.19999999999999996</v>
      </c>
      <c r="H2189" s="8" t="str" cm="1">
        <f t="array" ref="H2189">_xlfn.IFS(Lektionen[[#This Row],[Bearbeitungsdauer_abgewichen]]&gt;0.6,"viel länger",Lektionen[[#This Row],[Bearbeitungsdauer_abgewichen]]&gt;0.3,"länger",Lektionen[[#This Row],[Bearbeitungsdauer_abgewichen]]&lt;-0.3,"kürzer",TRUE,"keine Abweichung")</f>
        <v>keine Abweichung</v>
      </c>
      <c r="I2189">
        <v>3</v>
      </c>
    </row>
    <row r="2190" spans="1:9" x14ac:dyDescent="0.3">
      <c r="A2190" s="13">
        <v>343</v>
      </c>
      <c r="B2190" s="4">
        <v>5</v>
      </c>
      <c r="C2190" t="s">
        <v>532</v>
      </c>
      <c r="D2190" t="s">
        <v>530</v>
      </c>
      <c r="E2190">
        <v>30</v>
      </c>
      <c r="F2190">
        <v>48</v>
      </c>
      <c r="G2190" s="8">
        <f>Lektionen[[#This Row],[Bearbeitungsdauer_real]]/Lektionen[[#This Row],[Bearbeitungsdauer_geschätzt]]-1</f>
        <v>0.60000000000000009</v>
      </c>
      <c r="H2190" s="8" t="str" cm="1">
        <f t="array" ref="H2190">_xlfn.IFS(Lektionen[[#This Row],[Bearbeitungsdauer_abgewichen]]&gt;0.6,"viel länger",Lektionen[[#This Row],[Bearbeitungsdauer_abgewichen]]&gt;0.3,"länger",Lektionen[[#This Row],[Bearbeitungsdauer_abgewichen]]&lt;-0.3,"kürzer",TRUE,"keine Abweichung")</f>
        <v>länger</v>
      </c>
      <c r="I2190">
        <v>4</v>
      </c>
    </row>
    <row r="2191" spans="1:9" hidden="1" x14ac:dyDescent="0.3">
      <c r="A2191" s="13">
        <v>343</v>
      </c>
      <c r="B2191" s="4">
        <v>6</v>
      </c>
      <c r="C2191" t="s">
        <v>533</v>
      </c>
      <c r="D2191" t="s">
        <v>534</v>
      </c>
      <c r="E2191">
        <v>5</v>
      </c>
      <c r="F2191">
        <v>3</v>
      </c>
      <c r="G2191" s="8">
        <f>Lektionen[[#This Row],[Bearbeitungsdauer_real]]/Lektionen[[#This Row],[Bearbeitungsdauer_geschätzt]]-1</f>
        <v>-0.4</v>
      </c>
      <c r="H2191" s="8" t="str" cm="1">
        <f t="array" ref="H2191">_xlfn.IFS(Lektionen[[#This Row],[Bearbeitungsdauer_abgewichen]]&gt;0.6,"viel länger",Lektionen[[#This Row],[Bearbeitungsdauer_abgewichen]]&gt;0.3,"länger",Lektionen[[#This Row],[Bearbeitungsdauer_abgewichen]]&lt;-0.3,"kürzer",TRUE,"keine Abweichung")</f>
        <v>kürzer</v>
      </c>
      <c r="I2191">
        <v>2</v>
      </c>
    </row>
    <row r="2192" spans="1:9" hidden="1" x14ac:dyDescent="0.3">
      <c r="A2192" s="13">
        <v>343</v>
      </c>
      <c r="B2192" s="4">
        <v>7</v>
      </c>
      <c r="C2192" t="s">
        <v>535</v>
      </c>
      <c r="D2192" t="s">
        <v>536</v>
      </c>
      <c r="E2192">
        <v>10</v>
      </c>
      <c r="F2192">
        <v>8</v>
      </c>
      <c r="G2192" s="8">
        <f>Lektionen[[#This Row],[Bearbeitungsdauer_real]]/Lektionen[[#This Row],[Bearbeitungsdauer_geschätzt]]-1</f>
        <v>-0.19999999999999996</v>
      </c>
      <c r="H2192" s="8" t="str" cm="1">
        <f t="array" ref="H2192">_xlfn.IFS(Lektionen[[#This Row],[Bearbeitungsdauer_abgewichen]]&gt;0.6,"viel länger",Lektionen[[#This Row],[Bearbeitungsdauer_abgewichen]]&gt;0.3,"länger",Lektionen[[#This Row],[Bearbeitungsdauer_abgewichen]]&lt;-0.3,"kürzer",TRUE,"keine Abweichung")</f>
        <v>keine Abweichung</v>
      </c>
      <c r="I2192">
        <v>5</v>
      </c>
    </row>
    <row r="2193" spans="1:9" hidden="1" x14ac:dyDescent="0.3">
      <c r="A2193" s="13">
        <v>343</v>
      </c>
      <c r="B2193" s="4">
        <v>8</v>
      </c>
      <c r="C2193" t="s">
        <v>537</v>
      </c>
      <c r="D2193" t="s">
        <v>527</v>
      </c>
      <c r="E2193">
        <v>5</v>
      </c>
      <c r="F2193">
        <v>5</v>
      </c>
      <c r="G2193" s="8">
        <f>Lektionen[[#This Row],[Bearbeitungsdauer_real]]/Lektionen[[#This Row],[Bearbeitungsdauer_geschätzt]]-1</f>
        <v>0</v>
      </c>
      <c r="H2193" s="8" t="str" cm="1">
        <f t="array" ref="H2193">_xlfn.IFS(Lektionen[[#This Row],[Bearbeitungsdauer_abgewichen]]&gt;0.6,"viel länger",Lektionen[[#This Row],[Bearbeitungsdauer_abgewichen]]&gt;0.3,"länger",Lektionen[[#This Row],[Bearbeitungsdauer_abgewichen]]&lt;-0.3,"kürzer",TRUE,"keine Abweichung")</f>
        <v>keine Abweichung</v>
      </c>
      <c r="I2193">
        <v>1</v>
      </c>
    </row>
    <row r="2194" spans="1:9" hidden="1" x14ac:dyDescent="0.3">
      <c r="A2194" s="13">
        <v>345</v>
      </c>
      <c r="B2194" s="4">
        <v>1</v>
      </c>
      <c r="C2194" t="s">
        <v>526</v>
      </c>
      <c r="D2194" t="s">
        <v>527</v>
      </c>
      <c r="E2194">
        <v>4</v>
      </c>
      <c r="F2194">
        <v>4</v>
      </c>
      <c r="G2194" s="8">
        <f>Lektionen[[#This Row],[Bearbeitungsdauer_real]]/Lektionen[[#This Row],[Bearbeitungsdauer_geschätzt]]-1</f>
        <v>0</v>
      </c>
      <c r="H2194" s="8" t="str" cm="1">
        <f t="array" ref="H2194">_xlfn.IFS(Lektionen[[#This Row],[Bearbeitungsdauer_abgewichen]]&gt;0.6,"viel länger",Lektionen[[#This Row],[Bearbeitungsdauer_abgewichen]]&gt;0.3,"länger",Lektionen[[#This Row],[Bearbeitungsdauer_abgewichen]]&lt;-0.3,"kürzer",TRUE,"keine Abweichung")</f>
        <v>keine Abweichung</v>
      </c>
      <c r="I2194">
        <v>1</v>
      </c>
    </row>
    <row r="2195" spans="1:9" hidden="1" x14ac:dyDescent="0.3">
      <c r="A2195" s="13">
        <v>345</v>
      </c>
      <c r="B2195" s="4">
        <v>2</v>
      </c>
      <c r="C2195" t="s">
        <v>528</v>
      </c>
      <c r="D2195" t="s">
        <v>529</v>
      </c>
      <c r="E2195">
        <v>15</v>
      </c>
      <c r="F2195">
        <v>16</v>
      </c>
      <c r="G2195" s="8">
        <f>Lektionen[[#This Row],[Bearbeitungsdauer_real]]/Lektionen[[#This Row],[Bearbeitungsdauer_geschätzt]]-1</f>
        <v>6.6666666666666652E-2</v>
      </c>
      <c r="H2195" s="8" t="str" cm="1">
        <f t="array" ref="H2195">_xlfn.IFS(Lektionen[[#This Row],[Bearbeitungsdauer_abgewichen]]&gt;0.6,"viel länger",Lektionen[[#This Row],[Bearbeitungsdauer_abgewichen]]&gt;0.3,"länger",Lektionen[[#This Row],[Bearbeitungsdauer_abgewichen]]&lt;-0.3,"kürzer",TRUE,"keine Abweichung")</f>
        <v>keine Abweichung</v>
      </c>
      <c r="I2195">
        <v>1</v>
      </c>
    </row>
    <row r="2196" spans="1:9" hidden="1" x14ac:dyDescent="0.3">
      <c r="A2196" s="13">
        <v>345</v>
      </c>
      <c r="B2196" s="4">
        <v>3</v>
      </c>
      <c r="C2196" t="s">
        <v>552</v>
      </c>
      <c r="D2196" t="s">
        <v>530</v>
      </c>
      <c r="E2196">
        <v>30</v>
      </c>
      <c r="F2196">
        <v>27</v>
      </c>
      <c r="G2196" s="8">
        <f>Lektionen[[#This Row],[Bearbeitungsdauer_real]]/Lektionen[[#This Row],[Bearbeitungsdauer_geschätzt]]-1</f>
        <v>-9.9999999999999978E-2</v>
      </c>
      <c r="H2196" s="8" t="str" cm="1">
        <f t="array" ref="H2196">_xlfn.IFS(Lektionen[[#This Row],[Bearbeitungsdauer_abgewichen]]&gt;0.6,"viel länger",Lektionen[[#This Row],[Bearbeitungsdauer_abgewichen]]&gt;0.3,"länger",Lektionen[[#This Row],[Bearbeitungsdauer_abgewichen]]&lt;-0.3,"kürzer",TRUE,"keine Abweichung")</f>
        <v>keine Abweichung</v>
      </c>
      <c r="I2196">
        <v>3</v>
      </c>
    </row>
    <row r="2197" spans="1:9" hidden="1" x14ac:dyDescent="0.3">
      <c r="A2197" s="13">
        <v>345</v>
      </c>
      <c r="B2197" s="4">
        <v>4</v>
      </c>
      <c r="C2197" t="s">
        <v>531</v>
      </c>
      <c r="D2197" t="s">
        <v>530</v>
      </c>
      <c r="E2197">
        <v>30</v>
      </c>
      <c r="F2197">
        <v>25</v>
      </c>
      <c r="G2197" s="8">
        <f>Lektionen[[#This Row],[Bearbeitungsdauer_real]]/Lektionen[[#This Row],[Bearbeitungsdauer_geschätzt]]-1</f>
        <v>-0.16666666666666663</v>
      </c>
      <c r="H2197" s="8" t="str" cm="1">
        <f t="array" ref="H2197">_xlfn.IFS(Lektionen[[#This Row],[Bearbeitungsdauer_abgewichen]]&gt;0.6,"viel länger",Lektionen[[#This Row],[Bearbeitungsdauer_abgewichen]]&gt;0.3,"länger",Lektionen[[#This Row],[Bearbeitungsdauer_abgewichen]]&lt;-0.3,"kürzer",TRUE,"keine Abweichung")</f>
        <v>keine Abweichung</v>
      </c>
      <c r="I2197">
        <v>2</v>
      </c>
    </row>
    <row r="2198" spans="1:9" x14ac:dyDescent="0.3">
      <c r="A2198" s="13">
        <v>345</v>
      </c>
      <c r="B2198" s="4">
        <v>5</v>
      </c>
      <c r="C2198" t="s">
        <v>532</v>
      </c>
      <c r="D2198" t="s">
        <v>530</v>
      </c>
      <c r="E2198">
        <v>30</v>
      </c>
      <c r="F2198">
        <v>43</v>
      </c>
      <c r="G2198" s="8">
        <f>Lektionen[[#This Row],[Bearbeitungsdauer_real]]/Lektionen[[#This Row],[Bearbeitungsdauer_geschätzt]]-1</f>
        <v>0.43333333333333335</v>
      </c>
      <c r="H2198" s="8" t="str" cm="1">
        <f t="array" ref="H2198">_xlfn.IFS(Lektionen[[#This Row],[Bearbeitungsdauer_abgewichen]]&gt;0.6,"viel länger",Lektionen[[#This Row],[Bearbeitungsdauer_abgewichen]]&gt;0.3,"länger",Lektionen[[#This Row],[Bearbeitungsdauer_abgewichen]]&lt;-0.3,"kürzer",TRUE,"keine Abweichung")</f>
        <v>länger</v>
      </c>
      <c r="I2198">
        <v>4</v>
      </c>
    </row>
    <row r="2199" spans="1:9" hidden="1" x14ac:dyDescent="0.3">
      <c r="A2199" s="13">
        <v>345</v>
      </c>
      <c r="B2199" s="4">
        <v>6</v>
      </c>
      <c r="C2199" t="s">
        <v>533</v>
      </c>
      <c r="D2199" t="s">
        <v>534</v>
      </c>
      <c r="E2199">
        <v>5</v>
      </c>
      <c r="F2199">
        <v>1</v>
      </c>
      <c r="G2199" s="8">
        <f>Lektionen[[#This Row],[Bearbeitungsdauer_real]]/Lektionen[[#This Row],[Bearbeitungsdauer_geschätzt]]-1</f>
        <v>-0.8</v>
      </c>
      <c r="H2199" s="8" t="str" cm="1">
        <f t="array" ref="H2199">_xlfn.IFS(Lektionen[[#This Row],[Bearbeitungsdauer_abgewichen]]&gt;0.6,"viel länger",Lektionen[[#This Row],[Bearbeitungsdauer_abgewichen]]&gt;0.3,"länger",Lektionen[[#This Row],[Bearbeitungsdauer_abgewichen]]&lt;-0.3,"kürzer",TRUE,"keine Abweichung")</f>
        <v>kürzer</v>
      </c>
      <c r="I2199">
        <v>2</v>
      </c>
    </row>
    <row r="2200" spans="1:9" hidden="1" x14ac:dyDescent="0.3">
      <c r="A2200" s="13">
        <v>345</v>
      </c>
      <c r="B2200" s="4">
        <v>7</v>
      </c>
      <c r="C2200" t="s">
        <v>535</v>
      </c>
      <c r="D2200" t="s">
        <v>536</v>
      </c>
      <c r="E2200">
        <v>10</v>
      </c>
      <c r="F2200">
        <v>10</v>
      </c>
      <c r="G2200" s="8">
        <f>Lektionen[[#This Row],[Bearbeitungsdauer_real]]/Lektionen[[#This Row],[Bearbeitungsdauer_geschätzt]]-1</f>
        <v>0</v>
      </c>
      <c r="H2200" s="8" t="str" cm="1">
        <f t="array" ref="H2200">_xlfn.IFS(Lektionen[[#This Row],[Bearbeitungsdauer_abgewichen]]&gt;0.6,"viel länger",Lektionen[[#This Row],[Bearbeitungsdauer_abgewichen]]&gt;0.3,"länger",Lektionen[[#This Row],[Bearbeitungsdauer_abgewichen]]&lt;-0.3,"kürzer",TRUE,"keine Abweichung")</f>
        <v>keine Abweichung</v>
      </c>
      <c r="I2200">
        <v>4</v>
      </c>
    </row>
    <row r="2201" spans="1:9" hidden="1" x14ac:dyDescent="0.3">
      <c r="A2201" s="13">
        <v>345</v>
      </c>
      <c r="B2201" s="4">
        <v>8</v>
      </c>
      <c r="C2201" t="s">
        <v>537</v>
      </c>
      <c r="D2201" t="s">
        <v>527</v>
      </c>
      <c r="E2201">
        <v>5</v>
      </c>
      <c r="F2201">
        <v>5</v>
      </c>
      <c r="G2201" s="8">
        <f>Lektionen[[#This Row],[Bearbeitungsdauer_real]]/Lektionen[[#This Row],[Bearbeitungsdauer_geschätzt]]-1</f>
        <v>0</v>
      </c>
      <c r="H2201" s="8" t="str" cm="1">
        <f t="array" ref="H2201">_xlfn.IFS(Lektionen[[#This Row],[Bearbeitungsdauer_abgewichen]]&gt;0.6,"viel länger",Lektionen[[#This Row],[Bearbeitungsdauer_abgewichen]]&gt;0.3,"länger",Lektionen[[#This Row],[Bearbeitungsdauer_abgewichen]]&lt;-0.3,"kürzer",TRUE,"keine Abweichung")</f>
        <v>keine Abweichung</v>
      </c>
      <c r="I2201">
        <v>1</v>
      </c>
    </row>
    <row r="2202" spans="1:9" hidden="1" x14ac:dyDescent="0.3">
      <c r="A2202" s="13">
        <v>348</v>
      </c>
      <c r="B2202" s="4">
        <v>1</v>
      </c>
      <c r="C2202" t="s">
        <v>526</v>
      </c>
      <c r="D2202" t="s">
        <v>527</v>
      </c>
      <c r="E2202">
        <v>4</v>
      </c>
      <c r="F2202">
        <v>4</v>
      </c>
      <c r="G2202" s="8">
        <f>Lektionen[[#This Row],[Bearbeitungsdauer_real]]/Lektionen[[#This Row],[Bearbeitungsdauer_geschätzt]]-1</f>
        <v>0</v>
      </c>
      <c r="H2202" s="8" t="str" cm="1">
        <f t="array" ref="H2202">_xlfn.IFS(Lektionen[[#This Row],[Bearbeitungsdauer_abgewichen]]&gt;0.6,"viel länger",Lektionen[[#This Row],[Bearbeitungsdauer_abgewichen]]&gt;0.3,"länger",Lektionen[[#This Row],[Bearbeitungsdauer_abgewichen]]&lt;-0.3,"kürzer",TRUE,"keine Abweichung")</f>
        <v>keine Abweichung</v>
      </c>
      <c r="I2202">
        <v>1</v>
      </c>
    </row>
    <row r="2203" spans="1:9" hidden="1" x14ac:dyDescent="0.3">
      <c r="A2203" s="13">
        <v>348</v>
      </c>
      <c r="B2203" s="4">
        <v>2</v>
      </c>
      <c r="C2203" t="s">
        <v>528</v>
      </c>
      <c r="D2203" t="s">
        <v>529</v>
      </c>
      <c r="E2203">
        <v>15</v>
      </c>
      <c r="F2203">
        <v>16</v>
      </c>
      <c r="G2203" s="8">
        <f>Lektionen[[#This Row],[Bearbeitungsdauer_real]]/Lektionen[[#This Row],[Bearbeitungsdauer_geschätzt]]-1</f>
        <v>6.6666666666666652E-2</v>
      </c>
      <c r="H2203" s="8" t="str" cm="1">
        <f t="array" ref="H2203">_xlfn.IFS(Lektionen[[#This Row],[Bearbeitungsdauer_abgewichen]]&gt;0.6,"viel länger",Lektionen[[#This Row],[Bearbeitungsdauer_abgewichen]]&gt;0.3,"länger",Lektionen[[#This Row],[Bearbeitungsdauer_abgewichen]]&lt;-0.3,"kürzer",TRUE,"keine Abweichung")</f>
        <v>keine Abweichung</v>
      </c>
      <c r="I2203">
        <v>2</v>
      </c>
    </row>
    <row r="2204" spans="1:9" hidden="1" x14ac:dyDescent="0.3">
      <c r="A2204" s="13">
        <v>348</v>
      </c>
      <c r="B2204" s="4">
        <v>3</v>
      </c>
      <c r="C2204" t="s">
        <v>552</v>
      </c>
      <c r="D2204" t="s">
        <v>530</v>
      </c>
      <c r="E2204">
        <v>30</v>
      </c>
      <c r="F2204">
        <v>28</v>
      </c>
      <c r="G2204" s="8">
        <f>Lektionen[[#This Row],[Bearbeitungsdauer_real]]/Lektionen[[#This Row],[Bearbeitungsdauer_geschätzt]]-1</f>
        <v>-6.6666666666666652E-2</v>
      </c>
      <c r="H2204" s="8" t="str" cm="1">
        <f t="array" ref="H2204">_xlfn.IFS(Lektionen[[#This Row],[Bearbeitungsdauer_abgewichen]]&gt;0.6,"viel länger",Lektionen[[#This Row],[Bearbeitungsdauer_abgewichen]]&gt;0.3,"länger",Lektionen[[#This Row],[Bearbeitungsdauer_abgewichen]]&lt;-0.3,"kürzer",TRUE,"keine Abweichung")</f>
        <v>keine Abweichung</v>
      </c>
      <c r="I2204">
        <v>2</v>
      </c>
    </row>
    <row r="2205" spans="1:9" hidden="1" x14ac:dyDescent="0.3">
      <c r="A2205" s="13">
        <v>348</v>
      </c>
      <c r="B2205" s="4">
        <v>4</v>
      </c>
      <c r="C2205" t="s">
        <v>531</v>
      </c>
      <c r="D2205" t="s">
        <v>530</v>
      </c>
      <c r="E2205">
        <v>30</v>
      </c>
      <c r="F2205">
        <v>41</v>
      </c>
      <c r="G2205" s="8">
        <f>Lektionen[[#This Row],[Bearbeitungsdauer_real]]/Lektionen[[#This Row],[Bearbeitungsdauer_geschätzt]]-1</f>
        <v>0.3666666666666667</v>
      </c>
      <c r="H2205" s="8" t="str" cm="1">
        <f t="array" ref="H2205">_xlfn.IFS(Lektionen[[#This Row],[Bearbeitungsdauer_abgewichen]]&gt;0.6,"viel länger",Lektionen[[#This Row],[Bearbeitungsdauer_abgewichen]]&gt;0.3,"länger",Lektionen[[#This Row],[Bearbeitungsdauer_abgewichen]]&lt;-0.3,"kürzer",TRUE,"keine Abweichung")</f>
        <v>länger</v>
      </c>
      <c r="I2205">
        <v>4</v>
      </c>
    </row>
    <row r="2206" spans="1:9" x14ac:dyDescent="0.3">
      <c r="A2206" s="13">
        <v>348</v>
      </c>
      <c r="B2206" s="4">
        <v>5</v>
      </c>
      <c r="C2206" t="s">
        <v>532</v>
      </c>
      <c r="D2206" t="s">
        <v>530</v>
      </c>
      <c r="E2206">
        <v>30</v>
      </c>
      <c r="F2206">
        <v>43</v>
      </c>
      <c r="G2206" s="8">
        <f>Lektionen[[#This Row],[Bearbeitungsdauer_real]]/Lektionen[[#This Row],[Bearbeitungsdauer_geschätzt]]-1</f>
        <v>0.43333333333333335</v>
      </c>
      <c r="H2206" s="8" t="str" cm="1">
        <f t="array" ref="H2206">_xlfn.IFS(Lektionen[[#This Row],[Bearbeitungsdauer_abgewichen]]&gt;0.6,"viel länger",Lektionen[[#This Row],[Bearbeitungsdauer_abgewichen]]&gt;0.3,"länger",Lektionen[[#This Row],[Bearbeitungsdauer_abgewichen]]&lt;-0.3,"kürzer",TRUE,"keine Abweichung")</f>
        <v>länger</v>
      </c>
      <c r="I2206">
        <v>4</v>
      </c>
    </row>
    <row r="2207" spans="1:9" hidden="1" x14ac:dyDescent="0.3">
      <c r="A2207" s="13">
        <v>348</v>
      </c>
      <c r="B2207" s="4">
        <v>6</v>
      </c>
      <c r="C2207" t="s">
        <v>533</v>
      </c>
      <c r="D2207" t="s">
        <v>534</v>
      </c>
      <c r="E2207">
        <v>5</v>
      </c>
      <c r="F2207">
        <v>1</v>
      </c>
      <c r="G2207" s="8">
        <f>Lektionen[[#This Row],[Bearbeitungsdauer_real]]/Lektionen[[#This Row],[Bearbeitungsdauer_geschätzt]]-1</f>
        <v>-0.8</v>
      </c>
      <c r="H2207" s="8" t="str" cm="1">
        <f t="array" ref="H2207">_xlfn.IFS(Lektionen[[#This Row],[Bearbeitungsdauer_abgewichen]]&gt;0.6,"viel länger",Lektionen[[#This Row],[Bearbeitungsdauer_abgewichen]]&gt;0.3,"länger",Lektionen[[#This Row],[Bearbeitungsdauer_abgewichen]]&lt;-0.3,"kürzer",TRUE,"keine Abweichung")</f>
        <v>kürzer</v>
      </c>
      <c r="I2207">
        <v>2</v>
      </c>
    </row>
    <row r="2208" spans="1:9" hidden="1" x14ac:dyDescent="0.3">
      <c r="A2208" s="13">
        <v>348</v>
      </c>
      <c r="B2208" s="4">
        <v>7</v>
      </c>
      <c r="C2208" t="s">
        <v>535</v>
      </c>
      <c r="D2208" t="s">
        <v>536</v>
      </c>
      <c r="E2208">
        <v>10</v>
      </c>
      <c r="F2208">
        <v>9</v>
      </c>
      <c r="G2208" s="8">
        <f>Lektionen[[#This Row],[Bearbeitungsdauer_real]]/Lektionen[[#This Row],[Bearbeitungsdauer_geschätzt]]-1</f>
        <v>-9.9999999999999978E-2</v>
      </c>
      <c r="H2208" s="8" t="str" cm="1">
        <f t="array" ref="H2208">_xlfn.IFS(Lektionen[[#This Row],[Bearbeitungsdauer_abgewichen]]&gt;0.6,"viel länger",Lektionen[[#This Row],[Bearbeitungsdauer_abgewichen]]&gt;0.3,"länger",Lektionen[[#This Row],[Bearbeitungsdauer_abgewichen]]&lt;-0.3,"kürzer",TRUE,"keine Abweichung")</f>
        <v>keine Abweichung</v>
      </c>
      <c r="I2208">
        <v>3</v>
      </c>
    </row>
    <row r="2209" spans="1:9" hidden="1" x14ac:dyDescent="0.3">
      <c r="A2209" s="13">
        <v>348</v>
      </c>
      <c r="B2209" s="4">
        <v>8</v>
      </c>
      <c r="C2209" t="s">
        <v>537</v>
      </c>
      <c r="D2209" t="s">
        <v>527</v>
      </c>
      <c r="E2209">
        <v>5</v>
      </c>
      <c r="F2209">
        <v>5</v>
      </c>
      <c r="G2209" s="8">
        <f>Lektionen[[#This Row],[Bearbeitungsdauer_real]]/Lektionen[[#This Row],[Bearbeitungsdauer_geschätzt]]-1</f>
        <v>0</v>
      </c>
      <c r="H2209" s="8" t="str" cm="1">
        <f t="array" ref="H2209">_xlfn.IFS(Lektionen[[#This Row],[Bearbeitungsdauer_abgewichen]]&gt;0.6,"viel länger",Lektionen[[#This Row],[Bearbeitungsdauer_abgewichen]]&gt;0.3,"länger",Lektionen[[#This Row],[Bearbeitungsdauer_abgewichen]]&lt;-0.3,"kürzer",TRUE,"keine Abweichung")</f>
        <v>keine Abweichung</v>
      </c>
      <c r="I2209">
        <v>1</v>
      </c>
    </row>
    <row r="2210" spans="1:9" hidden="1" x14ac:dyDescent="0.3">
      <c r="A2210" s="13">
        <v>349</v>
      </c>
      <c r="B2210" s="4">
        <v>1</v>
      </c>
      <c r="C2210" t="s">
        <v>526</v>
      </c>
      <c r="D2210" t="s">
        <v>527</v>
      </c>
      <c r="E2210">
        <v>4</v>
      </c>
      <c r="F2210">
        <v>4</v>
      </c>
      <c r="G2210" s="8">
        <f>Lektionen[[#This Row],[Bearbeitungsdauer_real]]/Lektionen[[#This Row],[Bearbeitungsdauer_geschätzt]]-1</f>
        <v>0</v>
      </c>
      <c r="H2210" s="8" t="str" cm="1">
        <f t="array" ref="H2210">_xlfn.IFS(Lektionen[[#This Row],[Bearbeitungsdauer_abgewichen]]&gt;0.6,"viel länger",Lektionen[[#This Row],[Bearbeitungsdauer_abgewichen]]&gt;0.3,"länger",Lektionen[[#This Row],[Bearbeitungsdauer_abgewichen]]&lt;-0.3,"kürzer",TRUE,"keine Abweichung")</f>
        <v>keine Abweichung</v>
      </c>
      <c r="I2210">
        <v>1</v>
      </c>
    </row>
    <row r="2211" spans="1:9" hidden="1" x14ac:dyDescent="0.3">
      <c r="A2211" s="13">
        <v>349</v>
      </c>
      <c r="B2211" s="4">
        <v>2</v>
      </c>
      <c r="C2211" t="s">
        <v>528</v>
      </c>
      <c r="D2211" t="s">
        <v>529</v>
      </c>
      <c r="E2211">
        <v>15</v>
      </c>
      <c r="F2211">
        <v>15</v>
      </c>
      <c r="G2211" s="8">
        <f>Lektionen[[#This Row],[Bearbeitungsdauer_real]]/Lektionen[[#This Row],[Bearbeitungsdauer_geschätzt]]-1</f>
        <v>0</v>
      </c>
      <c r="H2211" s="8" t="str" cm="1">
        <f t="array" ref="H2211">_xlfn.IFS(Lektionen[[#This Row],[Bearbeitungsdauer_abgewichen]]&gt;0.6,"viel länger",Lektionen[[#This Row],[Bearbeitungsdauer_abgewichen]]&gt;0.3,"länger",Lektionen[[#This Row],[Bearbeitungsdauer_abgewichen]]&lt;-0.3,"kürzer",TRUE,"keine Abweichung")</f>
        <v>keine Abweichung</v>
      </c>
      <c r="I2211">
        <v>1</v>
      </c>
    </row>
    <row r="2212" spans="1:9" hidden="1" x14ac:dyDescent="0.3">
      <c r="A2212" s="13">
        <v>349</v>
      </c>
      <c r="B2212" s="4">
        <v>3</v>
      </c>
      <c r="C2212" t="s">
        <v>552</v>
      </c>
      <c r="D2212" t="s">
        <v>530</v>
      </c>
      <c r="E2212">
        <v>30</v>
      </c>
      <c r="F2212">
        <v>28</v>
      </c>
      <c r="G2212" s="8">
        <f>Lektionen[[#This Row],[Bearbeitungsdauer_real]]/Lektionen[[#This Row],[Bearbeitungsdauer_geschätzt]]-1</f>
        <v>-6.6666666666666652E-2</v>
      </c>
      <c r="H2212" s="8" t="str" cm="1">
        <f t="array" ref="H2212">_xlfn.IFS(Lektionen[[#This Row],[Bearbeitungsdauer_abgewichen]]&gt;0.6,"viel länger",Lektionen[[#This Row],[Bearbeitungsdauer_abgewichen]]&gt;0.3,"länger",Lektionen[[#This Row],[Bearbeitungsdauer_abgewichen]]&lt;-0.3,"kürzer",TRUE,"keine Abweichung")</f>
        <v>keine Abweichung</v>
      </c>
      <c r="I2212">
        <v>3</v>
      </c>
    </row>
    <row r="2213" spans="1:9" hidden="1" x14ac:dyDescent="0.3">
      <c r="A2213" s="13">
        <v>349</v>
      </c>
      <c r="B2213" s="4">
        <v>4</v>
      </c>
      <c r="C2213" t="s">
        <v>531</v>
      </c>
      <c r="D2213" t="s">
        <v>530</v>
      </c>
      <c r="E2213">
        <v>30</v>
      </c>
      <c r="F2213">
        <v>28</v>
      </c>
      <c r="G2213" s="8">
        <f>Lektionen[[#This Row],[Bearbeitungsdauer_real]]/Lektionen[[#This Row],[Bearbeitungsdauer_geschätzt]]-1</f>
        <v>-6.6666666666666652E-2</v>
      </c>
      <c r="H2213" s="8" t="str" cm="1">
        <f t="array" ref="H2213">_xlfn.IFS(Lektionen[[#This Row],[Bearbeitungsdauer_abgewichen]]&gt;0.6,"viel länger",Lektionen[[#This Row],[Bearbeitungsdauer_abgewichen]]&gt;0.3,"länger",Lektionen[[#This Row],[Bearbeitungsdauer_abgewichen]]&lt;-0.3,"kürzer",TRUE,"keine Abweichung")</f>
        <v>keine Abweichung</v>
      </c>
      <c r="I2213">
        <v>4</v>
      </c>
    </row>
    <row r="2214" spans="1:9" x14ac:dyDescent="0.3">
      <c r="A2214" s="13">
        <v>349</v>
      </c>
      <c r="B2214" s="4">
        <v>5</v>
      </c>
      <c r="C2214" t="s">
        <v>532</v>
      </c>
      <c r="D2214" t="s">
        <v>530</v>
      </c>
      <c r="E2214">
        <v>30</v>
      </c>
      <c r="F2214">
        <v>42</v>
      </c>
      <c r="G2214" s="8">
        <f>Lektionen[[#This Row],[Bearbeitungsdauer_real]]/Lektionen[[#This Row],[Bearbeitungsdauer_geschätzt]]-1</f>
        <v>0.39999999999999991</v>
      </c>
      <c r="H2214" s="8" t="str" cm="1">
        <f t="array" ref="H2214">_xlfn.IFS(Lektionen[[#This Row],[Bearbeitungsdauer_abgewichen]]&gt;0.6,"viel länger",Lektionen[[#This Row],[Bearbeitungsdauer_abgewichen]]&gt;0.3,"länger",Lektionen[[#This Row],[Bearbeitungsdauer_abgewichen]]&lt;-0.3,"kürzer",TRUE,"keine Abweichung")</f>
        <v>länger</v>
      </c>
      <c r="I2214">
        <v>5</v>
      </c>
    </row>
    <row r="2215" spans="1:9" hidden="1" x14ac:dyDescent="0.3">
      <c r="A2215" s="13">
        <v>349</v>
      </c>
      <c r="B2215" s="4">
        <v>6</v>
      </c>
      <c r="C2215" t="s">
        <v>533</v>
      </c>
      <c r="D2215" t="s">
        <v>534</v>
      </c>
      <c r="E2215">
        <v>5</v>
      </c>
      <c r="F2215">
        <v>3</v>
      </c>
      <c r="G2215" s="8">
        <f>Lektionen[[#This Row],[Bearbeitungsdauer_real]]/Lektionen[[#This Row],[Bearbeitungsdauer_geschätzt]]-1</f>
        <v>-0.4</v>
      </c>
      <c r="H2215" s="8" t="str" cm="1">
        <f t="array" ref="H2215">_xlfn.IFS(Lektionen[[#This Row],[Bearbeitungsdauer_abgewichen]]&gt;0.6,"viel länger",Lektionen[[#This Row],[Bearbeitungsdauer_abgewichen]]&gt;0.3,"länger",Lektionen[[#This Row],[Bearbeitungsdauer_abgewichen]]&lt;-0.3,"kürzer",TRUE,"keine Abweichung")</f>
        <v>kürzer</v>
      </c>
      <c r="I2215">
        <v>1</v>
      </c>
    </row>
    <row r="2216" spans="1:9" hidden="1" x14ac:dyDescent="0.3">
      <c r="A2216" s="13">
        <v>349</v>
      </c>
      <c r="B2216" s="4">
        <v>7</v>
      </c>
      <c r="C2216" t="s">
        <v>535</v>
      </c>
      <c r="D2216" t="s">
        <v>536</v>
      </c>
      <c r="E2216">
        <v>10</v>
      </c>
      <c r="F2216">
        <v>10</v>
      </c>
      <c r="G2216" s="8">
        <f>Lektionen[[#This Row],[Bearbeitungsdauer_real]]/Lektionen[[#This Row],[Bearbeitungsdauer_geschätzt]]-1</f>
        <v>0</v>
      </c>
      <c r="H2216" s="8" t="str" cm="1">
        <f t="array" ref="H2216">_xlfn.IFS(Lektionen[[#This Row],[Bearbeitungsdauer_abgewichen]]&gt;0.6,"viel länger",Lektionen[[#This Row],[Bearbeitungsdauer_abgewichen]]&gt;0.3,"länger",Lektionen[[#This Row],[Bearbeitungsdauer_abgewichen]]&lt;-0.3,"kürzer",TRUE,"keine Abweichung")</f>
        <v>keine Abweichung</v>
      </c>
      <c r="I2216">
        <v>4</v>
      </c>
    </row>
    <row r="2217" spans="1:9" hidden="1" x14ac:dyDescent="0.3">
      <c r="A2217" s="13">
        <v>349</v>
      </c>
      <c r="B2217" s="4">
        <v>8</v>
      </c>
      <c r="C2217" t="s">
        <v>537</v>
      </c>
      <c r="D2217" t="s">
        <v>527</v>
      </c>
      <c r="E2217">
        <v>5</v>
      </c>
      <c r="F2217">
        <v>5</v>
      </c>
      <c r="G2217" s="8">
        <f>Lektionen[[#This Row],[Bearbeitungsdauer_real]]/Lektionen[[#This Row],[Bearbeitungsdauer_geschätzt]]-1</f>
        <v>0</v>
      </c>
      <c r="H2217" s="8" t="str" cm="1">
        <f t="array" ref="H2217">_xlfn.IFS(Lektionen[[#This Row],[Bearbeitungsdauer_abgewichen]]&gt;0.6,"viel länger",Lektionen[[#This Row],[Bearbeitungsdauer_abgewichen]]&gt;0.3,"länger",Lektionen[[#This Row],[Bearbeitungsdauer_abgewichen]]&lt;-0.3,"kürzer",TRUE,"keine Abweichung")</f>
        <v>keine Abweichung</v>
      </c>
      <c r="I2217">
        <v>2</v>
      </c>
    </row>
    <row r="2218" spans="1:9" hidden="1" x14ac:dyDescent="0.3">
      <c r="A2218" s="13">
        <v>350</v>
      </c>
      <c r="B2218" s="4">
        <v>1</v>
      </c>
      <c r="C2218" t="s">
        <v>526</v>
      </c>
      <c r="D2218" t="s">
        <v>527</v>
      </c>
      <c r="E2218">
        <v>4</v>
      </c>
      <c r="F2218">
        <v>4</v>
      </c>
      <c r="G2218" s="8">
        <f>Lektionen[[#This Row],[Bearbeitungsdauer_real]]/Lektionen[[#This Row],[Bearbeitungsdauer_geschätzt]]-1</f>
        <v>0</v>
      </c>
      <c r="H2218" s="8" t="str" cm="1">
        <f t="array" ref="H2218">_xlfn.IFS(Lektionen[[#This Row],[Bearbeitungsdauer_abgewichen]]&gt;0.6,"viel länger",Lektionen[[#This Row],[Bearbeitungsdauer_abgewichen]]&gt;0.3,"länger",Lektionen[[#This Row],[Bearbeitungsdauer_abgewichen]]&lt;-0.3,"kürzer",TRUE,"keine Abweichung")</f>
        <v>keine Abweichung</v>
      </c>
      <c r="I2218">
        <v>1</v>
      </c>
    </row>
    <row r="2219" spans="1:9" hidden="1" x14ac:dyDescent="0.3">
      <c r="A2219" s="13">
        <v>350</v>
      </c>
      <c r="B2219" s="4">
        <v>2</v>
      </c>
      <c r="C2219" t="s">
        <v>528</v>
      </c>
      <c r="D2219" t="s">
        <v>529</v>
      </c>
      <c r="E2219">
        <v>15</v>
      </c>
      <c r="F2219">
        <v>15</v>
      </c>
      <c r="G2219" s="8">
        <f>Lektionen[[#This Row],[Bearbeitungsdauer_real]]/Lektionen[[#This Row],[Bearbeitungsdauer_geschätzt]]-1</f>
        <v>0</v>
      </c>
      <c r="H2219" s="8" t="str" cm="1">
        <f t="array" ref="H2219">_xlfn.IFS(Lektionen[[#This Row],[Bearbeitungsdauer_abgewichen]]&gt;0.6,"viel länger",Lektionen[[#This Row],[Bearbeitungsdauer_abgewichen]]&gt;0.3,"länger",Lektionen[[#This Row],[Bearbeitungsdauer_abgewichen]]&lt;-0.3,"kürzer",TRUE,"keine Abweichung")</f>
        <v>keine Abweichung</v>
      </c>
      <c r="I2219">
        <v>1</v>
      </c>
    </row>
    <row r="2220" spans="1:9" hidden="1" x14ac:dyDescent="0.3">
      <c r="A2220" s="13">
        <v>350</v>
      </c>
      <c r="B2220" s="4">
        <v>3</v>
      </c>
      <c r="C2220" t="s">
        <v>552</v>
      </c>
      <c r="D2220" t="s">
        <v>530</v>
      </c>
      <c r="E2220">
        <v>30</v>
      </c>
      <c r="F2220">
        <v>27</v>
      </c>
      <c r="G2220" s="8">
        <f>Lektionen[[#This Row],[Bearbeitungsdauer_real]]/Lektionen[[#This Row],[Bearbeitungsdauer_geschätzt]]-1</f>
        <v>-9.9999999999999978E-2</v>
      </c>
      <c r="H2220" s="8" t="str" cm="1">
        <f t="array" ref="H2220">_xlfn.IFS(Lektionen[[#This Row],[Bearbeitungsdauer_abgewichen]]&gt;0.6,"viel länger",Lektionen[[#This Row],[Bearbeitungsdauer_abgewichen]]&gt;0.3,"länger",Lektionen[[#This Row],[Bearbeitungsdauer_abgewichen]]&lt;-0.3,"kürzer",TRUE,"keine Abweichung")</f>
        <v>keine Abweichung</v>
      </c>
      <c r="I2220">
        <v>2</v>
      </c>
    </row>
    <row r="2221" spans="1:9" hidden="1" x14ac:dyDescent="0.3">
      <c r="A2221" s="13">
        <v>350</v>
      </c>
      <c r="B2221" s="4">
        <v>4</v>
      </c>
      <c r="C2221" t="s">
        <v>531</v>
      </c>
      <c r="D2221" t="s">
        <v>530</v>
      </c>
      <c r="E2221">
        <v>30</v>
      </c>
      <c r="F2221">
        <v>23</v>
      </c>
      <c r="G2221" s="8">
        <f>Lektionen[[#This Row],[Bearbeitungsdauer_real]]/Lektionen[[#This Row],[Bearbeitungsdauer_geschätzt]]-1</f>
        <v>-0.23333333333333328</v>
      </c>
      <c r="H2221" s="8" t="str" cm="1">
        <f t="array" ref="H2221">_xlfn.IFS(Lektionen[[#This Row],[Bearbeitungsdauer_abgewichen]]&gt;0.6,"viel länger",Lektionen[[#This Row],[Bearbeitungsdauer_abgewichen]]&gt;0.3,"länger",Lektionen[[#This Row],[Bearbeitungsdauer_abgewichen]]&lt;-0.3,"kürzer",TRUE,"keine Abweichung")</f>
        <v>keine Abweichung</v>
      </c>
      <c r="I2221">
        <v>2</v>
      </c>
    </row>
    <row r="2222" spans="1:9" x14ac:dyDescent="0.3">
      <c r="A2222" s="13">
        <v>350</v>
      </c>
      <c r="B2222" s="4">
        <v>5</v>
      </c>
      <c r="C2222" t="s">
        <v>532</v>
      </c>
      <c r="D2222" t="s">
        <v>530</v>
      </c>
      <c r="E2222">
        <v>30</v>
      </c>
      <c r="F2222">
        <v>53</v>
      </c>
      <c r="G2222" s="8">
        <f>Lektionen[[#This Row],[Bearbeitungsdauer_real]]/Lektionen[[#This Row],[Bearbeitungsdauer_geschätzt]]-1</f>
        <v>0.76666666666666661</v>
      </c>
      <c r="H2222" s="8" t="str" cm="1">
        <f t="array" ref="H2222">_xlfn.IFS(Lektionen[[#This Row],[Bearbeitungsdauer_abgewichen]]&gt;0.6,"viel länger",Lektionen[[#This Row],[Bearbeitungsdauer_abgewichen]]&gt;0.3,"länger",Lektionen[[#This Row],[Bearbeitungsdauer_abgewichen]]&lt;-0.3,"kürzer",TRUE,"keine Abweichung")</f>
        <v>viel länger</v>
      </c>
      <c r="I2222">
        <v>3</v>
      </c>
    </row>
    <row r="2223" spans="1:9" hidden="1" x14ac:dyDescent="0.3">
      <c r="A2223" s="13">
        <v>350</v>
      </c>
      <c r="B2223" s="4">
        <v>6</v>
      </c>
      <c r="C2223" t="s">
        <v>533</v>
      </c>
      <c r="D2223" t="s">
        <v>534</v>
      </c>
      <c r="E2223">
        <v>5</v>
      </c>
      <c r="F2223">
        <v>3</v>
      </c>
      <c r="G2223" s="8">
        <f>Lektionen[[#This Row],[Bearbeitungsdauer_real]]/Lektionen[[#This Row],[Bearbeitungsdauer_geschätzt]]-1</f>
        <v>-0.4</v>
      </c>
      <c r="H2223" s="8" t="str" cm="1">
        <f t="array" ref="H2223">_xlfn.IFS(Lektionen[[#This Row],[Bearbeitungsdauer_abgewichen]]&gt;0.6,"viel länger",Lektionen[[#This Row],[Bearbeitungsdauer_abgewichen]]&gt;0.3,"länger",Lektionen[[#This Row],[Bearbeitungsdauer_abgewichen]]&lt;-0.3,"kürzer",TRUE,"keine Abweichung")</f>
        <v>kürzer</v>
      </c>
      <c r="I2223">
        <v>2</v>
      </c>
    </row>
    <row r="2224" spans="1:9" hidden="1" x14ac:dyDescent="0.3">
      <c r="A2224" s="13">
        <v>350</v>
      </c>
      <c r="B2224" s="4">
        <v>7</v>
      </c>
      <c r="C2224" t="s">
        <v>535</v>
      </c>
      <c r="D2224" t="s">
        <v>536</v>
      </c>
      <c r="E2224">
        <v>10</v>
      </c>
      <c r="F2224">
        <v>8</v>
      </c>
      <c r="G2224" s="8">
        <f>Lektionen[[#This Row],[Bearbeitungsdauer_real]]/Lektionen[[#This Row],[Bearbeitungsdauer_geschätzt]]-1</f>
        <v>-0.19999999999999996</v>
      </c>
      <c r="H2224" s="8" t="str" cm="1">
        <f t="array" ref="H2224">_xlfn.IFS(Lektionen[[#This Row],[Bearbeitungsdauer_abgewichen]]&gt;0.6,"viel länger",Lektionen[[#This Row],[Bearbeitungsdauer_abgewichen]]&gt;0.3,"länger",Lektionen[[#This Row],[Bearbeitungsdauer_abgewichen]]&lt;-0.3,"kürzer",TRUE,"keine Abweichung")</f>
        <v>keine Abweichung</v>
      </c>
      <c r="I2224">
        <v>3</v>
      </c>
    </row>
    <row r="2225" spans="1:9" hidden="1" x14ac:dyDescent="0.3">
      <c r="A2225" s="13">
        <v>350</v>
      </c>
      <c r="B2225" s="4">
        <v>8</v>
      </c>
      <c r="C2225" t="s">
        <v>537</v>
      </c>
      <c r="D2225" t="s">
        <v>527</v>
      </c>
      <c r="E2225">
        <v>5</v>
      </c>
      <c r="F2225">
        <v>5</v>
      </c>
      <c r="G2225" s="8">
        <f>Lektionen[[#This Row],[Bearbeitungsdauer_real]]/Lektionen[[#This Row],[Bearbeitungsdauer_geschätzt]]-1</f>
        <v>0</v>
      </c>
      <c r="H2225" s="8" t="str" cm="1">
        <f t="array" ref="H2225">_xlfn.IFS(Lektionen[[#This Row],[Bearbeitungsdauer_abgewichen]]&gt;0.6,"viel länger",Lektionen[[#This Row],[Bearbeitungsdauer_abgewichen]]&gt;0.3,"länger",Lektionen[[#This Row],[Bearbeitungsdauer_abgewichen]]&lt;-0.3,"kürzer",TRUE,"keine Abweichung")</f>
        <v>keine Abweichung</v>
      </c>
      <c r="I2225">
        <v>1</v>
      </c>
    </row>
    <row r="2226" spans="1:9" hidden="1" x14ac:dyDescent="0.3">
      <c r="A2226" s="13">
        <v>351</v>
      </c>
      <c r="B2226" s="4">
        <v>1</v>
      </c>
      <c r="C2226" t="s">
        <v>526</v>
      </c>
      <c r="D2226" t="s">
        <v>527</v>
      </c>
      <c r="E2226">
        <v>4</v>
      </c>
      <c r="F2226">
        <v>4</v>
      </c>
      <c r="G2226" s="8">
        <f>Lektionen[[#This Row],[Bearbeitungsdauer_real]]/Lektionen[[#This Row],[Bearbeitungsdauer_geschätzt]]-1</f>
        <v>0</v>
      </c>
      <c r="H2226" s="8" t="str" cm="1">
        <f t="array" ref="H2226">_xlfn.IFS(Lektionen[[#This Row],[Bearbeitungsdauer_abgewichen]]&gt;0.6,"viel länger",Lektionen[[#This Row],[Bearbeitungsdauer_abgewichen]]&gt;0.3,"länger",Lektionen[[#This Row],[Bearbeitungsdauer_abgewichen]]&lt;-0.3,"kürzer",TRUE,"keine Abweichung")</f>
        <v>keine Abweichung</v>
      </c>
      <c r="I2226">
        <v>1</v>
      </c>
    </row>
    <row r="2227" spans="1:9" hidden="1" x14ac:dyDescent="0.3">
      <c r="A2227" s="13">
        <v>351</v>
      </c>
      <c r="B2227" s="4">
        <v>2</v>
      </c>
      <c r="C2227" t="s">
        <v>528</v>
      </c>
      <c r="D2227" t="s">
        <v>529</v>
      </c>
      <c r="E2227">
        <v>15</v>
      </c>
      <c r="F2227">
        <v>16</v>
      </c>
      <c r="G2227" s="8">
        <f>Lektionen[[#This Row],[Bearbeitungsdauer_real]]/Lektionen[[#This Row],[Bearbeitungsdauer_geschätzt]]-1</f>
        <v>6.6666666666666652E-2</v>
      </c>
      <c r="H2227" s="8" t="str" cm="1">
        <f t="array" ref="H2227">_xlfn.IFS(Lektionen[[#This Row],[Bearbeitungsdauer_abgewichen]]&gt;0.6,"viel länger",Lektionen[[#This Row],[Bearbeitungsdauer_abgewichen]]&gt;0.3,"länger",Lektionen[[#This Row],[Bearbeitungsdauer_abgewichen]]&lt;-0.3,"kürzer",TRUE,"keine Abweichung")</f>
        <v>keine Abweichung</v>
      </c>
      <c r="I2227">
        <v>2</v>
      </c>
    </row>
    <row r="2228" spans="1:9" hidden="1" x14ac:dyDescent="0.3">
      <c r="A2228" s="13">
        <v>351</v>
      </c>
      <c r="B2228" s="4">
        <v>3</v>
      </c>
      <c r="C2228" t="s">
        <v>552</v>
      </c>
      <c r="D2228" t="s">
        <v>530</v>
      </c>
      <c r="E2228">
        <v>30</v>
      </c>
      <c r="F2228">
        <v>27</v>
      </c>
      <c r="G2228" s="8">
        <f>Lektionen[[#This Row],[Bearbeitungsdauer_real]]/Lektionen[[#This Row],[Bearbeitungsdauer_geschätzt]]-1</f>
        <v>-9.9999999999999978E-2</v>
      </c>
      <c r="H2228" s="8" t="str" cm="1">
        <f t="array" ref="H2228">_xlfn.IFS(Lektionen[[#This Row],[Bearbeitungsdauer_abgewichen]]&gt;0.6,"viel länger",Lektionen[[#This Row],[Bearbeitungsdauer_abgewichen]]&gt;0.3,"länger",Lektionen[[#This Row],[Bearbeitungsdauer_abgewichen]]&lt;-0.3,"kürzer",TRUE,"keine Abweichung")</f>
        <v>keine Abweichung</v>
      </c>
      <c r="I2228">
        <v>3</v>
      </c>
    </row>
    <row r="2229" spans="1:9" hidden="1" x14ac:dyDescent="0.3">
      <c r="A2229" s="13">
        <v>351</v>
      </c>
      <c r="B2229" s="4">
        <v>4</v>
      </c>
      <c r="C2229" t="s">
        <v>531</v>
      </c>
      <c r="D2229" t="s">
        <v>530</v>
      </c>
      <c r="E2229">
        <v>30</v>
      </c>
      <c r="F2229">
        <v>32</v>
      </c>
      <c r="G2229" s="8">
        <f>Lektionen[[#This Row],[Bearbeitungsdauer_real]]/Lektionen[[#This Row],[Bearbeitungsdauer_geschätzt]]-1</f>
        <v>6.6666666666666652E-2</v>
      </c>
      <c r="H2229" s="8" t="str" cm="1">
        <f t="array" ref="H2229">_xlfn.IFS(Lektionen[[#This Row],[Bearbeitungsdauer_abgewichen]]&gt;0.6,"viel länger",Lektionen[[#This Row],[Bearbeitungsdauer_abgewichen]]&gt;0.3,"länger",Lektionen[[#This Row],[Bearbeitungsdauer_abgewichen]]&lt;-0.3,"kürzer",TRUE,"keine Abweichung")</f>
        <v>keine Abweichung</v>
      </c>
      <c r="I2229">
        <v>3</v>
      </c>
    </row>
    <row r="2230" spans="1:9" x14ac:dyDescent="0.3">
      <c r="A2230" s="13">
        <v>351</v>
      </c>
      <c r="B2230" s="4">
        <v>5</v>
      </c>
      <c r="C2230" t="s">
        <v>532</v>
      </c>
      <c r="D2230" t="s">
        <v>530</v>
      </c>
      <c r="E2230">
        <v>30</v>
      </c>
      <c r="F2230">
        <v>43</v>
      </c>
      <c r="G2230" s="8">
        <f>Lektionen[[#This Row],[Bearbeitungsdauer_real]]/Lektionen[[#This Row],[Bearbeitungsdauer_geschätzt]]-1</f>
        <v>0.43333333333333335</v>
      </c>
      <c r="H2230" s="8" t="str" cm="1">
        <f t="array" ref="H2230">_xlfn.IFS(Lektionen[[#This Row],[Bearbeitungsdauer_abgewichen]]&gt;0.6,"viel länger",Lektionen[[#This Row],[Bearbeitungsdauer_abgewichen]]&gt;0.3,"länger",Lektionen[[#This Row],[Bearbeitungsdauer_abgewichen]]&lt;-0.3,"kürzer",TRUE,"keine Abweichung")</f>
        <v>länger</v>
      </c>
      <c r="I2230">
        <v>4</v>
      </c>
    </row>
    <row r="2231" spans="1:9" hidden="1" x14ac:dyDescent="0.3">
      <c r="A2231" s="13">
        <v>351</v>
      </c>
      <c r="B2231" s="4">
        <v>6</v>
      </c>
      <c r="C2231" t="s">
        <v>533</v>
      </c>
      <c r="D2231" t="s">
        <v>534</v>
      </c>
      <c r="E2231">
        <v>5</v>
      </c>
      <c r="F2231">
        <v>2</v>
      </c>
      <c r="G2231" s="8">
        <f>Lektionen[[#This Row],[Bearbeitungsdauer_real]]/Lektionen[[#This Row],[Bearbeitungsdauer_geschätzt]]-1</f>
        <v>-0.6</v>
      </c>
      <c r="H2231" s="8" t="str" cm="1">
        <f t="array" ref="H2231">_xlfn.IFS(Lektionen[[#This Row],[Bearbeitungsdauer_abgewichen]]&gt;0.6,"viel länger",Lektionen[[#This Row],[Bearbeitungsdauer_abgewichen]]&gt;0.3,"länger",Lektionen[[#This Row],[Bearbeitungsdauer_abgewichen]]&lt;-0.3,"kürzer",TRUE,"keine Abweichung")</f>
        <v>kürzer</v>
      </c>
      <c r="I2231">
        <v>2</v>
      </c>
    </row>
    <row r="2232" spans="1:9" hidden="1" x14ac:dyDescent="0.3">
      <c r="A2232" s="13">
        <v>351</v>
      </c>
      <c r="B2232" s="4">
        <v>7</v>
      </c>
      <c r="C2232" t="s">
        <v>535</v>
      </c>
      <c r="D2232" t="s">
        <v>536</v>
      </c>
      <c r="E2232">
        <v>10</v>
      </c>
      <c r="F2232">
        <v>9</v>
      </c>
      <c r="G2232" s="8">
        <f>Lektionen[[#This Row],[Bearbeitungsdauer_real]]/Lektionen[[#This Row],[Bearbeitungsdauer_geschätzt]]-1</f>
        <v>-9.9999999999999978E-2</v>
      </c>
      <c r="H2232" s="8" t="str" cm="1">
        <f t="array" ref="H2232">_xlfn.IFS(Lektionen[[#This Row],[Bearbeitungsdauer_abgewichen]]&gt;0.6,"viel länger",Lektionen[[#This Row],[Bearbeitungsdauer_abgewichen]]&gt;0.3,"länger",Lektionen[[#This Row],[Bearbeitungsdauer_abgewichen]]&lt;-0.3,"kürzer",TRUE,"keine Abweichung")</f>
        <v>keine Abweichung</v>
      </c>
      <c r="I2232">
        <v>3</v>
      </c>
    </row>
    <row r="2233" spans="1:9" hidden="1" x14ac:dyDescent="0.3">
      <c r="A2233" s="13">
        <v>351</v>
      </c>
      <c r="B2233" s="4">
        <v>8</v>
      </c>
      <c r="C2233" t="s">
        <v>537</v>
      </c>
      <c r="D2233" t="s">
        <v>527</v>
      </c>
      <c r="E2233">
        <v>5</v>
      </c>
      <c r="F2233">
        <v>9</v>
      </c>
      <c r="G2233" s="8">
        <f>Lektionen[[#This Row],[Bearbeitungsdauer_real]]/Lektionen[[#This Row],[Bearbeitungsdauer_geschätzt]]-1</f>
        <v>0.8</v>
      </c>
      <c r="H2233" s="8" t="str" cm="1">
        <f t="array" ref="H2233">_xlfn.IFS(Lektionen[[#This Row],[Bearbeitungsdauer_abgewichen]]&gt;0.6,"viel länger",Lektionen[[#This Row],[Bearbeitungsdauer_abgewichen]]&gt;0.3,"länger",Lektionen[[#This Row],[Bearbeitungsdauer_abgewichen]]&lt;-0.3,"kürzer",TRUE,"keine Abweichung")</f>
        <v>viel länger</v>
      </c>
      <c r="I2233">
        <v>1</v>
      </c>
    </row>
    <row r="2234" spans="1:9" hidden="1" x14ac:dyDescent="0.3">
      <c r="A2234" s="13">
        <v>353</v>
      </c>
      <c r="B2234" s="4">
        <v>1</v>
      </c>
      <c r="C2234" t="s">
        <v>526</v>
      </c>
      <c r="D2234" t="s">
        <v>527</v>
      </c>
      <c r="E2234">
        <v>4</v>
      </c>
      <c r="F2234">
        <v>4</v>
      </c>
      <c r="G2234" s="8">
        <f>Lektionen[[#This Row],[Bearbeitungsdauer_real]]/Lektionen[[#This Row],[Bearbeitungsdauer_geschätzt]]-1</f>
        <v>0</v>
      </c>
      <c r="H2234" s="8" t="str" cm="1">
        <f t="array" ref="H2234">_xlfn.IFS(Lektionen[[#This Row],[Bearbeitungsdauer_abgewichen]]&gt;0.6,"viel länger",Lektionen[[#This Row],[Bearbeitungsdauer_abgewichen]]&gt;0.3,"länger",Lektionen[[#This Row],[Bearbeitungsdauer_abgewichen]]&lt;-0.3,"kürzer",TRUE,"keine Abweichung")</f>
        <v>keine Abweichung</v>
      </c>
      <c r="I2234">
        <v>1</v>
      </c>
    </row>
    <row r="2235" spans="1:9" hidden="1" x14ac:dyDescent="0.3">
      <c r="A2235" s="13">
        <v>353</v>
      </c>
      <c r="B2235" s="4">
        <v>2</v>
      </c>
      <c r="C2235" t="s">
        <v>528</v>
      </c>
      <c r="D2235" t="s">
        <v>529</v>
      </c>
      <c r="E2235">
        <v>15</v>
      </c>
      <c r="F2235">
        <v>17</v>
      </c>
      <c r="G2235" s="8">
        <f>Lektionen[[#This Row],[Bearbeitungsdauer_real]]/Lektionen[[#This Row],[Bearbeitungsdauer_geschätzt]]-1</f>
        <v>0.1333333333333333</v>
      </c>
      <c r="H2235" s="8" t="str" cm="1">
        <f t="array" ref="H2235">_xlfn.IFS(Lektionen[[#This Row],[Bearbeitungsdauer_abgewichen]]&gt;0.6,"viel länger",Lektionen[[#This Row],[Bearbeitungsdauer_abgewichen]]&gt;0.3,"länger",Lektionen[[#This Row],[Bearbeitungsdauer_abgewichen]]&lt;-0.3,"kürzer",TRUE,"keine Abweichung")</f>
        <v>keine Abweichung</v>
      </c>
      <c r="I2235">
        <v>2</v>
      </c>
    </row>
    <row r="2236" spans="1:9" hidden="1" x14ac:dyDescent="0.3">
      <c r="A2236" s="13">
        <v>353</v>
      </c>
      <c r="B2236" s="4">
        <v>3</v>
      </c>
      <c r="C2236" t="s">
        <v>552</v>
      </c>
      <c r="D2236" t="s">
        <v>530</v>
      </c>
      <c r="E2236">
        <v>30</v>
      </c>
      <c r="F2236">
        <v>29</v>
      </c>
      <c r="G2236" s="8">
        <f>Lektionen[[#This Row],[Bearbeitungsdauer_real]]/Lektionen[[#This Row],[Bearbeitungsdauer_geschätzt]]-1</f>
        <v>-3.3333333333333326E-2</v>
      </c>
      <c r="H2236" s="8" t="str" cm="1">
        <f t="array" ref="H2236">_xlfn.IFS(Lektionen[[#This Row],[Bearbeitungsdauer_abgewichen]]&gt;0.6,"viel länger",Lektionen[[#This Row],[Bearbeitungsdauer_abgewichen]]&gt;0.3,"länger",Lektionen[[#This Row],[Bearbeitungsdauer_abgewichen]]&lt;-0.3,"kürzer",TRUE,"keine Abweichung")</f>
        <v>keine Abweichung</v>
      </c>
      <c r="I2236">
        <v>3</v>
      </c>
    </row>
    <row r="2237" spans="1:9" hidden="1" x14ac:dyDescent="0.3">
      <c r="A2237" s="13">
        <v>353</v>
      </c>
      <c r="B2237" s="4">
        <v>4</v>
      </c>
      <c r="C2237" t="s">
        <v>531</v>
      </c>
      <c r="D2237" t="s">
        <v>530</v>
      </c>
      <c r="E2237">
        <v>30</v>
      </c>
      <c r="F2237">
        <v>31</v>
      </c>
      <c r="G2237" s="8">
        <f>Lektionen[[#This Row],[Bearbeitungsdauer_real]]/Lektionen[[#This Row],[Bearbeitungsdauer_geschätzt]]-1</f>
        <v>3.3333333333333437E-2</v>
      </c>
      <c r="H2237" s="8" t="str" cm="1">
        <f t="array" ref="H2237">_xlfn.IFS(Lektionen[[#This Row],[Bearbeitungsdauer_abgewichen]]&gt;0.6,"viel länger",Lektionen[[#This Row],[Bearbeitungsdauer_abgewichen]]&gt;0.3,"länger",Lektionen[[#This Row],[Bearbeitungsdauer_abgewichen]]&lt;-0.3,"kürzer",TRUE,"keine Abweichung")</f>
        <v>keine Abweichung</v>
      </c>
      <c r="I2237">
        <v>3</v>
      </c>
    </row>
    <row r="2238" spans="1:9" x14ac:dyDescent="0.3">
      <c r="A2238" s="13">
        <v>353</v>
      </c>
      <c r="B2238" s="4">
        <v>5</v>
      </c>
      <c r="C2238" t="s">
        <v>532</v>
      </c>
      <c r="D2238" t="s">
        <v>530</v>
      </c>
      <c r="E2238">
        <v>30</v>
      </c>
      <c r="F2238">
        <v>52</v>
      </c>
      <c r="G2238" s="8">
        <f>Lektionen[[#This Row],[Bearbeitungsdauer_real]]/Lektionen[[#This Row],[Bearbeitungsdauer_geschätzt]]-1</f>
        <v>0.73333333333333339</v>
      </c>
      <c r="H2238" s="8" t="str" cm="1">
        <f t="array" ref="H2238">_xlfn.IFS(Lektionen[[#This Row],[Bearbeitungsdauer_abgewichen]]&gt;0.6,"viel länger",Lektionen[[#This Row],[Bearbeitungsdauer_abgewichen]]&gt;0.3,"länger",Lektionen[[#This Row],[Bearbeitungsdauer_abgewichen]]&lt;-0.3,"kürzer",TRUE,"keine Abweichung")</f>
        <v>viel länger</v>
      </c>
      <c r="I2238">
        <v>4</v>
      </c>
    </row>
    <row r="2239" spans="1:9" hidden="1" x14ac:dyDescent="0.3">
      <c r="A2239" s="13">
        <v>353</v>
      </c>
      <c r="B2239" s="4">
        <v>6</v>
      </c>
      <c r="C2239" t="s">
        <v>533</v>
      </c>
      <c r="D2239" t="s">
        <v>534</v>
      </c>
      <c r="E2239">
        <v>5</v>
      </c>
      <c r="F2239">
        <v>3</v>
      </c>
      <c r="G2239" s="8">
        <f>Lektionen[[#This Row],[Bearbeitungsdauer_real]]/Lektionen[[#This Row],[Bearbeitungsdauer_geschätzt]]-1</f>
        <v>-0.4</v>
      </c>
      <c r="H2239" s="8" t="str" cm="1">
        <f t="array" ref="H2239">_xlfn.IFS(Lektionen[[#This Row],[Bearbeitungsdauer_abgewichen]]&gt;0.6,"viel länger",Lektionen[[#This Row],[Bearbeitungsdauer_abgewichen]]&gt;0.3,"länger",Lektionen[[#This Row],[Bearbeitungsdauer_abgewichen]]&lt;-0.3,"kürzer",TRUE,"keine Abweichung")</f>
        <v>kürzer</v>
      </c>
      <c r="I2239">
        <v>2</v>
      </c>
    </row>
    <row r="2240" spans="1:9" hidden="1" x14ac:dyDescent="0.3">
      <c r="A2240" s="13">
        <v>353</v>
      </c>
      <c r="B2240" s="4">
        <v>7</v>
      </c>
      <c r="C2240" t="s">
        <v>535</v>
      </c>
      <c r="D2240" t="s">
        <v>536</v>
      </c>
      <c r="E2240">
        <v>10</v>
      </c>
      <c r="F2240">
        <v>8</v>
      </c>
      <c r="G2240" s="8">
        <f>Lektionen[[#This Row],[Bearbeitungsdauer_real]]/Lektionen[[#This Row],[Bearbeitungsdauer_geschätzt]]-1</f>
        <v>-0.19999999999999996</v>
      </c>
      <c r="H2240" s="8" t="str" cm="1">
        <f t="array" ref="H2240">_xlfn.IFS(Lektionen[[#This Row],[Bearbeitungsdauer_abgewichen]]&gt;0.6,"viel länger",Lektionen[[#This Row],[Bearbeitungsdauer_abgewichen]]&gt;0.3,"länger",Lektionen[[#This Row],[Bearbeitungsdauer_abgewichen]]&lt;-0.3,"kürzer",TRUE,"keine Abweichung")</f>
        <v>keine Abweichung</v>
      </c>
      <c r="I2240">
        <v>4</v>
      </c>
    </row>
    <row r="2241" spans="1:9" hidden="1" x14ac:dyDescent="0.3">
      <c r="A2241" s="13">
        <v>353</v>
      </c>
      <c r="B2241" s="4">
        <v>8</v>
      </c>
      <c r="C2241" t="s">
        <v>537</v>
      </c>
      <c r="D2241" t="s">
        <v>527</v>
      </c>
      <c r="E2241">
        <v>5</v>
      </c>
      <c r="F2241">
        <v>5</v>
      </c>
      <c r="G2241" s="8">
        <f>Lektionen[[#This Row],[Bearbeitungsdauer_real]]/Lektionen[[#This Row],[Bearbeitungsdauer_geschätzt]]-1</f>
        <v>0</v>
      </c>
      <c r="H2241" s="8" t="str" cm="1">
        <f t="array" ref="H2241">_xlfn.IFS(Lektionen[[#This Row],[Bearbeitungsdauer_abgewichen]]&gt;0.6,"viel länger",Lektionen[[#This Row],[Bearbeitungsdauer_abgewichen]]&gt;0.3,"länger",Lektionen[[#This Row],[Bearbeitungsdauer_abgewichen]]&lt;-0.3,"kürzer",TRUE,"keine Abweichung")</f>
        <v>keine Abweichung</v>
      </c>
      <c r="I2241">
        <v>1</v>
      </c>
    </row>
    <row r="2242" spans="1:9" hidden="1" x14ac:dyDescent="0.3">
      <c r="A2242" s="13">
        <v>354</v>
      </c>
      <c r="B2242" s="4">
        <v>1</v>
      </c>
      <c r="C2242" t="s">
        <v>526</v>
      </c>
      <c r="D2242" t="s">
        <v>527</v>
      </c>
      <c r="E2242">
        <v>4</v>
      </c>
      <c r="F2242">
        <v>4</v>
      </c>
      <c r="G2242" s="8">
        <f>Lektionen[[#This Row],[Bearbeitungsdauer_real]]/Lektionen[[#This Row],[Bearbeitungsdauer_geschätzt]]-1</f>
        <v>0</v>
      </c>
      <c r="H2242" s="8" t="str" cm="1">
        <f t="array" ref="H2242">_xlfn.IFS(Lektionen[[#This Row],[Bearbeitungsdauer_abgewichen]]&gt;0.6,"viel länger",Lektionen[[#This Row],[Bearbeitungsdauer_abgewichen]]&gt;0.3,"länger",Lektionen[[#This Row],[Bearbeitungsdauer_abgewichen]]&lt;-0.3,"kürzer",TRUE,"keine Abweichung")</f>
        <v>keine Abweichung</v>
      </c>
      <c r="I2242">
        <v>1</v>
      </c>
    </row>
    <row r="2243" spans="1:9" hidden="1" x14ac:dyDescent="0.3">
      <c r="A2243" s="13">
        <v>354</v>
      </c>
      <c r="B2243" s="4">
        <v>2</v>
      </c>
      <c r="C2243" t="s">
        <v>528</v>
      </c>
      <c r="D2243" t="s">
        <v>529</v>
      </c>
      <c r="E2243">
        <v>15</v>
      </c>
      <c r="F2243">
        <v>15</v>
      </c>
      <c r="G2243" s="8">
        <f>Lektionen[[#This Row],[Bearbeitungsdauer_real]]/Lektionen[[#This Row],[Bearbeitungsdauer_geschätzt]]-1</f>
        <v>0</v>
      </c>
      <c r="H2243" s="8" t="str" cm="1">
        <f t="array" ref="H2243">_xlfn.IFS(Lektionen[[#This Row],[Bearbeitungsdauer_abgewichen]]&gt;0.6,"viel länger",Lektionen[[#This Row],[Bearbeitungsdauer_abgewichen]]&gt;0.3,"länger",Lektionen[[#This Row],[Bearbeitungsdauer_abgewichen]]&lt;-0.3,"kürzer",TRUE,"keine Abweichung")</f>
        <v>keine Abweichung</v>
      </c>
      <c r="I2243">
        <v>1</v>
      </c>
    </row>
    <row r="2244" spans="1:9" hidden="1" x14ac:dyDescent="0.3">
      <c r="A2244" s="13">
        <v>354</v>
      </c>
      <c r="B2244" s="4">
        <v>3</v>
      </c>
      <c r="C2244" t="s">
        <v>552</v>
      </c>
      <c r="D2244" t="s">
        <v>530</v>
      </c>
      <c r="E2244">
        <v>30</v>
      </c>
      <c r="F2244">
        <v>28</v>
      </c>
      <c r="G2244" s="8">
        <f>Lektionen[[#This Row],[Bearbeitungsdauer_real]]/Lektionen[[#This Row],[Bearbeitungsdauer_geschätzt]]-1</f>
        <v>-6.6666666666666652E-2</v>
      </c>
      <c r="H2244" s="8" t="str" cm="1">
        <f t="array" ref="H2244">_xlfn.IFS(Lektionen[[#This Row],[Bearbeitungsdauer_abgewichen]]&gt;0.6,"viel länger",Lektionen[[#This Row],[Bearbeitungsdauer_abgewichen]]&gt;0.3,"länger",Lektionen[[#This Row],[Bearbeitungsdauer_abgewichen]]&lt;-0.3,"kürzer",TRUE,"keine Abweichung")</f>
        <v>keine Abweichung</v>
      </c>
      <c r="I2244">
        <v>3</v>
      </c>
    </row>
    <row r="2245" spans="1:9" hidden="1" x14ac:dyDescent="0.3">
      <c r="A2245" s="13">
        <v>354</v>
      </c>
      <c r="B2245" s="4">
        <v>4</v>
      </c>
      <c r="C2245" t="s">
        <v>531</v>
      </c>
      <c r="D2245" t="s">
        <v>530</v>
      </c>
      <c r="E2245">
        <v>30</v>
      </c>
      <c r="F2245">
        <v>30</v>
      </c>
      <c r="G2245" s="8">
        <f>Lektionen[[#This Row],[Bearbeitungsdauer_real]]/Lektionen[[#This Row],[Bearbeitungsdauer_geschätzt]]-1</f>
        <v>0</v>
      </c>
      <c r="H2245" s="8" t="str" cm="1">
        <f t="array" ref="H2245">_xlfn.IFS(Lektionen[[#This Row],[Bearbeitungsdauer_abgewichen]]&gt;0.6,"viel länger",Lektionen[[#This Row],[Bearbeitungsdauer_abgewichen]]&gt;0.3,"länger",Lektionen[[#This Row],[Bearbeitungsdauer_abgewichen]]&lt;-0.3,"kürzer",TRUE,"keine Abweichung")</f>
        <v>keine Abweichung</v>
      </c>
      <c r="I2245">
        <v>3</v>
      </c>
    </row>
    <row r="2246" spans="1:9" x14ac:dyDescent="0.3">
      <c r="A2246" s="13">
        <v>354</v>
      </c>
      <c r="B2246" s="4">
        <v>5</v>
      </c>
      <c r="C2246" t="s">
        <v>532</v>
      </c>
      <c r="D2246" t="s">
        <v>530</v>
      </c>
      <c r="E2246">
        <v>30</v>
      </c>
      <c r="F2246">
        <v>42</v>
      </c>
      <c r="G2246" s="8">
        <f>Lektionen[[#This Row],[Bearbeitungsdauer_real]]/Lektionen[[#This Row],[Bearbeitungsdauer_geschätzt]]-1</f>
        <v>0.39999999999999991</v>
      </c>
      <c r="H2246" s="8" t="str" cm="1">
        <f t="array" ref="H2246">_xlfn.IFS(Lektionen[[#This Row],[Bearbeitungsdauer_abgewichen]]&gt;0.6,"viel länger",Lektionen[[#This Row],[Bearbeitungsdauer_abgewichen]]&gt;0.3,"länger",Lektionen[[#This Row],[Bearbeitungsdauer_abgewichen]]&lt;-0.3,"kürzer",TRUE,"keine Abweichung")</f>
        <v>länger</v>
      </c>
      <c r="I2246">
        <v>4</v>
      </c>
    </row>
    <row r="2247" spans="1:9" hidden="1" x14ac:dyDescent="0.3">
      <c r="A2247" s="13">
        <v>354</v>
      </c>
      <c r="B2247" s="4">
        <v>6</v>
      </c>
      <c r="C2247" t="s">
        <v>533</v>
      </c>
      <c r="D2247" t="s">
        <v>534</v>
      </c>
      <c r="E2247">
        <v>5</v>
      </c>
      <c r="F2247">
        <v>2</v>
      </c>
      <c r="G2247" s="8">
        <f>Lektionen[[#This Row],[Bearbeitungsdauer_real]]/Lektionen[[#This Row],[Bearbeitungsdauer_geschätzt]]-1</f>
        <v>-0.6</v>
      </c>
      <c r="H2247" s="8" t="str" cm="1">
        <f t="array" ref="H2247">_xlfn.IFS(Lektionen[[#This Row],[Bearbeitungsdauer_abgewichen]]&gt;0.6,"viel länger",Lektionen[[#This Row],[Bearbeitungsdauer_abgewichen]]&gt;0.3,"länger",Lektionen[[#This Row],[Bearbeitungsdauer_abgewichen]]&lt;-0.3,"kürzer",TRUE,"keine Abweichung")</f>
        <v>kürzer</v>
      </c>
      <c r="I2247">
        <v>2</v>
      </c>
    </row>
    <row r="2248" spans="1:9" hidden="1" x14ac:dyDescent="0.3">
      <c r="A2248" s="13">
        <v>354</v>
      </c>
      <c r="B2248" s="4">
        <v>7</v>
      </c>
      <c r="C2248" t="s">
        <v>535</v>
      </c>
      <c r="D2248" t="s">
        <v>536</v>
      </c>
      <c r="E2248">
        <v>10</v>
      </c>
      <c r="F2248">
        <v>9</v>
      </c>
      <c r="G2248" s="8">
        <f>Lektionen[[#This Row],[Bearbeitungsdauer_real]]/Lektionen[[#This Row],[Bearbeitungsdauer_geschätzt]]-1</f>
        <v>-9.9999999999999978E-2</v>
      </c>
      <c r="H2248" s="8" t="str" cm="1">
        <f t="array" ref="H2248">_xlfn.IFS(Lektionen[[#This Row],[Bearbeitungsdauer_abgewichen]]&gt;0.6,"viel länger",Lektionen[[#This Row],[Bearbeitungsdauer_abgewichen]]&gt;0.3,"länger",Lektionen[[#This Row],[Bearbeitungsdauer_abgewichen]]&lt;-0.3,"kürzer",TRUE,"keine Abweichung")</f>
        <v>keine Abweichung</v>
      </c>
      <c r="I2248">
        <v>4</v>
      </c>
    </row>
    <row r="2249" spans="1:9" hidden="1" x14ac:dyDescent="0.3">
      <c r="A2249" s="13">
        <v>354</v>
      </c>
      <c r="B2249" s="4">
        <v>8</v>
      </c>
      <c r="C2249" t="s">
        <v>537</v>
      </c>
      <c r="D2249" t="s">
        <v>527</v>
      </c>
      <c r="E2249">
        <v>5</v>
      </c>
      <c r="F2249">
        <v>5</v>
      </c>
      <c r="G2249" s="8">
        <f>Lektionen[[#This Row],[Bearbeitungsdauer_real]]/Lektionen[[#This Row],[Bearbeitungsdauer_geschätzt]]-1</f>
        <v>0</v>
      </c>
      <c r="H2249" s="8" t="str" cm="1">
        <f t="array" ref="H2249">_xlfn.IFS(Lektionen[[#This Row],[Bearbeitungsdauer_abgewichen]]&gt;0.6,"viel länger",Lektionen[[#This Row],[Bearbeitungsdauer_abgewichen]]&gt;0.3,"länger",Lektionen[[#This Row],[Bearbeitungsdauer_abgewichen]]&lt;-0.3,"kürzer",TRUE,"keine Abweichung")</f>
        <v>keine Abweichung</v>
      </c>
      <c r="I2249">
        <v>1</v>
      </c>
    </row>
    <row r="2250" spans="1:9" hidden="1" x14ac:dyDescent="0.3">
      <c r="A2250" s="13">
        <v>355</v>
      </c>
      <c r="B2250" s="4">
        <v>1</v>
      </c>
      <c r="C2250" t="s">
        <v>526</v>
      </c>
      <c r="D2250" t="s">
        <v>527</v>
      </c>
      <c r="E2250">
        <v>4</v>
      </c>
      <c r="F2250">
        <v>4</v>
      </c>
      <c r="G2250" s="8">
        <f>Lektionen[[#This Row],[Bearbeitungsdauer_real]]/Lektionen[[#This Row],[Bearbeitungsdauer_geschätzt]]-1</f>
        <v>0</v>
      </c>
      <c r="H2250" s="8" t="str" cm="1">
        <f t="array" ref="H2250">_xlfn.IFS(Lektionen[[#This Row],[Bearbeitungsdauer_abgewichen]]&gt;0.6,"viel länger",Lektionen[[#This Row],[Bearbeitungsdauer_abgewichen]]&gt;0.3,"länger",Lektionen[[#This Row],[Bearbeitungsdauer_abgewichen]]&lt;-0.3,"kürzer",TRUE,"keine Abweichung")</f>
        <v>keine Abweichung</v>
      </c>
      <c r="I2250">
        <v>1</v>
      </c>
    </row>
    <row r="2251" spans="1:9" hidden="1" x14ac:dyDescent="0.3">
      <c r="A2251" s="13">
        <v>355</v>
      </c>
      <c r="B2251" s="4">
        <v>2</v>
      </c>
      <c r="C2251" t="s">
        <v>528</v>
      </c>
      <c r="D2251" t="s">
        <v>529</v>
      </c>
      <c r="E2251">
        <v>15</v>
      </c>
      <c r="F2251">
        <v>21</v>
      </c>
      <c r="G2251" s="8">
        <f>Lektionen[[#This Row],[Bearbeitungsdauer_real]]/Lektionen[[#This Row],[Bearbeitungsdauer_geschätzt]]-1</f>
        <v>0.39999999999999991</v>
      </c>
      <c r="H2251" s="8" t="str" cm="1">
        <f t="array" ref="H2251">_xlfn.IFS(Lektionen[[#This Row],[Bearbeitungsdauer_abgewichen]]&gt;0.6,"viel länger",Lektionen[[#This Row],[Bearbeitungsdauer_abgewichen]]&gt;0.3,"länger",Lektionen[[#This Row],[Bearbeitungsdauer_abgewichen]]&lt;-0.3,"kürzer",TRUE,"keine Abweichung")</f>
        <v>länger</v>
      </c>
      <c r="I2251">
        <v>1</v>
      </c>
    </row>
    <row r="2252" spans="1:9" hidden="1" x14ac:dyDescent="0.3">
      <c r="A2252" s="13">
        <v>355</v>
      </c>
      <c r="B2252" s="4">
        <v>3</v>
      </c>
      <c r="C2252" t="s">
        <v>552</v>
      </c>
      <c r="D2252" t="s">
        <v>530</v>
      </c>
      <c r="E2252">
        <v>30</v>
      </c>
      <c r="F2252">
        <v>29</v>
      </c>
      <c r="G2252" s="8">
        <f>Lektionen[[#This Row],[Bearbeitungsdauer_real]]/Lektionen[[#This Row],[Bearbeitungsdauer_geschätzt]]-1</f>
        <v>-3.3333333333333326E-2</v>
      </c>
      <c r="H2252" s="8" t="str" cm="1">
        <f t="array" ref="H2252">_xlfn.IFS(Lektionen[[#This Row],[Bearbeitungsdauer_abgewichen]]&gt;0.6,"viel länger",Lektionen[[#This Row],[Bearbeitungsdauer_abgewichen]]&gt;0.3,"länger",Lektionen[[#This Row],[Bearbeitungsdauer_abgewichen]]&lt;-0.3,"kürzer",TRUE,"keine Abweichung")</f>
        <v>keine Abweichung</v>
      </c>
      <c r="I2252">
        <v>2</v>
      </c>
    </row>
    <row r="2253" spans="1:9" hidden="1" x14ac:dyDescent="0.3">
      <c r="A2253" s="13">
        <v>355</v>
      </c>
      <c r="B2253" s="4">
        <v>4</v>
      </c>
      <c r="C2253" t="s">
        <v>531</v>
      </c>
      <c r="D2253" t="s">
        <v>530</v>
      </c>
      <c r="E2253">
        <v>30</v>
      </c>
      <c r="F2253">
        <v>20</v>
      </c>
      <c r="G2253" s="8">
        <f>Lektionen[[#This Row],[Bearbeitungsdauer_real]]/Lektionen[[#This Row],[Bearbeitungsdauer_geschätzt]]-1</f>
        <v>-0.33333333333333337</v>
      </c>
      <c r="H2253" s="8" t="str" cm="1">
        <f t="array" ref="H2253">_xlfn.IFS(Lektionen[[#This Row],[Bearbeitungsdauer_abgewichen]]&gt;0.6,"viel länger",Lektionen[[#This Row],[Bearbeitungsdauer_abgewichen]]&gt;0.3,"länger",Lektionen[[#This Row],[Bearbeitungsdauer_abgewichen]]&lt;-0.3,"kürzer",TRUE,"keine Abweichung")</f>
        <v>kürzer</v>
      </c>
      <c r="I2253">
        <v>3</v>
      </c>
    </row>
    <row r="2254" spans="1:9" x14ac:dyDescent="0.3">
      <c r="A2254" s="13">
        <v>355</v>
      </c>
      <c r="B2254" s="4">
        <v>5</v>
      </c>
      <c r="C2254" t="s">
        <v>532</v>
      </c>
      <c r="D2254" t="s">
        <v>530</v>
      </c>
      <c r="E2254">
        <v>30</v>
      </c>
      <c r="F2254">
        <v>41</v>
      </c>
      <c r="G2254" s="8">
        <f>Lektionen[[#This Row],[Bearbeitungsdauer_real]]/Lektionen[[#This Row],[Bearbeitungsdauer_geschätzt]]-1</f>
        <v>0.3666666666666667</v>
      </c>
      <c r="H2254" s="8" t="str" cm="1">
        <f t="array" ref="H2254">_xlfn.IFS(Lektionen[[#This Row],[Bearbeitungsdauer_abgewichen]]&gt;0.6,"viel länger",Lektionen[[#This Row],[Bearbeitungsdauer_abgewichen]]&gt;0.3,"länger",Lektionen[[#This Row],[Bearbeitungsdauer_abgewichen]]&lt;-0.3,"kürzer",TRUE,"keine Abweichung")</f>
        <v>länger</v>
      </c>
      <c r="I2254">
        <v>3</v>
      </c>
    </row>
    <row r="2255" spans="1:9" hidden="1" x14ac:dyDescent="0.3">
      <c r="A2255" s="13">
        <v>355</v>
      </c>
      <c r="B2255" s="4">
        <v>6</v>
      </c>
      <c r="C2255" t="s">
        <v>533</v>
      </c>
      <c r="D2255" t="s">
        <v>534</v>
      </c>
      <c r="E2255">
        <v>5</v>
      </c>
      <c r="F2255">
        <v>2</v>
      </c>
      <c r="G2255" s="8">
        <f>Lektionen[[#This Row],[Bearbeitungsdauer_real]]/Lektionen[[#This Row],[Bearbeitungsdauer_geschätzt]]-1</f>
        <v>-0.6</v>
      </c>
      <c r="H2255" s="8" t="str" cm="1">
        <f t="array" ref="H2255">_xlfn.IFS(Lektionen[[#This Row],[Bearbeitungsdauer_abgewichen]]&gt;0.6,"viel länger",Lektionen[[#This Row],[Bearbeitungsdauer_abgewichen]]&gt;0.3,"länger",Lektionen[[#This Row],[Bearbeitungsdauer_abgewichen]]&lt;-0.3,"kürzer",TRUE,"keine Abweichung")</f>
        <v>kürzer</v>
      </c>
      <c r="I2255">
        <v>2</v>
      </c>
    </row>
    <row r="2256" spans="1:9" hidden="1" x14ac:dyDescent="0.3">
      <c r="A2256" s="13">
        <v>355</v>
      </c>
      <c r="B2256" s="4">
        <v>7</v>
      </c>
      <c r="C2256" t="s">
        <v>535</v>
      </c>
      <c r="D2256" t="s">
        <v>536</v>
      </c>
      <c r="E2256">
        <v>10</v>
      </c>
      <c r="F2256">
        <v>10</v>
      </c>
      <c r="G2256" s="8">
        <f>Lektionen[[#This Row],[Bearbeitungsdauer_real]]/Lektionen[[#This Row],[Bearbeitungsdauer_geschätzt]]-1</f>
        <v>0</v>
      </c>
      <c r="H2256" s="8" t="str" cm="1">
        <f t="array" ref="H2256">_xlfn.IFS(Lektionen[[#This Row],[Bearbeitungsdauer_abgewichen]]&gt;0.6,"viel länger",Lektionen[[#This Row],[Bearbeitungsdauer_abgewichen]]&gt;0.3,"länger",Lektionen[[#This Row],[Bearbeitungsdauer_abgewichen]]&lt;-0.3,"kürzer",TRUE,"keine Abweichung")</f>
        <v>keine Abweichung</v>
      </c>
      <c r="I2256">
        <v>3</v>
      </c>
    </row>
    <row r="2257" spans="1:9" hidden="1" x14ac:dyDescent="0.3">
      <c r="A2257" s="13">
        <v>355</v>
      </c>
      <c r="B2257" s="4">
        <v>8</v>
      </c>
      <c r="C2257" t="s">
        <v>537</v>
      </c>
      <c r="D2257" t="s">
        <v>527</v>
      </c>
      <c r="E2257">
        <v>5</v>
      </c>
      <c r="F2257">
        <v>5</v>
      </c>
      <c r="G2257" s="8">
        <f>Lektionen[[#This Row],[Bearbeitungsdauer_real]]/Lektionen[[#This Row],[Bearbeitungsdauer_geschätzt]]-1</f>
        <v>0</v>
      </c>
      <c r="H2257" s="8" t="str" cm="1">
        <f t="array" ref="H2257">_xlfn.IFS(Lektionen[[#This Row],[Bearbeitungsdauer_abgewichen]]&gt;0.6,"viel länger",Lektionen[[#This Row],[Bearbeitungsdauer_abgewichen]]&gt;0.3,"länger",Lektionen[[#This Row],[Bearbeitungsdauer_abgewichen]]&lt;-0.3,"kürzer",TRUE,"keine Abweichung")</f>
        <v>keine Abweichung</v>
      </c>
      <c r="I2257">
        <v>1</v>
      </c>
    </row>
    <row r="2258" spans="1:9" hidden="1" x14ac:dyDescent="0.3">
      <c r="A2258" s="13">
        <v>357</v>
      </c>
      <c r="B2258" s="4">
        <v>1</v>
      </c>
      <c r="C2258" t="s">
        <v>526</v>
      </c>
      <c r="D2258" t="s">
        <v>527</v>
      </c>
      <c r="E2258">
        <v>4</v>
      </c>
      <c r="F2258">
        <v>4</v>
      </c>
      <c r="G2258" s="8">
        <f>Lektionen[[#This Row],[Bearbeitungsdauer_real]]/Lektionen[[#This Row],[Bearbeitungsdauer_geschätzt]]-1</f>
        <v>0</v>
      </c>
      <c r="H2258" s="8" t="str" cm="1">
        <f t="array" ref="H2258">_xlfn.IFS(Lektionen[[#This Row],[Bearbeitungsdauer_abgewichen]]&gt;0.6,"viel länger",Lektionen[[#This Row],[Bearbeitungsdauer_abgewichen]]&gt;0.3,"länger",Lektionen[[#This Row],[Bearbeitungsdauer_abgewichen]]&lt;-0.3,"kürzer",TRUE,"keine Abweichung")</f>
        <v>keine Abweichung</v>
      </c>
      <c r="I2258">
        <v>1</v>
      </c>
    </row>
    <row r="2259" spans="1:9" hidden="1" x14ac:dyDescent="0.3">
      <c r="A2259" s="13">
        <v>357</v>
      </c>
      <c r="B2259" s="4">
        <v>2</v>
      </c>
      <c r="C2259" t="s">
        <v>528</v>
      </c>
      <c r="D2259" t="s">
        <v>529</v>
      </c>
      <c r="E2259">
        <v>15</v>
      </c>
      <c r="F2259">
        <v>18</v>
      </c>
      <c r="G2259" s="8">
        <f>Lektionen[[#This Row],[Bearbeitungsdauer_real]]/Lektionen[[#This Row],[Bearbeitungsdauer_geschätzt]]-1</f>
        <v>0.19999999999999996</v>
      </c>
      <c r="H2259" s="8" t="str" cm="1">
        <f t="array" ref="H2259">_xlfn.IFS(Lektionen[[#This Row],[Bearbeitungsdauer_abgewichen]]&gt;0.6,"viel länger",Lektionen[[#This Row],[Bearbeitungsdauer_abgewichen]]&gt;0.3,"länger",Lektionen[[#This Row],[Bearbeitungsdauer_abgewichen]]&lt;-0.3,"kürzer",TRUE,"keine Abweichung")</f>
        <v>keine Abweichung</v>
      </c>
      <c r="I2259">
        <v>2</v>
      </c>
    </row>
    <row r="2260" spans="1:9" hidden="1" x14ac:dyDescent="0.3">
      <c r="A2260" s="13">
        <v>357</v>
      </c>
      <c r="B2260" s="4">
        <v>3</v>
      </c>
      <c r="C2260" t="s">
        <v>552</v>
      </c>
      <c r="D2260" t="s">
        <v>530</v>
      </c>
      <c r="E2260">
        <v>30</v>
      </c>
      <c r="F2260">
        <v>26</v>
      </c>
      <c r="G2260" s="8">
        <f>Lektionen[[#This Row],[Bearbeitungsdauer_real]]/Lektionen[[#This Row],[Bearbeitungsdauer_geschätzt]]-1</f>
        <v>-0.1333333333333333</v>
      </c>
      <c r="H2260" s="8" t="str" cm="1">
        <f t="array" ref="H2260">_xlfn.IFS(Lektionen[[#This Row],[Bearbeitungsdauer_abgewichen]]&gt;0.6,"viel länger",Lektionen[[#This Row],[Bearbeitungsdauer_abgewichen]]&gt;0.3,"länger",Lektionen[[#This Row],[Bearbeitungsdauer_abgewichen]]&lt;-0.3,"kürzer",TRUE,"keine Abweichung")</f>
        <v>keine Abweichung</v>
      </c>
      <c r="I2260">
        <v>3</v>
      </c>
    </row>
    <row r="2261" spans="1:9" hidden="1" x14ac:dyDescent="0.3">
      <c r="A2261" s="13">
        <v>357</v>
      </c>
      <c r="B2261" s="4">
        <v>4</v>
      </c>
      <c r="C2261" t="s">
        <v>531</v>
      </c>
      <c r="D2261" t="s">
        <v>530</v>
      </c>
      <c r="E2261">
        <v>30</v>
      </c>
      <c r="F2261">
        <v>28</v>
      </c>
      <c r="G2261" s="8">
        <f>Lektionen[[#This Row],[Bearbeitungsdauer_real]]/Lektionen[[#This Row],[Bearbeitungsdauer_geschätzt]]-1</f>
        <v>-6.6666666666666652E-2</v>
      </c>
      <c r="H2261" s="8" t="str" cm="1">
        <f t="array" ref="H2261">_xlfn.IFS(Lektionen[[#This Row],[Bearbeitungsdauer_abgewichen]]&gt;0.6,"viel länger",Lektionen[[#This Row],[Bearbeitungsdauer_abgewichen]]&gt;0.3,"länger",Lektionen[[#This Row],[Bearbeitungsdauer_abgewichen]]&lt;-0.3,"kürzer",TRUE,"keine Abweichung")</f>
        <v>keine Abweichung</v>
      </c>
      <c r="I2261">
        <v>2</v>
      </c>
    </row>
    <row r="2262" spans="1:9" x14ac:dyDescent="0.3">
      <c r="A2262" s="13">
        <v>357</v>
      </c>
      <c r="B2262" s="4">
        <v>5</v>
      </c>
      <c r="C2262" t="s">
        <v>532</v>
      </c>
      <c r="D2262" t="s">
        <v>530</v>
      </c>
      <c r="E2262">
        <v>30</v>
      </c>
      <c r="F2262">
        <v>47</v>
      </c>
      <c r="G2262" s="8">
        <f>Lektionen[[#This Row],[Bearbeitungsdauer_real]]/Lektionen[[#This Row],[Bearbeitungsdauer_geschätzt]]-1</f>
        <v>0.56666666666666665</v>
      </c>
      <c r="H2262" s="8" t="str" cm="1">
        <f t="array" ref="H2262">_xlfn.IFS(Lektionen[[#This Row],[Bearbeitungsdauer_abgewichen]]&gt;0.6,"viel länger",Lektionen[[#This Row],[Bearbeitungsdauer_abgewichen]]&gt;0.3,"länger",Lektionen[[#This Row],[Bearbeitungsdauer_abgewichen]]&lt;-0.3,"kürzer",TRUE,"keine Abweichung")</f>
        <v>länger</v>
      </c>
      <c r="I2262">
        <v>4</v>
      </c>
    </row>
    <row r="2263" spans="1:9" hidden="1" x14ac:dyDescent="0.3">
      <c r="A2263" s="13">
        <v>357</v>
      </c>
      <c r="B2263" s="4">
        <v>6</v>
      </c>
      <c r="C2263" t="s">
        <v>533</v>
      </c>
      <c r="D2263" t="s">
        <v>534</v>
      </c>
      <c r="E2263">
        <v>5</v>
      </c>
      <c r="F2263">
        <v>2</v>
      </c>
      <c r="G2263" s="8">
        <f>Lektionen[[#This Row],[Bearbeitungsdauer_real]]/Lektionen[[#This Row],[Bearbeitungsdauer_geschätzt]]-1</f>
        <v>-0.6</v>
      </c>
      <c r="H2263" s="8" t="str" cm="1">
        <f t="array" ref="H2263">_xlfn.IFS(Lektionen[[#This Row],[Bearbeitungsdauer_abgewichen]]&gt;0.6,"viel länger",Lektionen[[#This Row],[Bearbeitungsdauer_abgewichen]]&gt;0.3,"länger",Lektionen[[#This Row],[Bearbeitungsdauer_abgewichen]]&lt;-0.3,"kürzer",TRUE,"keine Abweichung")</f>
        <v>kürzer</v>
      </c>
      <c r="I2263">
        <v>1</v>
      </c>
    </row>
    <row r="2264" spans="1:9" hidden="1" x14ac:dyDescent="0.3">
      <c r="A2264" s="13">
        <v>357</v>
      </c>
      <c r="B2264" s="4">
        <v>7</v>
      </c>
      <c r="C2264" t="s">
        <v>535</v>
      </c>
      <c r="D2264" t="s">
        <v>536</v>
      </c>
      <c r="E2264">
        <v>10</v>
      </c>
      <c r="F2264">
        <v>10</v>
      </c>
      <c r="G2264" s="8">
        <f>Lektionen[[#This Row],[Bearbeitungsdauer_real]]/Lektionen[[#This Row],[Bearbeitungsdauer_geschätzt]]-1</f>
        <v>0</v>
      </c>
      <c r="H2264" s="8" t="str" cm="1">
        <f t="array" ref="H2264">_xlfn.IFS(Lektionen[[#This Row],[Bearbeitungsdauer_abgewichen]]&gt;0.6,"viel länger",Lektionen[[#This Row],[Bearbeitungsdauer_abgewichen]]&gt;0.3,"länger",Lektionen[[#This Row],[Bearbeitungsdauer_abgewichen]]&lt;-0.3,"kürzer",TRUE,"keine Abweichung")</f>
        <v>keine Abweichung</v>
      </c>
      <c r="I2264">
        <v>4</v>
      </c>
    </row>
    <row r="2265" spans="1:9" hidden="1" x14ac:dyDescent="0.3">
      <c r="A2265" s="13">
        <v>357</v>
      </c>
      <c r="B2265" s="4">
        <v>8</v>
      </c>
      <c r="C2265" t="s">
        <v>537</v>
      </c>
      <c r="D2265" t="s">
        <v>527</v>
      </c>
      <c r="E2265">
        <v>5</v>
      </c>
      <c r="F2265">
        <v>5</v>
      </c>
      <c r="G2265" s="8">
        <f>Lektionen[[#This Row],[Bearbeitungsdauer_real]]/Lektionen[[#This Row],[Bearbeitungsdauer_geschätzt]]-1</f>
        <v>0</v>
      </c>
      <c r="H2265" s="8" t="str" cm="1">
        <f t="array" ref="H2265">_xlfn.IFS(Lektionen[[#This Row],[Bearbeitungsdauer_abgewichen]]&gt;0.6,"viel länger",Lektionen[[#This Row],[Bearbeitungsdauer_abgewichen]]&gt;0.3,"länger",Lektionen[[#This Row],[Bearbeitungsdauer_abgewichen]]&lt;-0.3,"kürzer",TRUE,"keine Abweichung")</f>
        <v>keine Abweichung</v>
      </c>
      <c r="I2265">
        <v>1</v>
      </c>
    </row>
    <row r="2266" spans="1:9" hidden="1" x14ac:dyDescent="0.3">
      <c r="A2266" s="13">
        <v>359</v>
      </c>
      <c r="B2266" s="4">
        <v>1</v>
      </c>
      <c r="C2266" t="s">
        <v>526</v>
      </c>
      <c r="D2266" t="s">
        <v>527</v>
      </c>
      <c r="E2266">
        <v>4</v>
      </c>
      <c r="F2266">
        <v>4</v>
      </c>
      <c r="G2266" s="8">
        <f>Lektionen[[#This Row],[Bearbeitungsdauer_real]]/Lektionen[[#This Row],[Bearbeitungsdauer_geschätzt]]-1</f>
        <v>0</v>
      </c>
      <c r="H2266" s="8" t="str" cm="1">
        <f t="array" ref="H2266">_xlfn.IFS(Lektionen[[#This Row],[Bearbeitungsdauer_abgewichen]]&gt;0.6,"viel länger",Lektionen[[#This Row],[Bearbeitungsdauer_abgewichen]]&gt;0.3,"länger",Lektionen[[#This Row],[Bearbeitungsdauer_abgewichen]]&lt;-0.3,"kürzer",TRUE,"keine Abweichung")</f>
        <v>keine Abweichung</v>
      </c>
      <c r="I2266">
        <v>1</v>
      </c>
    </row>
    <row r="2267" spans="1:9" hidden="1" x14ac:dyDescent="0.3">
      <c r="A2267" s="13">
        <v>359</v>
      </c>
      <c r="B2267" s="4">
        <v>2</v>
      </c>
      <c r="C2267" t="s">
        <v>528</v>
      </c>
      <c r="D2267" t="s">
        <v>529</v>
      </c>
      <c r="E2267">
        <v>15</v>
      </c>
      <c r="F2267">
        <v>19</v>
      </c>
      <c r="G2267" s="8">
        <f>Lektionen[[#This Row],[Bearbeitungsdauer_real]]/Lektionen[[#This Row],[Bearbeitungsdauer_geschätzt]]-1</f>
        <v>0.26666666666666661</v>
      </c>
      <c r="H2267" s="8" t="str" cm="1">
        <f t="array" ref="H2267">_xlfn.IFS(Lektionen[[#This Row],[Bearbeitungsdauer_abgewichen]]&gt;0.6,"viel länger",Lektionen[[#This Row],[Bearbeitungsdauer_abgewichen]]&gt;0.3,"länger",Lektionen[[#This Row],[Bearbeitungsdauer_abgewichen]]&lt;-0.3,"kürzer",TRUE,"keine Abweichung")</f>
        <v>keine Abweichung</v>
      </c>
      <c r="I2267">
        <v>1</v>
      </c>
    </row>
    <row r="2268" spans="1:9" hidden="1" x14ac:dyDescent="0.3">
      <c r="A2268" s="13">
        <v>359</v>
      </c>
      <c r="B2268" s="4">
        <v>3</v>
      </c>
      <c r="C2268" t="s">
        <v>552</v>
      </c>
      <c r="D2268" t="s">
        <v>530</v>
      </c>
      <c r="E2268">
        <v>30</v>
      </c>
      <c r="F2268">
        <v>29</v>
      </c>
      <c r="G2268" s="8">
        <f>Lektionen[[#This Row],[Bearbeitungsdauer_real]]/Lektionen[[#This Row],[Bearbeitungsdauer_geschätzt]]-1</f>
        <v>-3.3333333333333326E-2</v>
      </c>
      <c r="H2268" s="8" t="str" cm="1">
        <f t="array" ref="H2268">_xlfn.IFS(Lektionen[[#This Row],[Bearbeitungsdauer_abgewichen]]&gt;0.6,"viel länger",Lektionen[[#This Row],[Bearbeitungsdauer_abgewichen]]&gt;0.3,"länger",Lektionen[[#This Row],[Bearbeitungsdauer_abgewichen]]&lt;-0.3,"kürzer",TRUE,"keine Abweichung")</f>
        <v>keine Abweichung</v>
      </c>
      <c r="I2268">
        <v>3</v>
      </c>
    </row>
    <row r="2269" spans="1:9" hidden="1" x14ac:dyDescent="0.3">
      <c r="A2269" s="13">
        <v>359</v>
      </c>
      <c r="B2269" s="4">
        <v>4</v>
      </c>
      <c r="C2269" t="s">
        <v>531</v>
      </c>
      <c r="D2269" t="s">
        <v>530</v>
      </c>
      <c r="E2269">
        <v>30</v>
      </c>
      <c r="F2269">
        <v>28</v>
      </c>
      <c r="G2269" s="8">
        <f>Lektionen[[#This Row],[Bearbeitungsdauer_real]]/Lektionen[[#This Row],[Bearbeitungsdauer_geschätzt]]-1</f>
        <v>-6.6666666666666652E-2</v>
      </c>
      <c r="H2269" s="8" t="str" cm="1">
        <f t="array" ref="H2269">_xlfn.IFS(Lektionen[[#This Row],[Bearbeitungsdauer_abgewichen]]&gt;0.6,"viel länger",Lektionen[[#This Row],[Bearbeitungsdauer_abgewichen]]&gt;0.3,"länger",Lektionen[[#This Row],[Bearbeitungsdauer_abgewichen]]&lt;-0.3,"kürzer",TRUE,"keine Abweichung")</f>
        <v>keine Abweichung</v>
      </c>
      <c r="I2269">
        <v>3</v>
      </c>
    </row>
    <row r="2270" spans="1:9" x14ac:dyDescent="0.3">
      <c r="A2270" s="13">
        <v>359</v>
      </c>
      <c r="B2270" s="4">
        <v>5</v>
      </c>
      <c r="C2270" t="s">
        <v>532</v>
      </c>
      <c r="D2270" t="s">
        <v>530</v>
      </c>
      <c r="E2270">
        <v>30</v>
      </c>
      <c r="F2270">
        <v>47</v>
      </c>
      <c r="G2270" s="8">
        <f>Lektionen[[#This Row],[Bearbeitungsdauer_real]]/Lektionen[[#This Row],[Bearbeitungsdauer_geschätzt]]-1</f>
        <v>0.56666666666666665</v>
      </c>
      <c r="H2270" s="8" t="str" cm="1">
        <f t="array" ref="H2270">_xlfn.IFS(Lektionen[[#This Row],[Bearbeitungsdauer_abgewichen]]&gt;0.6,"viel länger",Lektionen[[#This Row],[Bearbeitungsdauer_abgewichen]]&gt;0.3,"länger",Lektionen[[#This Row],[Bearbeitungsdauer_abgewichen]]&lt;-0.3,"kürzer",TRUE,"keine Abweichung")</f>
        <v>länger</v>
      </c>
      <c r="I2270">
        <v>5</v>
      </c>
    </row>
    <row r="2271" spans="1:9" hidden="1" x14ac:dyDescent="0.3">
      <c r="A2271" s="13">
        <v>359</v>
      </c>
      <c r="B2271" s="4">
        <v>6</v>
      </c>
      <c r="C2271" t="s">
        <v>533</v>
      </c>
      <c r="D2271" t="s">
        <v>534</v>
      </c>
      <c r="E2271">
        <v>5</v>
      </c>
      <c r="F2271">
        <v>1</v>
      </c>
      <c r="G2271" s="8">
        <f>Lektionen[[#This Row],[Bearbeitungsdauer_real]]/Lektionen[[#This Row],[Bearbeitungsdauer_geschätzt]]-1</f>
        <v>-0.8</v>
      </c>
      <c r="H2271" s="8" t="str" cm="1">
        <f t="array" ref="H2271">_xlfn.IFS(Lektionen[[#This Row],[Bearbeitungsdauer_abgewichen]]&gt;0.6,"viel länger",Lektionen[[#This Row],[Bearbeitungsdauer_abgewichen]]&gt;0.3,"länger",Lektionen[[#This Row],[Bearbeitungsdauer_abgewichen]]&lt;-0.3,"kürzer",TRUE,"keine Abweichung")</f>
        <v>kürzer</v>
      </c>
      <c r="I2271">
        <v>3</v>
      </c>
    </row>
    <row r="2272" spans="1:9" hidden="1" x14ac:dyDescent="0.3">
      <c r="A2272" s="13">
        <v>359</v>
      </c>
      <c r="B2272" s="4">
        <v>7</v>
      </c>
      <c r="C2272" t="s">
        <v>535</v>
      </c>
      <c r="D2272" t="s">
        <v>536</v>
      </c>
      <c r="E2272">
        <v>10</v>
      </c>
      <c r="F2272">
        <v>10</v>
      </c>
      <c r="G2272" s="8">
        <f>Lektionen[[#This Row],[Bearbeitungsdauer_real]]/Lektionen[[#This Row],[Bearbeitungsdauer_geschätzt]]-1</f>
        <v>0</v>
      </c>
      <c r="H2272" s="8" t="str" cm="1">
        <f t="array" ref="H2272">_xlfn.IFS(Lektionen[[#This Row],[Bearbeitungsdauer_abgewichen]]&gt;0.6,"viel länger",Lektionen[[#This Row],[Bearbeitungsdauer_abgewichen]]&gt;0.3,"länger",Lektionen[[#This Row],[Bearbeitungsdauer_abgewichen]]&lt;-0.3,"kürzer",TRUE,"keine Abweichung")</f>
        <v>keine Abweichung</v>
      </c>
      <c r="I2272">
        <v>4</v>
      </c>
    </row>
    <row r="2273" spans="1:9" hidden="1" x14ac:dyDescent="0.3">
      <c r="A2273" s="13">
        <v>359</v>
      </c>
      <c r="B2273" s="4">
        <v>8</v>
      </c>
      <c r="C2273" t="s">
        <v>537</v>
      </c>
      <c r="D2273" t="s">
        <v>527</v>
      </c>
      <c r="E2273">
        <v>5</v>
      </c>
      <c r="F2273">
        <v>5</v>
      </c>
      <c r="G2273" s="8">
        <f>Lektionen[[#This Row],[Bearbeitungsdauer_real]]/Lektionen[[#This Row],[Bearbeitungsdauer_geschätzt]]-1</f>
        <v>0</v>
      </c>
      <c r="H2273" s="8" t="str" cm="1">
        <f t="array" ref="H2273">_xlfn.IFS(Lektionen[[#This Row],[Bearbeitungsdauer_abgewichen]]&gt;0.6,"viel länger",Lektionen[[#This Row],[Bearbeitungsdauer_abgewichen]]&gt;0.3,"länger",Lektionen[[#This Row],[Bearbeitungsdauer_abgewichen]]&lt;-0.3,"kürzer",TRUE,"keine Abweichung")</f>
        <v>keine Abweichung</v>
      </c>
      <c r="I2273">
        <v>1</v>
      </c>
    </row>
    <row r="2274" spans="1:9" hidden="1" x14ac:dyDescent="0.3">
      <c r="A2274" s="13">
        <v>360</v>
      </c>
      <c r="B2274" s="4">
        <v>1</v>
      </c>
      <c r="C2274" t="s">
        <v>526</v>
      </c>
      <c r="D2274" t="s">
        <v>527</v>
      </c>
      <c r="E2274">
        <v>4</v>
      </c>
      <c r="F2274">
        <v>4</v>
      </c>
      <c r="G2274" s="8">
        <f>Lektionen[[#This Row],[Bearbeitungsdauer_real]]/Lektionen[[#This Row],[Bearbeitungsdauer_geschätzt]]-1</f>
        <v>0</v>
      </c>
      <c r="H2274" s="8" t="str" cm="1">
        <f t="array" ref="H2274">_xlfn.IFS(Lektionen[[#This Row],[Bearbeitungsdauer_abgewichen]]&gt;0.6,"viel länger",Lektionen[[#This Row],[Bearbeitungsdauer_abgewichen]]&gt;0.3,"länger",Lektionen[[#This Row],[Bearbeitungsdauer_abgewichen]]&lt;-0.3,"kürzer",TRUE,"keine Abweichung")</f>
        <v>keine Abweichung</v>
      </c>
      <c r="I2274">
        <v>2</v>
      </c>
    </row>
    <row r="2275" spans="1:9" hidden="1" x14ac:dyDescent="0.3">
      <c r="A2275" s="13">
        <v>360</v>
      </c>
      <c r="B2275" s="4">
        <v>2</v>
      </c>
      <c r="C2275" t="s">
        <v>528</v>
      </c>
      <c r="D2275" t="s">
        <v>529</v>
      </c>
      <c r="E2275">
        <v>15</v>
      </c>
      <c r="F2275">
        <v>17</v>
      </c>
      <c r="G2275" s="8">
        <f>Lektionen[[#This Row],[Bearbeitungsdauer_real]]/Lektionen[[#This Row],[Bearbeitungsdauer_geschätzt]]-1</f>
        <v>0.1333333333333333</v>
      </c>
      <c r="H2275" s="8" t="str" cm="1">
        <f t="array" ref="H2275">_xlfn.IFS(Lektionen[[#This Row],[Bearbeitungsdauer_abgewichen]]&gt;0.6,"viel länger",Lektionen[[#This Row],[Bearbeitungsdauer_abgewichen]]&gt;0.3,"länger",Lektionen[[#This Row],[Bearbeitungsdauer_abgewichen]]&lt;-0.3,"kürzer",TRUE,"keine Abweichung")</f>
        <v>keine Abweichung</v>
      </c>
      <c r="I2275">
        <v>1</v>
      </c>
    </row>
    <row r="2276" spans="1:9" hidden="1" x14ac:dyDescent="0.3">
      <c r="A2276" s="13">
        <v>360</v>
      </c>
      <c r="B2276" s="4">
        <v>3</v>
      </c>
      <c r="C2276" t="s">
        <v>552</v>
      </c>
      <c r="D2276" t="s">
        <v>530</v>
      </c>
      <c r="E2276">
        <v>30</v>
      </c>
      <c r="F2276">
        <v>31</v>
      </c>
      <c r="G2276" s="8">
        <f>Lektionen[[#This Row],[Bearbeitungsdauer_real]]/Lektionen[[#This Row],[Bearbeitungsdauer_geschätzt]]-1</f>
        <v>3.3333333333333437E-2</v>
      </c>
      <c r="H2276" s="8" t="str" cm="1">
        <f t="array" ref="H2276">_xlfn.IFS(Lektionen[[#This Row],[Bearbeitungsdauer_abgewichen]]&gt;0.6,"viel länger",Lektionen[[#This Row],[Bearbeitungsdauer_abgewichen]]&gt;0.3,"länger",Lektionen[[#This Row],[Bearbeitungsdauer_abgewichen]]&lt;-0.3,"kürzer",TRUE,"keine Abweichung")</f>
        <v>keine Abweichung</v>
      </c>
      <c r="I2276">
        <v>2</v>
      </c>
    </row>
    <row r="2277" spans="1:9" hidden="1" x14ac:dyDescent="0.3">
      <c r="A2277" s="13">
        <v>360</v>
      </c>
      <c r="B2277" s="4">
        <v>4</v>
      </c>
      <c r="C2277" t="s">
        <v>531</v>
      </c>
      <c r="D2277" t="s">
        <v>530</v>
      </c>
      <c r="E2277">
        <v>30</v>
      </c>
      <c r="F2277">
        <v>20</v>
      </c>
      <c r="G2277" s="8">
        <f>Lektionen[[#This Row],[Bearbeitungsdauer_real]]/Lektionen[[#This Row],[Bearbeitungsdauer_geschätzt]]-1</f>
        <v>-0.33333333333333337</v>
      </c>
      <c r="H2277" s="8" t="str" cm="1">
        <f t="array" ref="H2277">_xlfn.IFS(Lektionen[[#This Row],[Bearbeitungsdauer_abgewichen]]&gt;0.6,"viel länger",Lektionen[[#This Row],[Bearbeitungsdauer_abgewichen]]&gt;0.3,"länger",Lektionen[[#This Row],[Bearbeitungsdauer_abgewichen]]&lt;-0.3,"kürzer",TRUE,"keine Abweichung")</f>
        <v>kürzer</v>
      </c>
      <c r="I2277">
        <v>3</v>
      </c>
    </row>
    <row r="2278" spans="1:9" x14ac:dyDescent="0.3">
      <c r="A2278" s="13">
        <v>360</v>
      </c>
      <c r="B2278" s="4">
        <v>5</v>
      </c>
      <c r="C2278" t="s">
        <v>532</v>
      </c>
      <c r="D2278" t="s">
        <v>530</v>
      </c>
      <c r="E2278">
        <v>30</v>
      </c>
      <c r="F2278">
        <v>33</v>
      </c>
      <c r="G2278" s="8">
        <f>Lektionen[[#This Row],[Bearbeitungsdauer_real]]/Lektionen[[#This Row],[Bearbeitungsdauer_geschätzt]]-1</f>
        <v>0.10000000000000009</v>
      </c>
      <c r="H2278" s="8" t="str" cm="1">
        <f t="array" ref="H2278">_xlfn.IFS(Lektionen[[#This Row],[Bearbeitungsdauer_abgewichen]]&gt;0.6,"viel länger",Lektionen[[#This Row],[Bearbeitungsdauer_abgewichen]]&gt;0.3,"länger",Lektionen[[#This Row],[Bearbeitungsdauer_abgewichen]]&lt;-0.3,"kürzer",TRUE,"keine Abweichung")</f>
        <v>keine Abweichung</v>
      </c>
      <c r="I2278">
        <v>5</v>
      </c>
    </row>
    <row r="2279" spans="1:9" hidden="1" x14ac:dyDescent="0.3">
      <c r="A2279" s="13">
        <v>360</v>
      </c>
      <c r="B2279" s="4">
        <v>6</v>
      </c>
      <c r="C2279" t="s">
        <v>533</v>
      </c>
      <c r="D2279" t="s">
        <v>534</v>
      </c>
      <c r="E2279">
        <v>5</v>
      </c>
      <c r="F2279">
        <v>1</v>
      </c>
      <c r="G2279" s="8">
        <f>Lektionen[[#This Row],[Bearbeitungsdauer_real]]/Lektionen[[#This Row],[Bearbeitungsdauer_geschätzt]]-1</f>
        <v>-0.8</v>
      </c>
      <c r="H2279" s="8" t="str" cm="1">
        <f t="array" ref="H2279">_xlfn.IFS(Lektionen[[#This Row],[Bearbeitungsdauer_abgewichen]]&gt;0.6,"viel länger",Lektionen[[#This Row],[Bearbeitungsdauer_abgewichen]]&gt;0.3,"länger",Lektionen[[#This Row],[Bearbeitungsdauer_abgewichen]]&lt;-0.3,"kürzer",TRUE,"keine Abweichung")</f>
        <v>kürzer</v>
      </c>
      <c r="I2279">
        <v>2</v>
      </c>
    </row>
    <row r="2280" spans="1:9" hidden="1" x14ac:dyDescent="0.3">
      <c r="A2280" s="13">
        <v>360</v>
      </c>
      <c r="B2280" s="4">
        <v>7</v>
      </c>
      <c r="C2280" t="s">
        <v>535</v>
      </c>
      <c r="D2280" t="s">
        <v>536</v>
      </c>
      <c r="E2280">
        <v>10</v>
      </c>
      <c r="F2280">
        <v>11</v>
      </c>
      <c r="G2280" s="8">
        <f>Lektionen[[#This Row],[Bearbeitungsdauer_real]]/Lektionen[[#This Row],[Bearbeitungsdauer_geschätzt]]-1</f>
        <v>0.10000000000000009</v>
      </c>
      <c r="H2280" s="8" t="str" cm="1">
        <f t="array" ref="H2280">_xlfn.IFS(Lektionen[[#This Row],[Bearbeitungsdauer_abgewichen]]&gt;0.6,"viel länger",Lektionen[[#This Row],[Bearbeitungsdauer_abgewichen]]&gt;0.3,"länger",Lektionen[[#This Row],[Bearbeitungsdauer_abgewichen]]&lt;-0.3,"kürzer",TRUE,"keine Abweichung")</f>
        <v>keine Abweichung</v>
      </c>
      <c r="I2280">
        <v>3</v>
      </c>
    </row>
    <row r="2281" spans="1:9" hidden="1" x14ac:dyDescent="0.3">
      <c r="A2281" s="13">
        <v>360</v>
      </c>
      <c r="B2281" s="4">
        <v>8</v>
      </c>
      <c r="C2281" t="s">
        <v>537</v>
      </c>
      <c r="D2281" t="s">
        <v>527</v>
      </c>
      <c r="E2281">
        <v>5</v>
      </c>
      <c r="F2281">
        <v>6</v>
      </c>
      <c r="G2281" s="8">
        <f>Lektionen[[#This Row],[Bearbeitungsdauer_real]]/Lektionen[[#This Row],[Bearbeitungsdauer_geschätzt]]-1</f>
        <v>0.19999999999999996</v>
      </c>
      <c r="H2281" s="8" t="str" cm="1">
        <f t="array" ref="H2281">_xlfn.IFS(Lektionen[[#This Row],[Bearbeitungsdauer_abgewichen]]&gt;0.6,"viel länger",Lektionen[[#This Row],[Bearbeitungsdauer_abgewichen]]&gt;0.3,"länger",Lektionen[[#This Row],[Bearbeitungsdauer_abgewichen]]&lt;-0.3,"kürzer",TRUE,"keine Abweichung")</f>
        <v>keine Abweichung</v>
      </c>
      <c r="I2281">
        <v>1</v>
      </c>
    </row>
    <row r="2282" spans="1:9" hidden="1" x14ac:dyDescent="0.3">
      <c r="A2282" s="13">
        <v>361</v>
      </c>
      <c r="B2282" s="4">
        <v>1</v>
      </c>
      <c r="C2282" t="s">
        <v>526</v>
      </c>
      <c r="D2282" t="s">
        <v>527</v>
      </c>
      <c r="E2282">
        <v>4</v>
      </c>
      <c r="F2282">
        <v>4</v>
      </c>
      <c r="G2282" s="8">
        <f>Lektionen[[#This Row],[Bearbeitungsdauer_real]]/Lektionen[[#This Row],[Bearbeitungsdauer_geschätzt]]-1</f>
        <v>0</v>
      </c>
      <c r="H2282" s="8" t="str" cm="1">
        <f t="array" ref="H2282">_xlfn.IFS(Lektionen[[#This Row],[Bearbeitungsdauer_abgewichen]]&gt;0.6,"viel länger",Lektionen[[#This Row],[Bearbeitungsdauer_abgewichen]]&gt;0.3,"länger",Lektionen[[#This Row],[Bearbeitungsdauer_abgewichen]]&lt;-0.3,"kürzer",TRUE,"keine Abweichung")</f>
        <v>keine Abweichung</v>
      </c>
      <c r="I2282">
        <v>1</v>
      </c>
    </row>
    <row r="2283" spans="1:9" hidden="1" x14ac:dyDescent="0.3">
      <c r="A2283" s="13">
        <v>361</v>
      </c>
      <c r="B2283" s="4">
        <v>2</v>
      </c>
      <c r="C2283" t="s">
        <v>528</v>
      </c>
      <c r="D2283" t="s">
        <v>529</v>
      </c>
      <c r="E2283">
        <v>15</v>
      </c>
      <c r="F2283">
        <v>19</v>
      </c>
      <c r="G2283" s="8">
        <f>Lektionen[[#This Row],[Bearbeitungsdauer_real]]/Lektionen[[#This Row],[Bearbeitungsdauer_geschätzt]]-1</f>
        <v>0.26666666666666661</v>
      </c>
      <c r="H2283" s="8" t="str" cm="1">
        <f t="array" ref="H2283">_xlfn.IFS(Lektionen[[#This Row],[Bearbeitungsdauer_abgewichen]]&gt;0.6,"viel länger",Lektionen[[#This Row],[Bearbeitungsdauer_abgewichen]]&gt;0.3,"länger",Lektionen[[#This Row],[Bearbeitungsdauer_abgewichen]]&lt;-0.3,"kürzer",TRUE,"keine Abweichung")</f>
        <v>keine Abweichung</v>
      </c>
      <c r="I2283">
        <v>1</v>
      </c>
    </row>
    <row r="2284" spans="1:9" hidden="1" x14ac:dyDescent="0.3">
      <c r="A2284" s="13">
        <v>361</v>
      </c>
      <c r="B2284" s="4">
        <v>3</v>
      </c>
      <c r="C2284" t="s">
        <v>552</v>
      </c>
      <c r="D2284" t="s">
        <v>530</v>
      </c>
      <c r="E2284">
        <v>30</v>
      </c>
      <c r="F2284">
        <v>27</v>
      </c>
      <c r="G2284" s="8">
        <f>Lektionen[[#This Row],[Bearbeitungsdauer_real]]/Lektionen[[#This Row],[Bearbeitungsdauer_geschätzt]]-1</f>
        <v>-9.9999999999999978E-2</v>
      </c>
      <c r="H2284" s="8" t="str" cm="1">
        <f t="array" ref="H2284">_xlfn.IFS(Lektionen[[#This Row],[Bearbeitungsdauer_abgewichen]]&gt;0.6,"viel länger",Lektionen[[#This Row],[Bearbeitungsdauer_abgewichen]]&gt;0.3,"länger",Lektionen[[#This Row],[Bearbeitungsdauer_abgewichen]]&lt;-0.3,"kürzer",TRUE,"keine Abweichung")</f>
        <v>keine Abweichung</v>
      </c>
      <c r="I2284">
        <v>2</v>
      </c>
    </row>
    <row r="2285" spans="1:9" hidden="1" x14ac:dyDescent="0.3">
      <c r="A2285" s="13">
        <v>361</v>
      </c>
      <c r="B2285" s="4">
        <v>4</v>
      </c>
      <c r="C2285" t="s">
        <v>531</v>
      </c>
      <c r="D2285" t="s">
        <v>530</v>
      </c>
      <c r="E2285">
        <v>30</v>
      </c>
      <c r="F2285">
        <v>30</v>
      </c>
      <c r="G2285" s="8">
        <f>Lektionen[[#This Row],[Bearbeitungsdauer_real]]/Lektionen[[#This Row],[Bearbeitungsdauer_geschätzt]]-1</f>
        <v>0</v>
      </c>
      <c r="H2285" s="8" t="str" cm="1">
        <f t="array" ref="H2285">_xlfn.IFS(Lektionen[[#This Row],[Bearbeitungsdauer_abgewichen]]&gt;0.6,"viel länger",Lektionen[[#This Row],[Bearbeitungsdauer_abgewichen]]&gt;0.3,"länger",Lektionen[[#This Row],[Bearbeitungsdauer_abgewichen]]&lt;-0.3,"kürzer",TRUE,"keine Abweichung")</f>
        <v>keine Abweichung</v>
      </c>
      <c r="I2285">
        <v>3</v>
      </c>
    </row>
    <row r="2286" spans="1:9" x14ac:dyDescent="0.3">
      <c r="A2286" s="13">
        <v>361</v>
      </c>
      <c r="B2286" s="4">
        <v>5</v>
      </c>
      <c r="C2286" t="s">
        <v>532</v>
      </c>
      <c r="D2286" t="s">
        <v>530</v>
      </c>
      <c r="E2286">
        <v>30</v>
      </c>
      <c r="F2286">
        <v>50</v>
      </c>
      <c r="G2286" s="8">
        <f>Lektionen[[#This Row],[Bearbeitungsdauer_real]]/Lektionen[[#This Row],[Bearbeitungsdauer_geschätzt]]-1</f>
        <v>0.66666666666666674</v>
      </c>
      <c r="H2286" s="8" t="str" cm="1">
        <f t="array" ref="H2286">_xlfn.IFS(Lektionen[[#This Row],[Bearbeitungsdauer_abgewichen]]&gt;0.6,"viel länger",Lektionen[[#This Row],[Bearbeitungsdauer_abgewichen]]&gt;0.3,"länger",Lektionen[[#This Row],[Bearbeitungsdauer_abgewichen]]&lt;-0.3,"kürzer",TRUE,"keine Abweichung")</f>
        <v>viel länger</v>
      </c>
      <c r="I2286">
        <v>4</v>
      </c>
    </row>
    <row r="2287" spans="1:9" hidden="1" x14ac:dyDescent="0.3">
      <c r="A2287" s="13">
        <v>361</v>
      </c>
      <c r="B2287" s="4">
        <v>6</v>
      </c>
      <c r="C2287" t="s">
        <v>533</v>
      </c>
      <c r="D2287" t="s">
        <v>534</v>
      </c>
      <c r="E2287">
        <v>5</v>
      </c>
      <c r="F2287">
        <v>1</v>
      </c>
      <c r="G2287" s="8">
        <f>Lektionen[[#This Row],[Bearbeitungsdauer_real]]/Lektionen[[#This Row],[Bearbeitungsdauer_geschätzt]]-1</f>
        <v>-0.8</v>
      </c>
      <c r="H2287" s="8" t="str" cm="1">
        <f t="array" ref="H2287">_xlfn.IFS(Lektionen[[#This Row],[Bearbeitungsdauer_abgewichen]]&gt;0.6,"viel länger",Lektionen[[#This Row],[Bearbeitungsdauer_abgewichen]]&gt;0.3,"länger",Lektionen[[#This Row],[Bearbeitungsdauer_abgewichen]]&lt;-0.3,"kürzer",TRUE,"keine Abweichung")</f>
        <v>kürzer</v>
      </c>
      <c r="I2287">
        <v>2</v>
      </c>
    </row>
    <row r="2288" spans="1:9" hidden="1" x14ac:dyDescent="0.3">
      <c r="A2288" s="13">
        <v>361</v>
      </c>
      <c r="B2288" s="4">
        <v>7</v>
      </c>
      <c r="C2288" t="s">
        <v>535</v>
      </c>
      <c r="D2288" t="s">
        <v>536</v>
      </c>
      <c r="E2288">
        <v>10</v>
      </c>
      <c r="F2288">
        <v>10</v>
      </c>
      <c r="G2288" s="8">
        <f>Lektionen[[#This Row],[Bearbeitungsdauer_real]]/Lektionen[[#This Row],[Bearbeitungsdauer_geschätzt]]-1</f>
        <v>0</v>
      </c>
      <c r="H2288" s="8" t="str" cm="1">
        <f t="array" ref="H2288">_xlfn.IFS(Lektionen[[#This Row],[Bearbeitungsdauer_abgewichen]]&gt;0.6,"viel länger",Lektionen[[#This Row],[Bearbeitungsdauer_abgewichen]]&gt;0.3,"länger",Lektionen[[#This Row],[Bearbeitungsdauer_abgewichen]]&lt;-0.3,"kürzer",TRUE,"keine Abweichung")</f>
        <v>keine Abweichung</v>
      </c>
      <c r="I2288">
        <v>3</v>
      </c>
    </row>
    <row r="2289" spans="1:9" hidden="1" x14ac:dyDescent="0.3">
      <c r="A2289" s="13">
        <v>361</v>
      </c>
      <c r="B2289" s="4">
        <v>8</v>
      </c>
      <c r="C2289" t="s">
        <v>537</v>
      </c>
      <c r="D2289" t="s">
        <v>527</v>
      </c>
      <c r="E2289">
        <v>5</v>
      </c>
      <c r="F2289">
        <v>5</v>
      </c>
      <c r="G2289" s="8">
        <f>Lektionen[[#This Row],[Bearbeitungsdauer_real]]/Lektionen[[#This Row],[Bearbeitungsdauer_geschätzt]]-1</f>
        <v>0</v>
      </c>
      <c r="H2289" s="8" t="str" cm="1">
        <f t="array" ref="H2289">_xlfn.IFS(Lektionen[[#This Row],[Bearbeitungsdauer_abgewichen]]&gt;0.6,"viel länger",Lektionen[[#This Row],[Bearbeitungsdauer_abgewichen]]&gt;0.3,"länger",Lektionen[[#This Row],[Bearbeitungsdauer_abgewichen]]&lt;-0.3,"kürzer",TRUE,"keine Abweichung")</f>
        <v>keine Abweichung</v>
      </c>
      <c r="I2289">
        <v>1</v>
      </c>
    </row>
    <row r="2290" spans="1:9" hidden="1" x14ac:dyDescent="0.3">
      <c r="A2290" s="13">
        <v>362</v>
      </c>
      <c r="B2290" s="4">
        <v>1</v>
      </c>
      <c r="C2290" t="s">
        <v>526</v>
      </c>
      <c r="D2290" t="s">
        <v>527</v>
      </c>
      <c r="E2290">
        <v>4</v>
      </c>
      <c r="F2290">
        <v>4</v>
      </c>
      <c r="G2290" s="8">
        <f>Lektionen[[#This Row],[Bearbeitungsdauer_real]]/Lektionen[[#This Row],[Bearbeitungsdauer_geschätzt]]-1</f>
        <v>0</v>
      </c>
      <c r="H2290" s="8" t="str" cm="1">
        <f t="array" ref="H2290">_xlfn.IFS(Lektionen[[#This Row],[Bearbeitungsdauer_abgewichen]]&gt;0.6,"viel länger",Lektionen[[#This Row],[Bearbeitungsdauer_abgewichen]]&gt;0.3,"länger",Lektionen[[#This Row],[Bearbeitungsdauer_abgewichen]]&lt;-0.3,"kürzer",TRUE,"keine Abweichung")</f>
        <v>keine Abweichung</v>
      </c>
      <c r="I2290">
        <v>1</v>
      </c>
    </row>
    <row r="2291" spans="1:9" hidden="1" x14ac:dyDescent="0.3">
      <c r="A2291" s="13">
        <v>362</v>
      </c>
      <c r="B2291" s="4">
        <v>2</v>
      </c>
      <c r="C2291" t="s">
        <v>528</v>
      </c>
      <c r="D2291" t="s">
        <v>529</v>
      </c>
      <c r="E2291">
        <v>15</v>
      </c>
      <c r="F2291">
        <v>16</v>
      </c>
      <c r="G2291" s="8">
        <f>Lektionen[[#This Row],[Bearbeitungsdauer_real]]/Lektionen[[#This Row],[Bearbeitungsdauer_geschätzt]]-1</f>
        <v>6.6666666666666652E-2</v>
      </c>
      <c r="H2291" s="8" t="str" cm="1">
        <f t="array" ref="H2291">_xlfn.IFS(Lektionen[[#This Row],[Bearbeitungsdauer_abgewichen]]&gt;0.6,"viel länger",Lektionen[[#This Row],[Bearbeitungsdauer_abgewichen]]&gt;0.3,"länger",Lektionen[[#This Row],[Bearbeitungsdauer_abgewichen]]&lt;-0.3,"kürzer",TRUE,"keine Abweichung")</f>
        <v>keine Abweichung</v>
      </c>
      <c r="I2291">
        <v>2</v>
      </c>
    </row>
    <row r="2292" spans="1:9" hidden="1" x14ac:dyDescent="0.3">
      <c r="A2292" s="13">
        <v>362</v>
      </c>
      <c r="B2292" s="4">
        <v>3</v>
      </c>
      <c r="C2292" t="s">
        <v>552</v>
      </c>
      <c r="D2292" t="s">
        <v>530</v>
      </c>
      <c r="E2292">
        <v>30</v>
      </c>
      <c r="F2292">
        <v>39</v>
      </c>
      <c r="G2292" s="8">
        <f>Lektionen[[#This Row],[Bearbeitungsdauer_real]]/Lektionen[[#This Row],[Bearbeitungsdauer_geschätzt]]-1</f>
        <v>0.30000000000000004</v>
      </c>
      <c r="H2292" s="8" t="str" cm="1">
        <f t="array" ref="H2292">_xlfn.IFS(Lektionen[[#This Row],[Bearbeitungsdauer_abgewichen]]&gt;0.6,"viel länger",Lektionen[[#This Row],[Bearbeitungsdauer_abgewichen]]&gt;0.3,"länger",Lektionen[[#This Row],[Bearbeitungsdauer_abgewichen]]&lt;-0.3,"kürzer",TRUE,"keine Abweichung")</f>
        <v>keine Abweichung</v>
      </c>
      <c r="I2292">
        <v>2</v>
      </c>
    </row>
    <row r="2293" spans="1:9" hidden="1" x14ac:dyDescent="0.3">
      <c r="A2293" s="13">
        <v>362</v>
      </c>
      <c r="B2293" s="4">
        <v>4</v>
      </c>
      <c r="C2293" t="s">
        <v>531</v>
      </c>
      <c r="D2293" t="s">
        <v>530</v>
      </c>
      <c r="E2293">
        <v>30</v>
      </c>
      <c r="F2293">
        <v>23</v>
      </c>
      <c r="G2293" s="8">
        <f>Lektionen[[#This Row],[Bearbeitungsdauer_real]]/Lektionen[[#This Row],[Bearbeitungsdauer_geschätzt]]-1</f>
        <v>-0.23333333333333328</v>
      </c>
      <c r="H2293" s="8" t="str" cm="1">
        <f t="array" ref="H2293">_xlfn.IFS(Lektionen[[#This Row],[Bearbeitungsdauer_abgewichen]]&gt;0.6,"viel länger",Lektionen[[#This Row],[Bearbeitungsdauer_abgewichen]]&gt;0.3,"länger",Lektionen[[#This Row],[Bearbeitungsdauer_abgewichen]]&lt;-0.3,"kürzer",TRUE,"keine Abweichung")</f>
        <v>keine Abweichung</v>
      </c>
      <c r="I2293">
        <v>3</v>
      </c>
    </row>
    <row r="2294" spans="1:9" x14ac:dyDescent="0.3">
      <c r="A2294" s="13">
        <v>362</v>
      </c>
      <c r="B2294" s="4">
        <v>5</v>
      </c>
      <c r="C2294" t="s">
        <v>532</v>
      </c>
      <c r="D2294" t="s">
        <v>530</v>
      </c>
      <c r="E2294">
        <v>30</v>
      </c>
      <c r="F2294">
        <v>46</v>
      </c>
      <c r="G2294" s="8">
        <f>Lektionen[[#This Row],[Bearbeitungsdauer_real]]/Lektionen[[#This Row],[Bearbeitungsdauer_geschätzt]]-1</f>
        <v>0.53333333333333344</v>
      </c>
      <c r="H2294" s="8" t="str" cm="1">
        <f t="array" ref="H2294">_xlfn.IFS(Lektionen[[#This Row],[Bearbeitungsdauer_abgewichen]]&gt;0.6,"viel länger",Lektionen[[#This Row],[Bearbeitungsdauer_abgewichen]]&gt;0.3,"länger",Lektionen[[#This Row],[Bearbeitungsdauer_abgewichen]]&lt;-0.3,"kürzer",TRUE,"keine Abweichung")</f>
        <v>länger</v>
      </c>
      <c r="I2294">
        <v>4</v>
      </c>
    </row>
    <row r="2295" spans="1:9" hidden="1" x14ac:dyDescent="0.3">
      <c r="A2295" s="13">
        <v>362</v>
      </c>
      <c r="B2295" s="4">
        <v>6</v>
      </c>
      <c r="C2295" t="s">
        <v>533</v>
      </c>
      <c r="D2295" t="s">
        <v>534</v>
      </c>
      <c r="E2295">
        <v>5</v>
      </c>
      <c r="F2295">
        <v>2</v>
      </c>
      <c r="G2295" s="8">
        <f>Lektionen[[#This Row],[Bearbeitungsdauer_real]]/Lektionen[[#This Row],[Bearbeitungsdauer_geschätzt]]-1</f>
        <v>-0.6</v>
      </c>
      <c r="H2295" s="8" t="str" cm="1">
        <f t="array" ref="H2295">_xlfn.IFS(Lektionen[[#This Row],[Bearbeitungsdauer_abgewichen]]&gt;0.6,"viel länger",Lektionen[[#This Row],[Bearbeitungsdauer_abgewichen]]&gt;0.3,"länger",Lektionen[[#This Row],[Bearbeitungsdauer_abgewichen]]&lt;-0.3,"kürzer",TRUE,"keine Abweichung")</f>
        <v>kürzer</v>
      </c>
      <c r="I2295">
        <v>2</v>
      </c>
    </row>
    <row r="2296" spans="1:9" hidden="1" x14ac:dyDescent="0.3">
      <c r="A2296" s="13">
        <v>362</v>
      </c>
      <c r="B2296" s="4">
        <v>7</v>
      </c>
      <c r="C2296" t="s">
        <v>535</v>
      </c>
      <c r="D2296" t="s">
        <v>536</v>
      </c>
      <c r="E2296">
        <v>10</v>
      </c>
      <c r="F2296">
        <v>11</v>
      </c>
      <c r="G2296" s="8">
        <f>Lektionen[[#This Row],[Bearbeitungsdauer_real]]/Lektionen[[#This Row],[Bearbeitungsdauer_geschätzt]]-1</f>
        <v>0.10000000000000009</v>
      </c>
      <c r="H2296" s="8" t="str" cm="1">
        <f t="array" ref="H2296">_xlfn.IFS(Lektionen[[#This Row],[Bearbeitungsdauer_abgewichen]]&gt;0.6,"viel länger",Lektionen[[#This Row],[Bearbeitungsdauer_abgewichen]]&gt;0.3,"länger",Lektionen[[#This Row],[Bearbeitungsdauer_abgewichen]]&lt;-0.3,"kürzer",TRUE,"keine Abweichung")</f>
        <v>keine Abweichung</v>
      </c>
      <c r="I2296">
        <v>4</v>
      </c>
    </row>
    <row r="2297" spans="1:9" hidden="1" x14ac:dyDescent="0.3">
      <c r="A2297" s="13">
        <v>362</v>
      </c>
      <c r="B2297" s="4">
        <v>8</v>
      </c>
      <c r="C2297" t="s">
        <v>537</v>
      </c>
      <c r="D2297" t="s">
        <v>527</v>
      </c>
      <c r="E2297">
        <v>5</v>
      </c>
      <c r="F2297">
        <v>5</v>
      </c>
      <c r="G2297" s="8">
        <f>Lektionen[[#This Row],[Bearbeitungsdauer_real]]/Lektionen[[#This Row],[Bearbeitungsdauer_geschätzt]]-1</f>
        <v>0</v>
      </c>
      <c r="H2297" s="8" t="str" cm="1">
        <f t="array" ref="H2297">_xlfn.IFS(Lektionen[[#This Row],[Bearbeitungsdauer_abgewichen]]&gt;0.6,"viel länger",Lektionen[[#This Row],[Bearbeitungsdauer_abgewichen]]&gt;0.3,"länger",Lektionen[[#This Row],[Bearbeitungsdauer_abgewichen]]&lt;-0.3,"kürzer",TRUE,"keine Abweichung")</f>
        <v>keine Abweichung</v>
      </c>
      <c r="I2297">
        <v>1</v>
      </c>
    </row>
    <row r="2298" spans="1:9" hidden="1" x14ac:dyDescent="0.3">
      <c r="A2298" s="13">
        <v>363</v>
      </c>
      <c r="B2298" s="4">
        <v>1</v>
      </c>
      <c r="C2298" t="s">
        <v>526</v>
      </c>
      <c r="D2298" t="s">
        <v>527</v>
      </c>
      <c r="E2298">
        <v>4</v>
      </c>
      <c r="F2298">
        <v>4</v>
      </c>
      <c r="G2298" s="8">
        <f>Lektionen[[#This Row],[Bearbeitungsdauer_real]]/Lektionen[[#This Row],[Bearbeitungsdauer_geschätzt]]-1</f>
        <v>0</v>
      </c>
      <c r="H2298" s="8" t="str" cm="1">
        <f t="array" ref="H2298">_xlfn.IFS(Lektionen[[#This Row],[Bearbeitungsdauer_abgewichen]]&gt;0.6,"viel länger",Lektionen[[#This Row],[Bearbeitungsdauer_abgewichen]]&gt;0.3,"länger",Lektionen[[#This Row],[Bearbeitungsdauer_abgewichen]]&lt;-0.3,"kürzer",TRUE,"keine Abweichung")</f>
        <v>keine Abweichung</v>
      </c>
      <c r="I2298">
        <v>1</v>
      </c>
    </row>
    <row r="2299" spans="1:9" hidden="1" x14ac:dyDescent="0.3">
      <c r="A2299" s="13">
        <v>363</v>
      </c>
      <c r="B2299" s="4">
        <v>2</v>
      </c>
      <c r="C2299" t="s">
        <v>528</v>
      </c>
      <c r="D2299" t="s">
        <v>529</v>
      </c>
      <c r="E2299">
        <v>15</v>
      </c>
      <c r="F2299">
        <v>17</v>
      </c>
      <c r="G2299" s="8">
        <f>Lektionen[[#This Row],[Bearbeitungsdauer_real]]/Lektionen[[#This Row],[Bearbeitungsdauer_geschätzt]]-1</f>
        <v>0.1333333333333333</v>
      </c>
      <c r="H2299" s="8" t="str" cm="1">
        <f t="array" ref="H2299">_xlfn.IFS(Lektionen[[#This Row],[Bearbeitungsdauer_abgewichen]]&gt;0.6,"viel länger",Lektionen[[#This Row],[Bearbeitungsdauer_abgewichen]]&gt;0.3,"länger",Lektionen[[#This Row],[Bearbeitungsdauer_abgewichen]]&lt;-0.3,"kürzer",TRUE,"keine Abweichung")</f>
        <v>keine Abweichung</v>
      </c>
      <c r="I2299">
        <v>1</v>
      </c>
    </row>
    <row r="2300" spans="1:9" hidden="1" x14ac:dyDescent="0.3">
      <c r="A2300" s="13">
        <v>363</v>
      </c>
      <c r="B2300" s="4">
        <v>3</v>
      </c>
      <c r="C2300" t="s">
        <v>552</v>
      </c>
      <c r="D2300" t="s">
        <v>530</v>
      </c>
      <c r="E2300">
        <v>30</v>
      </c>
      <c r="F2300">
        <v>28</v>
      </c>
      <c r="G2300" s="8">
        <f>Lektionen[[#This Row],[Bearbeitungsdauer_real]]/Lektionen[[#This Row],[Bearbeitungsdauer_geschätzt]]-1</f>
        <v>-6.6666666666666652E-2</v>
      </c>
      <c r="H2300" s="8" t="str" cm="1">
        <f t="array" ref="H2300">_xlfn.IFS(Lektionen[[#This Row],[Bearbeitungsdauer_abgewichen]]&gt;0.6,"viel länger",Lektionen[[#This Row],[Bearbeitungsdauer_abgewichen]]&gt;0.3,"länger",Lektionen[[#This Row],[Bearbeitungsdauer_abgewichen]]&lt;-0.3,"kürzer",TRUE,"keine Abweichung")</f>
        <v>keine Abweichung</v>
      </c>
      <c r="I2300">
        <v>3</v>
      </c>
    </row>
    <row r="2301" spans="1:9" hidden="1" x14ac:dyDescent="0.3">
      <c r="A2301" s="13">
        <v>363</v>
      </c>
      <c r="B2301" s="4">
        <v>4</v>
      </c>
      <c r="C2301" t="s">
        <v>531</v>
      </c>
      <c r="D2301" t="s">
        <v>530</v>
      </c>
      <c r="E2301">
        <v>30</v>
      </c>
      <c r="F2301">
        <v>19</v>
      </c>
      <c r="G2301" s="8">
        <f>Lektionen[[#This Row],[Bearbeitungsdauer_real]]/Lektionen[[#This Row],[Bearbeitungsdauer_geschätzt]]-1</f>
        <v>-0.3666666666666667</v>
      </c>
      <c r="H2301" s="8" t="str" cm="1">
        <f t="array" ref="H2301">_xlfn.IFS(Lektionen[[#This Row],[Bearbeitungsdauer_abgewichen]]&gt;0.6,"viel länger",Lektionen[[#This Row],[Bearbeitungsdauer_abgewichen]]&gt;0.3,"länger",Lektionen[[#This Row],[Bearbeitungsdauer_abgewichen]]&lt;-0.3,"kürzer",TRUE,"keine Abweichung")</f>
        <v>kürzer</v>
      </c>
      <c r="I2301">
        <v>3</v>
      </c>
    </row>
    <row r="2302" spans="1:9" x14ac:dyDescent="0.3">
      <c r="A2302" s="13">
        <v>363</v>
      </c>
      <c r="B2302" s="4">
        <v>5</v>
      </c>
      <c r="C2302" t="s">
        <v>532</v>
      </c>
      <c r="D2302" t="s">
        <v>530</v>
      </c>
      <c r="E2302">
        <v>30</v>
      </c>
      <c r="F2302">
        <v>46</v>
      </c>
      <c r="G2302" s="8">
        <f>Lektionen[[#This Row],[Bearbeitungsdauer_real]]/Lektionen[[#This Row],[Bearbeitungsdauer_geschätzt]]-1</f>
        <v>0.53333333333333344</v>
      </c>
      <c r="H2302" s="8" t="str" cm="1">
        <f t="array" ref="H2302">_xlfn.IFS(Lektionen[[#This Row],[Bearbeitungsdauer_abgewichen]]&gt;0.6,"viel länger",Lektionen[[#This Row],[Bearbeitungsdauer_abgewichen]]&gt;0.3,"länger",Lektionen[[#This Row],[Bearbeitungsdauer_abgewichen]]&lt;-0.3,"kürzer",TRUE,"keine Abweichung")</f>
        <v>länger</v>
      </c>
      <c r="I2302">
        <v>3</v>
      </c>
    </row>
    <row r="2303" spans="1:9" hidden="1" x14ac:dyDescent="0.3">
      <c r="A2303" s="13">
        <v>363</v>
      </c>
      <c r="B2303" s="4">
        <v>6</v>
      </c>
      <c r="C2303" t="s">
        <v>533</v>
      </c>
      <c r="D2303" t="s">
        <v>534</v>
      </c>
      <c r="E2303">
        <v>5</v>
      </c>
      <c r="F2303">
        <v>2</v>
      </c>
      <c r="G2303" s="8">
        <f>Lektionen[[#This Row],[Bearbeitungsdauer_real]]/Lektionen[[#This Row],[Bearbeitungsdauer_geschätzt]]-1</f>
        <v>-0.6</v>
      </c>
      <c r="H2303" s="8" t="str" cm="1">
        <f t="array" ref="H2303">_xlfn.IFS(Lektionen[[#This Row],[Bearbeitungsdauer_abgewichen]]&gt;0.6,"viel länger",Lektionen[[#This Row],[Bearbeitungsdauer_abgewichen]]&gt;0.3,"länger",Lektionen[[#This Row],[Bearbeitungsdauer_abgewichen]]&lt;-0.3,"kürzer",TRUE,"keine Abweichung")</f>
        <v>kürzer</v>
      </c>
      <c r="I2303">
        <v>2</v>
      </c>
    </row>
    <row r="2304" spans="1:9" hidden="1" x14ac:dyDescent="0.3">
      <c r="A2304" s="13">
        <v>363</v>
      </c>
      <c r="B2304" s="4">
        <v>7</v>
      </c>
      <c r="C2304" t="s">
        <v>535</v>
      </c>
      <c r="D2304" t="s">
        <v>536</v>
      </c>
      <c r="E2304">
        <v>10</v>
      </c>
      <c r="F2304">
        <v>9</v>
      </c>
      <c r="G2304" s="8">
        <f>Lektionen[[#This Row],[Bearbeitungsdauer_real]]/Lektionen[[#This Row],[Bearbeitungsdauer_geschätzt]]-1</f>
        <v>-9.9999999999999978E-2</v>
      </c>
      <c r="H2304" s="8" t="str" cm="1">
        <f t="array" ref="H2304">_xlfn.IFS(Lektionen[[#This Row],[Bearbeitungsdauer_abgewichen]]&gt;0.6,"viel länger",Lektionen[[#This Row],[Bearbeitungsdauer_abgewichen]]&gt;0.3,"länger",Lektionen[[#This Row],[Bearbeitungsdauer_abgewichen]]&lt;-0.3,"kürzer",TRUE,"keine Abweichung")</f>
        <v>keine Abweichung</v>
      </c>
      <c r="I2304">
        <v>3</v>
      </c>
    </row>
    <row r="2305" spans="1:9" hidden="1" x14ac:dyDescent="0.3">
      <c r="A2305" s="13">
        <v>363</v>
      </c>
      <c r="B2305" s="4">
        <v>8</v>
      </c>
      <c r="C2305" t="s">
        <v>537</v>
      </c>
      <c r="D2305" t="s">
        <v>527</v>
      </c>
      <c r="E2305">
        <v>5</v>
      </c>
      <c r="F2305">
        <v>5</v>
      </c>
      <c r="G2305" s="8">
        <f>Lektionen[[#This Row],[Bearbeitungsdauer_real]]/Lektionen[[#This Row],[Bearbeitungsdauer_geschätzt]]-1</f>
        <v>0</v>
      </c>
      <c r="H2305" s="8" t="str" cm="1">
        <f t="array" ref="H2305">_xlfn.IFS(Lektionen[[#This Row],[Bearbeitungsdauer_abgewichen]]&gt;0.6,"viel länger",Lektionen[[#This Row],[Bearbeitungsdauer_abgewichen]]&gt;0.3,"länger",Lektionen[[#This Row],[Bearbeitungsdauer_abgewichen]]&lt;-0.3,"kürzer",TRUE,"keine Abweichung")</f>
        <v>keine Abweichung</v>
      </c>
      <c r="I2305">
        <v>1</v>
      </c>
    </row>
    <row r="2306" spans="1:9" hidden="1" x14ac:dyDescent="0.3">
      <c r="A2306" s="13">
        <v>364</v>
      </c>
      <c r="B2306" s="4">
        <v>1</v>
      </c>
      <c r="C2306" t="s">
        <v>526</v>
      </c>
      <c r="D2306" t="s">
        <v>527</v>
      </c>
      <c r="E2306">
        <v>4</v>
      </c>
      <c r="F2306">
        <v>4</v>
      </c>
      <c r="G2306" s="8">
        <f>Lektionen[[#This Row],[Bearbeitungsdauer_real]]/Lektionen[[#This Row],[Bearbeitungsdauer_geschätzt]]-1</f>
        <v>0</v>
      </c>
      <c r="H2306" s="8" t="str" cm="1">
        <f t="array" ref="H2306">_xlfn.IFS(Lektionen[[#This Row],[Bearbeitungsdauer_abgewichen]]&gt;0.6,"viel länger",Lektionen[[#This Row],[Bearbeitungsdauer_abgewichen]]&gt;0.3,"länger",Lektionen[[#This Row],[Bearbeitungsdauer_abgewichen]]&lt;-0.3,"kürzer",TRUE,"keine Abweichung")</f>
        <v>keine Abweichung</v>
      </c>
      <c r="I2306">
        <v>2</v>
      </c>
    </row>
    <row r="2307" spans="1:9" hidden="1" x14ac:dyDescent="0.3">
      <c r="A2307" s="13">
        <v>364</v>
      </c>
      <c r="B2307" s="4">
        <v>2</v>
      </c>
      <c r="C2307" t="s">
        <v>528</v>
      </c>
      <c r="D2307" t="s">
        <v>529</v>
      </c>
      <c r="E2307">
        <v>15</v>
      </c>
      <c r="F2307">
        <v>21</v>
      </c>
      <c r="G2307" s="8">
        <f>Lektionen[[#This Row],[Bearbeitungsdauer_real]]/Lektionen[[#This Row],[Bearbeitungsdauer_geschätzt]]-1</f>
        <v>0.39999999999999991</v>
      </c>
      <c r="H2307" s="8" t="str" cm="1">
        <f t="array" ref="H2307">_xlfn.IFS(Lektionen[[#This Row],[Bearbeitungsdauer_abgewichen]]&gt;0.6,"viel länger",Lektionen[[#This Row],[Bearbeitungsdauer_abgewichen]]&gt;0.3,"länger",Lektionen[[#This Row],[Bearbeitungsdauer_abgewichen]]&lt;-0.3,"kürzer",TRUE,"keine Abweichung")</f>
        <v>länger</v>
      </c>
      <c r="I2307">
        <v>2</v>
      </c>
    </row>
    <row r="2308" spans="1:9" hidden="1" x14ac:dyDescent="0.3">
      <c r="A2308" s="13">
        <v>364</v>
      </c>
      <c r="B2308" s="4">
        <v>3</v>
      </c>
      <c r="C2308" t="s">
        <v>552</v>
      </c>
      <c r="D2308" t="s">
        <v>530</v>
      </c>
      <c r="E2308">
        <v>30</v>
      </c>
      <c r="F2308">
        <v>28</v>
      </c>
      <c r="G2308" s="8">
        <f>Lektionen[[#This Row],[Bearbeitungsdauer_real]]/Lektionen[[#This Row],[Bearbeitungsdauer_geschätzt]]-1</f>
        <v>-6.6666666666666652E-2</v>
      </c>
      <c r="H2308" s="8" t="str" cm="1">
        <f t="array" ref="H2308">_xlfn.IFS(Lektionen[[#This Row],[Bearbeitungsdauer_abgewichen]]&gt;0.6,"viel länger",Lektionen[[#This Row],[Bearbeitungsdauer_abgewichen]]&gt;0.3,"länger",Lektionen[[#This Row],[Bearbeitungsdauer_abgewichen]]&lt;-0.3,"kürzer",TRUE,"keine Abweichung")</f>
        <v>keine Abweichung</v>
      </c>
      <c r="I2308">
        <v>3</v>
      </c>
    </row>
    <row r="2309" spans="1:9" hidden="1" x14ac:dyDescent="0.3">
      <c r="A2309" s="13">
        <v>364</v>
      </c>
      <c r="B2309" s="4">
        <v>4</v>
      </c>
      <c r="C2309" t="s">
        <v>531</v>
      </c>
      <c r="D2309" t="s">
        <v>530</v>
      </c>
      <c r="E2309">
        <v>30</v>
      </c>
      <c r="F2309">
        <v>24</v>
      </c>
      <c r="G2309" s="8">
        <f>Lektionen[[#This Row],[Bearbeitungsdauer_real]]/Lektionen[[#This Row],[Bearbeitungsdauer_geschätzt]]-1</f>
        <v>-0.19999999999999996</v>
      </c>
      <c r="H2309" s="8" t="str" cm="1">
        <f t="array" ref="H2309">_xlfn.IFS(Lektionen[[#This Row],[Bearbeitungsdauer_abgewichen]]&gt;0.6,"viel länger",Lektionen[[#This Row],[Bearbeitungsdauer_abgewichen]]&gt;0.3,"länger",Lektionen[[#This Row],[Bearbeitungsdauer_abgewichen]]&lt;-0.3,"kürzer",TRUE,"keine Abweichung")</f>
        <v>keine Abweichung</v>
      </c>
      <c r="I2309">
        <v>2</v>
      </c>
    </row>
    <row r="2310" spans="1:9" x14ac:dyDescent="0.3">
      <c r="A2310" s="13">
        <v>364</v>
      </c>
      <c r="B2310" s="4">
        <v>5</v>
      </c>
      <c r="C2310" t="s">
        <v>532</v>
      </c>
      <c r="D2310" t="s">
        <v>530</v>
      </c>
      <c r="E2310">
        <v>30</v>
      </c>
      <c r="F2310">
        <v>47</v>
      </c>
      <c r="G2310" s="8">
        <f>Lektionen[[#This Row],[Bearbeitungsdauer_real]]/Lektionen[[#This Row],[Bearbeitungsdauer_geschätzt]]-1</f>
        <v>0.56666666666666665</v>
      </c>
      <c r="H2310" s="8" t="str" cm="1">
        <f t="array" ref="H2310">_xlfn.IFS(Lektionen[[#This Row],[Bearbeitungsdauer_abgewichen]]&gt;0.6,"viel länger",Lektionen[[#This Row],[Bearbeitungsdauer_abgewichen]]&gt;0.3,"länger",Lektionen[[#This Row],[Bearbeitungsdauer_abgewichen]]&lt;-0.3,"kürzer",TRUE,"keine Abweichung")</f>
        <v>länger</v>
      </c>
      <c r="I2310">
        <v>4</v>
      </c>
    </row>
    <row r="2311" spans="1:9" hidden="1" x14ac:dyDescent="0.3">
      <c r="A2311" s="13">
        <v>364</v>
      </c>
      <c r="B2311" s="4">
        <v>6</v>
      </c>
      <c r="C2311" t="s">
        <v>533</v>
      </c>
      <c r="D2311" t="s">
        <v>534</v>
      </c>
      <c r="E2311">
        <v>5</v>
      </c>
      <c r="F2311">
        <v>1</v>
      </c>
      <c r="G2311" s="8">
        <f>Lektionen[[#This Row],[Bearbeitungsdauer_real]]/Lektionen[[#This Row],[Bearbeitungsdauer_geschätzt]]-1</f>
        <v>-0.8</v>
      </c>
      <c r="H2311" s="8" t="str" cm="1">
        <f t="array" ref="H2311">_xlfn.IFS(Lektionen[[#This Row],[Bearbeitungsdauer_abgewichen]]&gt;0.6,"viel länger",Lektionen[[#This Row],[Bearbeitungsdauer_abgewichen]]&gt;0.3,"länger",Lektionen[[#This Row],[Bearbeitungsdauer_abgewichen]]&lt;-0.3,"kürzer",TRUE,"keine Abweichung")</f>
        <v>kürzer</v>
      </c>
      <c r="I2311">
        <v>2</v>
      </c>
    </row>
    <row r="2312" spans="1:9" hidden="1" x14ac:dyDescent="0.3">
      <c r="A2312" s="13">
        <v>364</v>
      </c>
      <c r="B2312" s="4">
        <v>7</v>
      </c>
      <c r="C2312" t="s">
        <v>535</v>
      </c>
      <c r="D2312" t="s">
        <v>536</v>
      </c>
      <c r="E2312">
        <v>10</v>
      </c>
      <c r="F2312">
        <v>10</v>
      </c>
      <c r="G2312" s="8">
        <f>Lektionen[[#This Row],[Bearbeitungsdauer_real]]/Lektionen[[#This Row],[Bearbeitungsdauer_geschätzt]]-1</f>
        <v>0</v>
      </c>
      <c r="H2312" s="8" t="str" cm="1">
        <f t="array" ref="H2312">_xlfn.IFS(Lektionen[[#This Row],[Bearbeitungsdauer_abgewichen]]&gt;0.6,"viel länger",Lektionen[[#This Row],[Bearbeitungsdauer_abgewichen]]&gt;0.3,"länger",Lektionen[[#This Row],[Bearbeitungsdauer_abgewichen]]&lt;-0.3,"kürzer",TRUE,"keine Abweichung")</f>
        <v>keine Abweichung</v>
      </c>
      <c r="I2312">
        <v>4</v>
      </c>
    </row>
    <row r="2313" spans="1:9" hidden="1" x14ac:dyDescent="0.3">
      <c r="A2313" s="13">
        <v>364</v>
      </c>
      <c r="B2313" s="4">
        <v>8</v>
      </c>
      <c r="C2313" t="s">
        <v>537</v>
      </c>
      <c r="D2313" t="s">
        <v>527</v>
      </c>
      <c r="E2313">
        <v>5</v>
      </c>
      <c r="F2313">
        <v>5</v>
      </c>
      <c r="G2313" s="8">
        <f>Lektionen[[#This Row],[Bearbeitungsdauer_real]]/Lektionen[[#This Row],[Bearbeitungsdauer_geschätzt]]-1</f>
        <v>0</v>
      </c>
      <c r="H2313" s="8" t="str" cm="1">
        <f t="array" ref="H2313">_xlfn.IFS(Lektionen[[#This Row],[Bearbeitungsdauer_abgewichen]]&gt;0.6,"viel länger",Lektionen[[#This Row],[Bearbeitungsdauer_abgewichen]]&gt;0.3,"länger",Lektionen[[#This Row],[Bearbeitungsdauer_abgewichen]]&lt;-0.3,"kürzer",TRUE,"keine Abweichung")</f>
        <v>keine Abweichung</v>
      </c>
      <c r="I2313">
        <v>1</v>
      </c>
    </row>
    <row r="2314" spans="1:9" hidden="1" x14ac:dyDescent="0.3">
      <c r="A2314" s="13">
        <v>365</v>
      </c>
      <c r="B2314" s="4">
        <v>1</v>
      </c>
      <c r="C2314" t="s">
        <v>526</v>
      </c>
      <c r="D2314" t="s">
        <v>527</v>
      </c>
      <c r="E2314">
        <v>4</v>
      </c>
      <c r="F2314">
        <v>4</v>
      </c>
      <c r="G2314" s="8">
        <f>Lektionen[[#This Row],[Bearbeitungsdauer_real]]/Lektionen[[#This Row],[Bearbeitungsdauer_geschätzt]]-1</f>
        <v>0</v>
      </c>
      <c r="H2314" s="8" t="str" cm="1">
        <f t="array" ref="H2314">_xlfn.IFS(Lektionen[[#This Row],[Bearbeitungsdauer_abgewichen]]&gt;0.6,"viel länger",Lektionen[[#This Row],[Bearbeitungsdauer_abgewichen]]&gt;0.3,"länger",Lektionen[[#This Row],[Bearbeitungsdauer_abgewichen]]&lt;-0.3,"kürzer",TRUE,"keine Abweichung")</f>
        <v>keine Abweichung</v>
      </c>
      <c r="I2314">
        <v>1</v>
      </c>
    </row>
    <row r="2315" spans="1:9" hidden="1" x14ac:dyDescent="0.3">
      <c r="A2315" s="13">
        <v>365</v>
      </c>
      <c r="B2315" s="4">
        <v>2</v>
      </c>
      <c r="C2315" t="s">
        <v>528</v>
      </c>
      <c r="D2315" t="s">
        <v>529</v>
      </c>
      <c r="E2315">
        <v>15</v>
      </c>
      <c r="F2315">
        <v>18</v>
      </c>
      <c r="G2315" s="8">
        <f>Lektionen[[#This Row],[Bearbeitungsdauer_real]]/Lektionen[[#This Row],[Bearbeitungsdauer_geschätzt]]-1</f>
        <v>0.19999999999999996</v>
      </c>
      <c r="H2315" s="8" t="str" cm="1">
        <f t="array" ref="H2315">_xlfn.IFS(Lektionen[[#This Row],[Bearbeitungsdauer_abgewichen]]&gt;0.6,"viel länger",Lektionen[[#This Row],[Bearbeitungsdauer_abgewichen]]&gt;0.3,"länger",Lektionen[[#This Row],[Bearbeitungsdauer_abgewichen]]&lt;-0.3,"kürzer",TRUE,"keine Abweichung")</f>
        <v>keine Abweichung</v>
      </c>
      <c r="I2315">
        <v>2</v>
      </c>
    </row>
    <row r="2316" spans="1:9" hidden="1" x14ac:dyDescent="0.3">
      <c r="A2316" s="13">
        <v>365</v>
      </c>
      <c r="B2316" s="4">
        <v>3</v>
      </c>
      <c r="C2316" t="s">
        <v>552</v>
      </c>
      <c r="D2316" t="s">
        <v>530</v>
      </c>
      <c r="E2316">
        <v>30</v>
      </c>
      <c r="F2316">
        <v>28</v>
      </c>
      <c r="G2316" s="8">
        <f>Lektionen[[#This Row],[Bearbeitungsdauer_real]]/Lektionen[[#This Row],[Bearbeitungsdauer_geschätzt]]-1</f>
        <v>-6.6666666666666652E-2</v>
      </c>
      <c r="H2316" s="8" t="str" cm="1">
        <f t="array" ref="H2316">_xlfn.IFS(Lektionen[[#This Row],[Bearbeitungsdauer_abgewichen]]&gt;0.6,"viel länger",Lektionen[[#This Row],[Bearbeitungsdauer_abgewichen]]&gt;0.3,"länger",Lektionen[[#This Row],[Bearbeitungsdauer_abgewichen]]&lt;-0.3,"kürzer",TRUE,"keine Abweichung")</f>
        <v>keine Abweichung</v>
      </c>
      <c r="I2316">
        <v>2</v>
      </c>
    </row>
    <row r="2317" spans="1:9" hidden="1" x14ac:dyDescent="0.3">
      <c r="A2317" s="13">
        <v>365</v>
      </c>
      <c r="B2317" s="4">
        <v>4</v>
      </c>
      <c r="C2317" t="s">
        <v>531</v>
      </c>
      <c r="D2317" t="s">
        <v>530</v>
      </c>
      <c r="E2317">
        <v>30</v>
      </c>
      <c r="F2317">
        <v>40</v>
      </c>
      <c r="G2317" s="8">
        <f>Lektionen[[#This Row],[Bearbeitungsdauer_real]]/Lektionen[[#This Row],[Bearbeitungsdauer_geschätzt]]-1</f>
        <v>0.33333333333333326</v>
      </c>
      <c r="H2317" s="8" t="str" cm="1">
        <f t="array" ref="H2317">_xlfn.IFS(Lektionen[[#This Row],[Bearbeitungsdauer_abgewichen]]&gt;0.6,"viel länger",Lektionen[[#This Row],[Bearbeitungsdauer_abgewichen]]&gt;0.3,"länger",Lektionen[[#This Row],[Bearbeitungsdauer_abgewichen]]&lt;-0.3,"kürzer",TRUE,"keine Abweichung")</f>
        <v>länger</v>
      </c>
      <c r="I2317">
        <v>5</v>
      </c>
    </row>
    <row r="2318" spans="1:9" x14ac:dyDescent="0.3">
      <c r="A2318" s="13">
        <v>365</v>
      </c>
      <c r="B2318" s="4">
        <v>5</v>
      </c>
      <c r="C2318" t="s">
        <v>532</v>
      </c>
      <c r="D2318" t="s">
        <v>530</v>
      </c>
      <c r="E2318">
        <v>30</v>
      </c>
      <c r="F2318">
        <v>48</v>
      </c>
      <c r="G2318" s="8">
        <f>Lektionen[[#This Row],[Bearbeitungsdauer_real]]/Lektionen[[#This Row],[Bearbeitungsdauer_geschätzt]]-1</f>
        <v>0.60000000000000009</v>
      </c>
      <c r="H2318" s="8" t="str" cm="1">
        <f t="array" ref="H2318">_xlfn.IFS(Lektionen[[#This Row],[Bearbeitungsdauer_abgewichen]]&gt;0.6,"viel länger",Lektionen[[#This Row],[Bearbeitungsdauer_abgewichen]]&gt;0.3,"länger",Lektionen[[#This Row],[Bearbeitungsdauer_abgewichen]]&lt;-0.3,"kürzer",TRUE,"keine Abweichung")</f>
        <v>länger</v>
      </c>
      <c r="I2318">
        <v>5</v>
      </c>
    </row>
    <row r="2319" spans="1:9" hidden="1" x14ac:dyDescent="0.3">
      <c r="A2319" s="13">
        <v>365</v>
      </c>
      <c r="B2319" s="4">
        <v>6</v>
      </c>
      <c r="C2319" t="s">
        <v>533</v>
      </c>
      <c r="D2319" t="s">
        <v>534</v>
      </c>
      <c r="E2319">
        <v>5</v>
      </c>
      <c r="F2319">
        <v>1</v>
      </c>
      <c r="G2319" s="8">
        <f>Lektionen[[#This Row],[Bearbeitungsdauer_real]]/Lektionen[[#This Row],[Bearbeitungsdauer_geschätzt]]-1</f>
        <v>-0.8</v>
      </c>
      <c r="H2319" s="8" t="str" cm="1">
        <f t="array" ref="H2319">_xlfn.IFS(Lektionen[[#This Row],[Bearbeitungsdauer_abgewichen]]&gt;0.6,"viel länger",Lektionen[[#This Row],[Bearbeitungsdauer_abgewichen]]&gt;0.3,"länger",Lektionen[[#This Row],[Bearbeitungsdauer_abgewichen]]&lt;-0.3,"kürzer",TRUE,"keine Abweichung")</f>
        <v>kürzer</v>
      </c>
      <c r="I2319">
        <v>2</v>
      </c>
    </row>
    <row r="2320" spans="1:9" hidden="1" x14ac:dyDescent="0.3">
      <c r="A2320" s="13">
        <v>365</v>
      </c>
      <c r="B2320" s="4">
        <v>7</v>
      </c>
      <c r="C2320" t="s">
        <v>535</v>
      </c>
      <c r="D2320" t="s">
        <v>536</v>
      </c>
      <c r="E2320">
        <v>10</v>
      </c>
      <c r="F2320">
        <v>9</v>
      </c>
      <c r="G2320" s="8">
        <f>Lektionen[[#This Row],[Bearbeitungsdauer_real]]/Lektionen[[#This Row],[Bearbeitungsdauer_geschätzt]]-1</f>
        <v>-9.9999999999999978E-2</v>
      </c>
      <c r="H2320" s="8" t="str" cm="1">
        <f t="array" ref="H2320">_xlfn.IFS(Lektionen[[#This Row],[Bearbeitungsdauer_abgewichen]]&gt;0.6,"viel länger",Lektionen[[#This Row],[Bearbeitungsdauer_abgewichen]]&gt;0.3,"länger",Lektionen[[#This Row],[Bearbeitungsdauer_abgewichen]]&lt;-0.3,"kürzer",TRUE,"keine Abweichung")</f>
        <v>keine Abweichung</v>
      </c>
      <c r="I2320">
        <v>3</v>
      </c>
    </row>
    <row r="2321" spans="1:9" hidden="1" x14ac:dyDescent="0.3">
      <c r="A2321" s="13">
        <v>365</v>
      </c>
      <c r="B2321" s="4">
        <v>8</v>
      </c>
      <c r="C2321" t="s">
        <v>537</v>
      </c>
      <c r="D2321" t="s">
        <v>527</v>
      </c>
      <c r="E2321">
        <v>5</v>
      </c>
      <c r="F2321">
        <v>5</v>
      </c>
      <c r="G2321" s="8">
        <f>Lektionen[[#This Row],[Bearbeitungsdauer_real]]/Lektionen[[#This Row],[Bearbeitungsdauer_geschätzt]]-1</f>
        <v>0</v>
      </c>
      <c r="H2321" s="8" t="str" cm="1">
        <f t="array" ref="H2321">_xlfn.IFS(Lektionen[[#This Row],[Bearbeitungsdauer_abgewichen]]&gt;0.6,"viel länger",Lektionen[[#This Row],[Bearbeitungsdauer_abgewichen]]&gt;0.3,"länger",Lektionen[[#This Row],[Bearbeitungsdauer_abgewichen]]&lt;-0.3,"kürzer",TRUE,"keine Abweichung")</f>
        <v>keine Abweichung</v>
      </c>
      <c r="I2321">
        <v>1</v>
      </c>
    </row>
    <row r="2322" spans="1:9" hidden="1" x14ac:dyDescent="0.3">
      <c r="A2322" s="13">
        <v>366</v>
      </c>
      <c r="B2322" s="4">
        <v>1</v>
      </c>
      <c r="C2322" t="s">
        <v>526</v>
      </c>
      <c r="D2322" t="s">
        <v>527</v>
      </c>
      <c r="E2322">
        <v>4</v>
      </c>
      <c r="F2322">
        <v>4</v>
      </c>
      <c r="G2322" s="8">
        <f>Lektionen[[#This Row],[Bearbeitungsdauer_real]]/Lektionen[[#This Row],[Bearbeitungsdauer_geschätzt]]-1</f>
        <v>0</v>
      </c>
      <c r="H2322" s="8" t="str" cm="1">
        <f t="array" ref="H2322">_xlfn.IFS(Lektionen[[#This Row],[Bearbeitungsdauer_abgewichen]]&gt;0.6,"viel länger",Lektionen[[#This Row],[Bearbeitungsdauer_abgewichen]]&gt;0.3,"länger",Lektionen[[#This Row],[Bearbeitungsdauer_abgewichen]]&lt;-0.3,"kürzer",TRUE,"keine Abweichung")</f>
        <v>keine Abweichung</v>
      </c>
      <c r="I2322">
        <v>1</v>
      </c>
    </row>
    <row r="2323" spans="1:9" hidden="1" x14ac:dyDescent="0.3">
      <c r="A2323" s="13">
        <v>366</v>
      </c>
      <c r="B2323" s="4">
        <v>2</v>
      </c>
      <c r="C2323" t="s">
        <v>528</v>
      </c>
      <c r="D2323" t="s">
        <v>529</v>
      </c>
      <c r="E2323">
        <v>15</v>
      </c>
      <c r="F2323">
        <v>15</v>
      </c>
      <c r="G2323" s="8">
        <f>Lektionen[[#This Row],[Bearbeitungsdauer_real]]/Lektionen[[#This Row],[Bearbeitungsdauer_geschätzt]]-1</f>
        <v>0</v>
      </c>
      <c r="H2323" s="8" t="str" cm="1">
        <f t="array" ref="H2323">_xlfn.IFS(Lektionen[[#This Row],[Bearbeitungsdauer_abgewichen]]&gt;0.6,"viel länger",Lektionen[[#This Row],[Bearbeitungsdauer_abgewichen]]&gt;0.3,"länger",Lektionen[[#This Row],[Bearbeitungsdauer_abgewichen]]&lt;-0.3,"kürzer",TRUE,"keine Abweichung")</f>
        <v>keine Abweichung</v>
      </c>
      <c r="I2323">
        <v>1</v>
      </c>
    </row>
    <row r="2324" spans="1:9" hidden="1" x14ac:dyDescent="0.3">
      <c r="A2324" s="13">
        <v>366</v>
      </c>
      <c r="B2324" s="4">
        <v>3</v>
      </c>
      <c r="C2324" t="s">
        <v>552</v>
      </c>
      <c r="D2324" t="s">
        <v>530</v>
      </c>
      <c r="E2324">
        <v>30</v>
      </c>
      <c r="F2324">
        <v>29</v>
      </c>
      <c r="G2324" s="8">
        <f>Lektionen[[#This Row],[Bearbeitungsdauer_real]]/Lektionen[[#This Row],[Bearbeitungsdauer_geschätzt]]-1</f>
        <v>-3.3333333333333326E-2</v>
      </c>
      <c r="H2324" s="8" t="str" cm="1">
        <f t="array" ref="H2324">_xlfn.IFS(Lektionen[[#This Row],[Bearbeitungsdauer_abgewichen]]&gt;0.6,"viel länger",Lektionen[[#This Row],[Bearbeitungsdauer_abgewichen]]&gt;0.3,"länger",Lektionen[[#This Row],[Bearbeitungsdauer_abgewichen]]&lt;-0.3,"kürzer",TRUE,"keine Abweichung")</f>
        <v>keine Abweichung</v>
      </c>
      <c r="I2324">
        <v>2</v>
      </c>
    </row>
    <row r="2325" spans="1:9" hidden="1" x14ac:dyDescent="0.3">
      <c r="A2325" s="13">
        <v>366</v>
      </c>
      <c r="B2325" s="4">
        <v>4</v>
      </c>
      <c r="C2325" t="s">
        <v>531</v>
      </c>
      <c r="D2325" t="s">
        <v>530</v>
      </c>
      <c r="E2325">
        <v>30</v>
      </c>
      <c r="F2325">
        <v>30</v>
      </c>
      <c r="G2325" s="8">
        <f>Lektionen[[#This Row],[Bearbeitungsdauer_real]]/Lektionen[[#This Row],[Bearbeitungsdauer_geschätzt]]-1</f>
        <v>0</v>
      </c>
      <c r="H2325" s="8" t="str" cm="1">
        <f t="array" ref="H2325">_xlfn.IFS(Lektionen[[#This Row],[Bearbeitungsdauer_abgewichen]]&gt;0.6,"viel länger",Lektionen[[#This Row],[Bearbeitungsdauer_abgewichen]]&gt;0.3,"länger",Lektionen[[#This Row],[Bearbeitungsdauer_abgewichen]]&lt;-0.3,"kürzer",TRUE,"keine Abweichung")</f>
        <v>keine Abweichung</v>
      </c>
      <c r="I2325">
        <v>3</v>
      </c>
    </row>
    <row r="2326" spans="1:9" x14ac:dyDescent="0.3">
      <c r="A2326" s="13">
        <v>366</v>
      </c>
      <c r="B2326" s="4">
        <v>5</v>
      </c>
      <c r="C2326" t="s">
        <v>532</v>
      </c>
      <c r="D2326" t="s">
        <v>530</v>
      </c>
      <c r="E2326">
        <v>30</v>
      </c>
      <c r="F2326">
        <v>48</v>
      </c>
      <c r="G2326" s="8">
        <f>Lektionen[[#This Row],[Bearbeitungsdauer_real]]/Lektionen[[#This Row],[Bearbeitungsdauer_geschätzt]]-1</f>
        <v>0.60000000000000009</v>
      </c>
      <c r="H2326" s="8" t="str" cm="1">
        <f t="array" ref="H2326">_xlfn.IFS(Lektionen[[#This Row],[Bearbeitungsdauer_abgewichen]]&gt;0.6,"viel länger",Lektionen[[#This Row],[Bearbeitungsdauer_abgewichen]]&gt;0.3,"länger",Lektionen[[#This Row],[Bearbeitungsdauer_abgewichen]]&lt;-0.3,"kürzer",TRUE,"keine Abweichung")</f>
        <v>länger</v>
      </c>
      <c r="I2326">
        <v>4</v>
      </c>
    </row>
    <row r="2327" spans="1:9" hidden="1" x14ac:dyDescent="0.3">
      <c r="A2327" s="13">
        <v>366</v>
      </c>
      <c r="B2327" s="4">
        <v>6</v>
      </c>
      <c r="C2327" t="s">
        <v>533</v>
      </c>
      <c r="D2327" t="s">
        <v>534</v>
      </c>
      <c r="E2327">
        <v>5</v>
      </c>
      <c r="F2327">
        <v>1</v>
      </c>
      <c r="G2327" s="8">
        <f>Lektionen[[#This Row],[Bearbeitungsdauer_real]]/Lektionen[[#This Row],[Bearbeitungsdauer_geschätzt]]-1</f>
        <v>-0.8</v>
      </c>
      <c r="H2327" s="8" t="str" cm="1">
        <f t="array" ref="H2327">_xlfn.IFS(Lektionen[[#This Row],[Bearbeitungsdauer_abgewichen]]&gt;0.6,"viel länger",Lektionen[[#This Row],[Bearbeitungsdauer_abgewichen]]&gt;0.3,"länger",Lektionen[[#This Row],[Bearbeitungsdauer_abgewichen]]&lt;-0.3,"kürzer",TRUE,"keine Abweichung")</f>
        <v>kürzer</v>
      </c>
      <c r="I2327">
        <v>2</v>
      </c>
    </row>
    <row r="2328" spans="1:9" hidden="1" x14ac:dyDescent="0.3">
      <c r="A2328" s="13">
        <v>366</v>
      </c>
      <c r="B2328" s="4">
        <v>7</v>
      </c>
      <c r="C2328" t="s">
        <v>535</v>
      </c>
      <c r="D2328" t="s">
        <v>536</v>
      </c>
      <c r="E2328">
        <v>10</v>
      </c>
      <c r="F2328">
        <v>10</v>
      </c>
      <c r="G2328" s="8">
        <f>Lektionen[[#This Row],[Bearbeitungsdauer_real]]/Lektionen[[#This Row],[Bearbeitungsdauer_geschätzt]]-1</f>
        <v>0</v>
      </c>
      <c r="H2328" s="8" t="str" cm="1">
        <f t="array" ref="H2328">_xlfn.IFS(Lektionen[[#This Row],[Bearbeitungsdauer_abgewichen]]&gt;0.6,"viel länger",Lektionen[[#This Row],[Bearbeitungsdauer_abgewichen]]&gt;0.3,"länger",Lektionen[[#This Row],[Bearbeitungsdauer_abgewichen]]&lt;-0.3,"kürzer",TRUE,"keine Abweichung")</f>
        <v>keine Abweichung</v>
      </c>
      <c r="I2328">
        <v>4</v>
      </c>
    </row>
    <row r="2329" spans="1:9" hidden="1" x14ac:dyDescent="0.3">
      <c r="A2329" s="13">
        <v>366</v>
      </c>
      <c r="B2329" s="4">
        <v>8</v>
      </c>
      <c r="C2329" t="s">
        <v>537</v>
      </c>
      <c r="D2329" t="s">
        <v>527</v>
      </c>
      <c r="E2329">
        <v>5</v>
      </c>
      <c r="F2329">
        <v>7</v>
      </c>
      <c r="G2329" s="8">
        <f>Lektionen[[#This Row],[Bearbeitungsdauer_real]]/Lektionen[[#This Row],[Bearbeitungsdauer_geschätzt]]-1</f>
        <v>0.39999999999999991</v>
      </c>
      <c r="H2329" s="8" t="str" cm="1">
        <f t="array" ref="H2329">_xlfn.IFS(Lektionen[[#This Row],[Bearbeitungsdauer_abgewichen]]&gt;0.6,"viel länger",Lektionen[[#This Row],[Bearbeitungsdauer_abgewichen]]&gt;0.3,"länger",Lektionen[[#This Row],[Bearbeitungsdauer_abgewichen]]&lt;-0.3,"kürzer",TRUE,"keine Abweichung")</f>
        <v>länger</v>
      </c>
      <c r="I2329">
        <v>1</v>
      </c>
    </row>
    <row r="2330" spans="1:9" hidden="1" x14ac:dyDescent="0.3">
      <c r="A2330" s="13">
        <v>367</v>
      </c>
      <c r="B2330" s="4">
        <v>1</v>
      </c>
      <c r="C2330" t="s">
        <v>526</v>
      </c>
      <c r="D2330" t="s">
        <v>527</v>
      </c>
      <c r="E2330">
        <v>4</v>
      </c>
      <c r="F2330">
        <v>4</v>
      </c>
      <c r="G2330" s="8">
        <f>Lektionen[[#This Row],[Bearbeitungsdauer_real]]/Lektionen[[#This Row],[Bearbeitungsdauer_geschätzt]]-1</f>
        <v>0</v>
      </c>
      <c r="H2330" s="8" t="str" cm="1">
        <f t="array" ref="H2330">_xlfn.IFS(Lektionen[[#This Row],[Bearbeitungsdauer_abgewichen]]&gt;0.6,"viel länger",Lektionen[[#This Row],[Bearbeitungsdauer_abgewichen]]&gt;0.3,"länger",Lektionen[[#This Row],[Bearbeitungsdauer_abgewichen]]&lt;-0.3,"kürzer",TRUE,"keine Abweichung")</f>
        <v>keine Abweichung</v>
      </c>
      <c r="I2330">
        <v>1</v>
      </c>
    </row>
    <row r="2331" spans="1:9" hidden="1" x14ac:dyDescent="0.3">
      <c r="A2331" s="13">
        <v>367</v>
      </c>
      <c r="B2331" s="4">
        <v>2</v>
      </c>
      <c r="C2331" t="s">
        <v>528</v>
      </c>
      <c r="D2331" t="s">
        <v>529</v>
      </c>
      <c r="E2331">
        <v>15</v>
      </c>
      <c r="F2331">
        <v>15</v>
      </c>
      <c r="G2331" s="8">
        <f>Lektionen[[#This Row],[Bearbeitungsdauer_real]]/Lektionen[[#This Row],[Bearbeitungsdauer_geschätzt]]-1</f>
        <v>0</v>
      </c>
      <c r="H2331" s="8" t="str" cm="1">
        <f t="array" ref="H2331">_xlfn.IFS(Lektionen[[#This Row],[Bearbeitungsdauer_abgewichen]]&gt;0.6,"viel länger",Lektionen[[#This Row],[Bearbeitungsdauer_abgewichen]]&gt;0.3,"länger",Lektionen[[#This Row],[Bearbeitungsdauer_abgewichen]]&lt;-0.3,"kürzer",TRUE,"keine Abweichung")</f>
        <v>keine Abweichung</v>
      </c>
      <c r="I2331">
        <v>1</v>
      </c>
    </row>
    <row r="2332" spans="1:9" hidden="1" x14ac:dyDescent="0.3">
      <c r="A2332" s="13">
        <v>367</v>
      </c>
      <c r="B2332" s="4">
        <v>3</v>
      </c>
      <c r="C2332" t="s">
        <v>552</v>
      </c>
      <c r="D2332" t="s">
        <v>530</v>
      </c>
      <c r="E2332">
        <v>30</v>
      </c>
      <c r="F2332">
        <v>30</v>
      </c>
      <c r="G2332" s="8">
        <f>Lektionen[[#This Row],[Bearbeitungsdauer_real]]/Lektionen[[#This Row],[Bearbeitungsdauer_geschätzt]]-1</f>
        <v>0</v>
      </c>
      <c r="H2332" s="8" t="str" cm="1">
        <f t="array" ref="H2332">_xlfn.IFS(Lektionen[[#This Row],[Bearbeitungsdauer_abgewichen]]&gt;0.6,"viel länger",Lektionen[[#This Row],[Bearbeitungsdauer_abgewichen]]&gt;0.3,"länger",Lektionen[[#This Row],[Bearbeitungsdauer_abgewichen]]&lt;-0.3,"kürzer",TRUE,"keine Abweichung")</f>
        <v>keine Abweichung</v>
      </c>
      <c r="I2332">
        <v>2</v>
      </c>
    </row>
    <row r="2333" spans="1:9" hidden="1" x14ac:dyDescent="0.3">
      <c r="A2333" s="13">
        <v>367</v>
      </c>
      <c r="B2333" s="4">
        <v>4</v>
      </c>
      <c r="C2333" t="s">
        <v>531</v>
      </c>
      <c r="D2333" t="s">
        <v>530</v>
      </c>
      <c r="E2333">
        <v>30</v>
      </c>
      <c r="F2333">
        <v>22</v>
      </c>
      <c r="G2333" s="8">
        <f>Lektionen[[#This Row],[Bearbeitungsdauer_real]]/Lektionen[[#This Row],[Bearbeitungsdauer_geschätzt]]-1</f>
        <v>-0.26666666666666672</v>
      </c>
      <c r="H2333" s="8" t="str" cm="1">
        <f t="array" ref="H2333">_xlfn.IFS(Lektionen[[#This Row],[Bearbeitungsdauer_abgewichen]]&gt;0.6,"viel länger",Lektionen[[#This Row],[Bearbeitungsdauer_abgewichen]]&gt;0.3,"länger",Lektionen[[#This Row],[Bearbeitungsdauer_abgewichen]]&lt;-0.3,"kürzer",TRUE,"keine Abweichung")</f>
        <v>keine Abweichung</v>
      </c>
      <c r="I2333">
        <v>3</v>
      </c>
    </row>
    <row r="2334" spans="1:9" x14ac:dyDescent="0.3">
      <c r="A2334" s="13">
        <v>367</v>
      </c>
      <c r="B2334" s="4">
        <v>5</v>
      </c>
      <c r="C2334" t="s">
        <v>532</v>
      </c>
      <c r="D2334" t="s">
        <v>530</v>
      </c>
      <c r="E2334">
        <v>30</v>
      </c>
      <c r="F2334">
        <v>40</v>
      </c>
      <c r="G2334" s="8">
        <f>Lektionen[[#This Row],[Bearbeitungsdauer_real]]/Lektionen[[#This Row],[Bearbeitungsdauer_geschätzt]]-1</f>
        <v>0.33333333333333326</v>
      </c>
      <c r="H2334" s="8" t="str" cm="1">
        <f t="array" ref="H2334">_xlfn.IFS(Lektionen[[#This Row],[Bearbeitungsdauer_abgewichen]]&gt;0.6,"viel länger",Lektionen[[#This Row],[Bearbeitungsdauer_abgewichen]]&gt;0.3,"länger",Lektionen[[#This Row],[Bearbeitungsdauer_abgewichen]]&lt;-0.3,"kürzer",TRUE,"keine Abweichung")</f>
        <v>länger</v>
      </c>
      <c r="I2334">
        <v>4</v>
      </c>
    </row>
    <row r="2335" spans="1:9" hidden="1" x14ac:dyDescent="0.3">
      <c r="A2335" s="13">
        <v>367</v>
      </c>
      <c r="B2335" s="4">
        <v>6</v>
      </c>
      <c r="C2335" t="s">
        <v>533</v>
      </c>
      <c r="D2335" t="s">
        <v>534</v>
      </c>
      <c r="E2335">
        <v>5</v>
      </c>
      <c r="F2335">
        <v>1</v>
      </c>
      <c r="G2335" s="8">
        <f>Lektionen[[#This Row],[Bearbeitungsdauer_real]]/Lektionen[[#This Row],[Bearbeitungsdauer_geschätzt]]-1</f>
        <v>-0.8</v>
      </c>
      <c r="H2335" s="8" t="str" cm="1">
        <f t="array" ref="H2335">_xlfn.IFS(Lektionen[[#This Row],[Bearbeitungsdauer_abgewichen]]&gt;0.6,"viel länger",Lektionen[[#This Row],[Bearbeitungsdauer_abgewichen]]&gt;0.3,"länger",Lektionen[[#This Row],[Bearbeitungsdauer_abgewichen]]&lt;-0.3,"kürzer",TRUE,"keine Abweichung")</f>
        <v>kürzer</v>
      </c>
      <c r="I2335">
        <v>2</v>
      </c>
    </row>
    <row r="2336" spans="1:9" hidden="1" x14ac:dyDescent="0.3">
      <c r="A2336" s="13">
        <v>367</v>
      </c>
      <c r="B2336" s="4">
        <v>7</v>
      </c>
      <c r="C2336" t="s">
        <v>535</v>
      </c>
      <c r="D2336" t="s">
        <v>536</v>
      </c>
      <c r="E2336">
        <v>10</v>
      </c>
      <c r="F2336">
        <v>9</v>
      </c>
      <c r="G2336" s="8">
        <f>Lektionen[[#This Row],[Bearbeitungsdauer_real]]/Lektionen[[#This Row],[Bearbeitungsdauer_geschätzt]]-1</f>
        <v>-9.9999999999999978E-2</v>
      </c>
      <c r="H2336" s="8" t="str" cm="1">
        <f t="array" ref="H2336">_xlfn.IFS(Lektionen[[#This Row],[Bearbeitungsdauer_abgewichen]]&gt;0.6,"viel länger",Lektionen[[#This Row],[Bearbeitungsdauer_abgewichen]]&gt;0.3,"länger",Lektionen[[#This Row],[Bearbeitungsdauer_abgewichen]]&lt;-0.3,"kürzer",TRUE,"keine Abweichung")</f>
        <v>keine Abweichung</v>
      </c>
      <c r="I2336">
        <v>3</v>
      </c>
    </row>
    <row r="2337" spans="1:9" hidden="1" x14ac:dyDescent="0.3">
      <c r="A2337" s="13">
        <v>367</v>
      </c>
      <c r="B2337" s="4">
        <v>8</v>
      </c>
      <c r="C2337" t="s">
        <v>537</v>
      </c>
      <c r="D2337" t="s">
        <v>527</v>
      </c>
      <c r="E2337">
        <v>5</v>
      </c>
      <c r="F2337">
        <v>8</v>
      </c>
      <c r="G2337" s="8">
        <f>Lektionen[[#This Row],[Bearbeitungsdauer_real]]/Lektionen[[#This Row],[Bearbeitungsdauer_geschätzt]]-1</f>
        <v>0.60000000000000009</v>
      </c>
      <c r="H2337" s="8" t="str" cm="1">
        <f t="array" ref="H2337">_xlfn.IFS(Lektionen[[#This Row],[Bearbeitungsdauer_abgewichen]]&gt;0.6,"viel länger",Lektionen[[#This Row],[Bearbeitungsdauer_abgewichen]]&gt;0.3,"länger",Lektionen[[#This Row],[Bearbeitungsdauer_abgewichen]]&lt;-0.3,"kürzer",TRUE,"keine Abweichung")</f>
        <v>länger</v>
      </c>
      <c r="I2337">
        <v>1</v>
      </c>
    </row>
    <row r="2338" spans="1:9" hidden="1" x14ac:dyDescent="0.3">
      <c r="A2338" s="13">
        <v>368</v>
      </c>
      <c r="B2338" s="4">
        <v>1</v>
      </c>
      <c r="C2338" t="s">
        <v>526</v>
      </c>
      <c r="D2338" t="s">
        <v>527</v>
      </c>
      <c r="E2338">
        <v>4</v>
      </c>
      <c r="F2338">
        <v>4</v>
      </c>
      <c r="G2338" s="8">
        <f>Lektionen[[#This Row],[Bearbeitungsdauer_real]]/Lektionen[[#This Row],[Bearbeitungsdauer_geschätzt]]-1</f>
        <v>0</v>
      </c>
      <c r="H2338" s="8" t="str" cm="1">
        <f t="array" ref="H2338">_xlfn.IFS(Lektionen[[#This Row],[Bearbeitungsdauer_abgewichen]]&gt;0.6,"viel länger",Lektionen[[#This Row],[Bearbeitungsdauer_abgewichen]]&gt;0.3,"länger",Lektionen[[#This Row],[Bearbeitungsdauer_abgewichen]]&lt;-0.3,"kürzer",TRUE,"keine Abweichung")</f>
        <v>keine Abweichung</v>
      </c>
      <c r="I2338">
        <v>1</v>
      </c>
    </row>
    <row r="2339" spans="1:9" hidden="1" x14ac:dyDescent="0.3">
      <c r="A2339" s="13">
        <v>368</v>
      </c>
      <c r="B2339" s="4">
        <v>2</v>
      </c>
      <c r="C2339" t="s">
        <v>528</v>
      </c>
      <c r="D2339" t="s">
        <v>529</v>
      </c>
      <c r="E2339">
        <v>15</v>
      </c>
      <c r="F2339">
        <v>16</v>
      </c>
      <c r="G2339" s="8">
        <f>Lektionen[[#This Row],[Bearbeitungsdauer_real]]/Lektionen[[#This Row],[Bearbeitungsdauer_geschätzt]]-1</f>
        <v>6.6666666666666652E-2</v>
      </c>
      <c r="H2339" s="8" t="str" cm="1">
        <f t="array" ref="H2339">_xlfn.IFS(Lektionen[[#This Row],[Bearbeitungsdauer_abgewichen]]&gt;0.6,"viel länger",Lektionen[[#This Row],[Bearbeitungsdauer_abgewichen]]&gt;0.3,"länger",Lektionen[[#This Row],[Bearbeitungsdauer_abgewichen]]&lt;-0.3,"kürzer",TRUE,"keine Abweichung")</f>
        <v>keine Abweichung</v>
      </c>
      <c r="I2339">
        <v>1</v>
      </c>
    </row>
    <row r="2340" spans="1:9" hidden="1" x14ac:dyDescent="0.3">
      <c r="A2340" s="13">
        <v>368</v>
      </c>
      <c r="B2340" s="4">
        <v>3</v>
      </c>
      <c r="C2340" t="s">
        <v>552</v>
      </c>
      <c r="D2340" t="s">
        <v>530</v>
      </c>
      <c r="E2340">
        <v>30</v>
      </c>
      <c r="F2340">
        <v>26</v>
      </c>
      <c r="G2340" s="8">
        <f>Lektionen[[#This Row],[Bearbeitungsdauer_real]]/Lektionen[[#This Row],[Bearbeitungsdauer_geschätzt]]-1</f>
        <v>-0.1333333333333333</v>
      </c>
      <c r="H2340" s="8" t="str" cm="1">
        <f t="array" ref="H2340">_xlfn.IFS(Lektionen[[#This Row],[Bearbeitungsdauer_abgewichen]]&gt;0.6,"viel länger",Lektionen[[#This Row],[Bearbeitungsdauer_abgewichen]]&gt;0.3,"länger",Lektionen[[#This Row],[Bearbeitungsdauer_abgewichen]]&lt;-0.3,"kürzer",TRUE,"keine Abweichung")</f>
        <v>keine Abweichung</v>
      </c>
      <c r="I2340">
        <v>4</v>
      </c>
    </row>
    <row r="2341" spans="1:9" hidden="1" x14ac:dyDescent="0.3">
      <c r="A2341" s="13">
        <v>368</v>
      </c>
      <c r="B2341" s="4">
        <v>4</v>
      </c>
      <c r="C2341" t="s">
        <v>531</v>
      </c>
      <c r="D2341" t="s">
        <v>530</v>
      </c>
      <c r="E2341">
        <v>30</v>
      </c>
      <c r="F2341">
        <v>18</v>
      </c>
      <c r="G2341" s="8">
        <f>Lektionen[[#This Row],[Bearbeitungsdauer_real]]/Lektionen[[#This Row],[Bearbeitungsdauer_geschätzt]]-1</f>
        <v>-0.4</v>
      </c>
      <c r="H2341" s="8" t="str" cm="1">
        <f t="array" ref="H2341">_xlfn.IFS(Lektionen[[#This Row],[Bearbeitungsdauer_abgewichen]]&gt;0.6,"viel länger",Lektionen[[#This Row],[Bearbeitungsdauer_abgewichen]]&gt;0.3,"länger",Lektionen[[#This Row],[Bearbeitungsdauer_abgewichen]]&lt;-0.3,"kürzer",TRUE,"keine Abweichung")</f>
        <v>kürzer</v>
      </c>
      <c r="I2341">
        <v>3</v>
      </c>
    </row>
    <row r="2342" spans="1:9" x14ac:dyDescent="0.3">
      <c r="A2342" s="13">
        <v>368</v>
      </c>
      <c r="B2342" s="4">
        <v>5</v>
      </c>
      <c r="C2342" t="s">
        <v>532</v>
      </c>
      <c r="D2342" t="s">
        <v>530</v>
      </c>
      <c r="E2342">
        <v>30</v>
      </c>
      <c r="F2342">
        <v>51</v>
      </c>
      <c r="G2342" s="8">
        <f>Lektionen[[#This Row],[Bearbeitungsdauer_real]]/Lektionen[[#This Row],[Bearbeitungsdauer_geschätzt]]-1</f>
        <v>0.7</v>
      </c>
      <c r="H2342" s="8" t="str" cm="1">
        <f t="array" ref="H2342">_xlfn.IFS(Lektionen[[#This Row],[Bearbeitungsdauer_abgewichen]]&gt;0.6,"viel länger",Lektionen[[#This Row],[Bearbeitungsdauer_abgewichen]]&gt;0.3,"länger",Lektionen[[#This Row],[Bearbeitungsdauer_abgewichen]]&lt;-0.3,"kürzer",TRUE,"keine Abweichung")</f>
        <v>viel länger</v>
      </c>
      <c r="I2342">
        <v>4</v>
      </c>
    </row>
    <row r="2343" spans="1:9" hidden="1" x14ac:dyDescent="0.3">
      <c r="A2343" s="13">
        <v>368</v>
      </c>
      <c r="B2343" s="4">
        <v>6</v>
      </c>
      <c r="C2343" t="s">
        <v>533</v>
      </c>
      <c r="D2343" t="s">
        <v>534</v>
      </c>
      <c r="E2343">
        <v>5</v>
      </c>
      <c r="F2343">
        <v>1</v>
      </c>
      <c r="G2343" s="8">
        <f>Lektionen[[#This Row],[Bearbeitungsdauer_real]]/Lektionen[[#This Row],[Bearbeitungsdauer_geschätzt]]-1</f>
        <v>-0.8</v>
      </c>
      <c r="H2343" s="8" t="str" cm="1">
        <f t="array" ref="H2343">_xlfn.IFS(Lektionen[[#This Row],[Bearbeitungsdauer_abgewichen]]&gt;0.6,"viel länger",Lektionen[[#This Row],[Bearbeitungsdauer_abgewichen]]&gt;0.3,"länger",Lektionen[[#This Row],[Bearbeitungsdauer_abgewichen]]&lt;-0.3,"kürzer",TRUE,"keine Abweichung")</f>
        <v>kürzer</v>
      </c>
      <c r="I2343">
        <v>1</v>
      </c>
    </row>
    <row r="2344" spans="1:9" hidden="1" x14ac:dyDescent="0.3">
      <c r="A2344" s="13">
        <v>368</v>
      </c>
      <c r="B2344" s="4">
        <v>7</v>
      </c>
      <c r="C2344" t="s">
        <v>535</v>
      </c>
      <c r="D2344" t="s">
        <v>536</v>
      </c>
      <c r="E2344">
        <v>10</v>
      </c>
      <c r="F2344">
        <v>9</v>
      </c>
      <c r="G2344" s="8">
        <f>Lektionen[[#This Row],[Bearbeitungsdauer_real]]/Lektionen[[#This Row],[Bearbeitungsdauer_geschätzt]]-1</f>
        <v>-9.9999999999999978E-2</v>
      </c>
      <c r="H2344" s="8" t="str" cm="1">
        <f t="array" ref="H2344">_xlfn.IFS(Lektionen[[#This Row],[Bearbeitungsdauer_abgewichen]]&gt;0.6,"viel länger",Lektionen[[#This Row],[Bearbeitungsdauer_abgewichen]]&gt;0.3,"länger",Lektionen[[#This Row],[Bearbeitungsdauer_abgewichen]]&lt;-0.3,"kürzer",TRUE,"keine Abweichung")</f>
        <v>keine Abweichung</v>
      </c>
      <c r="I2344">
        <v>3</v>
      </c>
    </row>
    <row r="2345" spans="1:9" hidden="1" x14ac:dyDescent="0.3">
      <c r="A2345" s="13">
        <v>368</v>
      </c>
      <c r="B2345" s="4">
        <v>8</v>
      </c>
      <c r="C2345" t="s">
        <v>537</v>
      </c>
      <c r="D2345" t="s">
        <v>527</v>
      </c>
      <c r="E2345">
        <v>5</v>
      </c>
      <c r="F2345">
        <v>5</v>
      </c>
      <c r="G2345" s="8">
        <f>Lektionen[[#This Row],[Bearbeitungsdauer_real]]/Lektionen[[#This Row],[Bearbeitungsdauer_geschätzt]]-1</f>
        <v>0</v>
      </c>
      <c r="H2345" s="8" t="str" cm="1">
        <f t="array" ref="H2345">_xlfn.IFS(Lektionen[[#This Row],[Bearbeitungsdauer_abgewichen]]&gt;0.6,"viel länger",Lektionen[[#This Row],[Bearbeitungsdauer_abgewichen]]&gt;0.3,"länger",Lektionen[[#This Row],[Bearbeitungsdauer_abgewichen]]&lt;-0.3,"kürzer",TRUE,"keine Abweichung")</f>
        <v>keine Abweichung</v>
      </c>
      <c r="I2345">
        <v>1</v>
      </c>
    </row>
    <row r="2346" spans="1:9" hidden="1" x14ac:dyDescent="0.3">
      <c r="A2346" s="13">
        <v>369</v>
      </c>
      <c r="B2346" s="4">
        <v>1</v>
      </c>
      <c r="C2346" t="s">
        <v>526</v>
      </c>
      <c r="D2346" t="s">
        <v>527</v>
      </c>
      <c r="E2346">
        <v>4</v>
      </c>
      <c r="F2346">
        <v>5</v>
      </c>
      <c r="G2346" s="8">
        <f>Lektionen[[#This Row],[Bearbeitungsdauer_real]]/Lektionen[[#This Row],[Bearbeitungsdauer_geschätzt]]-1</f>
        <v>0.25</v>
      </c>
      <c r="H2346" s="8" t="str" cm="1">
        <f t="array" ref="H2346">_xlfn.IFS(Lektionen[[#This Row],[Bearbeitungsdauer_abgewichen]]&gt;0.6,"viel länger",Lektionen[[#This Row],[Bearbeitungsdauer_abgewichen]]&gt;0.3,"länger",Lektionen[[#This Row],[Bearbeitungsdauer_abgewichen]]&lt;-0.3,"kürzer",TRUE,"keine Abweichung")</f>
        <v>keine Abweichung</v>
      </c>
      <c r="I2346">
        <v>1</v>
      </c>
    </row>
    <row r="2347" spans="1:9" hidden="1" x14ac:dyDescent="0.3">
      <c r="A2347" s="13">
        <v>369</v>
      </c>
      <c r="B2347" s="4">
        <v>2</v>
      </c>
      <c r="C2347" t="s">
        <v>528</v>
      </c>
      <c r="D2347" t="s">
        <v>529</v>
      </c>
      <c r="E2347">
        <v>15</v>
      </c>
      <c r="F2347">
        <v>15</v>
      </c>
      <c r="G2347" s="8">
        <f>Lektionen[[#This Row],[Bearbeitungsdauer_real]]/Lektionen[[#This Row],[Bearbeitungsdauer_geschätzt]]-1</f>
        <v>0</v>
      </c>
      <c r="H2347" s="8" t="str" cm="1">
        <f t="array" ref="H2347">_xlfn.IFS(Lektionen[[#This Row],[Bearbeitungsdauer_abgewichen]]&gt;0.6,"viel länger",Lektionen[[#This Row],[Bearbeitungsdauer_abgewichen]]&gt;0.3,"länger",Lektionen[[#This Row],[Bearbeitungsdauer_abgewichen]]&lt;-0.3,"kürzer",TRUE,"keine Abweichung")</f>
        <v>keine Abweichung</v>
      </c>
      <c r="I2347">
        <v>1</v>
      </c>
    </row>
    <row r="2348" spans="1:9" hidden="1" x14ac:dyDescent="0.3">
      <c r="A2348" s="13">
        <v>369</v>
      </c>
      <c r="B2348" s="4">
        <v>3</v>
      </c>
      <c r="C2348" t="s">
        <v>552</v>
      </c>
      <c r="D2348" t="s">
        <v>530</v>
      </c>
      <c r="E2348">
        <v>30</v>
      </c>
      <c r="F2348">
        <v>27</v>
      </c>
      <c r="G2348" s="8">
        <f>Lektionen[[#This Row],[Bearbeitungsdauer_real]]/Lektionen[[#This Row],[Bearbeitungsdauer_geschätzt]]-1</f>
        <v>-9.9999999999999978E-2</v>
      </c>
      <c r="H2348" s="8" t="str" cm="1">
        <f t="array" ref="H2348">_xlfn.IFS(Lektionen[[#This Row],[Bearbeitungsdauer_abgewichen]]&gt;0.6,"viel länger",Lektionen[[#This Row],[Bearbeitungsdauer_abgewichen]]&gt;0.3,"länger",Lektionen[[#This Row],[Bearbeitungsdauer_abgewichen]]&lt;-0.3,"kürzer",TRUE,"keine Abweichung")</f>
        <v>keine Abweichung</v>
      </c>
      <c r="I2348">
        <v>3</v>
      </c>
    </row>
    <row r="2349" spans="1:9" hidden="1" x14ac:dyDescent="0.3">
      <c r="A2349" s="13">
        <v>369</v>
      </c>
      <c r="B2349" s="4">
        <v>4</v>
      </c>
      <c r="C2349" t="s">
        <v>531</v>
      </c>
      <c r="D2349" t="s">
        <v>530</v>
      </c>
      <c r="E2349">
        <v>30</v>
      </c>
      <c r="F2349">
        <v>21</v>
      </c>
      <c r="G2349" s="8">
        <f>Lektionen[[#This Row],[Bearbeitungsdauer_real]]/Lektionen[[#This Row],[Bearbeitungsdauer_geschätzt]]-1</f>
        <v>-0.30000000000000004</v>
      </c>
      <c r="H2349" s="8" t="str" cm="1">
        <f t="array" ref="H2349">_xlfn.IFS(Lektionen[[#This Row],[Bearbeitungsdauer_abgewichen]]&gt;0.6,"viel länger",Lektionen[[#This Row],[Bearbeitungsdauer_abgewichen]]&gt;0.3,"länger",Lektionen[[#This Row],[Bearbeitungsdauer_abgewichen]]&lt;-0.3,"kürzer",TRUE,"keine Abweichung")</f>
        <v>keine Abweichung</v>
      </c>
      <c r="I2349">
        <v>3</v>
      </c>
    </row>
    <row r="2350" spans="1:9" x14ac:dyDescent="0.3">
      <c r="A2350" s="13">
        <v>369</v>
      </c>
      <c r="B2350" s="4">
        <v>5</v>
      </c>
      <c r="C2350" t="s">
        <v>532</v>
      </c>
      <c r="D2350" t="s">
        <v>530</v>
      </c>
      <c r="E2350">
        <v>30</v>
      </c>
      <c r="F2350">
        <v>51</v>
      </c>
      <c r="G2350" s="8">
        <f>Lektionen[[#This Row],[Bearbeitungsdauer_real]]/Lektionen[[#This Row],[Bearbeitungsdauer_geschätzt]]-1</f>
        <v>0.7</v>
      </c>
      <c r="H2350" s="8" t="str" cm="1">
        <f t="array" ref="H2350">_xlfn.IFS(Lektionen[[#This Row],[Bearbeitungsdauer_abgewichen]]&gt;0.6,"viel länger",Lektionen[[#This Row],[Bearbeitungsdauer_abgewichen]]&gt;0.3,"länger",Lektionen[[#This Row],[Bearbeitungsdauer_abgewichen]]&lt;-0.3,"kürzer",TRUE,"keine Abweichung")</f>
        <v>viel länger</v>
      </c>
      <c r="I2350">
        <v>3</v>
      </c>
    </row>
    <row r="2351" spans="1:9" hidden="1" x14ac:dyDescent="0.3">
      <c r="A2351" s="13">
        <v>369</v>
      </c>
      <c r="B2351" s="4">
        <v>6</v>
      </c>
      <c r="C2351" t="s">
        <v>533</v>
      </c>
      <c r="D2351" t="s">
        <v>534</v>
      </c>
      <c r="E2351">
        <v>5</v>
      </c>
      <c r="F2351">
        <v>2</v>
      </c>
      <c r="G2351" s="8">
        <f>Lektionen[[#This Row],[Bearbeitungsdauer_real]]/Lektionen[[#This Row],[Bearbeitungsdauer_geschätzt]]-1</f>
        <v>-0.6</v>
      </c>
      <c r="H2351" s="8" t="str" cm="1">
        <f t="array" ref="H2351">_xlfn.IFS(Lektionen[[#This Row],[Bearbeitungsdauer_abgewichen]]&gt;0.6,"viel länger",Lektionen[[#This Row],[Bearbeitungsdauer_abgewichen]]&gt;0.3,"länger",Lektionen[[#This Row],[Bearbeitungsdauer_abgewichen]]&lt;-0.3,"kürzer",TRUE,"keine Abweichung")</f>
        <v>kürzer</v>
      </c>
      <c r="I2351">
        <v>2</v>
      </c>
    </row>
    <row r="2352" spans="1:9" hidden="1" x14ac:dyDescent="0.3">
      <c r="A2352" s="13">
        <v>369</v>
      </c>
      <c r="B2352" s="4">
        <v>7</v>
      </c>
      <c r="C2352" t="s">
        <v>535</v>
      </c>
      <c r="D2352" t="s">
        <v>536</v>
      </c>
      <c r="E2352">
        <v>10</v>
      </c>
      <c r="F2352">
        <v>10</v>
      </c>
      <c r="G2352" s="8">
        <f>Lektionen[[#This Row],[Bearbeitungsdauer_real]]/Lektionen[[#This Row],[Bearbeitungsdauer_geschätzt]]-1</f>
        <v>0</v>
      </c>
      <c r="H2352" s="8" t="str" cm="1">
        <f t="array" ref="H2352">_xlfn.IFS(Lektionen[[#This Row],[Bearbeitungsdauer_abgewichen]]&gt;0.6,"viel länger",Lektionen[[#This Row],[Bearbeitungsdauer_abgewichen]]&gt;0.3,"länger",Lektionen[[#This Row],[Bearbeitungsdauer_abgewichen]]&lt;-0.3,"kürzer",TRUE,"keine Abweichung")</f>
        <v>keine Abweichung</v>
      </c>
      <c r="I2352">
        <v>4</v>
      </c>
    </row>
    <row r="2353" spans="1:9" hidden="1" x14ac:dyDescent="0.3">
      <c r="A2353" s="13">
        <v>369</v>
      </c>
      <c r="B2353" s="4">
        <v>8</v>
      </c>
      <c r="C2353" t="s">
        <v>537</v>
      </c>
      <c r="D2353" t="s">
        <v>527</v>
      </c>
      <c r="E2353">
        <v>5</v>
      </c>
      <c r="F2353">
        <v>5</v>
      </c>
      <c r="G2353" s="8">
        <f>Lektionen[[#This Row],[Bearbeitungsdauer_real]]/Lektionen[[#This Row],[Bearbeitungsdauer_geschätzt]]-1</f>
        <v>0</v>
      </c>
      <c r="H2353" s="8" t="str" cm="1">
        <f t="array" ref="H2353">_xlfn.IFS(Lektionen[[#This Row],[Bearbeitungsdauer_abgewichen]]&gt;0.6,"viel länger",Lektionen[[#This Row],[Bearbeitungsdauer_abgewichen]]&gt;0.3,"länger",Lektionen[[#This Row],[Bearbeitungsdauer_abgewichen]]&lt;-0.3,"kürzer",TRUE,"keine Abweichung")</f>
        <v>keine Abweichung</v>
      </c>
      <c r="I2353">
        <v>1</v>
      </c>
    </row>
    <row r="2354" spans="1:9" hidden="1" x14ac:dyDescent="0.3">
      <c r="A2354" s="13">
        <v>370</v>
      </c>
      <c r="B2354" s="4">
        <v>1</v>
      </c>
      <c r="C2354" t="s">
        <v>526</v>
      </c>
      <c r="D2354" t="s">
        <v>527</v>
      </c>
      <c r="E2354">
        <v>4</v>
      </c>
      <c r="F2354">
        <v>4</v>
      </c>
      <c r="G2354" s="8">
        <f>Lektionen[[#This Row],[Bearbeitungsdauer_real]]/Lektionen[[#This Row],[Bearbeitungsdauer_geschätzt]]-1</f>
        <v>0</v>
      </c>
      <c r="H2354" s="8" t="str" cm="1">
        <f t="array" ref="H2354">_xlfn.IFS(Lektionen[[#This Row],[Bearbeitungsdauer_abgewichen]]&gt;0.6,"viel länger",Lektionen[[#This Row],[Bearbeitungsdauer_abgewichen]]&gt;0.3,"länger",Lektionen[[#This Row],[Bearbeitungsdauer_abgewichen]]&lt;-0.3,"kürzer",TRUE,"keine Abweichung")</f>
        <v>keine Abweichung</v>
      </c>
      <c r="I2354">
        <v>1</v>
      </c>
    </row>
    <row r="2355" spans="1:9" hidden="1" x14ac:dyDescent="0.3">
      <c r="A2355" s="13">
        <v>370</v>
      </c>
      <c r="B2355" s="4">
        <v>2</v>
      </c>
      <c r="C2355" t="s">
        <v>528</v>
      </c>
      <c r="D2355" t="s">
        <v>529</v>
      </c>
      <c r="E2355">
        <v>15</v>
      </c>
      <c r="F2355">
        <v>16</v>
      </c>
      <c r="G2355" s="8">
        <f>Lektionen[[#This Row],[Bearbeitungsdauer_real]]/Lektionen[[#This Row],[Bearbeitungsdauer_geschätzt]]-1</f>
        <v>6.6666666666666652E-2</v>
      </c>
      <c r="H2355" s="8" t="str" cm="1">
        <f t="array" ref="H2355">_xlfn.IFS(Lektionen[[#This Row],[Bearbeitungsdauer_abgewichen]]&gt;0.6,"viel länger",Lektionen[[#This Row],[Bearbeitungsdauer_abgewichen]]&gt;0.3,"länger",Lektionen[[#This Row],[Bearbeitungsdauer_abgewichen]]&lt;-0.3,"kürzer",TRUE,"keine Abweichung")</f>
        <v>keine Abweichung</v>
      </c>
      <c r="I2355">
        <v>2</v>
      </c>
    </row>
    <row r="2356" spans="1:9" hidden="1" x14ac:dyDescent="0.3">
      <c r="A2356" s="13">
        <v>370</v>
      </c>
      <c r="B2356" s="4">
        <v>3</v>
      </c>
      <c r="C2356" t="s">
        <v>552</v>
      </c>
      <c r="D2356" t="s">
        <v>530</v>
      </c>
      <c r="E2356">
        <v>30</v>
      </c>
      <c r="F2356">
        <v>27</v>
      </c>
      <c r="G2356" s="8">
        <f>Lektionen[[#This Row],[Bearbeitungsdauer_real]]/Lektionen[[#This Row],[Bearbeitungsdauer_geschätzt]]-1</f>
        <v>-9.9999999999999978E-2</v>
      </c>
      <c r="H2356" s="8" t="str" cm="1">
        <f t="array" ref="H2356">_xlfn.IFS(Lektionen[[#This Row],[Bearbeitungsdauer_abgewichen]]&gt;0.6,"viel länger",Lektionen[[#This Row],[Bearbeitungsdauer_abgewichen]]&gt;0.3,"länger",Lektionen[[#This Row],[Bearbeitungsdauer_abgewichen]]&lt;-0.3,"kürzer",TRUE,"keine Abweichung")</f>
        <v>keine Abweichung</v>
      </c>
      <c r="I2356">
        <v>2</v>
      </c>
    </row>
    <row r="2357" spans="1:9" hidden="1" x14ac:dyDescent="0.3">
      <c r="A2357" s="13">
        <v>370</v>
      </c>
      <c r="B2357" s="4">
        <v>4</v>
      </c>
      <c r="C2357" t="s">
        <v>531</v>
      </c>
      <c r="D2357" t="s">
        <v>530</v>
      </c>
      <c r="E2357">
        <v>30</v>
      </c>
      <c r="F2357">
        <v>34</v>
      </c>
      <c r="G2357" s="8">
        <f>Lektionen[[#This Row],[Bearbeitungsdauer_real]]/Lektionen[[#This Row],[Bearbeitungsdauer_geschätzt]]-1</f>
        <v>0.1333333333333333</v>
      </c>
      <c r="H2357" s="8" t="str" cm="1">
        <f t="array" ref="H2357">_xlfn.IFS(Lektionen[[#This Row],[Bearbeitungsdauer_abgewichen]]&gt;0.6,"viel länger",Lektionen[[#This Row],[Bearbeitungsdauer_abgewichen]]&gt;0.3,"länger",Lektionen[[#This Row],[Bearbeitungsdauer_abgewichen]]&lt;-0.3,"kürzer",TRUE,"keine Abweichung")</f>
        <v>keine Abweichung</v>
      </c>
      <c r="I2357">
        <v>2</v>
      </c>
    </row>
    <row r="2358" spans="1:9" x14ac:dyDescent="0.3">
      <c r="A2358" s="13">
        <v>370</v>
      </c>
      <c r="B2358" s="4">
        <v>5</v>
      </c>
      <c r="C2358" t="s">
        <v>532</v>
      </c>
      <c r="D2358" t="s">
        <v>530</v>
      </c>
      <c r="E2358">
        <v>30</v>
      </c>
      <c r="F2358">
        <v>49</v>
      </c>
      <c r="G2358" s="8">
        <f>Lektionen[[#This Row],[Bearbeitungsdauer_real]]/Lektionen[[#This Row],[Bearbeitungsdauer_geschätzt]]-1</f>
        <v>0.6333333333333333</v>
      </c>
      <c r="H2358" s="8" t="str" cm="1">
        <f t="array" ref="H2358">_xlfn.IFS(Lektionen[[#This Row],[Bearbeitungsdauer_abgewichen]]&gt;0.6,"viel länger",Lektionen[[#This Row],[Bearbeitungsdauer_abgewichen]]&gt;0.3,"länger",Lektionen[[#This Row],[Bearbeitungsdauer_abgewichen]]&lt;-0.3,"kürzer",TRUE,"keine Abweichung")</f>
        <v>viel länger</v>
      </c>
      <c r="I2358">
        <v>4</v>
      </c>
    </row>
    <row r="2359" spans="1:9" hidden="1" x14ac:dyDescent="0.3">
      <c r="A2359" s="13">
        <v>370</v>
      </c>
      <c r="B2359" s="4">
        <v>6</v>
      </c>
      <c r="C2359" t="s">
        <v>533</v>
      </c>
      <c r="D2359" t="s">
        <v>534</v>
      </c>
      <c r="E2359">
        <v>5</v>
      </c>
      <c r="F2359">
        <v>2</v>
      </c>
      <c r="G2359" s="8">
        <f>Lektionen[[#This Row],[Bearbeitungsdauer_real]]/Lektionen[[#This Row],[Bearbeitungsdauer_geschätzt]]-1</f>
        <v>-0.6</v>
      </c>
      <c r="H2359" s="8" t="str" cm="1">
        <f t="array" ref="H2359">_xlfn.IFS(Lektionen[[#This Row],[Bearbeitungsdauer_abgewichen]]&gt;0.6,"viel länger",Lektionen[[#This Row],[Bearbeitungsdauer_abgewichen]]&gt;0.3,"länger",Lektionen[[#This Row],[Bearbeitungsdauer_abgewichen]]&lt;-0.3,"kürzer",TRUE,"keine Abweichung")</f>
        <v>kürzer</v>
      </c>
      <c r="I2359">
        <v>2</v>
      </c>
    </row>
    <row r="2360" spans="1:9" hidden="1" x14ac:dyDescent="0.3">
      <c r="A2360" s="13">
        <v>370</v>
      </c>
      <c r="B2360" s="4">
        <v>7</v>
      </c>
      <c r="C2360" t="s">
        <v>535</v>
      </c>
      <c r="D2360" t="s">
        <v>536</v>
      </c>
      <c r="E2360">
        <v>10</v>
      </c>
      <c r="F2360">
        <v>9</v>
      </c>
      <c r="G2360" s="8">
        <f>Lektionen[[#This Row],[Bearbeitungsdauer_real]]/Lektionen[[#This Row],[Bearbeitungsdauer_geschätzt]]-1</f>
        <v>-9.9999999999999978E-2</v>
      </c>
      <c r="H2360" s="8" t="str" cm="1">
        <f t="array" ref="H2360">_xlfn.IFS(Lektionen[[#This Row],[Bearbeitungsdauer_abgewichen]]&gt;0.6,"viel länger",Lektionen[[#This Row],[Bearbeitungsdauer_abgewichen]]&gt;0.3,"länger",Lektionen[[#This Row],[Bearbeitungsdauer_abgewichen]]&lt;-0.3,"kürzer",TRUE,"keine Abweichung")</f>
        <v>keine Abweichung</v>
      </c>
      <c r="I2360">
        <v>3</v>
      </c>
    </row>
    <row r="2361" spans="1:9" hidden="1" x14ac:dyDescent="0.3">
      <c r="A2361" s="13">
        <v>370</v>
      </c>
      <c r="B2361" s="4">
        <v>8</v>
      </c>
      <c r="C2361" t="s">
        <v>537</v>
      </c>
      <c r="D2361" t="s">
        <v>527</v>
      </c>
      <c r="E2361">
        <v>5</v>
      </c>
      <c r="F2361">
        <v>5</v>
      </c>
      <c r="G2361" s="8">
        <f>Lektionen[[#This Row],[Bearbeitungsdauer_real]]/Lektionen[[#This Row],[Bearbeitungsdauer_geschätzt]]-1</f>
        <v>0</v>
      </c>
      <c r="H2361" s="8" t="str" cm="1">
        <f t="array" ref="H2361">_xlfn.IFS(Lektionen[[#This Row],[Bearbeitungsdauer_abgewichen]]&gt;0.6,"viel länger",Lektionen[[#This Row],[Bearbeitungsdauer_abgewichen]]&gt;0.3,"länger",Lektionen[[#This Row],[Bearbeitungsdauer_abgewichen]]&lt;-0.3,"kürzer",TRUE,"keine Abweichung")</f>
        <v>keine Abweichung</v>
      </c>
      <c r="I2361">
        <v>1</v>
      </c>
    </row>
    <row r="2362" spans="1:9" hidden="1" x14ac:dyDescent="0.3">
      <c r="A2362" s="13">
        <v>371</v>
      </c>
      <c r="B2362" s="4">
        <v>1</v>
      </c>
      <c r="C2362" t="s">
        <v>526</v>
      </c>
      <c r="D2362" t="s">
        <v>527</v>
      </c>
      <c r="E2362">
        <v>4</v>
      </c>
      <c r="F2362">
        <v>4</v>
      </c>
      <c r="G2362" s="8">
        <f>Lektionen[[#This Row],[Bearbeitungsdauer_real]]/Lektionen[[#This Row],[Bearbeitungsdauer_geschätzt]]-1</f>
        <v>0</v>
      </c>
      <c r="H2362" s="8" t="str" cm="1">
        <f t="array" ref="H2362">_xlfn.IFS(Lektionen[[#This Row],[Bearbeitungsdauer_abgewichen]]&gt;0.6,"viel länger",Lektionen[[#This Row],[Bearbeitungsdauer_abgewichen]]&gt;0.3,"länger",Lektionen[[#This Row],[Bearbeitungsdauer_abgewichen]]&lt;-0.3,"kürzer",TRUE,"keine Abweichung")</f>
        <v>keine Abweichung</v>
      </c>
      <c r="I2362">
        <v>1</v>
      </c>
    </row>
    <row r="2363" spans="1:9" hidden="1" x14ac:dyDescent="0.3">
      <c r="A2363" s="13">
        <v>371</v>
      </c>
      <c r="B2363" s="4">
        <v>2</v>
      </c>
      <c r="C2363" t="s">
        <v>528</v>
      </c>
      <c r="D2363" t="s">
        <v>529</v>
      </c>
      <c r="E2363">
        <v>15</v>
      </c>
      <c r="F2363">
        <v>20</v>
      </c>
      <c r="G2363" s="8">
        <f>Lektionen[[#This Row],[Bearbeitungsdauer_real]]/Lektionen[[#This Row],[Bearbeitungsdauer_geschätzt]]-1</f>
        <v>0.33333333333333326</v>
      </c>
      <c r="H2363" s="8" t="str" cm="1">
        <f t="array" ref="H2363">_xlfn.IFS(Lektionen[[#This Row],[Bearbeitungsdauer_abgewichen]]&gt;0.6,"viel länger",Lektionen[[#This Row],[Bearbeitungsdauer_abgewichen]]&gt;0.3,"länger",Lektionen[[#This Row],[Bearbeitungsdauer_abgewichen]]&lt;-0.3,"kürzer",TRUE,"keine Abweichung")</f>
        <v>länger</v>
      </c>
      <c r="I2363">
        <v>2</v>
      </c>
    </row>
    <row r="2364" spans="1:9" hidden="1" x14ac:dyDescent="0.3">
      <c r="A2364" s="13">
        <v>371</v>
      </c>
      <c r="B2364" s="4">
        <v>3</v>
      </c>
      <c r="C2364" t="s">
        <v>552</v>
      </c>
      <c r="D2364" t="s">
        <v>530</v>
      </c>
      <c r="E2364">
        <v>30</v>
      </c>
      <c r="F2364">
        <v>35</v>
      </c>
      <c r="G2364" s="8">
        <f>Lektionen[[#This Row],[Bearbeitungsdauer_real]]/Lektionen[[#This Row],[Bearbeitungsdauer_geschätzt]]-1</f>
        <v>0.16666666666666674</v>
      </c>
      <c r="H2364" s="8" t="str" cm="1">
        <f t="array" ref="H2364">_xlfn.IFS(Lektionen[[#This Row],[Bearbeitungsdauer_abgewichen]]&gt;0.6,"viel länger",Lektionen[[#This Row],[Bearbeitungsdauer_abgewichen]]&gt;0.3,"länger",Lektionen[[#This Row],[Bearbeitungsdauer_abgewichen]]&lt;-0.3,"kürzer",TRUE,"keine Abweichung")</f>
        <v>keine Abweichung</v>
      </c>
      <c r="I2364">
        <v>3</v>
      </c>
    </row>
    <row r="2365" spans="1:9" hidden="1" x14ac:dyDescent="0.3">
      <c r="A2365" s="13">
        <v>371</v>
      </c>
      <c r="B2365" s="4">
        <v>4</v>
      </c>
      <c r="C2365" t="s">
        <v>531</v>
      </c>
      <c r="D2365" t="s">
        <v>530</v>
      </c>
      <c r="E2365">
        <v>30</v>
      </c>
      <c r="F2365">
        <v>30</v>
      </c>
      <c r="G2365" s="8">
        <f>Lektionen[[#This Row],[Bearbeitungsdauer_real]]/Lektionen[[#This Row],[Bearbeitungsdauer_geschätzt]]-1</f>
        <v>0</v>
      </c>
      <c r="H2365" s="8" t="str" cm="1">
        <f t="array" ref="H2365">_xlfn.IFS(Lektionen[[#This Row],[Bearbeitungsdauer_abgewichen]]&gt;0.6,"viel länger",Lektionen[[#This Row],[Bearbeitungsdauer_abgewichen]]&gt;0.3,"länger",Lektionen[[#This Row],[Bearbeitungsdauer_abgewichen]]&lt;-0.3,"kürzer",TRUE,"keine Abweichung")</f>
        <v>keine Abweichung</v>
      </c>
      <c r="I2365">
        <v>3</v>
      </c>
    </row>
    <row r="2366" spans="1:9" x14ac:dyDescent="0.3">
      <c r="A2366" s="13">
        <v>371</v>
      </c>
      <c r="B2366" s="4">
        <v>5</v>
      </c>
      <c r="C2366" t="s">
        <v>532</v>
      </c>
      <c r="D2366" t="s">
        <v>530</v>
      </c>
      <c r="E2366">
        <v>30</v>
      </c>
      <c r="F2366">
        <v>54</v>
      </c>
      <c r="G2366" s="8">
        <f>Lektionen[[#This Row],[Bearbeitungsdauer_real]]/Lektionen[[#This Row],[Bearbeitungsdauer_geschätzt]]-1</f>
        <v>0.8</v>
      </c>
      <c r="H2366" s="8" t="str" cm="1">
        <f t="array" ref="H2366">_xlfn.IFS(Lektionen[[#This Row],[Bearbeitungsdauer_abgewichen]]&gt;0.6,"viel länger",Lektionen[[#This Row],[Bearbeitungsdauer_abgewichen]]&gt;0.3,"länger",Lektionen[[#This Row],[Bearbeitungsdauer_abgewichen]]&lt;-0.3,"kürzer",TRUE,"keine Abweichung")</f>
        <v>viel länger</v>
      </c>
      <c r="I2366">
        <v>4</v>
      </c>
    </row>
    <row r="2367" spans="1:9" hidden="1" x14ac:dyDescent="0.3">
      <c r="A2367" s="13">
        <v>371</v>
      </c>
      <c r="B2367" s="4">
        <v>6</v>
      </c>
      <c r="C2367" t="s">
        <v>533</v>
      </c>
      <c r="D2367" t="s">
        <v>534</v>
      </c>
      <c r="E2367">
        <v>5</v>
      </c>
      <c r="F2367">
        <v>1</v>
      </c>
      <c r="G2367" s="8">
        <f>Lektionen[[#This Row],[Bearbeitungsdauer_real]]/Lektionen[[#This Row],[Bearbeitungsdauer_geschätzt]]-1</f>
        <v>-0.8</v>
      </c>
      <c r="H2367" s="8" t="str" cm="1">
        <f t="array" ref="H2367">_xlfn.IFS(Lektionen[[#This Row],[Bearbeitungsdauer_abgewichen]]&gt;0.6,"viel länger",Lektionen[[#This Row],[Bearbeitungsdauer_abgewichen]]&gt;0.3,"länger",Lektionen[[#This Row],[Bearbeitungsdauer_abgewichen]]&lt;-0.3,"kürzer",TRUE,"keine Abweichung")</f>
        <v>kürzer</v>
      </c>
      <c r="I2367">
        <v>2</v>
      </c>
    </row>
    <row r="2368" spans="1:9" hidden="1" x14ac:dyDescent="0.3">
      <c r="A2368" s="13">
        <v>371</v>
      </c>
      <c r="B2368" s="4">
        <v>7</v>
      </c>
      <c r="C2368" t="s">
        <v>535</v>
      </c>
      <c r="D2368" t="s">
        <v>536</v>
      </c>
      <c r="E2368">
        <v>10</v>
      </c>
      <c r="F2368">
        <v>9</v>
      </c>
      <c r="G2368" s="8">
        <f>Lektionen[[#This Row],[Bearbeitungsdauer_real]]/Lektionen[[#This Row],[Bearbeitungsdauer_geschätzt]]-1</f>
        <v>-9.9999999999999978E-2</v>
      </c>
      <c r="H2368" s="8" t="str" cm="1">
        <f t="array" ref="H2368">_xlfn.IFS(Lektionen[[#This Row],[Bearbeitungsdauer_abgewichen]]&gt;0.6,"viel länger",Lektionen[[#This Row],[Bearbeitungsdauer_abgewichen]]&gt;0.3,"länger",Lektionen[[#This Row],[Bearbeitungsdauer_abgewichen]]&lt;-0.3,"kürzer",TRUE,"keine Abweichung")</f>
        <v>keine Abweichung</v>
      </c>
      <c r="I2368">
        <v>4</v>
      </c>
    </row>
    <row r="2369" spans="1:9" hidden="1" x14ac:dyDescent="0.3">
      <c r="A2369" s="13">
        <v>371</v>
      </c>
      <c r="B2369" s="4">
        <v>8</v>
      </c>
      <c r="C2369" t="s">
        <v>537</v>
      </c>
      <c r="D2369" t="s">
        <v>527</v>
      </c>
      <c r="E2369">
        <v>5</v>
      </c>
      <c r="F2369">
        <v>5</v>
      </c>
      <c r="G2369" s="8">
        <f>Lektionen[[#This Row],[Bearbeitungsdauer_real]]/Lektionen[[#This Row],[Bearbeitungsdauer_geschätzt]]-1</f>
        <v>0</v>
      </c>
      <c r="H2369" s="8" t="str" cm="1">
        <f t="array" ref="H2369">_xlfn.IFS(Lektionen[[#This Row],[Bearbeitungsdauer_abgewichen]]&gt;0.6,"viel länger",Lektionen[[#This Row],[Bearbeitungsdauer_abgewichen]]&gt;0.3,"länger",Lektionen[[#This Row],[Bearbeitungsdauer_abgewichen]]&lt;-0.3,"kürzer",TRUE,"keine Abweichung")</f>
        <v>keine Abweichung</v>
      </c>
      <c r="I2369">
        <v>2</v>
      </c>
    </row>
    <row r="2370" spans="1:9" hidden="1" x14ac:dyDescent="0.3">
      <c r="A2370" s="13">
        <v>372</v>
      </c>
      <c r="B2370" s="4">
        <v>1</v>
      </c>
      <c r="C2370" t="s">
        <v>526</v>
      </c>
      <c r="D2370" t="s">
        <v>527</v>
      </c>
      <c r="E2370">
        <v>4</v>
      </c>
      <c r="F2370">
        <v>4</v>
      </c>
      <c r="G2370" s="8">
        <f>Lektionen[[#This Row],[Bearbeitungsdauer_real]]/Lektionen[[#This Row],[Bearbeitungsdauer_geschätzt]]-1</f>
        <v>0</v>
      </c>
      <c r="H2370" s="8" t="str" cm="1">
        <f t="array" ref="H2370">_xlfn.IFS(Lektionen[[#This Row],[Bearbeitungsdauer_abgewichen]]&gt;0.6,"viel länger",Lektionen[[#This Row],[Bearbeitungsdauer_abgewichen]]&gt;0.3,"länger",Lektionen[[#This Row],[Bearbeitungsdauer_abgewichen]]&lt;-0.3,"kürzer",TRUE,"keine Abweichung")</f>
        <v>keine Abweichung</v>
      </c>
      <c r="I2370">
        <v>2</v>
      </c>
    </row>
    <row r="2371" spans="1:9" hidden="1" x14ac:dyDescent="0.3">
      <c r="A2371" s="13">
        <v>372</v>
      </c>
      <c r="B2371" s="4">
        <v>2</v>
      </c>
      <c r="C2371" t="s">
        <v>528</v>
      </c>
      <c r="D2371" t="s">
        <v>529</v>
      </c>
      <c r="E2371">
        <v>15</v>
      </c>
      <c r="F2371">
        <v>19</v>
      </c>
      <c r="G2371" s="8">
        <f>Lektionen[[#This Row],[Bearbeitungsdauer_real]]/Lektionen[[#This Row],[Bearbeitungsdauer_geschätzt]]-1</f>
        <v>0.26666666666666661</v>
      </c>
      <c r="H2371" s="8" t="str" cm="1">
        <f t="array" ref="H2371">_xlfn.IFS(Lektionen[[#This Row],[Bearbeitungsdauer_abgewichen]]&gt;0.6,"viel länger",Lektionen[[#This Row],[Bearbeitungsdauer_abgewichen]]&gt;0.3,"länger",Lektionen[[#This Row],[Bearbeitungsdauer_abgewichen]]&lt;-0.3,"kürzer",TRUE,"keine Abweichung")</f>
        <v>keine Abweichung</v>
      </c>
      <c r="I2371">
        <v>1</v>
      </c>
    </row>
    <row r="2372" spans="1:9" hidden="1" x14ac:dyDescent="0.3">
      <c r="A2372" s="13">
        <v>372</v>
      </c>
      <c r="B2372" s="4">
        <v>3</v>
      </c>
      <c r="C2372" t="s">
        <v>552</v>
      </c>
      <c r="D2372" t="s">
        <v>530</v>
      </c>
      <c r="E2372">
        <v>30</v>
      </c>
      <c r="F2372">
        <v>29</v>
      </c>
      <c r="G2372" s="8">
        <f>Lektionen[[#This Row],[Bearbeitungsdauer_real]]/Lektionen[[#This Row],[Bearbeitungsdauer_geschätzt]]-1</f>
        <v>-3.3333333333333326E-2</v>
      </c>
      <c r="H2372" s="8" t="str" cm="1">
        <f t="array" ref="H2372">_xlfn.IFS(Lektionen[[#This Row],[Bearbeitungsdauer_abgewichen]]&gt;0.6,"viel länger",Lektionen[[#This Row],[Bearbeitungsdauer_abgewichen]]&gt;0.3,"länger",Lektionen[[#This Row],[Bearbeitungsdauer_abgewichen]]&lt;-0.3,"kürzer",TRUE,"keine Abweichung")</f>
        <v>keine Abweichung</v>
      </c>
      <c r="I2372">
        <v>3</v>
      </c>
    </row>
    <row r="2373" spans="1:9" hidden="1" x14ac:dyDescent="0.3">
      <c r="A2373" s="13">
        <v>372</v>
      </c>
      <c r="B2373" s="4">
        <v>4</v>
      </c>
      <c r="C2373" t="s">
        <v>531</v>
      </c>
      <c r="D2373" t="s">
        <v>530</v>
      </c>
      <c r="E2373">
        <v>30</v>
      </c>
      <c r="F2373">
        <v>29</v>
      </c>
      <c r="G2373" s="8">
        <f>Lektionen[[#This Row],[Bearbeitungsdauer_real]]/Lektionen[[#This Row],[Bearbeitungsdauer_geschätzt]]-1</f>
        <v>-3.3333333333333326E-2</v>
      </c>
      <c r="H2373" s="8" t="str" cm="1">
        <f t="array" ref="H2373">_xlfn.IFS(Lektionen[[#This Row],[Bearbeitungsdauer_abgewichen]]&gt;0.6,"viel länger",Lektionen[[#This Row],[Bearbeitungsdauer_abgewichen]]&gt;0.3,"länger",Lektionen[[#This Row],[Bearbeitungsdauer_abgewichen]]&lt;-0.3,"kürzer",TRUE,"keine Abweichung")</f>
        <v>keine Abweichung</v>
      </c>
      <c r="I2373">
        <v>3</v>
      </c>
    </row>
    <row r="2374" spans="1:9" x14ac:dyDescent="0.3">
      <c r="A2374" s="13">
        <v>372</v>
      </c>
      <c r="B2374" s="4">
        <v>5</v>
      </c>
      <c r="C2374" t="s">
        <v>532</v>
      </c>
      <c r="D2374" t="s">
        <v>530</v>
      </c>
      <c r="E2374">
        <v>30</v>
      </c>
      <c r="F2374">
        <v>42</v>
      </c>
      <c r="G2374" s="8">
        <f>Lektionen[[#This Row],[Bearbeitungsdauer_real]]/Lektionen[[#This Row],[Bearbeitungsdauer_geschätzt]]-1</f>
        <v>0.39999999999999991</v>
      </c>
      <c r="H2374" s="8" t="str" cm="1">
        <f t="array" ref="H2374">_xlfn.IFS(Lektionen[[#This Row],[Bearbeitungsdauer_abgewichen]]&gt;0.6,"viel länger",Lektionen[[#This Row],[Bearbeitungsdauer_abgewichen]]&gt;0.3,"länger",Lektionen[[#This Row],[Bearbeitungsdauer_abgewichen]]&lt;-0.3,"kürzer",TRUE,"keine Abweichung")</f>
        <v>länger</v>
      </c>
      <c r="I2374">
        <v>4</v>
      </c>
    </row>
    <row r="2375" spans="1:9" hidden="1" x14ac:dyDescent="0.3">
      <c r="A2375" s="13">
        <v>372</v>
      </c>
      <c r="B2375" s="4">
        <v>6</v>
      </c>
      <c r="C2375" t="s">
        <v>533</v>
      </c>
      <c r="D2375" t="s">
        <v>534</v>
      </c>
      <c r="E2375">
        <v>5</v>
      </c>
      <c r="F2375">
        <v>3</v>
      </c>
      <c r="G2375" s="8">
        <f>Lektionen[[#This Row],[Bearbeitungsdauer_real]]/Lektionen[[#This Row],[Bearbeitungsdauer_geschätzt]]-1</f>
        <v>-0.4</v>
      </c>
      <c r="H2375" s="8" t="str" cm="1">
        <f t="array" ref="H2375">_xlfn.IFS(Lektionen[[#This Row],[Bearbeitungsdauer_abgewichen]]&gt;0.6,"viel länger",Lektionen[[#This Row],[Bearbeitungsdauer_abgewichen]]&gt;0.3,"länger",Lektionen[[#This Row],[Bearbeitungsdauer_abgewichen]]&lt;-0.3,"kürzer",TRUE,"keine Abweichung")</f>
        <v>kürzer</v>
      </c>
      <c r="I2375">
        <v>2</v>
      </c>
    </row>
    <row r="2376" spans="1:9" hidden="1" x14ac:dyDescent="0.3">
      <c r="A2376" s="13">
        <v>372</v>
      </c>
      <c r="B2376" s="4">
        <v>7</v>
      </c>
      <c r="C2376" t="s">
        <v>535</v>
      </c>
      <c r="D2376" t="s">
        <v>536</v>
      </c>
      <c r="E2376">
        <v>10</v>
      </c>
      <c r="F2376">
        <v>8</v>
      </c>
      <c r="G2376" s="8">
        <f>Lektionen[[#This Row],[Bearbeitungsdauer_real]]/Lektionen[[#This Row],[Bearbeitungsdauer_geschätzt]]-1</f>
        <v>-0.19999999999999996</v>
      </c>
      <c r="H2376" s="8" t="str" cm="1">
        <f t="array" ref="H2376">_xlfn.IFS(Lektionen[[#This Row],[Bearbeitungsdauer_abgewichen]]&gt;0.6,"viel länger",Lektionen[[#This Row],[Bearbeitungsdauer_abgewichen]]&gt;0.3,"länger",Lektionen[[#This Row],[Bearbeitungsdauer_abgewichen]]&lt;-0.3,"kürzer",TRUE,"keine Abweichung")</f>
        <v>keine Abweichung</v>
      </c>
      <c r="I2376">
        <v>3</v>
      </c>
    </row>
    <row r="2377" spans="1:9" hidden="1" x14ac:dyDescent="0.3">
      <c r="A2377" s="13">
        <v>372</v>
      </c>
      <c r="B2377" s="4">
        <v>8</v>
      </c>
      <c r="C2377" t="s">
        <v>537</v>
      </c>
      <c r="D2377" t="s">
        <v>527</v>
      </c>
      <c r="E2377">
        <v>5</v>
      </c>
      <c r="F2377">
        <v>5</v>
      </c>
      <c r="G2377" s="8">
        <f>Lektionen[[#This Row],[Bearbeitungsdauer_real]]/Lektionen[[#This Row],[Bearbeitungsdauer_geschätzt]]-1</f>
        <v>0</v>
      </c>
      <c r="H2377" s="8" t="str" cm="1">
        <f t="array" ref="H2377">_xlfn.IFS(Lektionen[[#This Row],[Bearbeitungsdauer_abgewichen]]&gt;0.6,"viel länger",Lektionen[[#This Row],[Bearbeitungsdauer_abgewichen]]&gt;0.3,"länger",Lektionen[[#This Row],[Bearbeitungsdauer_abgewichen]]&lt;-0.3,"kürzer",TRUE,"keine Abweichung")</f>
        <v>keine Abweichung</v>
      </c>
      <c r="I2377">
        <v>1</v>
      </c>
    </row>
    <row r="2378" spans="1:9" hidden="1" x14ac:dyDescent="0.3">
      <c r="A2378" s="13">
        <v>373</v>
      </c>
      <c r="B2378" s="4">
        <v>1</v>
      </c>
      <c r="C2378" t="s">
        <v>526</v>
      </c>
      <c r="D2378" t="s">
        <v>527</v>
      </c>
      <c r="E2378">
        <v>4</v>
      </c>
      <c r="F2378">
        <v>6</v>
      </c>
      <c r="G2378" s="8">
        <f>Lektionen[[#This Row],[Bearbeitungsdauer_real]]/Lektionen[[#This Row],[Bearbeitungsdauer_geschätzt]]-1</f>
        <v>0.5</v>
      </c>
      <c r="H2378" s="8" t="str" cm="1">
        <f t="array" ref="H2378">_xlfn.IFS(Lektionen[[#This Row],[Bearbeitungsdauer_abgewichen]]&gt;0.6,"viel länger",Lektionen[[#This Row],[Bearbeitungsdauer_abgewichen]]&gt;0.3,"länger",Lektionen[[#This Row],[Bearbeitungsdauer_abgewichen]]&lt;-0.3,"kürzer",TRUE,"keine Abweichung")</f>
        <v>länger</v>
      </c>
      <c r="I2378">
        <v>1</v>
      </c>
    </row>
    <row r="2379" spans="1:9" hidden="1" x14ac:dyDescent="0.3">
      <c r="A2379" s="13">
        <v>373</v>
      </c>
      <c r="B2379" s="4">
        <v>2</v>
      </c>
      <c r="C2379" t="s">
        <v>528</v>
      </c>
      <c r="D2379" t="s">
        <v>529</v>
      </c>
      <c r="E2379">
        <v>15</v>
      </c>
      <c r="F2379">
        <v>22</v>
      </c>
      <c r="G2379" s="8">
        <f>Lektionen[[#This Row],[Bearbeitungsdauer_real]]/Lektionen[[#This Row],[Bearbeitungsdauer_geschätzt]]-1</f>
        <v>0.46666666666666656</v>
      </c>
      <c r="H2379" s="8" t="str" cm="1">
        <f t="array" ref="H2379">_xlfn.IFS(Lektionen[[#This Row],[Bearbeitungsdauer_abgewichen]]&gt;0.6,"viel länger",Lektionen[[#This Row],[Bearbeitungsdauer_abgewichen]]&gt;0.3,"länger",Lektionen[[#This Row],[Bearbeitungsdauer_abgewichen]]&lt;-0.3,"kürzer",TRUE,"keine Abweichung")</f>
        <v>länger</v>
      </c>
      <c r="I2379">
        <v>2</v>
      </c>
    </row>
    <row r="2380" spans="1:9" hidden="1" x14ac:dyDescent="0.3">
      <c r="A2380" s="13">
        <v>373</v>
      </c>
      <c r="B2380" s="4">
        <v>3</v>
      </c>
      <c r="C2380" t="s">
        <v>552</v>
      </c>
      <c r="D2380" t="s">
        <v>530</v>
      </c>
      <c r="E2380">
        <v>30</v>
      </c>
      <c r="F2380">
        <v>28</v>
      </c>
      <c r="G2380" s="8">
        <f>Lektionen[[#This Row],[Bearbeitungsdauer_real]]/Lektionen[[#This Row],[Bearbeitungsdauer_geschätzt]]-1</f>
        <v>-6.6666666666666652E-2</v>
      </c>
      <c r="H2380" s="8" t="str" cm="1">
        <f t="array" ref="H2380">_xlfn.IFS(Lektionen[[#This Row],[Bearbeitungsdauer_abgewichen]]&gt;0.6,"viel länger",Lektionen[[#This Row],[Bearbeitungsdauer_abgewichen]]&gt;0.3,"länger",Lektionen[[#This Row],[Bearbeitungsdauer_abgewichen]]&lt;-0.3,"kürzer",TRUE,"keine Abweichung")</f>
        <v>keine Abweichung</v>
      </c>
      <c r="I2380">
        <v>3</v>
      </c>
    </row>
    <row r="2381" spans="1:9" hidden="1" x14ac:dyDescent="0.3">
      <c r="A2381" s="13">
        <v>373</v>
      </c>
      <c r="B2381" s="4">
        <v>4</v>
      </c>
      <c r="C2381" t="s">
        <v>531</v>
      </c>
      <c r="D2381" t="s">
        <v>530</v>
      </c>
      <c r="E2381">
        <v>30</v>
      </c>
      <c r="F2381">
        <v>35</v>
      </c>
      <c r="G2381" s="8">
        <f>Lektionen[[#This Row],[Bearbeitungsdauer_real]]/Lektionen[[#This Row],[Bearbeitungsdauer_geschätzt]]-1</f>
        <v>0.16666666666666674</v>
      </c>
      <c r="H2381" s="8" t="str" cm="1">
        <f t="array" ref="H2381">_xlfn.IFS(Lektionen[[#This Row],[Bearbeitungsdauer_abgewichen]]&gt;0.6,"viel länger",Lektionen[[#This Row],[Bearbeitungsdauer_abgewichen]]&gt;0.3,"länger",Lektionen[[#This Row],[Bearbeitungsdauer_abgewichen]]&lt;-0.3,"kürzer",TRUE,"keine Abweichung")</f>
        <v>keine Abweichung</v>
      </c>
      <c r="I2381">
        <v>3</v>
      </c>
    </row>
    <row r="2382" spans="1:9" x14ac:dyDescent="0.3">
      <c r="A2382" s="13">
        <v>373</v>
      </c>
      <c r="B2382" s="4">
        <v>5</v>
      </c>
      <c r="C2382" t="s">
        <v>532</v>
      </c>
      <c r="D2382" t="s">
        <v>530</v>
      </c>
      <c r="E2382">
        <v>30</v>
      </c>
      <c r="F2382">
        <v>41</v>
      </c>
      <c r="G2382" s="8">
        <f>Lektionen[[#This Row],[Bearbeitungsdauer_real]]/Lektionen[[#This Row],[Bearbeitungsdauer_geschätzt]]-1</f>
        <v>0.3666666666666667</v>
      </c>
      <c r="H2382" s="8" t="str" cm="1">
        <f t="array" ref="H2382">_xlfn.IFS(Lektionen[[#This Row],[Bearbeitungsdauer_abgewichen]]&gt;0.6,"viel länger",Lektionen[[#This Row],[Bearbeitungsdauer_abgewichen]]&gt;0.3,"länger",Lektionen[[#This Row],[Bearbeitungsdauer_abgewichen]]&lt;-0.3,"kürzer",TRUE,"keine Abweichung")</f>
        <v>länger</v>
      </c>
      <c r="I2382">
        <v>3</v>
      </c>
    </row>
    <row r="2383" spans="1:9" hidden="1" x14ac:dyDescent="0.3">
      <c r="A2383" s="13">
        <v>373</v>
      </c>
      <c r="B2383" s="4">
        <v>6</v>
      </c>
      <c r="C2383" t="s">
        <v>533</v>
      </c>
      <c r="D2383" t="s">
        <v>534</v>
      </c>
      <c r="E2383">
        <v>5</v>
      </c>
      <c r="F2383">
        <v>1</v>
      </c>
      <c r="G2383" s="8">
        <f>Lektionen[[#This Row],[Bearbeitungsdauer_real]]/Lektionen[[#This Row],[Bearbeitungsdauer_geschätzt]]-1</f>
        <v>-0.8</v>
      </c>
      <c r="H2383" s="8" t="str" cm="1">
        <f t="array" ref="H2383">_xlfn.IFS(Lektionen[[#This Row],[Bearbeitungsdauer_abgewichen]]&gt;0.6,"viel länger",Lektionen[[#This Row],[Bearbeitungsdauer_abgewichen]]&gt;0.3,"länger",Lektionen[[#This Row],[Bearbeitungsdauer_abgewichen]]&lt;-0.3,"kürzer",TRUE,"keine Abweichung")</f>
        <v>kürzer</v>
      </c>
      <c r="I2383">
        <v>3</v>
      </c>
    </row>
    <row r="2384" spans="1:9" hidden="1" x14ac:dyDescent="0.3">
      <c r="A2384" s="13">
        <v>373</v>
      </c>
      <c r="B2384" s="4">
        <v>7</v>
      </c>
      <c r="C2384" t="s">
        <v>535</v>
      </c>
      <c r="D2384" t="s">
        <v>536</v>
      </c>
      <c r="E2384">
        <v>10</v>
      </c>
      <c r="F2384">
        <v>9</v>
      </c>
      <c r="G2384" s="8">
        <f>Lektionen[[#This Row],[Bearbeitungsdauer_real]]/Lektionen[[#This Row],[Bearbeitungsdauer_geschätzt]]-1</f>
        <v>-9.9999999999999978E-2</v>
      </c>
      <c r="H2384" s="8" t="str" cm="1">
        <f t="array" ref="H2384">_xlfn.IFS(Lektionen[[#This Row],[Bearbeitungsdauer_abgewichen]]&gt;0.6,"viel länger",Lektionen[[#This Row],[Bearbeitungsdauer_abgewichen]]&gt;0.3,"länger",Lektionen[[#This Row],[Bearbeitungsdauer_abgewichen]]&lt;-0.3,"kürzer",TRUE,"keine Abweichung")</f>
        <v>keine Abweichung</v>
      </c>
      <c r="I2384">
        <v>3</v>
      </c>
    </row>
    <row r="2385" spans="1:9" hidden="1" x14ac:dyDescent="0.3">
      <c r="A2385" s="13">
        <v>373</v>
      </c>
      <c r="B2385" s="4">
        <v>8</v>
      </c>
      <c r="C2385" t="s">
        <v>537</v>
      </c>
      <c r="D2385" t="s">
        <v>527</v>
      </c>
      <c r="E2385">
        <v>5</v>
      </c>
      <c r="F2385">
        <v>5</v>
      </c>
      <c r="G2385" s="8">
        <f>Lektionen[[#This Row],[Bearbeitungsdauer_real]]/Lektionen[[#This Row],[Bearbeitungsdauer_geschätzt]]-1</f>
        <v>0</v>
      </c>
      <c r="H2385" s="8" t="str" cm="1">
        <f t="array" ref="H2385">_xlfn.IFS(Lektionen[[#This Row],[Bearbeitungsdauer_abgewichen]]&gt;0.6,"viel länger",Lektionen[[#This Row],[Bearbeitungsdauer_abgewichen]]&gt;0.3,"länger",Lektionen[[#This Row],[Bearbeitungsdauer_abgewichen]]&lt;-0.3,"kürzer",TRUE,"keine Abweichung")</f>
        <v>keine Abweichung</v>
      </c>
      <c r="I2385">
        <v>1</v>
      </c>
    </row>
    <row r="2386" spans="1:9" hidden="1" x14ac:dyDescent="0.3">
      <c r="A2386" s="13">
        <v>374</v>
      </c>
      <c r="B2386" s="4">
        <v>1</v>
      </c>
      <c r="C2386" t="s">
        <v>526</v>
      </c>
      <c r="D2386" t="s">
        <v>527</v>
      </c>
      <c r="E2386">
        <v>4</v>
      </c>
      <c r="F2386">
        <v>4</v>
      </c>
      <c r="G2386" s="8">
        <f>Lektionen[[#This Row],[Bearbeitungsdauer_real]]/Lektionen[[#This Row],[Bearbeitungsdauer_geschätzt]]-1</f>
        <v>0</v>
      </c>
      <c r="H2386" s="8" t="str" cm="1">
        <f t="array" ref="H2386">_xlfn.IFS(Lektionen[[#This Row],[Bearbeitungsdauer_abgewichen]]&gt;0.6,"viel länger",Lektionen[[#This Row],[Bearbeitungsdauer_abgewichen]]&gt;0.3,"länger",Lektionen[[#This Row],[Bearbeitungsdauer_abgewichen]]&lt;-0.3,"kürzer",TRUE,"keine Abweichung")</f>
        <v>keine Abweichung</v>
      </c>
      <c r="I2386">
        <v>1</v>
      </c>
    </row>
    <row r="2387" spans="1:9" hidden="1" x14ac:dyDescent="0.3">
      <c r="A2387" s="13">
        <v>374</v>
      </c>
      <c r="B2387" s="4">
        <v>2</v>
      </c>
      <c r="C2387" t="s">
        <v>528</v>
      </c>
      <c r="D2387" t="s">
        <v>529</v>
      </c>
      <c r="E2387">
        <v>15</v>
      </c>
      <c r="F2387">
        <v>21</v>
      </c>
      <c r="G2387" s="8">
        <f>Lektionen[[#This Row],[Bearbeitungsdauer_real]]/Lektionen[[#This Row],[Bearbeitungsdauer_geschätzt]]-1</f>
        <v>0.39999999999999991</v>
      </c>
      <c r="H2387" s="8" t="str" cm="1">
        <f t="array" ref="H2387">_xlfn.IFS(Lektionen[[#This Row],[Bearbeitungsdauer_abgewichen]]&gt;0.6,"viel länger",Lektionen[[#This Row],[Bearbeitungsdauer_abgewichen]]&gt;0.3,"länger",Lektionen[[#This Row],[Bearbeitungsdauer_abgewichen]]&lt;-0.3,"kürzer",TRUE,"keine Abweichung")</f>
        <v>länger</v>
      </c>
      <c r="I2387">
        <v>1</v>
      </c>
    </row>
    <row r="2388" spans="1:9" hidden="1" x14ac:dyDescent="0.3">
      <c r="A2388" s="13">
        <v>374</v>
      </c>
      <c r="B2388" s="4">
        <v>3</v>
      </c>
      <c r="C2388" t="s">
        <v>552</v>
      </c>
      <c r="D2388" t="s">
        <v>530</v>
      </c>
      <c r="E2388">
        <v>30</v>
      </c>
      <c r="F2388">
        <v>30</v>
      </c>
      <c r="G2388" s="8">
        <f>Lektionen[[#This Row],[Bearbeitungsdauer_real]]/Lektionen[[#This Row],[Bearbeitungsdauer_geschätzt]]-1</f>
        <v>0</v>
      </c>
      <c r="H2388" s="8" t="str" cm="1">
        <f t="array" ref="H2388">_xlfn.IFS(Lektionen[[#This Row],[Bearbeitungsdauer_abgewichen]]&gt;0.6,"viel länger",Lektionen[[#This Row],[Bearbeitungsdauer_abgewichen]]&gt;0.3,"länger",Lektionen[[#This Row],[Bearbeitungsdauer_abgewichen]]&lt;-0.3,"kürzer",TRUE,"keine Abweichung")</f>
        <v>keine Abweichung</v>
      </c>
      <c r="I2388">
        <v>2</v>
      </c>
    </row>
    <row r="2389" spans="1:9" hidden="1" x14ac:dyDescent="0.3">
      <c r="A2389" s="13">
        <v>374</v>
      </c>
      <c r="B2389" s="4">
        <v>4</v>
      </c>
      <c r="C2389" t="s">
        <v>531</v>
      </c>
      <c r="D2389" t="s">
        <v>530</v>
      </c>
      <c r="E2389">
        <v>30</v>
      </c>
      <c r="F2389">
        <v>33</v>
      </c>
      <c r="G2389" s="8">
        <f>Lektionen[[#This Row],[Bearbeitungsdauer_real]]/Lektionen[[#This Row],[Bearbeitungsdauer_geschätzt]]-1</f>
        <v>0.10000000000000009</v>
      </c>
      <c r="H2389" s="8" t="str" cm="1">
        <f t="array" ref="H2389">_xlfn.IFS(Lektionen[[#This Row],[Bearbeitungsdauer_abgewichen]]&gt;0.6,"viel länger",Lektionen[[#This Row],[Bearbeitungsdauer_abgewichen]]&gt;0.3,"länger",Lektionen[[#This Row],[Bearbeitungsdauer_abgewichen]]&lt;-0.3,"kürzer",TRUE,"keine Abweichung")</f>
        <v>keine Abweichung</v>
      </c>
      <c r="I2389">
        <v>3</v>
      </c>
    </row>
    <row r="2390" spans="1:9" x14ac:dyDescent="0.3">
      <c r="A2390" s="13">
        <v>374</v>
      </c>
      <c r="B2390" s="4">
        <v>5</v>
      </c>
      <c r="C2390" t="s">
        <v>532</v>
      </c>
      <c r="D2390" t="s">
        <v>530</v>
      </c>
      <c r="E2390">
        <v>30</v>
      </c>
      <c r="F2390">
        <v>42</v>
      </c>
      <c r="G2390" s="8">
        <f>Lektionen[[#This Row],[Bearbeitungsdauer_real]]/Lektionen[[#This Row],[Bearbeitungsdauer_geschätzt]]-1</f>
        <v>0.39999999999999991</v>
      </c>
      <c r="H2390" s="8" t="str" cm="1">
        <f t="array" ref="H2390">_xlfn.IFS(Lektionen[[#This Row],[Bearbeitungsdauer_abgewichen]]&gt;0.6,"viel länger",Lektionen[[#This Row],[Bearbeitungsdauer_abgewichen]]&gt;0.3,"länger",Lektionen[[#This Row],[Bearbeitungsdauer_abgewichen]]&lt;-0.3,"kürzer",TRUE,"keine Abweichung")</f>
        <v>länger</v>
      </c>
      <c r="I2390">
        <v>3</v>
      </c>
    </row>
    <row r="2391" spans="1:9" hidden="1" x14ac:dyDescent="0.3">
      <c r="A2391" s="13">
        <v>374</v>
      </c>
      <c r="B2391" s="4">
        <v>6</v>
      </c>
      <c r="C2391" t="s">
        <v>533</v>
      </c>
      <c r="D2391" t="s">
        <v>534</v>
      </c>
      <c r="E2391">
        <v>5</v>
      </c>
      <c r="F2391">
        <v>3</v>
      </c>
      <c r="G2391" s="8">
        <f>Lektionen[[#This Row],[Bearbeitungsdauer_real]]/Lektionen[[#This Row],[Bearbeitungsdauer_geschätzt]]-1</f>
        <v>-0.4</v>
      </c>
      <c r="H2391" s="8" t="str" cm="1">
        <f t="array" ref="H2391">_xlfn.IFS(Lektionen[[#This Row],[Bearbeitungsdauer_abgewichen]]&gt;0.6,"viel länger",Lektionen[[#This Row],[Bearbeitungsdauer_abgewichen]]&gt;0.3,"länger",Lektionen[[#This Row],[Bearbeitungsdauer_abgewichen]]&lt;-0.3,"kürzer",TRUE,"keine Abweichung")</f>
        <v>kürzer</v>
      </c>
      <c r="I2391">
        <v>2</v>
      </c>
    </row>
    <row r="2392" spans="1:9" hidden="1" x14ac:dyDescent="0.3">
      <c r="A2392" s="13">
        <v>374</v>
      </c>
      <c r="B2392" s="4">
        <v>7</v>
      </c>
      <c r="C2392" t="s">
        <v>535</v>
      </c>
      <c r="D2392" t="s">
        <v>536</v>
      </c>
      <c r="E2392">
        <v>10</v>
      </c>
      <c r="F2392">
        <v>8</v>
      </c>
      <c r="G2392" s="8">
        <f>Lektionen[[#This Row],[Bearbeitungsdauer_real]]/Lektionen[[#This Row],[Bearbeitungsdauer_geschätzt]]-1</f>
        <v>-0.19999999999999996</v>
      </c>
      <c r="H2392" s="8" t="str" cm="1">
        <f t="array" ref="H2392">_xlfn.IFS(Lektionen[[#This Row],[Bearbeitungsdauer_abgewichen]]&gt;0.6,"viel länger",Lektionen[[#This Row],[Bearbeitungsdauer_abgewichen]]&gt;0.3,"länger",Lektionen[[#This Row],[Bearbeitungsdauer_abgewichen]]&lt;-0.3,"kürzer",TRUE,"keine Abweichung")</f>
        <v>keine Abweichung</v>
      </c>
      <c r="I2392">
        <v>3</v>
      </c>
    </row>
    <row r="2393" spans="1:9" hidden="1" x14ac:dyDescent="0.3">
      <c r="A2393" s="13">
        <v>374</v>
      </c>
      <c r="B2393" s="4">
        <v>8</v>
      </c>
      <c r="C2393" t="s">
        <v>537</v>
      </c>
      <c r="D2393" t="s">
        <v>527</v>
      </c>
      <c r="E2393">
        <v>5</v>
      </c>
      <c r="F2393">
        <v>5</v>
      </c>
      <c r="G2393" s="8">
        <f>Lektionen[[#This Row],[Bearbeitungsdauer_real]]/Lektionen[[#This Row],[Bearbeitungsdauer_geschätzt]]-1</f>
        <v>0</v>
      </c>
      <c r="H2393" s="8" t="str" cm="1">
        <f t="array" ref="H2393">_xlfn.IFS(Lektionen[[#This Row],[Bearbeitungsdauer_abgewichen]]&gt;0.6,"viel länger",Lektionen[[#This Row],[Bearbeitungsdauer_abgewichen]]&gt;0.3,"länger",Lektionen[[#This Row],[Bearbeitungsdauer_abgewichen]]&lt;-0.3,"kürzer",TRUE,"keine Abweichung")</f>
        <v>keine Abweichung</v>
      </c>
      <c r="I2393">
        <v>1</v>
      </c>
    </row>
    <row r="2394" spans="1:9" hidden="1" x14ac:dyDescent="0.3">
      <c r="A2394" s="13">
        <v>375</v>
      </c>
      <c r="B2394" s="4">
        <v>1</v>
      </c>
      <c r="C2394" t="s">
        <v>526</v>
      </c>
      <c r="D2394" t="s">
        <v>527</v>
      </c>
      <c r="E2394">
        <v>4</v>
      </c>
      <c r="F2394">
        <v>4</v>
      </c>
      <c r="G2394" s="8">
        <f>Lektionen[[#This Row],[Bearbeitungsdauer_real]]/Lektionen[[#This Row],[Bearbeitungsdauer_geschätzt]]-1</f>
        <v>0</v>
      </c>
      <c r="H2394" s="8" t="str" cm="1">
        <f t="array" ref="H2394">_xlfn.IFS(Lektionen[[#This Row],[Bearbeitungsdauer_abgewichen]]&gt;0.6,"viel länger",Lektionen[[#This Row],[Bearbeitungsdauer_abgewichen]]&gt;0.3,"länger",Lektionen[[#This Row],[Bearbeitungsdauer_abgewichen]]&lt;-0.3,"kürzer",TRUE,"keine Abweichung")</f>
        <v>keine Abweichung</v>
      </c>
      <c r="I2394">
        <v>1</v>
      </c>
    </row>
    <row r="2395" spans="1:9" hidden="1" x14ac:dyDescent="0.3">
      <c r="A2395" s="13">
        <v>375</v>
      </c>
      <c r="B2395" s="4">
        <v>2</v>
      </c>
      <c r="C2395" t="s">
        <v>528</v>
      </c>
      <c r="D2395" t="s">
        <v>529</v>
      </c>
      <c r="E2395">
        <v>15</v>
      </c>
      <c r="F2395">
        <v>21</v>
      </c>
      <c r="G2395" s="8">
        <f>Lektionen[[#This Row],[Bearbeitungsdauer_real]]/Lektionen[[#This Row],[Bearbeitungsdauer_geschätzt]]-1</f>
        <v>0.39999999999999991</v>
      </c>
      <c r="H2395" s="8" t="str" cm="1">
        <f t="array" ref="H2395">_xlfn.IFS(Lektionen[[#This Row],[Bearbeitungsdauer_abgewichen]]&gt;0.6,"viel länger",Lektionen[[#This Row],[Bearbeitungsdauer_abgewichen]]&gt;0.3,"länger",Lektionen[[#This Row],[Bearbeitungsdauer_abgewichen]]&lt;-0.3,"kürzer",TRUE,"keine Abweichung")</f>
        <v>länger</v>
      </c>
      <c r="I2395">
        <v>2</v>
      </c>
    </row>
    <row r="2396" spans="1:9" hidden="1" x14ac:dyDescent="0.3">
      <c r="A2396" s="13">
        <v>375</v>
      </c>
      <c r="B2396" s="4">
        <v>3</v>
      </c>
      <c r="C2396" t="s">
        <v>552</v>
      </c>
      <c r="D2396" t="s">
        <v>530</v>
      </c>
      <c r="E2396">
        <v>30</v>
      </c>
      <c r="F2396">
        <v>30</v>
      </c>
      <c r="G2396" s="8">
        <f>Lektionen[[#This Row],[Bearbeitungsdauer_real]]/Lektionen[[#This Row],[Bearbeitungsdauer_geschätzt]]-1</f>
        <v>0</v>
      </c>
      <c r="H2396" s="8" t="str" cm="1">
        <f t="array" ref="H2396">_xlfn.IFS(Lektionen[[#This Row],[Bearbeitungsdauer_abgewichen]]&gt;0.6,"viel länger",Lektionen[[#This Row],[Bearbeitungsdauer_abgewichen]]&gt;0.3,"länger",Lektionen[[#This Row],[Bearbeitungsdauer_abgewichen]]&lt;-0.3,"kürzer",TRUE,"keine Abweichung")</f>
        <v>keine Abweichung</v>
      </c>
      <c r="I2396">
        <v>3</v>
      </c>
    </row>
    <row r="2397" spans="1:9" hidden="1" x14ac:dyDescent="0.3">
      <c r="A2397" s="13">
        <v>375</v>
      </c>
      <c r="B2397" s="4">
        <v>4</v>
      </c>
      <c r="C2397" t="s">
        <v>531</v>
      </c>
      <c r="D2397" t="s">
        <v>530</v>
      </c>
      <c r="E2397">
        <v>30</v>
      </c>
      <c r="F2397">
        <v>27</v>
      </c>
      <c r="G2397" s="8">
        <f>Lektionen[[#This Row],[Bearbeitungsdauer_real]]/Lektionen[[#This Row],[Bearbeitungsdauer_geschätzt]]-1</f>
        <v>-9.9999999999999978E-2</v>
      </c>
      <c r="H2397" s="8" t="str" cm="1">
        <f t="array" ref="H2397">_xlfn.IFS(Lektionen[[#This Row],[Bearbeitungsdauer_abgewichen]]&gt;0.6,"viel länger",Lektionen[[#This Row],[Bearbeitungsdauer_abgewichen]]&gt;0.3,"länger",Lektionen[[#This Row],[Bearbeitungsdauer_abgewichen]]&lt;-0.3,"kürzer",TRUE,"keine Abweichung")</f>
        <v>keine Abweichung</v>
      </c>
      <c r="I2397">
        <v>2</v>
      </c>
    </row>
    <row r="2398" spans="1:9" x14ac:dyDescent="0.3">
      <c r="A2398" s="13">
        <v>375</v>
      </c>
      <c r="B2398" s="4">
        <v>5</v>
      </c>
      <c r="C2398" t="s">
        <v>532</v>
      </c>
      <c r="D2398" t="s">
        <v>530</v>
      </c>
      <c r="E2398">
        <v>30</v>
      </c>
      <c r="F2398">
        <v>42</v>
      </c>
      <c r="G2398" s="8">
        <f>Lektionen[[#This Row],[Bearbeitungsdauer_real]]/Lektionen[[#This Row],[Bearbeitungsdauer_geschätzt]]-1</f>
        <v>0.39999999999999991</v>
      </c>
      <c r="H2398" s="8" t="str" cm="1">
        <f t="array" ref="H2398">_xlfn.IFS(Lektionen[[#This Row],[Bearbeitungsdauer_abgewichen]]&gt;0.6,"viel länger",Lektionen[[#This Row],[Bearbeitungsdauer_abgewichen]]&gt;0.3,"länger",Lektionen[[#This Row],[Bearbeitungsdauer_abgewichen]]&lt;-0.3,"kürzer",TRUE,"keine Abweichung")</f>
        <v>länger</v>
      </c>
      <c r="I2398">
        <v>4</v>
      </c>
    </row>
    <row r="2399" spans="1:9" hidden="1" x14ac:dyDescent="0.3">
      <c r="A2399" s="13">
        <v>375</v>
      </c>
      <c r="B2399" s="4">
        <v>6</v>
      </c>
      <c r="C2399" t="s">
        <v>533</v>
      </c>
      <c r="D2399" t="s">
        <v>534</v>
      </c>
      <c r="E2399">
        <v>5</v>
      </c>
      <c r="F2399">
        <v>1</v>
      </c>
      <c r="G2399" s="8">
        <f>Lektionen[[#This Row],[Bearbeitungsdauer_real]]/Lektionen[[#This Row],[Bearbeitungsdauer_geschätzt]]-1</f>
        <v>-0.8</v>
      </c>
      <c r="H2399" s="8" t="str" cm="1">
        <f t="array" ref="H2399">_xlfn.IFS(Lektionen[[#This Row],[Bearbeitungsdauer_abgewichen]]&gt;0.6,"viel länger",Lektionen[[#This Row],[Bearbeitungsdauer_abgewichen]]&gt;0.3,"länger",Lektionen[[#This Row],[Bearbeitungsdauer_abgewichen]]&lt;-0.3,"kürzer",TRUE,"keine Abweichung")</f>
        <v>kürzer</v>
      </c>
      <c r="I2399">
        <v>1</v>
      </c>
    </row>
    <row r="2400" spans="1:9" hidden="1" x14ac:dyDescent="0.3">
      <c r="A2400" s="13">
        <v>375</v>
      </c>
      <c r="B2400" s="4">
        <v>7</v>
      </c>
      <c r="C2400" t="s">
        <v>535</v>
      </c>
      <c r="D2400" t="s">
        <v>536</v>
      </c>
      <c r="E2400">
        <v>10</v>
      </c>
      <c r="F2400">
        <v>9</v>
      </c>
      <c r="G2400" s="8">
        <f>Lektionen[[#This Row],[Bearbeitungsdauer_real]]/Lektionen[[#This Row],[Bearbeitungsdauer_geschätzt]]-1</f>
        <v>-9.9999999999999978E-2</v>
      </c>
      <c r="H2400" s="8" t="str" cm="1">
        <f t="array" ref="H2400">_xlfn.IFS(Lektionen[[#This Row],[Bearbeitungsdauer_abgewichen]]&gt;0.6,"viel länger",Lektionen[[#This Row],[Bearbeitungsdauer_abgewichen]]&gt;0.3,"länger",Lektionen[[#This Row],[Bearbeitungsdauer_abgewichen]]&lt;-0.3,"kürzer",TRUE,"keine Abweichung")</f>
        <v>keine Abweichung</v>
      </c>
      <c r="I2400">
        <v>4</v>
      </c>
    </row>
    <row r="2401" spans="1:9" hidden="1" x14ac:dyDescent="0.3">
      <c r="A2401" s="13">
        <v>375</v>
      </c>
      <c r="B2401" s="4">
        <v>8</v>
      </c>
      <c r="C2401" t="s">
        <v>537</v>
      </c>
      <c r="D2401" t="s">
        <v>527</v>
      </c>
      <c r="E2401">
        <v>5</v>
      </c>
      <c r="F2401">
        <v>5</v>
      </c>
      <c r="G2401" s="8">
        <f>Lektionen[[#This Row],[Bearbeitungsdauer_real]]/Lektionen[[#This Row],[Bearbeitungsdauer_geschätzt]]-1</f>
        <v>0</v>
      </c>
      <c r="H2401" s="8" t="str" cm="1">
        <f t="array" ref="H2401">_xlfn.IFS(Lektionen[[#This Row],[Bearbeitungsdauer_abgewichen]]&gt;0.6,"viel länger",Lektionen[[#This Row],[Bearbeitungsdauer_abgewichen]]&gt;0.3,"länger",Lektionen[[#This Row],[Bearbeitungsdauer_abgewichen]]&lt;-0.3,"kürzer",TRUE,"keine Abweichung")</f>
        <v>keine Abweichung</v>
      </c>
      <c r="I2401">
        <v>1</v>
      </c>
    </row>
    <row r="2402" spans="1:9" hidden="1" x14ac:dyDescent="0.3">
      <c r="A2402" s="13">
        <v>376</v>
      </c>
      <c r="B2402" s="4">
        <v>1</v>
      </c>
      <c r="C2402" t="s">
        <v>526</v>
      </c>
      <c r="D2402" t="s">
        <v>527</v>
      </c>
      <c r="E2402">
        <v>4</v>
      </c>
      <c r="F2402">
        <v>4</v>
      </c>
      <c r="G2402" s="8">
        <f>Lektionen[[#This Row],[Bearbeitungsdauer_real]]/Lektionen[[#This Row],[Bearbeitungsdauer_geschätzt]]-1</f>
        <v>0</v>
      </c>
      <c r="H2402" s="8" t="str" cm="1">
        <f t="array" ref="H2402">_xlfn.IFS(Lektionen[[#This Row],[Bearbeitungsdauer_abgewichen]]&gt;0.6,"viel länger",Lektionen[[#This Row],[Bearbeitungsdauer_abgewichen]]&gt;0.3,"länger",Lektionen[[#This Row],[Bearbeitungsdauer_abgewichen]]&lt;-0.3,"kürzer",TRUE,"keine Abweichung")</f>
        <v>keine Abweichung</v>
      </c>
      <c r="I2402">
        <v>1</v>
      </c>
    </row>
    <row r="2403" spans="1:9" hidden="1" x14ac:dyDescent="0.3">
      <c r="A2403" s="13">
        <v>376</v>
      </c>
      <c r="B2403" s="4">
        <v>2</v>
      </c>
      <c r="C2403" t="s">
        <v>528</v>
      </c>
      <c r="D2403" t="s">
        <v>529</v>
      </c>
      <c r="E2403">
        <v>15</v>
      </c>
      <c r="F2403">
        <v>16</v>
      </c>
      <c r="G2403" s="8">
        <f>Lektionen[[#This Row],[Bearbeitungsdauer_real]]/Lektionen[[#This Row],[Bearbeitungsdauer_geschätzt]]-1</f>
        <v>6.6666666666666652E-2</v>
      </c>
      <c r="H2403" s="8" t="str" cm="1">
        <f t="array" ref="H2403">_xlfn.IFS(Lektionen[[#This Row],[Bearbeitungsdauer_abgewichen]]&gt;0.6,"viel länger",Lektionen[[#This Row],[Bearbeitungsdauer_abgewichen]]&gt;0.3,"länger",Lektionen[[#This Row],[Bearbeitungsdauer_abgewichen]]&lt;-0.3,"kürzer",TRUE,"keine Abweichung")</f>
        <v>keine Abweichung</v>
      </c>
      <c r="I2403">
        <v>2</v>
      </c>
    </row>
    <row r="2404" spans="1:9" hidden="1" x14ac:dyDescent="0.3">
      <c r="A2404" s="13">
        <v>376</v>
      </c>
      <c r="B2404" s="4">
        <v>3</v>
      </c>
      <c r="C2404" t="s">
        <v>552</v>
      </c>
      <c r="D2404" t="s">
        <v>530</v>
      </c>
      <c r="E2404">
        <v>30</v>
      </c>
      <c r="F2404">
        <v>30</v>
      </c>
      <c r="G2404" s="8">
        <f>Lektionen[[#This Row],[Bearbeitungsdauer_real]]/Lektionen[[#This Row],[Bearbeitungsdauer_geschätzt]]-1</f>
        <v>0</v>
      </c>
      <c r="H2404" s="8" t="str" cm="1">
        <f t="array" ref="H2404">_xlfn.IFS(Lektionen[[#This Row],[Bearbeitungsdauer_abgewichen]]&gt;0.6,"viel länger",Lektionen[[#This Row],[Bearbeitungsdauer_abgewichen]]&gt;0.3,"länger",Lektionen[[#This Row],[Bearbeitungsdauer_abgewichen]]&lt;-0.3,"kürzer",TRUE,"keine Abweichung")</f>
        <v>keine Abweichung</v>
      </c>
      <c r="I2404">
        <v>3</v>
      </c>
    </row>
    <row r="2405" spans="1:9" hidden="1" x14ac:dyDescent="0.3">
      <c r="A2405" s="13">
        <v>376</v>
      </c>
      <c r="B2405" s="4">
        <v>4</v>
      </c>
      <c r="C2405" t="s">
        <v>531</v>
      </c>
      <c r="D2405" t="s">
        <v>530</v>
      </c>
      <c r="E2405">
        <v>30</v>
      </c>
      <c r="F2405">
        <v>22</v>
      </c>
      <c r="G2405" s="8">
        <f>Lektionen[[#This Row],[Bearbeitungsdauer_real]]/Lektionen[[#This Row],[Bearbeitungsdauer_geschätzt]]-1</f>
        <v>-0.26666666666666672</v>
      </c>
      <c r="H2405" s="8" t="str" cm="1">
        <f t="array" ref="H2405">_xlfn.IFS(Lektionen[[#This Row],[Bearbeitungsdauer_abgewichen]]&gt;0.6,"viel länger",Lektionen[[#This Row],[Bearbeitungsdauer_abgewichen]]&gt;0.3,"länger",Lektionen[[#This Row],[Bearbeitungsdauer_abgewichen]]&lt;-0.3,"kürzer",TRUE,"keine Abweichung")</f>
        <v>keine Abweichung</v>
      </c>
      <c r="I2405">
        <v>3</v>
      </c>
    </row>
    <row r="2406" spans="1:9" x14ac:dyDescent="0.3">
      <c r="A2406" s="13">
        <v>376</v>
      </c>
      <c r="B2406" s="4">
        <v>5</v>
      </c>
      <c r="C2406" t="s">
        <v>532</v>
      </c>
      <c r="D2406" t="s">
        <v>530</v>
      </c>
      <c r="E2406">
        <v>30</v>
      </c>
      <c r="F2406">
        <v>44</v>
      </c>
      <c r="G2406" s="8">
        <f>Lektionen[[#This Row],[Bearbeitungsdauer_real]]/Lektionen[[#This Row],[Bearbeitungsdauer_geschätzt]]-1</f>
        <v>0.46666666666666656</v>
      </c>
      <c r="H2406" s="8" t="str" cm="1">
        <f t="array" ref="H2406">_xlfn.IFS(Lektionen[[#This Row],[Bearbeitungsdauer_abgewichen]]&gt;0.6,"viel länger",Lektionen[[#This Row],[Bearbeitungsdauer_abgewichen]]&gt;0.3,"länger",Lektionen[[#This Row],[Bearbeitungsdauer_abgewichen]]&lt;-0.3,"kürzer",TRUE,"keine Abweichung")</f>
        <v>länger</v>
      </c>
      <c r="I2406">
        <v>4</v>
      </c>
    </row>
    <row r="2407" spans="1:9" hidden="1" x14ac:dyDescent="0.3">
      <c r="A2407" s="13">
        <v>376</v>
      </c>
      <c r="B2407" s="4">
        <v>6</v>
      </c>
      <c r="C2407" t="s">
        <v>533</v>
      </c>
      <c r="D2407" t="s">
        <v>534</v>
      </c>
      <c r="E2407">
        <v>5</v>
      </c>
      <c r="F2407">
        <v>3</v>
      </c>
      <c r="G2407" s="8">
        <f>Lektionen[[#This Row],[Bearbeitungsdauer_real]]/Lektionen[[#This Row],[Bearbeitungsdauer_geschätzt]]-1</f>
        <v>-0.4</v>
      </c>
      <c r="H2407" s="8" t="str" cm="1">
        <f t="array" ref="H2407">_xlfn.IFS(Lektionen[[#This Row],[Bearbeitungsdauer_abgewichen]]&gt;0.6,"viel länger",Lektionen[[#This Row],[Bearbeitungsdauer_abgewichen]]&gt;0.3,"länger",Lektionen[[#This Row],[Bearbeitungsdauer_abgewichen]]&lt;-0.3,"kürzer",TRUE,"keine Abweichung")</f>
        <v>kürzer</v>
      </c>
      <c r="I2407">
        <v>2</v>
      </c>
    </row>
    <row r="2408" spans="1:9" hidden="1" x14ac:dyDescent="0.3">
      <c r="A2408" s="13">
        <v>376</v>
      </c>
      <c r="B2408" s="4">
        <v>7</v>
      </c>
      <c r="C2408" t="s">
        <v>535</v>
      </c>
      <c r="D2408" t="s">
        <v>536</v>
      </c>
      <c r="E2408">
        <v>10</v>
      </c>
      <c r="F2408">
        <v>8</v>
      </c>
      <c r="G2408" s="8">
        <f>Lektionen[[#This Row],[Bearbeitungsdauer_real]]/Lektionen[[#This Row],[Bearbeitungsdauer_geschätzt]]-1</f>
        <v>-0.19999999999999996</v>
      </c>
      <c r="H2408" s="8" t="str" cm="1">
        <f t="array" ref="H2408">_xlfn.IFS(Lektionen[[#This Row],[Bearbeitungsdauer_abgewichen]]&gt;0.6,"viel länger",Lektionen[[#This Row],[Bearbeitungsdauer_abgewichen]]&gt;0.3,"länger",Lektionen[[#This Row],[Bearbeitungsdauer_abgewichen]]&lt;-0.3,"kürzer",TRUE,"keine Abweichung")</f>
        <v>keine Abweichung</v>
      </c>
      <c r="I2408">
        <v>3</v>
      </c>
    </row>
    <row r="2409" spans="1:9" hidden="1" x14ac:dyDescent="0.3">
      <c r="A2409" s="13">
        <v>376</v>
      </c>
      <c r="B2409" s="4">
        <v>8</v>
      </c>
      <c r="C2409" t="s">
        <v>537</v>
      </c>
      <c r="D2409" t="s">
        <v>527</v>
      </c>
      <c r="E2409">
        <v>5</v>
      </c>
      <c r="F2409">
        <v>6</v>
      </c>
      <c r="G2409" s="8">
        <f>Lektionen[[#This Row],[Bearbeitungsdauer_real]]/Lektionen[[#This Row],[Bearbeitungsdauer_geschätzt]]-1</f>
        <v>0.19999999999999996</v>
      </c>
      <c r="H2409" s="8" t="str" cm="1">
        <f t="array" ref="H2409">_xlfn.IFS(Lektionen[[#This Row],[Bearbeitungsdauer_abgewichen]]&gt;0.6,"viel länger",Lektionen[[#This Row],[Bearbeitungsdauer_abgewichen]]&gt;0.3,"länger",Lektionen[[#This Row],[Bearbeitungsdauer_abgewichen]]&lt;-0.3,"kürzer",TRUE,"keine Abweichung")</f>
        <v>keine Abweichung</v>
      </c>
      <c r="I2409">
        <v>1</v>
      </c>
    </row>
    <row r="2410" spans="1:9" hidden="1" x14ac:dyDescent="0.3">
      <c r="A2410" s="13">
        <v>377</v>
      </c>
      <c r="B2410" s="4">
        <v>1</v>
      </c>
      <c r="C2410" t="s">
        <v>526</v>
      </c>
      <c r="D2410" t="s">
        <v>527</v>
      </c>
      <c r="E2410">
        <v>4</v>
      </c>
      <c r="F2410">
        <v>4</v>
      </c>
      <c r="G2410" s="8">
        <f>Lektionen[[#This Row],[Bearbeitungsdauer_real]]/Lektionen[[#This Row],[Bearbeitungsdauer_geschätzt]]-1</f>
        <v>0</v>
      </c>
      <c r="H2410" s="8" t="str" cm="1">
        <f t="array" ref="H2410">_xlfn.IFS(Lektionen[[#This Row],[Bearbeitungsdauer_abgewichen]]&gt;0.6,"viel länger",Lektionen[[#This Row],[Bearbeitungsdauer_abgewichen]]&gt;0.3,"länger",Lektionen[[#This Row],[Bearbeitungsdauer_abgewichen]]&lt;-0.3,"kürzer",TRUE,"keine Abweichung")</f>
        <v>keine Abweichung</v>
      </c>
      <c r="I2410">
        <v>1</v>
      </c>
    </row>
    <row r="2411" spans="1:9" hidden="1" x14ac:dyDescent="0.3">
      <c r="A2411" s="13">
        <v>377</v>
      </c>
      <c r="B2411" s="4">
        <v>2</v>
      </c>
      <c r="C2411" t="s">
        <v>528</v>
      </c>
      <c r="D2411" t="s">
        <v>529</v>
      </c>
      <c r="E2411">
        <v>15</v>
      </c>
      <c r="F2411">
        <v>17</v>
      </c>
      <c r="G2411" s="8">
        <f>Lektionen[[#This Row],[Bearbeitungsdauer_real]]/Lektionen[[#This Row],[Bearbeitungsdauer_geschätzt]]-1</f>
        <v>0.1333333333333333</v>
      </c>
      <c r="H2411" s="8" t="str" cm="1">
        <f t="array" ref="H2411">_xlfn.IFS(Lektionen[[#This Row],[Bearbeitungsdauer_abgewichen]]&gt;0.6,"viel länger",Lektionen[[#This Row],[Bearbeitungsdauer_abgewichen]]&gt;0.3,"länger",Lektionen[[#This Row],[Bearbeitungsdauer_abgewichen]]&lt;-0.3,"kürzer",TRUE,"keine Abweichung")</f>
        <v>keine Abweichung</v>
      </c>
      <c r="I2411">
        <v>1</v>
      </c>
    </row>
    <row r="2412" spans="1:9" hidden="1" x14ac:dyDescent="0.3">
      <c r="A2412" s="13">
        <v>377</v>
      </c>
      <c r="B2412" s="4">
        <v>3</v>
      </c>
      <c r="C2412" t="s">
        <v>552</v>
      </c>
      <c r="D2412" t="s">
        <v>530</v>
      </c>
      <c r="E2412">
        <v>30</v>
      </c>
      <c r="F2412">
        <v>29</v>
      </c>
      <c r="G2412" s="8">
        <f>Lektionen[[#This Row],[Bearbeitungsdauer_real]]/Lektionen[[#This Row],[Bearbeitungsdauer_geschätzt]]-1</f>
        <v>-3.3333333333333326E-2</v>
      </c>
      <c r="H2412" s="8" t="str" cm="1">
        <f t="array" ref="H2412">_xlfn.IFS(Lektionen[[#This Row],[Bearbeitungsdauer_abgewichen]]&gt;0.6,"viel länger",Lektionen[[#This Row],[Bearbeitungsdauer_abgewichen]]&gt;0.3,"länger",Lektionen[[#This Row],[Bearbeitungsdauer_abgewichen]]&lt;-0.3,"kürzer",TRUE,"keine Abweichung")</f>
        <v>keine Abweichung</v>
      </c>
      <c r="I2412">
        <v>2</v>
      </c>
    </row>
    <row r="2413" spans="1:9" hidden="1" x14ac:dyDescent="0.3">
      <c r="A2413" s="13">
        <v>377</v>
      </c>
      <c r="B2413" s="4">
        <v>4</v>
      </c>
      <c r="C2413" t="s">
        <v>531</v>
      </c>
      <c r="D2413" t="s">
        <v>530</v>
      </c>
      <c r="E2413">
        <v>30</v>
      </c>
      <c r="F2413">
        <v>22</v>
      </c>
      <c r="G2413" s="8">
        <f>Lektionen[[#This Row],[Bearbeitungsdauer_real]]/Lektionen[[#This Row],[Bearbeitungsdauer_geschätzt]]-1</f>
        <v>-0.26666666666666672</v>
      </c>
      <c r="H2413" s="8" t="str" cm="1">
        <f t="array" ref="H2413">_xlfn.IFS(Lektionen[[#This Row],[Bearbeitungsdauer_abgewichen]]&gt;0.6,"viel länger",Lektionen[[#This Row],[Bearbeitungsdauer_abgewichen]]&gt;0.3,"länger",Lektionen[[#This Row],[Bearbeitungsdauer_abgewichen]]&lt;-0.3,"kürzer",TRUE,"keine Abweichung")</f>
        <v>keine Abweichung</v>
      </c>
      <c r="I2413">
        <v>3</v>
      </c>
    </row>
    <row r="2414" spans="1:9" x14ac:dyDescent="0.3">
      <c r="A2414" s="13">
        <v>377</v>
      </c>
      <c r="B2414" s="4">
        <v>5</v>
      </c>
      <c r="C2414" t="s">
        <v>532</v>
      </c>
      <c r="D2414" t="s">
        <v>530</v>
      </c>
      <c r="E2414">
        <v>30</v>
      </c>
      <c r="F2414">
        <v>45</v>
      </c>
      <c r="G2414" s="8">
        <f>Lektionen[[#This Row],[Bearbeitungsdauer_real]]/Lektionen[[#This Row],[Bearbeitungsdauer_geschätzt]]-1</f>
        <v>0.5</v>
      </c>
      <c r="H2414" s="8" t="str" cm="1">
        <f t="array" ref="H2414">_xlfn.IFS(Lektionen[[#This Row],[Bearbeitungsdauer_abgewichen]]&gt;0.6,"viel länger",Lektionen[[#This Row],[Bearbeitungsdauer_abgewichen]]&gt;0.3,"länger",Lektionen[[#This Row],[Bearbeitungsdauer_abgewichen]]&lt;-0.3,"kürzer",TRUE,"keine Abweichung")</f>
        <v>länger</v>
      </c>
      <c r="I2414">
        <v>3</v>
      </c>
    </row>
    <row r="2415" spans="1:9" hidden="1" x14ac:dyDescent="0.3">
      <c r="A2415" s="13">
        <v>377</v>
      </c>
      <c r="B2415" s="4">
        <v>6</v>
      </c>
      <c r="C2415" t="s">
        <v>533</v>
      </c>
      <c r="D2415" t="s">
        <v>534</v>
      </c>
      <c r="E2415">
        <v>5</v>
      </c>
      <c r="F2415">
        <v>1</v>
      </c>
      <c r="G2415" s="8">
        <f>Lektionen[[#This Row],[Bearbeitungsdauer_real]]/Lektionen[[#This Row],[Bearbeitungsdauer_geschätzt]]-1</f>
        <v>-0.8</v>
      </c>
      <c r="H2415" s="8" t="str" cm="1">
        <f t="array" ref="H2415">_xlfn.IFS(Lektionen[[#This Row],[Bearbeitungsdauer_abgewichen]]&gt;0.6,"viel länger",Lektionen[[#This Row],[Bearbeitungsdauer_abgewichen]]&gt;0.3,"länger",Lektionen[[#This Row],[Bearbeitungsdauer_abgewichen]]&lt;-0.3,"kürzer",TRUE,"keine Abweichung")</f>
        <v>kürzer</v>
      </c>
      <c r="I2415">
        <v>2</v>
      </c>
    </row>
    <row r="2416" spans="1:9" hidden="1" x14ac:dyDescent="0.3">
      <c r="A2416" s="13">
        <v>377</v>
      </c>
      <c r="B2416" s="4">
        <v>7</v>
      </c>
      <c r="C2416" t="s">
        <v>535</v>
      </c>
      <c r="D2416" t="s">
        <v>536</v>
      </c>
      <c r="E2416">
        <v>10</v>
      </c>
      <c r="F2416">
        <v>9</v>
      </c>
      <c r="G2416" s="8">
        <f>Lektionen[[#This Row],[Bearbeitungsdauer_real]]/Lektionen[[#This Row],[Bearbeitungsdauer_geschätzt]]-1</f>
        <v>-9.9999999999999978E-2</v>
      </c>
      <c r="H2416" s="8" t="str" cm="1">
        <f t="array" ref="H2416">_xlfn.IFS(Lektionen[[#This Row],[Bearbeitungsdauer_abgewichen]]&gt;0.6,"viel länger",Lektionen[[#This Row],[Bearbeitungsdauer_abgewichen]]&gt;0.3,"länger",Lektionen[[#This Row],[Bearbeitungsdauer_abgewichen]]&lt;-0.3,"kürzer",TRUE,"keine Abweichung")</f>
        <v>keine Abweichung</v>
      </c>
      <c r="I2416">
        <v>3</v>
      </c>
    </row>
    <row r="2417" spans="1:9" hidden="1" x14ac:dyDescent="0.3">
      <c r="A2417" s="13">
        <v>377</v>
      </c>
      <c r="B2417" s="4">
        <v>8</v>
      </c>
      <c r="C2417" t="s">
        <v>537</v>
      </c>
      <c r="D2417" t="s">
        <v>527</v>
      </c>
      <c r="E2417">
        <v>5</v>
      </c>
      <c r="F2417">
        <v>5</v>
      </c>
      <c r="G2417" s="8">
        <f>Lektionen[[#This Row],[Bearbeitungsdauer_real]]/Lektionen[[#This Row],[Bearbeitungsdauer_geschätzt]]-1</f>
        <v>0</v>
      </c>
      <c r="H2417" s="8" t="str" cm="1">
        <f t="array" ref="H2417">_xlfn.IFS(Lektionen[[#This Row],[Bearbeitungsdauer_abgewichen]]&gt;0.6,"viel länger",Lektionen[[#This Row],[Bearbeitungsdauer_abgewichen]]&gt;0.3,"länger",Lektionen[[#This Row],[Bearbeitungsdauer_abgewichen]]&lt;-0.3,"kürzer",TRUE,"keine Abweichung")</f>
        <v>keine Abweichung</v>
      </c>
      <c r="I2417">
        <v>1</v>
      </c>
    </row>
    <row r="2418" spans="1:9" hidden="1" x14ac:dyDescent="0.3">
      <c r="A2418" s="13">
        <v>378</v>
      </c>
      <c r="B2418" s="4">
        <v>1</v>
      </c>
      <c r="C2418" t="s">
        <v>526</v>
      </c>
      <c r="D2418" t="s">
        <v>527</v>
      </c>
      <c r="E2418">
        <v>4</v>
      </c>
      <c r="F2418">
        <v>4</v>
      </c>
      <c r="G2418" s="8">
        <f>Lektionen[[#This Row],[Bearbeitungsdauer_real]]/Lektionen[[#This Row],[Bearbeitungsdauer_geschätzt]]-1</f>
        <v>0</v>
      </c>
      <c r="H2418" s="8" t="str" cm="1">
        <f t="array" ref="H2418">_xlfn.IFS(Lektionen[[#This Row],[Bearbeitungsdauer_abgewichen]]&gt;0.6,"viel länger",Lektionen[[#This Row],[Bearbeitungsdauer_abgewichen]]&gt;0.3,"länger",Lektionen[[#This Row],[Bearbeitungsdauer_abgewichen]]&lt;-0.3,"kürzer",TRUE,"keine Abweichung")</f>
        <v>keine Abweichung</v>
      </c>
      <c r="I2418">
        <v>1</v>
      </c>
    </row>
    <row r="2419" spans="1:9" hidden="1" x14ac:dyDescent="0.3">
      <c r="A2419" s="13">
        <v>378</v>
      </c>
      <c r="B2419" s="4">
        <v>2</v>
      </c>
      <c r="C2419" t="s">
        <v>528</v>
      </c>
      <c r="D2419" t="s">
        <v>529</v>
      </c>
      <c r="E2419">
        <v>15</v>
      </c>
      <c r="F2419">
        <v>17</v>
      </c>
      <c r="G2419" s="8">
        <f>Lektionen[[#This Row],[Bearbeitungsdauer_real]]/Lektionen[[#This Row],[Bearbeitungsdauer_geschätzt]]-1</f>
        <v>0.1333333333333333</v>
      </c>
      <c r="H2419" s="8" t="str" cm="1">
        <f t="array" ref="H2419">_xlfn.IFS(Lektionen[[#This Row],[Bearbeitungsdauer_abgewichen]]&gt;0.6,"viel länger",Lektionen[[#This Row],[Bearbeitungsdauer_abgewichen]]&gt;0.3,"länger",Lektionen[[#This Row],[Bearbeitungsdauer_abgewichen]]&lt;-0.3,"kürzer",TRUE,"keine Abweichung")</f>
        <v>keine Abweichung</v>
      </c>
      <c r="I2419">
        <v>2</v>
      </c>
    </row>
    <row r="2420" spans="1:9" hidden="1" x14ac:dyDescent="0.3">
      <c r="A2420" s="13">
        <v>378</v>
      </c>
      <c r="B2420" s="4">
        <v>3</v>
      </c>
      <c r="C2420" t="s">
        <v>552</v>
      </c>
      <c r="D2420" t="s">
        <v>530</v>
      </c>
      <c r="E2420">
        <v>30</v>
      </c>
      <c r="F2420">
        <v>29</v>
      </c>
      <c r="G2420" s="8">
        <f>Lektionen[[#This Row],[Bearbeitungsdauer_real]]/Lektionen[[#This Row],[Bearbeitungsdauer_geschätzt]]-1</f>
        <v>-3.3333333333333326E-2</v>
      </c>
      <c r="H2420" s="8" t="str" cm="1">
        <f t="array" ref="H2420">_xlfn.IFS(Lektionen[[#This Row],[Bearbeitungsdauer_abgewichen]]&gt;0.6,"viel länger",Lektionen[[#This Row],[Bearbeitungsdauer_abgewichen]]&gt;0.3,"länger",Lektionen[[#This Row],[Bearbeitungsdauer_abgewichen]]&lt;-0.3,"kürzer",TRUE,"keine Abweichung")</f>
        <v>keine Abweichung</v>
      </c>
      <c r="I2420">
        <v>2</v>
      </c>
    </row>
    <row r="2421" spans="1:9" hidden="1" x14ac:dyDescent="0.3">
      <c r="A2421" s="13">
        <v>378</v>
      </c>
      <c r="B2421" s="4">
        <v>4</v>
      </c>
      <c r="C2421" t="s">
        <v>531</v>
      </c>
      <c r="D2421" t="s">
        <v>530</v>
      </c>
      <c r="E2421">
        <v>30</v>
      </c>
      <c r="F2421">
        <v>26</v>
      </c>
      <c r="G2421" s="8">
        <f>Lektionen[[#This Row],[Bearbeitungsdauer_real]]/Lektionen[[#This Row],[Bearbeitungsdauer_geschätzt]]-1</f>
        <v>-0.1333333333333333</v>
      </c>
      <c r="H2421" s="8" t="str" cm="1">
        <f t="array" ref="H2421">_xlfn.IFS(Lektionen[[#This Row],[Bearbeitungsdauer_abgewichen]]&gt;0.6,"viel länger",Lektionen[[#This Row],[Bearbeitungsdauer_abgewichen]]&gt;0.3,"länger",Lektionen[[#This Row],[Bearbeitungsdauer_abgewichen]]&lt;-0.3,"kürzer",TRUE,"keine Abweichung")</f>
        <v>keine Abweichung</v>
      </c>
      <c r="I2421">
        <v>3</v>
      </c>
    </row>
    <row r="2422" spans="1:9" x14ac:dyDescent="0.3">
      <c r="A2422" s="13">
        <v>378</v>
      </c>
      <c r="B2422" s="4">
        <v>5</v>
      </c>
      <c r="C2422" t="s">
        <v>532</v>
      </c>
      <c r="D2422" t="s">
        <v>530</v>
      </c>
      <c r="E2422">
        <v>30</v>
      </c>
      <c r="F2422">
        <v>40</v>
      </c>
      <c r="G2422" s="8">
        <f>Lektionen[[#This Row],[Bearbeitungsdauer_real]]/Lektionen[[#This Row],[Bearbeitungsdauer_geschätzt]]-1</f>
        <v>0.33333333333333326</v>
      </c>
      <c r="H2422" s="8" t="str" cm="1">
        <f t="array" ref="H2422">_xlfn.IFS(Lektionen[[#This Row],[Bearbeitungsdauer_abgewichen]]&gt;0.6,"viel länger",Lektionen[[#This Row],[Bearbeitungsdauer_abgewichen]]&gt;0.3,"länger",Lektionen[[#This Row],[Bearbeitungsdauer_abgewichen]]&lt;-0.3,"kürzer",TRUE,"keine Abweichung")</f>
        <v>länger</v>
      </c>
      <c r="I2422">
        <v>3</v>
      </c>
    </row>
    <row r="2423" spans="1:9" hidden="1" x14ac:dyDescent="0.3">
      <c r="A2423" s="13">
        <v>378</v>
      </c>
      <c r="B2423" s="4">
        <v>6</v>
      </c>
      <c r="C2423" t="s">
        <v>533</v>
      </c>
      <c r="D2423" t="s">
        <v>534</v>
      </c>
      <c r="E2423">
        <v>5</v>
      </c>
      <c r="F2423">
        <v>1</v>
      </c>
      <c r="G2423" s="8">
        <f>Lektionen[[#This Row],[Bearbeitungsdauer_real]]/Lektionen[[#This Row],[Bearbeitungsdauer_geschätzt]]-1</f>
        <v>-0.8</v>
      </c>
      <c r="H2423" s="8" t="str" cm="1">
        <f t="array" ref="H2423">_xlfn.IFS(Lektionen[[#This Row],[Bearbeitungsdauer_abgewichen]]&gt;0.6,"viel länger",Lektionen[[#This Row],[Bearbeitungsdauer_abgewichen]]&gt;0.3,"länger",Lektionen[[#This Row],[Bearbeitungsdauer_abgewichen]]&lt;-0.3,"kürzer",TRUE,"keine Abweichung")</f>
        <v>kürzer</v>
      </c>
      <c r="I2423">
        <v>2</v>
      </c>
    </row>
    <row r="2424" spans="1:9" hidden="1" x14ac:dyDescent="0.3">
      <c r="A2424" s="13">
        <v>378</v>
      </c>
      <c r="B2424" s="4">
        <v>7</v>
      </c>
      <c r="C2424" t="s">
        <v>535</v>
      </c>
      <c r="D2424" t="s">
        <v>536</v>
      </c>
      <c r="E2424">
        <v>10</v>
      </c>
      <c r="F2424">
        <v>10</v>
      </c>
      <c r="G2424" s="8">
        <f>Lektionen[[#This Row],[Bearbeitungsdauer_real]]/Lektionen[[#This Row],[Bearbeitungsdauer_geschätzt]]-1</f>
        <v>0</v>
      </c>
      <c r="H2424" s="8" t="str" cm="1">
        <f t="array" ref="H2424">_xlfn.IFS(Lektionen[[#This Row],[Bearbeitungsdauer_abgewichen]]&gt;0.6,"viel länger",Lektionen[[#This Row],[Bearbeitungsdauer_abgewichen]]&gt;0.3,"länger",Lektionen[[#This Row],[Bearbeitungsdauer_abgewichen]]&lt;-0.3,"kürzer",TRUE,"keine Abweichung")</f>
        <v>keine Abweichung</v>
      </c>
      <c r="I2424">
        <v>3</v>
      </c>
    </row>
    <row r="2425" spans="1:9" hidden="1" x14ac:dyDescent="0.3">
      <c r="A2425" s="13">
        <v>378</v>
      </c>
      <c r="B2425" s="4">
        <v>8</v>
      </c>
      <c r="C2425" t="s">
        <v>537</v>
      </c>
      <c r="D2425" t="s">
        <v>527</v>
      </c>
      <c r="E2425">
        <v>5</v>
      </c>
      <c r="F2425">
        <v>5</v>
      </c>
      <c r="G2425" s="8">
        <f>Lektionen[[#This Row],[Bearbeitungsdauer_real]]/Lektionen[[#This Row],[Bearbeitungsdauer_geschätzt]]-1</f>
        <v>0</v>
      </c>
      <c r="H2425" s="8" t="str" cm="1">
        <f t="array" ref="H2425">_xlfn.IFS(Lektionen[[#This Row],[Bearbeitungsdauer_abgewichen]]&gt;0.6,"viel länger",Lektionen[[#This Row],[Bearbeitungsdauer_abgewichen]]&gt;0.3,"länger",Lektionen[[#This Row],[Bearbeitungsdauer_abgewichen]]&lt;-0.3,"kürzer",TRUE,"keine Abweichung")</f>
        <v>keine Abweichung</v>
      </c>
      <c r="I2425">
        <v>1</v>
      </c>
    </row>
    <row r="2426" spans="1:9" hidden="1" x14ac:dyDescent="0.3">
      <c r="A2426" s="13">
        <v>379</v>
      </c>
      <c r="B2426" s="4">
        <v>1</v>
      </c>
      <c r="C2426" t="s">
        <v>526</v>
      </c>
      <c r="D2426" t="s">
        <v>527</v>
      </c>
      <c r="E2426">
        <v>4</v>
      </c>
      <c r="F2426">
        <v>4</v>
      </c>
      <c r="G2426" s="8">
        <f>Lektionen[[#This Row],[Bearbeitungsdauer_real]]/Lektionen[[#This Row],[Bearbeitungsdauer_geschätzt]]-1</f>
        <v>0</v>
      </c>
      <c r="H2426" s="8" t="str" cm="1">
        <f t="array" ref="H2426">_xlfn.IFS(Lektionen[[#This Row],[Bearbeitungsdauer_abgewichen]]&gt;0.6,"viel länger",Lektionen[[#This Row],[Bearbeitungsdauer_abgewichen]]&gt;0.3,"länger",Lektionen[[#This Row],[Bearbeitungsdauer_abgewichen]]&lt;-0.3,"kürzer",TRUE,"keine Abweichung")</f>
        <v>keine Abweichung</v>
      </c>
      <c r="I2426">
        <v>1</v>
      </c>
    </row>
    <row r="2427" spans="1:9" hidden="1" x14ac:dyDescent="0.3">
      <c r="A2427" s="13">
        <v>379</v>
      </c>
      <c r="B2427" s="4">
        <v>2</v>
      </c>
      <c r="C2427" t="s">
        <v>528</v>
      </c>
      <c r="D2427" t="s">
        <v>529</v>
      </c>
      <c r="E2427">
        <v>15</v>
      </c>
      <c r="F2427">
        <v>22</v>
      </c>
      <c r="G2427" s="8">
        <f>Lektionen[[#This Row],[Bearbeitungsdauer_real]]/Lektionen[[#This Row],[Bearbeitungsdauer_geschätzt]]-1</f>
        <v>0.46666666666666656</v>
      </c>
      <c r="H2427" s="8" t="str" cm="1">
        <f t="array" ref="H2427">_xlfn.IFS(Lektionen[[#This Row],[Bearbeitungsdauer_abgewichen]]&gt;0.6,"viel länger",Lektionen[[#This Row],[Bearbeitungsdauer_abgewichen]]&gt;0.3,"länger",Lektionen[[#This Row],[Bearbeitungsdauer_abgewichen]]&lt;-0.3,"kürzer",TRUE,"keine Abweichung")</f>
        <v>länger</v>
      </c>
      <c r="I2427">
        <v>1</v>
      </c>
    </row>
    <row r="2428" spans="1:9" hidden="1" x14ac:dyDescent="0.3">
      <c r="A2428" s="13">
        <v>379</v>
      </c>
      <c r="B2428" s="4">
        <v>3</v>
      </c>
      <c r="C2428" t="s">
        <v>552</v>
      </c>
      <c r="D2428" t="s">
        <v>530</v>
      </c>
      <c r="E2428">
        <v>30</v>
      </c>
      <c r="F2428">
        <v>27</v>
      </c>
      <c r="G2428" s="8">
        <f>Lektionen[[#This Row],[Bearbeitungsdauer_real]]/Lektionen[[#This Row],[Bearbeitungsdauer_geschätzt]]-1</f>
        <v>-9.9999999999999978E-2</v>
      </c>
      <c r="H2428" s="8" t="str" cm="1">
        <f t="array" ref="H2428">_xlfn.IFS(Lektionen[[#This Row],[Bearbeitungsdauer_abgewichen]]&gt;0.6,"viel länger",Lektionen[[#This Row],[Bearbeitungsdauer_abgewichen]]&gt;0.3,"länger",Lektionen[[#This Row],[Bearbeitungsdauer_abgewichen]]&lt;-0.3,"kürzer",TRUE,"keine Abweichung")</f>
        <v>keine Abweichung</v>
      </c>
      <c r="I2428">
        <v>2</v>
      </c>
    </row>
    <row r="2429" spans="1:9" hidden="1" x14ac:dyDescent="0.3">
      <c r="A2429" s="13">
        <v>379</v>
      </c>
      <c r="B2429" s="4">
        <v>4</v>
      </c>
      <c r="C2429" t="s">
        <v>531</v>
      </c>
      <c r="D2429" t="s">
        <v>530</v>
      </c>
      <c r="E2429">
        <v>30</v>
      </c>
      <c r="F2429">
        <v>25</v>
      </c>
      <c r="G2429" s="8">
        <f>Lektionen[[#This Row],[Bearbeitungsdauer_real]]/Lektionen[[#This Row],[Bearbeitungsdauer_geschätzt]]-1</f>
        <v>-0.16666666666666663</v>
      </c>
      <c r="H2429" s="8" t="str" cm="1">
        <f t="array" ref="H2429">_xlfn.IFS(Lektionen[[#This Row],[Bearbeitungsdauer_abgewichen]]&gt;0.6,"viel länger",Lektionen[[#This Row],[Bearbeitungsdauer_abgewichen]]&gt;0.3,"länger",Lektionen[[#This Row],[Bearbeitungsdauer_abgewichen]]&lt;-0.3,"kürzer",TRUE,"keine Abweichung")</f>
        <v>keine Abweichung</v>
      </c>
      <c r="I2429">
        <v>3</v>
      </c>
    </row>
    <row r="2430" spans="1:9" x14ac:dyDescent="0.3">
      <c r="A2430" s="13">
        <v>379</v>
      </c>
      <c r="B2430" s="4">
        <v>5</v>
      </c>
      <c r="C2430" t="s">
        <v>532</v>
      </c>
      <c r="D2430" t="s">
        <v>530</v>
      </c>
      <c r="E2430">
        <v>30</v>
      </c>
      <c r="F2430">
        <v>39</v>
      </c>
      <c r="G2430" s="8">
        <f>Lektionen[[#This Row],[Bearbeitungsdauer_real]]/Lektionen[[#This Row],[Bearbeitungsdauer_geschätzt]]-1</f>
        <v>0.30000000000000004</v>
      </c>
      <c r="H2430" s="8" t="str" cm="1">
        <f t="array" ref="H2430">_xlfn.IFS(Lektionen[[#This Row],[Bearbeitungsdauer_abgewichen]]&gt;0.6,"viel länger",Lektionen[[#This Row],[Bearbeitungsdauer_abgewichen]]&gt;0.3,"länger",Lektionen[[#This Row],[Bearbeitungsdauer_abgewichen]]&lt;-0.3,"kürzer",TRUE,"keine Abweichung")</f>
        <v>keine Abweichung</v>
      </c>
      <c r="I2430">
        <v>4</v>
      </c>
    </row>
    <row r="2431" spans="1:9" hidden="1" x14ac:dyDescent="0.3">
      <c r="A2431" s="13">
        <v>379</v>
      </c>
      <c r="B2431" s="4">
        <v>6</v>
      </c>
      <c r="C2431" t="s">
        <v>533</v>
      </c>
      <c r="D2431" t="s">
        <v>534</v>
      </c>
      <c r="E2431">
        <v>5</v>
      </c>
      <c r="F2431">
        <v>2</v>
      </c>
      <c r="G2431" s="8">
        <f>Lektionen[[#This Row],[Bearbeitungsdauer_real]]/Lektionen[[#This Row],[Bearbeitungsdauer_geschätzt]]-1</f>
        <v>-0.6</v>
      </c>
      <c r="H2431" s="8" t="str" cm="1">
        <f t="array" ref="H2431">_xlfn.IFS(Lektionen[[#This Row],[Bearbeitungsdauer_abgewichen]]&gt;0.6,"viel länger",Lektionen[[#This Row],[Bearbeitungsdauer_abgewichen]]&gt;0.3,"länger",Lektionen[[#This Row],[Bearbeitungsdauer_abgewichen]]&lt;-0.3,"kürzer",TRUE,"keine Abweichung")</f>
        <v>kürzer</v>
      </c>
      <c r="I2431">
        <v>2</v>
      </c>
    </row>
    <row r="2432" spans="1:9" hidden="1" x14ac:dyDescent="0.3">
      <c r="A2432" s="13">
        <v>379</v>
      </c>
      <c r="B2432" s="4">
        <v>7</v>
      </c>
      <c r="C2432" t="s">
        <v>535</v>
      </c>
      <c r="D2432" t="s">
        <v>536</v>
      </c>
      <c r="E2432">
        <v>10</v>
      </c>
      <c r="F2432">
        <v>8</v>
      </c>
      <c r="G2432" s="8">
        <f>Lektionen[[#This Row],[Bearbeitungsdauer_real]]/Lektionen[[#This Row],[Bearbeitungsdauer_geschätzt]]-1</f>
        <v>-0.19999999999999996</v>
      </c>
      <c r="H2432" s="8" t="str" cm="1">
        <f t="array" ref="H2432">_xlfn.IFS(Lektionen[[#This Row],[Bearbeitungsdauer_abgewichen]]&gt;0.6,"viel länger",Lektionen[[#This Row],[Bearbeitungsdauer_abgewichen]]&gt;0.3,"länger",Lektionen[[#This Row],[Bearbeitungsdauer_abgewichen]]&lt;-0.3,"kürzer",TRUE,"keine Abweichung")</f>
        <v>keine Abweichung</v>
      </c>
      <c r="I2432">
        <v>3</v>
      </c>
    </row>
    <row r="2433" spans="1:9" hidden="1" x14ac:dyDescent="0.3">
      <c r="A2433" s="13">
        <v>379</v>
      </c>
      <c r="B2433" s="4">
        <v>8</v>
      </c>
      <c r="C2433" t="s">
        <v>537</v>
      </c>
      <c r="D2433" t="s">
        <v>527</v>
      </c>
      <c r="E2433">
        <v>5</v>
      </c>
      <c r="F2433">
        <v>5</v>
      </c>
      <c r="G2433" s="8">
        <f>Lektionen[[#This Row],[Bearbeitungsdauer_real]]/Lektionen[[#This Row],[Bearbeitungsdauer_geschätzt]]-1</f>
        <v>0</v>
      </c>
      <c r="H2433" s="8" t="str" cm="1">
        <f t="array" ref="H2433">_xlfn.IFS(Lektionen[[#This Row],[Bearbeitungsdauer_abgewichen]]&gt;0.6,"viel länger",Lektionen[[#This Row],[Bearbeitungsdauer_abgewichen]]&gt;0.3,"länger",Lektionen[[#This Row],[Bearbeitungsdauer_abgewichen]]&lt;-0.3,"kürzer",TRUE,"keine Abweichung")</f>
        <v>keine Abweichung</v>
      </c>
      <c r="I2433">
        <v>1</v>
      </c>
    </row>
    <row r="2434" spans="1:9" hidden="1" x14ac:dyDescent="0.3">
      <c r="A2434" s="13">
        <v>380</v>
      </c>
      <c r="B2434" s="4">
        <v>1</v>
      </c>
      <c r="C2434" t="s">
        <v>526</v>
      </c>
      <c r="D2434" t="s">
        <v>527</v>
      </c>
      <c r="E2434">
        <v>4</v>
      </c>
      <c r="F2434">
        <v>4</v>
      </c>
      <c r="G2434" s="8">
        <f>Lektionen[[#This Row],[Bearbeitungsdauer_real]]/Lektionen[[#This Row],[Bearbeitungsdauer_geschätzt]]-1</f>
        <v>0</v>
      </c>
      <c r="H2434" s="8" t="str" cm="1">
        <f t="array" ref="H2434">_xlfn.IFS(Lektionen[[#This Row],[Bearbeitungsdauer_abgewichen]]&gt;0.6,"viel länger",Lektionen[[#This Row],[Bearbeitungsdauer_abgewichen]]&gt;0.3,"länger",Lektionen[[#This Row],[Bearbeitungsdauer_abgewichen]]&lt;-0.3,"kürzer",TRUE,"keine Abweichung")</f>
        <v>keine Abweichung</v>
      </c>
      <c r="I2434">
        <v>1</v>
      </c>
    </row>
    <row r="2435" spans="1:9" hidden="1" x14ac:dyDescent="0.3">
      <c r="A2435" s="13">
        <v>380</v>
      </c>
      <c r="B2435" s="4">
        <v>2</v>
      </c>
      <c r="C2435" t="s">
        <v>528</v>
      </c>
      <c r="D2435" t="s">
        <v>529</v>
      </c>
      <c r="E2435">
        <v>15</v>
      </c>
      <c r="F2435">
        <v>16</v>
      </c>
      <c r="G2435" s="8">
        <f>Lektionen[[#This Row],[Bearbeitungsdauer_real]]/Lektionen[[#This Row],[Bearbeitungsdauer_geschätzt]]-1</f>
        <v>6.6666666666666652E-2</v>
      </c>
      <c r="H2435" s="8" t="str" cm="1">
        <f t="array" ref="H2435">_xlfn.IFS(Lektionen[[#This Row],[Bearbeitungsdauer_abgewichen]]&gt;0.6,"viel länger",Lektionen[[#This Row],[Bearbeitungsdauer_abgewichen]]&gt;0.3,"länger",Lektionen[[#This Row],[Bearbeitungsdauer_abgewichen]]&lt;-0.3,"kürzer",TRUE,"keine Abweichung")</f>
        <v>keine Abweichung</v>
      </c>
      <c r="I2435">
        <v>1</v>
      </c>
    </row>
    <row r="2436" spans="1:9" hidden="1" x14ac:dyDescent="0.3">
      <c r="A2436" s="13">
        <v>380</v>
      </c>
      <c r="B2436" s="4">
        <v>3</v>
      </c>
      <c r="C2436" t="s">
        <v>552</v>
      </c>
      <c r="D2436" t="s">
        <v>530</v>
      </c>
      <c r="E2436">
        <v>30</v>
      </c>
      <c r="F2436">
        <v>29</v>
      </c>
      <c r="G2436" s="8">
        <f>Lektionen[[#This Row],[Bearbeitungsdauer_real]]/Lektionen[[#This Row],[Bearbeitungsdauer_geschätzt]]-1</f>
        <v>-3.3333333333333326E-2</v>
      </c>
      <c r="H2436" s="8" t="str" cm="1">
        <f t="array" ref="H2436">_xlfn.IFS(Lektionen[[#This Row],[Bearbeitungsdauer_abgewichen]]&gt;0.6,"viel länger",Lektionen[[#This Row],[Bearbeitungsdauer_abgewichen]]&gt;0.3,"länger",Lektionen[[#This Row],[Bearbeitungsdauer_abgewichen]]&lt;-0.3,"kürzer",TRUE,"keine Abweichung")</f>
        <v>keine Abweichung</v>
      </c>
      <c r="I2436">
        <v>3</v>
      </c>
    </row>
    <row r="2437" spans="1:9" hidden="1" x14ac:dyDescent="0.3">
      <c r="A2437" s="13">
        <v>380</v>
      </c>
      <c r="B2437" s="4">
        <v>4</v>
      </c>
      <c r="C2437" t="s">
        <v>531</v>
      </c>
      <c r="D2437" t="s">
        <v>530</v>
      </c>
      <c r="E2437">
        <v>30</v>
      </c>
      <c r="F2437">
        <v>22</v>
      </c>
      <c r="G2437" s="8">
        <f>Lektionen[[#This Row],[Bearbeitungsdauer_real]]/Lektionen[[#This Row],[Bearbeitungsdauer_geschätzt]]-1</f>
        <v>-0.26666666666666672</v>
      </c>
      <c r="H2437" s="8" t="str" cm="1">
        <f t="array" ref="H2437">_xlfn.IFS(Lektionen[[#This Row],[Bearbeitungsdauer_abgewichen]]&gt;0.6,"viel länger",Lektionen[[#This Row],[Bearbeitungsdauer_abgewichen]]&gt;0.3,"länger",Lektionen[[#This Row],[Bearbeitungsdauer_abgewichen]]&lt;-0.3,"kürzer",TRUE,"keine Abweichung")</f>
        <v>keine Abweichung</v>
      </c>
      <c r="I2437">
        <v>3</v>
      </c>
    </row>
    <row r="2438" spans="1:9" x14ac:dyDescent="0.3">
      <c r="A2438" s="13">
        <v>380</v>
      </c>
      <c r="B2438" s="4">
        <v>5</v>
      </c>
      <c r="C2438" t="s">
        <v>532</v>
      </c>
      <c r="D2438" t="s">
        <v>530</v>
      </c>
      <c r="E2438">
        <v>30</v>
      </c>
      <c r="F2438">
        <v>55</v>
      </c>
      <c r="G2438" s="8">
        <f>Lektionen[[#This Row],[Bearbeitungsdauer_real]]/Lektionen[[#This Row],[Bearbeitungsdauer_geschätzt]]-1</f>
        <v>0.83333333333333326</v>
      </c>
      <c r="H2438" s="8" t="str" cm="1">
        <f t="array" ref="H2438">_xlfn.IFS(Lektionen[[#This Row],[Bearbeitungsdauer_abgewichen]]&gt;0.6,"viel länger",Lektionen[[#This Row],[Bearbeitungsdauer_abgewichen]]&gt;0.3,"länger",Lektionen[[#This Row],[Bearbeitungsdauer_abgewichen]]&lt;-0.3,"kürzer",TRUE,"keine Abweichung")</f>
        <v>viel länger</v>
      </c>
      <c r="I2438">
        <v>4</v>
      </c>
    </row>
    <row r="2439" spans="1:9" hidden="1" x14ac:dyDescent="0.3">
      <c r="A2439" s="13">
        <v>380</v>
      </c>
      <c r="B2439" s="4">
        <v>6</v>
      </c>
      <c r="C2439" t="s">
        <v>533</v>
      </c>
      <c r="D2439" t="s">
        <v>534</v>
      </c>
      <c r="E2439">
        <v>5</v>
      </c>
      <c r="F2439">
        <v>1</v>
      </c>
      <c r="G2439" s="8">
        <f>Lektionen[[#This Row],[Bearbeitungsdauer_real]]/Lektionen[[#This Row],[Bearbeitungsdauer_geschätzt]]-1</f>
        <v>-0.8</v>
      </c>
      <c r="H2439" s="8" t="str" cm="1">
        <f t="array" ref="H2439">_xlfn.IFS(Lektionen[[#This Row],[Bearbeitungsdauer_abgewichen]]&gt;0.6,"viel länger",Lektionen[[#This Row],[Bearbeitungsdauer_abgewichen]]&gt;0.3,"länger",Lektionen[[#This Row],[Bearbeitungsdauer_abgewichen]]&lt;-0.3,"kürzer",TRUE,"keine Abweichung")</f>
        <v>kürzer</v>
      </c>
      <c r="I2439">
        <v>3</v>
      </c>
    </row>
    <row r="2440" spans="1:9" hidden="1" x14ac:dyDescent="0.3">
      <c r="A2440" s="13">
        <v>380</v>
      </c>
      <c r="B2440" s="4">
        <v>7</v>
      </c>
      <c r="C2440" t="s">
        <v>535</v>
      </c>
      <c r="D2440" t="s">
        <v>536</v>
      </c>
      <c r="E2440">
        <v>10</v>
      </c>
      <c r="F2440">
        <v>11</v>
      </c>
      <c r="G2440" s="8">
        <f>Lektionen[[#This Row],[Bearbeitungsdauer_real]]/Lektionen[[#This Row],[Bearbeitungsdauer_geschätzt]]-1</f>
        <v>0.10000000000000009</v>
      </c>
      <c r="H2440" s="8" t="str" cm="1">
        <f t="array" ref="H2440">_xlfn.IFS(Lektionen[[#This Row],[Bearbeitungsdauer_abgewichen]]&gt;0.6,"viel länger",Lektionen[[#This Row],[Bearbeitungsdauer_abgewichen]]&gt;0.3,"länger",Lektionen[[#This Row],[Bearbeitungsdauer_abgewichen]]&lt;-0.3,"kürzer",TRUE,"keine Abweichung")</f>
        <v>keine Abweichung</v>
      </c>
      <c r="I2440">
        <v>3</v>
      </c>
    </row>
    <row r="2441" spans="1:9" hidden="1" x14ac:dyDescent="0.3">
      <c r="A2441" s="13">
        <v>380</v>
      </c>
      <c r="B2441" s="4">
        <v>8</v>
      </c>
      <c r="C2441" t="s">
        <v>537</v>
      </c>
      <c r="D2441" t="s">
        <v>527</v>
      </c>
      <c r="E2441">
        <v>5</v>
      </c>
      <c r="F2441">
        <v>5</v>
      </c>
      <c r="G2441" s="8">
        <f>Lektionen[[#This Row],[Bearbeitungsdauer_real]]/Lektionen[[#This Row],[Bearbeitungsdauer_geschätzt]]-1</f>
        <v>0</v>
      </c>
      <c r="H2441" s="8" t="str" cm="1">
        <f t="array" ref="H2441">_xlfn.IFS(Lektionen[[#This Row],[Bearbeitungsdauer_abgewichen]]&gt;0.6,"viel länger",Lektionen[[#This Row],[Bearbeitungsdauer_abgewichen]]&gt;0.3,"länger",Lektionen[[#This Row],[Bearbeitungsdauer_abgewichen]]&lt;-0.3,"kürzer",TRUE,"keine Abweichung")</f>
        <v>keine Abweichung</v>
      </c>
      <c r="I2441">
        <v>1</v>
      </c>
    </row>
    <row r="2442" spans="1:9" hidden="1" x14ac:dyDescent="0.3">
      <c r="A2442" s="13">
        <v>381</v>
      </c>
      <c r="B2442" s="4">
        <v>1</v>
      </c>
      <c r="C2442" t="s">
        <v>526</v>
      </c>
      <c r="D2442" t="s">
        <v>527</v>
      </c>
      <c r="E2442">
        <v>4</v>
      </c>
      <c r="F2442">
        <v>4</v>
      </c>
      <c r="G2442" s="8">
        <f>Lektionen[[#This Row],[Bearbeitungsdauer_real]]/Lektionen[[#This Row],[Bearbeitungsdauer_geschätzt]]-1</f>
        <v>0</v>
      </c>
      <c r="H2442" s="8" t="str" cm="1">
        <f t="array" ref="H2442">_xlfn.IFS(Lektionen[[#This Row],[Bearbeitungsdauer_abgewichen]]&gt;0.6,"viel länger",Lektionen[[#This Row],[Bearbeitungsdauer_abgewichen]]&gt;0.3,"länger",Lektionen[[#This Row],[Bearbeitungsdauer_abgewichen]]&lt;-0.3,"kürzer",TRUE,"keine Abweichung")</f>
        <v>keine Abweichung</v>
      </c>
      <c r="I2442">
        <v>1</v>
      </c>
    </row>
    <row r="2443" spans="1:9" hidden="1" x14ac:dyDescent="0.3">
      <c r="A2443" s="13">
        <v>381</v>
      </c>
      <c r="B2443" s="4">
        <v>2</v>
      </c>
      <c r="C2443" t="s">
        <v>528</v>
      </c>
      <c r="D2443" t="s">
        <v>529</v>
      </c>
      <c r="E2443">
        <v>15</v>
      </c>
      <c r="F2443">
        <v>17</v>
      </c>
      <c r="G2443" s="8">
        <f>Lektionen[[#This Row],[Bearbeitungsdauer_real]]/Lektionen[[#This Row],[Bearbeitungsdauer_geschätzt]]-1</f>
        <v>0.1333333333333333</v>
      </c>
      <c r="H2443" s="8" t="str" cm="1">
        <f t="array" ref="H2443">_xlfn.IFS(Lektionen[[#This Row],[Bearbeitungsdauer_abgewichen]]&gt;0.6,"viel länger",Lektionen[[#This Row],[Bearbeitungsdauer_abgewichen]]&gt;0.3,"länger",Lektionen[[#This Row],[Bearbeitungsdauer_abgewichen]]&lt;-0.3,"kürzer",TRUE,"keine Abweichung")</f>
        <v>keine Abweichung</v>
      </c>
      <c r="I2443">
        <v>2</v>
      </c>
    </row>
    <row r="2444" spans="1:9" hidden="1" x14ac:dyDescent="0.3">
      <c r="A2444" s="13">
        <v>381</v>
      </c>
      <c r="B2444" s="4">
        <v>3</v>
      </c>
      <c r="C2444" t="s">
        <v>552</v>
      </c>
      <c r="D2444" t="s">
        <v>530</v>
      </c>
      <c r="E2444">
        <v>30</v>
      </c>
      <c r="F2444">
        <v>28</v>
      </c>
      <c r="G2444" s="8">
        <f>Lektionen[[#This Row],[Bearbeitungsdauer_real]]/Lektionen[[#This Row],[Bearbeitungsdauer_geschätzt]]-1</f>
        <v>-6.6666666666666652E-2</v>
      </c>
      <c r="H2444" s="8" t="str" cm="1">
        <f t="array" ref="H2444">_xlfn.IFS(Lektionen[[#This Row],[Bearbeitungsdauer_abgewichen]]&gt;0.6,"viel länger",Lektionen[[#This Row],[Bearbeitungsdauer_abgewichen]]&gt;0.3,"länger",Lektionen[[#This Row],[Bearbeitungsdauer_abgewichen]]&lt;-0.3,"kürzer",TRUE,"keine Abweichung")</f>
        <v>keine Abweichung</v>
      </c>
      <c r="I2444">
        <v>3</v>
      </c>
    </row>
    <row r="2445" spans="1:9" hidden="1" x14ac:dyDescent="0.3">
      <c r="A2445" s="13">
        <v>381</v>
      </c>
      <c r="B2445" s="4">
        <v>4</v>
      </c>
      <c r="C2445" t="s">
        <v>531</v>
      </c>
      <c r="D2445" t="s">
        <v>530</v>
      </c>
      <c r="E2445">
        <v>30</v>
      </c>
      <c r="F2445">
        <v>29</v>
      </c>
      <c r="G2445" s="8">
        <f>Lektionen[[#This Row],[Bearbeitungsdauer_real]]/Lektionen[[#This Row],[Bearbeitungsdauer_geschätzt]]-1</f>
        <v>-3.3333333333333326E-2</v>
      </c>
      <c r="H2445" s="8" t="str" cm="1">
        <f t="array" ref="H2445">_xlfn.IFS(Lektionen[[#This Row],[Bearbeitungsdauer_abgewichen]]&gt;0.6,"viel länger",Lektionen[[#This Row],[Bearbeitungsdauer_abgewichen]]&gt;0.3,"länger",Lektionen[[#This Row],[Bearbeitungsdauer_abgewichen]]&lt;-0.3,"kürzer",TRUE,"keine Abweichung")</f>
        <v>keine Abweichung</v>
      </c>
      <c r="I2445">
        <v>3</v>
      </c>
    </row>
    <row r="2446" spans="1:9" x14ac:dyDescent="0.3">
      <c r="A2446" s="13">
        <v>381</v>
      </c>
      <c r="B2446" s="4">
        <v>5</v>
      </c>
      <c r="C2446" t="s">
        <v>532</v>
      </c>
      <c r="D2446" t="s">
        <v>530</v>
      </c>
      <c r="E2446">
        <v>30</v>
      </c>
      <c r="F2446">
        <v>40</v>
      </c>
      <c r="G2446" s="8">
        <f>Lektionen[[#This Row],[Bearbeitungsdauer_real]]/Lektionen[[#This Row],[Bearbeitungsdauer_geschätzt]]-1</f>
        <v>0.33333333333333326</v>
      </c>
      <c r="H2446" s="8" t="str" cm="1">
        <f t="array" ref="H2446">_xlfn.IFS(Lektionen[[#This Row],[Bearbeitungsdauer_abgewichen]]&gt;0.6,"viel länger",Lektionen[[#This Row],[Bearbeitungsdauer_abgewichen]]&gt;0.3,"länger",Lektionen[[#This Row],[Bearbeitungsdauer_abgewichen]]&lt;-0.3,"kürzer",TRUE,"keine Abweichung")</f>
        <v>länger</v>
      </c>
      <c r="I2446">
        <v>4</v>
      </c>
    </row>
    <row r="2447" spans="1:9" hidden="1" x14ac:dyDescent="0.3">
      <c r="A2447" s="13">
        <v>381</v>
      </c>
      <c r="B2447" s="4">
        <v>6</v>
      </c>
      <c r="C2447" t="s">
        <v>533</v>
      </c>
      <c r="D2447" t="s">
        <v>534</v>
      </c>
      <c r="E2447">
        <v>5</v>
      </c>
      <c r="F2447">
        <v>2</v>
      </c>
      <c r="G2447" s="8">
        <f>Lektionen[[#This Row],[Bearbeitungsdauer_real]]/Lektionen[[#This Row],[Bearbeitungsdauer_geschätzt]]-1</f>
        <v>-0.6</v>
      </c>
      <c r="H2447" s="8" t="str" cm="1">
        <f t="array" ref="H2447">_xlfn.IFS(Lektionen[[#This Row],[Bearbeitungsdauer_abgewichen]]&gt;0.6,"viel länger",Lektionen[[#This Row],[Bearbeitungsdauer_abgewichen]]&gt;0.3,"länger",Lektionen[[#This Row],[Bearbeitungsdauer_abgewichen]]&lt;-0.3,"kürzer",TRUE,"keine Abweichung")</f>
        <v>kürzer</v>
      </c>
      <c r="I2447">
        <v>2</v>
      </c>
    </row>
    <row r="2448" spans="1:9" hidden="1" x14ac:dyDescent="0.3">
      <c r="A2448" s="13">
        <v>381</v>
      </c>
      <c r="B2448" s="4">
        <v>7</v>
      </c>
      <c r="C2448" t="s">
        <v>535</v>
      </c>
      <c r="D2448" t="s">
        <v>536</v>
      </c>
      <c r="E2448">
        <v>10</v>
      </c>
      <c r="F2448">
        <v>9</v>
      </c>
      <c r="G2448" s="8">
        <f>Lektionen[[#This Row],[Bearbeitungsdauer_real]]/Lektionen[[#This Row],[Bearbeitungsdauer_geschätzt]]-1</f>
        <v>-9.9999999999999978E-2</v>
      </c>
      <c r="H2448" s="8" t="str" cm="1">
        <f t="array" ref="H2448">_xlfn.IFS(Lektionen[[#This Row],[Bearbeitungsdauer_abgewichen]]&gt;0.6,"viel länger",Lektionen[[#This Row],[Bearbeitungsdauer_abgewichen]]&gt;0.3,"länger",Lektionen[[#This Row],[Bearbeitungsdauer_abgewichen]]&lt;-0.3,"kürzer",TRUE,"keine Abweichung")</f>
        <v>keine Abweichung</v>
      </c>
      <c r="I2448">
        <v>3</v>
      </c>
    </row>
    <row r="2449" spans="1:9" hidden="1" x14ac:dyDescent="0.3">
      <c r="A2449" s="13">
        <v>381</v>
      </c>
      <c r="B2449" s="4">
        <v>8</v>
      </c>
      <c r="C2449" t="s">
        <v>537</v>
      </c>
      <c r="D2449" t="s">
        <v>527</v>
      </c>
      <c r="E2449">
        <v>5</v>
      </c>
      <c r="F2449">
        <v>5</v>
      </c>
      <c r="G2449" s="8">
        <f>Lektionen[[#This Row],[Bearbeitungsdauer_real]]/Lektionen[[#This Row],[Bearbeitungsdauer_geschätzt]]-1</f>
        <v>0</v>
      </c>
      <c r="H2449" s="8" t="str" cm="1">
        <f t="array" ref="H2449">_xlfn.IFS(Lektionen[[#This Row],[Bearbeitungsdauer_abgewichen]]&gt;0.6,"viel länger",Lektionen[[#This Row],[Bearbeitungsdauer_abgewichen]]&gt;0.3,"länger",Lektionen[[#This Row],[Bearbeitungsdauer_abgewichen]]&lt;-0.3,"kürzer",TRUE,"keine Abweichung")</f>
        <v>keine Abweichung</v>
      </c>
      <c r="I2449">
        <v>1</v>
      </c>
    </row>
    <row r="2450" spans="1:9" hidden="1" x14ac:dyDescent="0.3">
      <c r="A2450" s="13">
        <v>382</v>
      </c>
      <c r="B2450" s="4">
        <v>1</v>
      </c>
      <c r="C2450" t="s">
        <v>526</v>
      </c>
      <c r="D2450" t="s">
        <v>527</v>
      </c>
      <c r="E2450">
        <v>4</v>
      </c>
      <c r="F2450">
        <v>4</v>
      </c>
      <c r="G2450" s="8">
        <f>Lektionen[[#This Row],[Bearbeitungsdauer_real]]/Lektionen[[#This Row],[Bearbeitungsdauer_geschätzt]]-1</f>
        <v>0</v>
      </c>
      <c r="H2450" s="8" t="str" cm="1">
        <f t="array" ref="H2450">_xlfn.IFS(Lektionen[[#This Row],[Bearbeitungsdauer_abgewichen]]&gt;0.6,"viel länger",Lektionen[[#This Row],[Bearbeitungsdauer_abgewichen]]&gt;0.3,"länger",Lektionen[[#This Row],[Bearbeitungsdauer_abgewichen]]&lt;-0.3,"kürzer",TRUE,"keine Abweichung")</f>
        <v>keine Abweichung</v>
      </c>
      <c r="I2450">
        <v>1</v>
      </c>
    </row>
    <row r="2451" spans="1:9" hidden="1" x14ac:dyDescent="0.3">
      <c r="A2451" s="13">
        <v>382</v>
      </c>
      <c r="B2451" s="4">
        <v>2</v>
      </c>
      <c r="C2451" t="s">
        <v>528</v>
      </c>
      <c r="D2451" t="s">
        <v>529</v>
      </c>
      <c r="E2451">
        <v>15</v>
      </c>
      <c r="F2451">
        <v>17</v>
      </c>
      <c r="G2451" s="8">
        <f>Lektionen[[#This Row],[Bearbeitungsdauer_real]]/Lektionen[[#This Row],[Bearbeitungsdauer_geschätzt]]-1</f>
        <v>0.1333333333333333</v>
      </c>
      <c r="H2451" s="8" t="str" cm="1">
        <f t="array" ref="H2451">_xlfn.IFS(Lektionen[[#This Row],[Bearbeitungsdauer_abgewichen]]&gt;0.6,"viel länger",Lektionen[[#This Row],[Bearbeitungsdauer_abgewichen]]&gt;0.3,"länger",Lektionen[[#This Row],[Bearbeitungsdauer_abgewichen]]&lt;-0.3,"kürzer",TRUE,"keine Abweichung")</f>
        <v>keine Abweichung</v>
      </c>
      <c r="I2451">
        <v>1</v>
      </c>
    </row>
    <row r="2452" spans="1:9" hidden="1" x14ac:dyDescent="0.3">
      <c r="A2452" s="13">
        <v>382</v>
      </c>
      <c r="B2452" s="4">
        <v>3</v>
      </c>
      <c r="C2452" t="s">
        <v>552</v>
      </c>
      <c r="D2452" t="s">
        <v>530</v>
      </c>
      <c r="E2452">
        <v>30</v>
      </c>
      <c r="F2452">
        <v>30</v>
      </c>
      <c r="G2452" s="8">
        <f>Lektionen[[#This Row],[Bearbeitungsdauer_real]]/Lektionen[[#This Row],[Bearbeitungsdauer_geschätzt]]-1</f>
        <v>0</v>
      </c>
      <c r="H2452" s="8" t="str" cm="1">
        <f t="array" ref="H2452">_xlfn.IFS(Lektionen[[#This Row],[Bearbeitungsdauer_abgewichen]]&gt;0.6,"viel länger",Lektionen[[#This Row],[Bearbeitungsdauer_abgewichen]]&gt;0.3,"länger",Lektionen[[#This Row],[Bearbeitungsdauer_abgewichen]]&lt;-0.3,"kürzer",TRUE,"keine Abweichung")</f>
        <v>keine Abweichung</v>
      </c>
      <c r="I2452">
        <v>3</v>
      </c>
    </row>
    <row r="2453" spans="1:9" hidden="1" x14ac:dyDescent="0.3">
      <c r="A2453" s="13">
        <v>382</v>
      </c>
      <c r="B2453" s="4">
        <v>4</v>
      </c>
      <c r="C2453" t="s">
        <v>531</v>
      </c>
      <c r="D2453" t="s">
        <v>530</v>
      </c>
      <c r="E2453">
        <v>30</v>
      </c>
      <c r="F2453">
        <v>30</v>
      </c>
      <c r="G2453" s="8">
        <f>Lektionen[[#This Row],[Bearbeitungsdauer_real]]/Lektionen[[#This Row],[Bearbeitungsdauer_geschätzt]]-1</f>
        <v>0</v>
      </c>
      <c r="H2453" s="8" t="str" cm="1">
        <f t="array" ref="H2453">_xlfn.IFS(Lektionen[[#This Row],[Bearbeitungsdauer_abgewichen]]&gt;0.6,"viel länger",Lektionen[[#This Row],[Bearbeitungsdauer_abgewichen]]&gt;0.3,"länger",Lektionen[[#This Row],[Bearbeitungsdauer_abgewichen]]&lt;-0.3,"kürzer",TRUE,"keine Abweichung")</f>
        <v>keine Abweichung</v>
      </c>
      <c r="I2453">
        <v>3</v>
      </c>
    </row>
    <row r="2454" spans="1:9" x14ac:dyDescent="0.3">
      <c r="A2454" s="13">
        <v>382</v>
      </c>
      <c r="B2454" s="4">
        <v>5</v>
      </c>
      <c r="C2454" t="s">
        <v>532</v>
      </c>
      <c r="D2454" t="s">
        <v>530</v>
      </c>
      <c r="E2454">
        <v>30</v>
      </c>
      <c r="F2454">
        <v>52</v>
      </c>
      <c r="G2454" s="8">
        <f>Lektionen[[#This Row],[Bearbeitungsdauer_real]]/Lektionen[[#This Row],[Bearbeitungsdauer_geschätzt]]-1</f>
        <v>0.73333333333333339</v>
      </c>
      <c r="H2454" s="8" t="str" cm="1">
        <f t="array" ref="H2454">_xlfn.IFS(Lektionen[[#This Row],[Bearbeitungsdauer_abgewichen]]&gt;0.6,"viel länger",Lektionen[[#This Row],[Bearbeitungsdauer_abgewichen]]&gt;0.3,"länger",Lektionen[[#This Row],[Bearbeitungsdauer_abgewichen]]&lt;-0.3,"kürzer",TRUE,"keine Abweichung")</f>
        <v>viel länger</v>
      </c>
      <c r="I2454">
        <v>4</v>
      </c>
    </row>
    <row r="2455" spans="1:9" hidden="1" x14ac:dyDescent="0.3">
      <c r="A2455" s="13">
        <v>382</v>
      </c>
      <c r="B2455" s="4">
        <v>6</v>
      </c>
      <c r="C2455" t="s">
        <v>533</v>
      </c>
      <c r="D2455" t="s">
        <v>534</v>
      </c>
      <c r="E2455">
        <v>5</v>
      </c>
      <c r="F2455">
        <v>1</v>
      </c>
      <c r="G2455" s="8">
        <f>Lektionen[[#This Row],[Bearbeitungsdauer_real]]/Lektionen[[#This Row],[Bearbeitungsdauer_geschätzt]]-1</f>
        <v>-0.8</v>
      </c>
      <c r="H2455" s="8" t="str" cm="1">
        <f t="array" ref="H2455">_xlfn.IFS(Lektionen[[#This Row],[Bearbeitungsdauer_abgewichen]]&gt;0.6,"viel länger",Lektionen[[#This Row],[Bearbeitungsdauer_abgewichen]]&gt;0.3,"länger",Lektionen[[#This Row],[Bearbeitungsdauer_abgewichen]]&lt;-0.3,"kürzer",TRUE,"keine Abweichung")</f>
        <v>kürzer</v>
      </c>
      <c r="I2455">
        <v>3</v>
      </c>
    </row>
    <row r="2456" spans="1:9" hidden="1" x14ac:dyDescent="0.3">
      <c r="A2456" s="13">
        <v>382</v>
      </c>
      <c r="B2456" s="4">
        <v>7</v>
      </c>
      <c r="C2456" t="s">
        <v>535</v>
      </c>
      <c r="D2456" t="s">
        <v>536</v>
      </c>
      <c r="E2456">
        <v>10</v>
      </c>
      <c r="F2456">
        <v>11</v>
      </c>
      <c r="G2456" s="8">
        <f>Lektionen[[#This Row],[Bearbeitungsdauer_real]]/Lektionen[[#This Row],[Bearbeitungsdauer_geschätzt]]-1</f>
        <v>0.10000000000000009</v>
      </c>
      <c r="H2456" s="8" t="str" cm="1">
        <f t="array" ref="H2456">_xlfn.IFS(Lektionen[[#This Row],[Bearbeitungsdauer_abgewichen]]&gt;0.6,"viel länger",Lektionen[[#This Row],[Bearbeitungsdauer_abgewichen]]&gt;0.3,"länger",Lektionen[[#This Row],[Bearbeitungsdauer_abgewichen]]&lt;-0.3,"kürzer",TRUE,"keine Abweichung")</f>
        <v>keine Abweichung</v>
      </c>
      <c r="I2456">
        <v>4</v>
      </c>
    </row>
    <row r="2457" spans="1:9" hidden="1" x14ac:dyDescent="0.3">
      <c r="A2457" s="13">
        <v>382</v>
      </c>
      <c r="B2457" s="4">
        <v>8</v>
      </c>
      <c r="C2457" t="s">
        <v>537</v>
      </c>
      <c r="D2457" t="s">
        <v>527</v>
      </c>
      <c r="E2457">
        <v>5</v>
      </c>
      <c r="F2457">
        <v>5</v>
      </c>
      <c r="G2457" s="8">
        <f>Lektionen[[#This Row],[Bearbeitungsdauer_real]]/Lektionen[[#This Row],[Bearbeitungsdauer_geschätzt]]-1</f>
        <v>0</v>
      </c>
      <c r="H2457" s="8" t="str" cm="1">
        <f t="array" ref="H2457">_xlfn.IFS(Lektionen[[#This Row],[Bearbeitungsdauer_abgewichen]]&gt;0.6,"viel länger",Lektionen[[#This Row],[Bearbeitungsdauer_abgewichen]]&gt;0.3,"länger",Lektionen[[#This Row],[Bearbeitungsdauer_abgewichen]]&lt;-0.3,"kürzer",TRUE,"keine Abweichung")</f>
        <v>keine Abweichung</v>
      </c>
      <c r="I2457">
        <v>1</v>
      </c>
    </row>
    <row r="2458" spans="1:9" hidden="1" x14ac:dyDescent="0.3">
      <c r="A2458" s="13">
        <v>383</v>
      </c>
      <c r="B2458" s="4">
        <v>1</v>
      </c>
      <c r="C2458" t="s">
        <v>526</v>
      </c>
      <c r="D2458" t="s">
        <v>527</v>
      </c>
      <c r="E2458">
        <v>4</v>
      </c>
      <c r="F2458">
        <v>4</v>
      </c>
      <c r="G2458" s="8">
        <f>Lektionen[[#This Row],[Bearbeitungsdauer_real]]/Lektionen[[#This Row],[Bearbeitungsdauer_geschätzt]]-1</f>
        <v>0</v>
      </c>
      <c r="H2458" s="8" t="str" cm="1">
        <f t="array" ref="H2458">_xlfn.IFS(Lektionen[[#This Row],[Bearbeitungsdauer_abgewichen]]&gt;0.6,"viel länger",Lektionen[[#This Row],[Bearbeitungsdauer_abgewichen]]&gt;0.3,"länger",Lektionen[[#This Row],[Bearbeitungsdauer_abgewichen]]&lt;-0.3,"kürzer",TRUE,"keine Abweichung")</f>
        <v>keine Abweichung</v>
      </c>
      <c r="I2458">
        <v>1</v>
      </c>
    </row>
    <row r="2459" spans="1:9" hidden="1" x14ac:dyDescent="0.3">
      <c r="A2459" s="13">
        <v>383</v>
      </c>
      <c r="B2459" s="4">
        <v>2</v>
      </c>
      <c r="C2459" t="s">
        <v>528</v>
      </c>
      <c r="D2459" t="s">
        <v>529</v>
      </c>
      <c r="E2459">
        <v>15</v>
      </c>
      <c r="F2459">
        <v>19</v>
      </c>
      <c r="G2459" s="8">
        <f>Lektionen[[#This Row],[Bearbeitungsdauer_real]]/Lektionen[[#This Row],[Bearbeitungsdauer_geschätzt]]-1</f>
        <v>0.26666666666666661</v>
      </c>
      <c r="H2459" s="8" t="str" cm="1">
        <f t="array" ref="H2459">_xlfn.IFS(Lektionen[[#This Row],[Bearbeitungsdauer_abgewichen]]&gt;0.6,"viel länger",Lektionen[[#This Row],[Bearbeitungsdauer_abgewichen]]&gt;0.3,"länger",Lektionen[[#This Row],[Bearbeitungsdauer_abgewichen]]&lt;-0.3,"kürzer",TRUE,"keine Abweichung")</f>
        <v>keine Abweichung</v>
      </c>
      <c r="I2459">
        <v>1</v>
      </c>
    </row>
    <row r="2460" spans="1:9" hidden="1" x14ac:dyDescent="0.3">
      <c r="A2460" s="13">
        <v>383</v>
      </c>
      <c r="B2460" s="4">
        <v>3</v>
      </c>
      <c r="C2460" t="s">
        <v>552</v>
      </c>
      <c r="D2460" t="s">
        <v>530</v>
      </c>
      <c r="E2460">
        <v>30</v>
      </c>
      <c r="F2460">
        <v>27</v>
      </c>
      <c r="G2460" s="8">
        <f>Lektionen[[#This Row],[Bearbeitungsdauer_real]]/Lektionen[[#This Row],[Bearbeitungsdauer_geschätzt]]-1</f>
        <v>-9.9999999999999978E-2</v>
      </c>
      <c r="H2460" s="8" t="str" cm="1">
        <f t="array" ref="H2460">_xlfn.IFS(Lektionen[[#This Row],[Bearbeitungsdauer_abgewichen]]&gt;0.6,"viel länger",Lektionen[[#This Row],[Bearbeitungsdauer_abgewichen]]&gt;0.3,"länger",Lektionen[[#This Row],[Bearbeitungsdauer_abgewichen]]&lt;-0.3,"kürzer",TRUE,"keine Abweichung")</f>
        <v>keine Abweichung</v>
      </c>
      <c r="I2460">
        <v>3</v>
      </c>
    </row>
    <row r="2461" spans="1:9" hidden="1" x14ac:dyDescent="0.3">
      <c r="A2461" s="13">
        <v>383</v>
      </c>
      <c r="B2461" s="4">
        <v>4</v>
      </c>
      <c r="C2461" t="s">
        <v>531</v>
      </c>
      <c r="D2461" t="s">
        <v>530</v>
      </c>
      <c r="E2461">
        <v>30</v>
      </c>
      <c r="F2461">
        <v>16</v>
      </c>
      <c r="G2461" s="8">
        <f>Lektionen[[#This Row],[Bearbeitungsdauer_real]]/Lektionen[[#This Row],[Bearbeitungsdauer_geschätzt]]-1</f>
        <v>-0.46666666666666667</v>
      </c>
      <c r="H2461" s="8" t="str" cm="1">
        <f t="array" ref="H2461">_xlfn.IFS(Lektionen[[#This Row],[Bearbeitungsdauer_abgewichen]]&gt;0.6,"viel länger",Lektionen[[#This Row],[Bearbeitungsdauer_abgewichen]]&gt;0.3,"länger",Lektionen[[#This Row],[Bearbeitungsdauer_abgewichen]]&lt;-0.3,"kürzer",TRUE,"keine Abweichung")</f>
        <v>kürzer</v>
      </c>
      <c r="I2461">
        <v>3</v>
      </c>
    </row>
    <row r="2462" spans="1:9" x14ac:dyDescent="0.3">
      <c r="A2462" s="13">
        <v>383</v>
      </c>
      <c r="B2462" s="4">
        <v>5</v>
      </c>
      <c r="C2462" t="s">
        <v>532</v>
      </c>
      <c r="D2462" t="s">
        <v>530</v>
      </c>
      <c r="E2462">
        <v>30</v>
      </c>
      <c r="F2462">
        <v>48</v>
      </c>
      <c r="G2462" s="8">
        <f>Lektionen[[#This Row],[Bearbeitungsdauer_real]]/Lektionen[[#This Row],[Bearbeitungsdauer_geschätzt]]-1</f>
        <v>0.60000000000000009</v>
      </c>
      <c r="H2462" s="8" t="str" cm="1">
        <f t="array" ref="H2462">_xlfn.IFS(Lektionen[[#This Row],[Bearbeitungsdauer_abgewichen]]&gt;0.6,"viel länger",Lektionen[[#This Row],[Bearbeitungsdauer_abgewichen]]&gt;0.3,"länger",Lektionen[[#This Row],[Bearbeitungsdauer_abgewichen]]&lt;-0.3,"kürzer",TRUE,"keine Abweichung")</f>
        <v>länger</v>
      </c>
      <c r="I2462">
        <v>3</v>
      </c>
    </row>
    <row r="2463" spans="1:9" hidden="1" x14ac:dyDescent="0.3">
      <c r="A2463" s="13">
        <v>383</v>
      </c>
      <c r="B2463" s="4">
        <v>6</v>
      </c>
      <c r="C2463" t="s">
        <v>533</v>
      </c>
      <c r="D2463" t="s">
        <v>534</v>
      </c>
      <c r="E2463">
        <v>5</v>
      </c>
      <c r="F2463">
        <v>2</v>
      </c>
      <c r="G2463" s="8">
        <f>Lektionen[[#This Row],[Bearbeitungsdauer_real]]/Lektionen[[#This Row],[Bearbeitungsdauer_geschätzt]]-1</f>
        <v>-0.6</v>
      </c>
      <c r="H2463" s="8" t="str" cm="1">
        <f t="array" ref="H2463">_xlfn.IFS(Lektionen[[#This Row],[Bearbeitungsdauer_abgewichen]]&gt;0.6,"viel länger",Lektionen[[#This Row],[Bearbeitungsdauer_abgewichen]]&gt;0.3,"länger",Lektionen[[#This Row],[Bearbeitungsdauer_abgewichen]]&lt;-0.3,"kürzer",TRUE,"keine Abweichung")</f>
        <v>kürzer</v>
      </c>
      <c r="I2463">
        <v>2</v>
      </c>
    </row>
    <row r="2464" spans="1:9" hidden="1" x14ac:dyDescent="0.3">
      <c r="A2464" s="13">
        <v>383</v>
      </c>
      <c r="B2464" s="4">
        <v>7</v>
      </c>
      <c r="C2464" t="s">
        <v>535</v>
      </c>
      <c r="D2464" t="s">
        <v>536</v>
      </c>
      <c r="E2464">
        <v>10</v>
      </c>
      <c r="F2464">
        <v>8</v>
      </c>
      <c r="G2464" s="8">
        <f>Lektionen[[#This Row],[Bearbeitungsdauer_real]]/Lektionen[[#This Row],[Bearbeitungsdauer_geschätzt]]-1</f>
        <v>-0.19999999999999996</v>
      </c>
      <c r="H2464" s="8" t="str" cm="1">
        <f t="array" ref="H2464">_xlfn.IFS(Lektionen[[#This Row],[Bearbeitungsdauer_abgewichen]]&gt;0.6,"viel länger",Lektionen[[#This Row],[Bearbeitungsdauer_abgewichen]]&gt;0.3,"länger",Lektionen[[#This Row],[Bearbeitungsdauer_abgewichen]]&lt;-0.3,"kürzer",TRUE,"keine Abweichung")</f>
        <v>keine Abweichung</v>
      </c>
      <c r="I2464">
        <v>3</v>
      </c>
    </row>
    <row r="2465" spans="1:9" hidden="1" x14ac:dyDescent="0.3">
      <c r="A2465" s="13">
        <v>383</v>
      </c>
      <c r="B2465" s="4">
        <v>8</v>
      </c>
      <c r="C2465" t="s">
        <v>537</v>
      </c>
      <c r="D2465" t="s">
        <v>527</v>
      </c>
      <c r="E2465">
        <v>5</v>
      </c>
      <c r="F2465">
        <v>8</v>
      </c>
      <c r="G2465" s="8">
        <f>Lektionen[[#This Row],[Bearbeitungsdauer_real]]/Lektionen[[#This Row],[Bearbeitungsdauer_geschätzt]]-1</f>
        <v>0.60000000000000009</v>
      </c>
      <c r="H2465" s="8" t="str" cm="1">
        <f t="array" ref="H2465">_xlfn.IFS(Lektionen[[#This Row],[Bearbeitungsdauer_abgewichen]]&gt;0.6,"viel länger",Lektionen[[#This Row],[Bearbeitungsdauer_abgewichen]]&gt;0.3,"länger",Lektionen[[#This Row],[Bearbeitungsdauer_abgewichen]]&lt;-0.3,"kürzer",TRUE,"keine Abweichung")</f>
        <v>länger</v>
      </c>
      <c r="I2465">
        <v>1</v>
      </c>
    </row>
    <row r="2466" spans="1:9" hidden="1" x14ac:dyDescent="0.3">
      <c r="A2466" s="13">
        <v>384</v>
      </c>
      <c r="B2466" s="4">
        <v>1</v>
      </c>
      <c r="C2466" t="s">
        <v>526</v>
      </c>
      <c r="D2466" t="s">
        <v>527</v>
      </c>
      <c r="E2466">
        <v>4</v>
      </c>
      <c r="F2466">
        <v>4</v>
      </c>
      <c r="G2466" s="8">
        <f>Lektionen[[#This Row],[Bearbeitungsdauer_real]]/Lektionen[[#This Row],[Bearbeitungsdauer_geschätzt]]-1</f>
        <v>0</v>
      </c>
      <c r="H2466" s="8" t="str" cm="1">
        <f t="array" ref="H2466">_xlfn.IFS(Lektionen[[#This Row],[Bearbeitungsdauer_abgewichen]]&gt;0.6,"viel länger",Lektionen[[#This Row],[Bearbeitungsdauer_abgewichen]]&gt;0.3,"länger",Lektionen[[#This Row],[Bearbeitungsdauer_abgewichen]]&lt;-0.3,"kürzer",TRUE,"keine Abweichung")</f>
        <v>keine Abweichung</v>
      </c>
      <c r="I2466">
        <v>1</v>
      </c>
    </row>
    <row r="2467" spans="1:9" hidden="1" x14ac:dyDescent="0.3">
      <c r="A2467" s="13">
        <v>384</v>
      </c>
      <c r="B2467" s="4">
        <v>2</v>
      </c>
      <c r="C2467" t="s">
        <v>528</v>
      </c>
      <c r="D2467" t="s">
        <v>529</v>
      </c>
      <c r="E2467">
        <v>15</v>
      </c>
      <c r="F2467">
        <v>18</v>
      </c>
      <c r="G2467" s="8">
        <f>Lektionen[[#This Row],[Bearbeitungsdauer_real]]/Lektionen[[#This Row],[Bearbeitungsdauer_geschätzt]]-1</f>
        <v>0.19999999999999996</v>
      </c>
      <c r="H2467" s="8" t="str" cm="1">
        <f t="array" ref="H2467">_xlfn.IFS(Lektionen[[#This Row],[Bearbeitungsdauer_abgewichen]]&gt;0.6,"viel länger",Lektionen[[#This Row],[Bearbeitungsdauer_abgewichen]]&gt;0.3,"länger",Lektionen[[#This Row],[Bearbeitungsdauer_abgewichen]]&lt;-0.3,"kürzer",TRUE,"keine Abweichung")</f>
        <v>keine Abweichung</v>
      </c>
      <c r="I2467">
        <v>2</v>
      </c>
    </row>
    <row r="2468" spans="1:9" hidden="1" x14ac:dyDescent="0.3">
      <c r="A2468" s="13">
        <v>384</v>
      </c>
      <c r="B2468" s="4">
        <v>3</v>
      </c>
      <c r="C2468" t="s">
        <v>552</v>
      </c>
      <c r="D2468" t="s">
        <v>530</v>
      </c>
      <c r="E2468">
        <v>30</v>
      </c>
      <c r="F2468">
        <v>29</v>
      </c>
      <c r="G2468" s="8">
        <f>Lektionen[[#This Row],[Bearbeitungsdauer_real]]/Lektionen[[#This Row],[Bearbeitungsdauer_geschätzt]]-1</f>
        <v>-3.3333333333333326E-2</v>
      </c>
      <c r="H2468" s="8" t="str" cm="1">
        <f t="array" ref="H2468">_xlfn.IFS(Lektionen[[#This Row],[Bearbeitungsdauer_abgewichen]]&gt;0.6,"viel länger",Lektionen[[#This Row],[Bearbeitungsdauer_abgewichen]]&gt;0.3,"länger",Lektionen[[#This Row],[Bearbeitungsdauer_abgewichen]]&lt;-0.3,"kürzer",TRUE,"keine Abweichung")</f>
        <v>keine Abweichung</v>
      </c>
      <c r="I2468">
        <v>2</v>
      </c>
    </row>
    <row r="2469" spans="1:9" hidden="1" x14ac:dyDescent="0.3">
      <c r="A2469" s="13">
        <v>384</v>
      </c>
      <c r="B2469" s="4">
        <v>4</v>
      </c>
      <c r="C2469" t="s">
        <v>531</v>
      </c>
      <c r="D2469" t="s">
        <v>530</v>
      </c>
      <c r="E2469">
        <v>30</v>
      </c>
      <c r="F2469">
        <v>23</v>
      </c>
      <c r="G2469" s="8">
        <f>Lektionen[[#This Row],[Bearbeitungsdauer_real]]/Lektionen[[#This Row],[Bearbeitungsdauer_geschätzt]]-1</f>
        <v>-0.23333333333333328</v>
      </c>
      <c r="H2469" s="8" t="str" cm="1">
        <f t="array" ref="H2469">_xlfn.IFS(Lektionen[[#This Row],[Bearbeitungsdauer_abgewichen]]&gt;0.6,"viel länger",Lektionen[[#This Row],[Bearbeitungsdauer_abgewichen]]&gt;0.3,"länger",Lektionen[[#This Row],[Bearbeitungsdauer_abgewichen]]&lt;-0.3,"kürzer",TRUE,"keine Abweichung")</f>
        <v>keine Abweichung</v>
      </c>
      <c r="I2469">
        <v>3</v>
      </c>
    </row>
    <row r="2470" spans="1:9" x14ac:dyDescent="0.3">
      <c r="A2470" s="13">
        <v>384</v>
      </c>
      <c r="B2470" s="4">
        <v>5</v>
      </c>
      <c r="C2470" t="s">
        <v>532</v>
      </c>
      <c r="D2470" t="s">
        <v>530</v>
      </c>
      <c r="E2470">
        <v>30</v>
      </c>
      <c r="F2470">
        <v>45</v>
      </c>
      <c r="G2470" s="8">
        <f>Lektionen[[#This Row],[Bearbeitungsdauer_real]]/Lektionen[[#This Row],[Bearbeitungsdauer_geschätzt]]-1</f>
        <v>0.5</v>
      </c>
      <c r="H2470" s="8" t="str" cm="1">
        <f t="array" ref="H2470">_xlfn.IFS(Lektionen[[#This Row],[Bearbeitungsdauer_abgewichen]]&gt;0.6,"viel länger",Lektionen[[#This Row],[Bearbeitungsdauer_abgewichen]]&gt;0.3,"länger",Lektionen[[#This Row],[Bearbeitungsdauer_abgewichen]]&lt;-0.3,"kürzer",TRUE,"keine Abweichung")</f>
        <v>länger</v>
      </c>
      <c r="I2470">
        <v>3</v>
      </c>
    </row>
    <row r="2471" spans="1:9" hidden="1" x14ac:dyDescent="0.3">
      <c r="A2471" s="13">
        <v>384</v>
      </c>
      <c r="B2471" s="4">
        <v>6</v>
      </c>
      <c r="C2471" t="s">
        <v>533</v>
      </c>
      <c r="D2471" t="s">
        <v>534</v>
      </c>
      <c r="E2471">
        <v>5</v>
      </c>
      <c r="F2471">
        <v>2</v>
      </c>
      <c r="G2471" s="8">
        <f>Lektionen[[#This Row],[Bearbeitungsdauer_real]]/Lektionen[[#This Row],[Bearbeitungsdauer_geschätzt]]-1</f>
        <v>-0.6</v>
      </c>
      <c r="H2471" s="8" t="str" cm="1">
        <f t="array" ref="H2471">_xlfn.IFS(Lektionen[[#This Row],[Bearbeitungsdauer_abgewichen]]&gt;0.6,"viel länger",Lektionen[[#This Row],[Bearbeitungsdauer_abgewichen]]&gt;0.3,"länger",Lektionen[[#This Row],[Bearbeitungsdauer_abgewichen]]&lt;-0.3,"kürzer",TRUE,"keine Abweichung")</f>
        <v>kürzer</v>
      </c>
      <c r="I2471">
        <v>2</v>
      </c>
    </row>
    <row r="2472" spans="1:9" hidden="1" x14ac:dyDescent="0.3">
      <c r="A2472" s="13">
        <v>384</v>
      </c>
      <c r="B2472" s="4">
        <v>7</v>
      </c>
      <c r="C2472" t="s">
        <v>535</v>
      </c>
      <c r="D2472" t="s">
        <v>536</v>
      </c>
      <c r="E2472">
        <v>10</v>
      </c>
      <c r="F2472">
        <v>8</v>
      </c>
      <c r="G2472" s="8">
        <f>Lektionen[[#This Row],[Bearbeitungsdauer_real]]/Lektionen[[#This Row],[Bearbeitungsdauer_geschätzt]]-1</f>
        <v>-0.19999999999999996</v>
      </c>
      <c r="H2472" s="8" t="str" cm="1">
        <f t="array" ref="H2472">_xlfn.IFS(Lektionen[[#This Row],[Bearbeitungsdauer_abgewichen]]&gt;0.6,"viel länger",Lektionen[[#This Row],[Bearbeitungsdauer_abgewichen]]&gt;0.3,"länger",Lektionen[[#This Row],[Bearbeitungsdauer_abgewichen]]&lt;-0.3,"kürzer",TRUE,"keine Abweichung")</f>
        <v>keine Abweichung</v>
      </c>
      <c r="I2472">
        <v>3</v>
      </c>
    </row>
    <row r="2473" spans="1:9" hidden="1" x14ac:dyDescent="0.3">
      <c r="A2473" s="13">
        <v>384</v>
      </c>
      <c r="B2473" s="4">
        <v>8</v>
      </c>
      <c r="C2473" t="s">
        <v>537</v>
      </c>
      <c r="D2473" t="s">
        <v>527</v>
      </c>
      <c r="E2473">
        <v>5</v>
      </c>
      <c r="F2473">
        <v>5</v>
      </c>
      <c r="G2473" s="8">
        <f>Lektionen[[#This Row],[Bearbeitungsdauer_real]]/Lektionen[[#This Row],[Bearbeitungsdauer_geschätzt]]-1</f>
        <v>0</v>
      </c>
      <c r="H2473" s="8" t="str" cm="1">
        <f t="array" ref="H2473">_xlfn.IFS(Lektionen[[#This Row],[Bearbeitungsdauer_abgewichen]]&gt;0.6,"viel länger",Lektionen[[#This Row],[Bearbeitungsdauer_abgewichen]]&gt;0.3,"länger",Lektionen[[#This Row],[Bearbeitungsdauer_abgewichen]]&lt;-0.3,"kürzer",TRUE,"keine Abweichung")</f>
        <v>keine Abweichung</v>
      </c>
      <c r="I2473">
        <v>1</v>
      </c>
    </row>
    <row r="2474" spans="1:9" hidden="1" x14ac:dyDescent="0.3">
      <c r="A2474" s="13">
        <v>385</v>
      </c>
      <c r="B2474" s="4">
        <v>1</v>
      </c>
      <c r="C2474" t="s">
        <v>526</v>
      </c>
      <c r="D2474" t="s">
        <v>527</v>
      </c>
      <c r="E2474">
        <v>4</v>
      </c>
      <c r="F2474">
        <v>4</v>
      </c>
      <c r="G2474" s="8">
        <f>Lektionen[[#This Row],[Bearbeitungsdauer_real]]/Lektionen[[#This Row],[Bearbeitungsdauer_geschätzt]]-1</f>
        <v>0</v>
      </c>
      <c r="H2474" s="8" t="str" cm="1">
        <f t="array" ref="H2474">_xlfn.IFS(Lektionen[[#This Row],[Bearbeitungsdauer_abgewichen]]&gt;0.6,"viel länger",Lektionen[[#This Row],[Bearbeitungsdauer_abgewichen]]&gt;0.3,"länger",Lektionen[[#This Row],[Bearbeitungsdauer_abgewichen]]&lt;-0.3,"kürzer",TRUE,"keine Abweichung")</f>
        <v>keine Abweichung</v>
      </c>
      <c r="I2474">
        <v>1</v>
      </c>
    </row>
    <row r="2475" spans="1:9" hidden="1" x14ac:dyDescent="0.3">
      <c r="A2475" s="13">
        <v>385</v>
      </c>
      <c r="B2475" s="4">
        <v>2</v>
      </c>
      <c r="C2475" t="s">
        <v>528</v>
      </c>
      <c r="D2475" t="s">
        <v>529</v>
      </c>
      <c r="E2475">
        <v>15</v>
      </c>
      <c r="F2475">
        <v>15</v>
      </c>
      <c r="G2475" s="8">
        <f>Lektionen[[#This Row],[Bearbeitungsdauer_real]]/Lektionen[[#This Row],[Bearbeitungsdauer_geschätzt]]-1</f>
        <v>0</v>
      </c>
      <c r="H2475" s="8" t="str" cm="1">
        <f t="array" ref="H2475">_xlfn.IFS(Lektionen[[#This Row],[Bearbeitungsdauer_abgewichen]]&gt;0.6,"viel länger",Lektionen[[#This Row],[Bearbeitungsdauer_abgewichen]]&gt;0.3,"länger",Lektionen[[#This Row],[Bearbeitungsdauer_abgewichen]]&lt;-0.3,"kürzer",TRUE,"keine Abweichung")</f>
        <v>keine Abweichung</v>
      </c>
      <c r="I2475">
        <v>2</v>
      </c>
    </row>
    <row r="2476" spans="1:9" hidden="1" x14ac:dyDescent="0.3">
      <c r="A2476" s="13">
        <v>385</v>
      </c>
      <c r="B2476" s="4">
        <v>3</v>
      </c>
      <c r="C2476" t="s">
        <v>552</v>
      </c>
      <c r="D2476" t="s">
        <v>530</v>
      </c>
      <c r="E2476">
        <v>30</v>
      </c>
      <c r="F2476">
        <v>28</v>
      </c>
      <c r="G2476" s="8">
        <f>Lektionen[[#This Row],[Bearbeitungsdauer_real]]/Lektionen[[#This Row],[Bearbeitungsdauer_geschätzt]]-1</f>
        <v>-6.6666666666666652E-2</v>
      </c>
      <c r="H2476" s="8" t="str" cm="1">
        <f t="array" ref="H2476">_xlfn.IFS(Lektionen[[#This Row],[Bearbeitungsdauer_abgewichen]]&gt;0.6,"viel länger",Lektionen[[#This Row],[Bearbeitungsdauer_abgewichen]]&gt;0.3,"länger",Lektionen[[#This Row],[Bearbeitungsdauer_abgewichen]]&lt;-0.3,"kürzer",TRUE,"keine Abweichung")</f>
        <v>keine Abweichung</v>
      </c>
      <c r="I2476">
        <v>2</v>
      </c>
    </row>
    <row r="2477" spans="1:9" hidden="1" x14ac:dyDescent="0.3">
      <c r="A2477" s="13">
        <v>385</v>
      </c>
      <c r="B2477" s="4">
        <v>4</v>
      </c>
      <c r="C2477" t="s">
        <v>531</v>
      </c>
      <c r="D2477" t="s">
        <v>530</v>
      </c>
      <c r="E2477">
        <v>30</v>
      </c>
      <c r="F2477">
        <v>29</v>
      </c>
      <c r="G2477" s="8">
        <f>Lektionen[[#This Row],[Bearbeitungsdauer_real]]/Lektionen[[#This Row],[Bearbeitungsdauer_geschätzt]]-1</f>
        <v>-3.3333333333333326E-2</v>
      </c>
      <c r="H2477" s="8" t="str" cm="1">
        <f t="array" ref="H2477">_xlfn.IFS(Lektionen[[#This Row],[Bearbeitungsdauer_abgewichen]]&gt;0.6,"viel länger",Lektionen[[#This Row],[Bearbeitungsdauer_abgewichen]]&gt;0.3,"länger",Lektionen[[#This Row],[Bearbeitungsdauer_abgewichen]]&lt;-0.3,"kürzer",TRUE,"keine Abweichung")</f>
        <v>keine Abweichung</v>
      </c>
      <c r="I2477">
        <v>3</v>
      </c>
    </row>
    <row r="2478" spans="1:9" x14ac:dyDescent="0.3">
      <c r="A2478" s="13">
        <v>385</v>
      </c>
      <c r="B2478" s="4">
        <v>5</v>
      </c>
      <c r="C2478" t="s">
        <v>532</v>
      </c>
      <c r="D2478" t="s">
        <v>530</v>
      </c>
      <c r="E2478">
        <v>30</v>
      </c>
      <c r="F2478">
        <v>48</v>
      </c>
      <c r="G2478" s="8">
        <f>Lektionen[[#This Row],[Bearbeitungsdauer_real]]/Lektionen[[#This Row],[Bearbeitungsdauer_geschätzt]]-1</f>
        <v>0.60000000000000009</v>
      </c>
      <c r="H2478" s="8" t="str" cm="1">
        <f t="array" ref="H2478">_xlfn.IFS(Lektionen[[#This Row],[Bearbeitungsdauer_abgewichen]]&gt;0.6,"viel länger",Lektionen[[#This Row],[Bearbeitungsdauer_abgewichen]]&gt;0.3,"länger",Lektionen[[#This Row],[Bearbeitungsdauer_abgewichen]]&lt;-0.3,"kürzer",TRUE,"keine Abweichung")</f>
        <v>länger</v>
      </c>
      <c r="I2478">
        <v>4</v>
      </c>
    </row>
    <row r="2479" spans="1:9" hidden="1" x14ac:dyDescent="0.3">
      <c r="A2479" s="13">
        <v>385</v>
      </c>
      <c r="B2479" s="4">
        <v>6</v>
      </c>
      <c r="C2479" t="s">
        <v>533</v>
      </c>
      <c r="D2479" t="s">
        <v>534</v>
      </c>
      <c r="E2479">
        <v>5</v>
      </c>
      <c r="F2479">
        <v>2</v>
      </c>
      <c r="G2479" s="8">
        <f>Lektionen[[#This Row],[Bearbeitungsdauer_real]]/Lektionen[[#This Row],[Bearbeitungsdauer_geschätzt]]-1</f>
        <v>-0.6</v>
      </c>
      <c r="H2479" s="8" t="str" cm="1">
        <f t="array" ref="H2479">_xlfn.IFS(Lektionen[[#This Row],[Bearbeitungsdauer_abgewichen]]&gt;0.6,"viel länger",Lektionen[[#This Row],[Bearbeitungsdauer_abgewichen]]&gt;0.3,"länger",Lektionen[[#This Row],[Bearbeitungsdauer_abgewichen]]&lt;-0.3,"kürzer",TRUE,"keine Abweichung")</f>
        <v>kürzer</v>
      </c>
      <c r="I2479">
        <v>2</v>
      </c>
    </row>
    <row r="2480" spans="1:9" hidden="1" x14ac:dyDescent="0.3">
      <c r="A2480" s="13">
        <v>385</v>
      </c>
      <c r="B2480" s="4">
        <v>7</v>
      </c>
      <c r="C2480" t="s">
        <v>535</v>
      </c>
      <c r="D2480" t="s">
        <v>536</v>
      </c>
      <c r="E2480">
        <v>10</v>
      </c>
      <c r="F2480">
        <v>8</v>
      </c>
      <c r="G2480" s="8">
        <f>Lektionen[[#This Row],[Bearbeitungsdauer_real]]/Lektionen[[#This Row],[Bearbeitungsdauer_geschätzt]]-1</f>
        <v>-0.19999999999999996</v>
      </c>
      <c r="H2480" s="8" t="str" cm="1">
        <f t="array" ref="H2480">_xlfn.IFS(Lektionen[[#This Row],[Bearbeitungsdauer_abgewichen]]&gt;0.6,"viel länger",Lektionen[[#This Row],[Bearbeitungsdauer_abgewichen]]&gt;0.3,"länger",Lektionen[[#This Row],[Bearbeitungsdauer_abgewichen]]&lt;-0.3,"kürzer",TRUE,"keine Abweichung")</f>
        <v>keine Abweichung</v>
      </c>
      <c r="I2480">
        <v>3</v>
      </c>
    </row>
    <row r="2481" spans="1:9" hidden="1" x14ac:dyDescent="0.3">
      <c r="A2481" s="13">
        <v>385</v>
      </c>
      <c r="B2481" s="4">
        <v>8</v>
      </c>
      <c r="C2481" t="s">
        <v>537</v>
      </c>
      <c r="D2481" t="s">
        <v>527</v>
      </c>
      <c r="E2481">
        <v>5</v>
      </c>
      <c r="F2481">
        <v>5</v>
      </c>
      <c r="G2481" s="8">
        <f>Lektionen[[#This Row],[Bearbeitungsdauer_real]]/Lektionen[[#This Row],[Bearbeitungsdauer_geschätzt]]-1</f>
        <v>0</v>
      </c>
      <c r="H2481" s="8" t="str" cm="1">
        <f t="array" ref="H2481">_xlfn.IFS(Lektionen[[#This Row],[Bearbeitungsdauer_abgewichen]]&gt;0.6,"viel länger",Lektionen[[#This Row],[Bearbeitungsdauer_abgewichen]]&gt;0.3,"länger",Lektionen[[#This Row],[Bearbeitungsdauer_abgewichen]]&lt;-0.3,"kürzer",TRUE,"keine Abweichung")</f>
        <v>keine Abweichung</v>
      </c>
      <c r="I2481">
        <v>1</v>
      </c>
    </row>
    <row r="2482" spans="1:9" hidden="1" x14ac:dyDescent="0.3">
      <c r="A2482" s="13">
        <v>386</v>
      </c>
      <c r="B2482" s="4">
        <v>1</v>
      </c>
      <c r="C2482" t="s">
        <v>526</v>
      </c>
      <c r="D2482" t="s">
        <v>527</v>
      </c>
      <c r="E2482">
        <v>4</v>
      </c>
      <c r="F2482">
        <v>4</v>
      </c>
      <c r="G2482" s="8">
        <f>Lektionen[[#This Row],[Bearbeitungsdauer_real]]/Lektionen[[#This Row],[Bearbeitungsdauer_geschätzt]]-1</f>
        <v>0</v>
      </c>
      <c r="H2482" s="8" t="str" cm="1">
        <f t="array" ref="H2482">_xlfn.IFS(Lektionen[[#This Row],[Bearbeitungsdauer_abgewichen]]&gt;0.6,"viel länger",Lektionen[[#This Row],[Bearbeitungsdauer_abgewichen]]&gt;0.3,"länger",Lektionen[[#This Row],[Bearbeitungsdauer_abgewichen]]&lt;-0.3,"kürzer",TRUE,"keine Abweichung")</f>
        <v>keine Abweichung</v>
      </c>
      <c r="I2482">
        <v>1</v>
      </c>
    </row>
    <row r="2483" spans="1:9" hidden="1" x14ac:dyDescent="0.3">
      <c r="A2483" s="13">
        <v>386</v>
      </c>
      <c r="B2483" s="4">
        <v>2</v>
      </c>
      <c r="C2483" t="s">
        <v>528</v>
      </c>
      <c r="D2483" t="s">
        <v>529</v>
      </c>
      <c r="E2483">
        <v>15</v>
      </c>
      <c r="F2483">
        <v>17</v>
      </c>
      <c r="G2483" s="8">
        <f>Lektionen[[#This Row],[Bearbeitungsdauer_real]]/Lektionen[[#This Row],[Bearbeitungsdauer_geschätzt]]-1</f>
        <v>0.1333333333333333</v>
      </c>
      <c r="H2483" s="8" t="str" cm="1">
        <f t="array" ref="H2483">_xlfn.IFS(Lektionen[[#This Row],[Bearbeitungsdauer_abgewichen]]&gt;0.6,"viel länger",Lektionen[[#This Row],[Bearbeitungsdauer_abgewichen]]&gt;0.3,"länger",Lektionen[[#This Row],[Bearbeitungsdauer_abgewichen]]&lt;-0.3,"kürzer",TRUE,"keine Abweichung")</f>
        <v>keine Abweichung</v>
      </c>
      <c r="I2483">
        <v>1</v>
      </c>
    </row>
    <row r="2484" spans="1:9" hidden="1" x14ac:dyDescent="0.3">
      <c r="A2484" s="13">
        <v>386</v>
      </c>
      <c r="B2484" s="4">
        <v>3</v>
      </c>
      <c r="C2484" t="s">
        <v>552</v>
      </c>
      <c r="D2484" t="s">
        <v>530</v>
      </c>
      <c r="E2484">
        <v>30</v>
      </c>
      <c r="F2484">
        <v>29</v>
      </c>
      <c r="G2484" s="8">
        <f>Lektionen[[#This Row],[Bearbeitungsdauer_real]]/Lektionen[[#This Row],[Bearbeitungsdauer_geschätzt]]-1</f>
        <v>-3.3333333333333326E-2</v>
      </c>
      <c r="H2484" s="8" t="str" cm="1">
        <f t="array" ref="H2484">_xlfn.IFS(Lektionen[[#This Row],[Bearbeitungsdauer_abgewichen]]&gt;0.6,"viel länger",Lektionen[[#This Row],[Bearbeitungsdauer_abgewichen]]&gt;0.3,"länger",Lektionen[[#This Row],[Bearbeitungsdauer_abgewichen]]&lt;-0.3,"kürzer",TRUE,"keine Abweichung")</f>
        <v>keine Abweichung</v>
      </c>
      <c r="I2484">
        <v>2</v>
      </c>
    </row>
    <row r="2485" spans="1:9" hidden="1" x14ac:dyDescent="0.3">
      <c r="A2485" s="13">
        <v>386</v>
      </c>
      <c r="B2485" s="4">
        <v>4</v>
      </c>
      <c r="C2485" t="s">
        <v>531</v>
      </c>
      <c r="D2485" t="s">
        <v>530</v>
      </c>
      <c r="E2485">
        <v>30</v>
      </c>
      <c r="F2485">
        <v>24</v>
      </c>
      <c r="G2485" s="8">
        <f>Lektionen[[#This Row],[Bearbeitungsdauer_real]]/Lektionen[[#This Row],[Bearbeitungsdauer_geschätzt]]-1</f>
        <v>-0.19999999999999996</v>
      </c>
      <c r="H2485" s="8" t="str" cm="1">
        <f t="array" ref="H2485">_xlfn.IFS(Lektionen[[#This Row],[Bearbeitungsdauer_abgewichen]]&gt;0.6,"viel länger",Lektionen[[#This Row],[Bearbeitungsdauer_abgewichen]]&gt;0.3,"länger",Lektionen[[#This Row],[Bearbeitungsdauer_abgewichen]]&lt;-0.3,"kürzer",TRUE,"keine Abweichung")</f>
        <v>keine Abweichung</v>
      </c>
      <c r="I2485">
        <v>3</v>
      </c>
    </row>
    <row r="2486" spans="1:9" x14ac:dyDescent="0.3">
      <c r="A2486" s="13">
        <v>386</v>
      </c>
      <c r="B2486" s="4">
        <v>5</v>
      </c>
      <c r="C2486" t="s">
        <v>532</v>
      </c>
      <c r="D2486" t="s">
        <v>530</v>
      </c>
      <c r="E2486">
        <v>30</v>
      </c>
      <c r="F2486">
        <v>42</v>
      </c>
      <c r="G2486" s="8">
        <f>Lektionen[[#This Row],[Bearbeitungsdauer_real]]/Lektionen[[#This Row],[Bearbeitungsdauer_geschätzt]]-1</f>
        <v>0.39999999999999991</v>
      </c>
      <c r="H2486" s="8" t="str" cm="1">
        <f t="array" ref="H2486">_xlfn.IFS(Lektionen[[#This Row],[Bearbeitungsdauer_abgewichen]]&gt;0.6,"viel länger",Lektionen[[#This Row],[Bearbeitungsdauer_abgewichen]]&gt;0.3,"länger",Lektionen[[#This Row],[Bearbeitungsdauer_abgewichen]]&lt;-0.3,"kürzer",TRUE,"keine Abweichung")</f>
        <v>länger</v>
      </c>
      <c r="I2486">
        <v>4</v>
      </c>
    </row>
    <row r="2487" spans="1:9" hidden="1" x14ac:dyDescent="0.3">
      <c r="A2487" s="13">
        <v>386</v>
      </c>
      <c r="B2487" s="4">
        <v>6</v>
      </c>
      <c r="C2487" t="s">
        <v>533</v>
      </c>
      <c r="D2487" t="s">
        <v>534</v>
      </c>
      <c r="E2487">
        <v>5</v>
      </c>
      <c r="F2487">
        <v>2</v>
      </c>
      <c r="G2487" s="8">
        <f>Lektionen[[#This Row],[Bearbeitungsdauer_real]]/Lektionen[[#This Row],[Bearbeitungsdauer_geschätzt]]-1</f>
        <v>-0.6</v>
      </c>
      <c r="H2487" s="8" t="str" cm="1">
        <f t="array" ref="H2487">_xlfn.IFS(Lektionen[[#This Row],[Bearbeitungsdauer_abgewichen]]&gt;0.6,"viel länger",Lektionen[[#This Row],[Bearbeitungsdauer_abgewichen]]&gt;0.3,"länger",Lektionen[[#This Row],[Bearbeitungsdauer_abgewichen]]&lt;-0.3,"kürzer",TRUE,"keine Abweichung")</f>
        <v>kürzer</v>
      </c>
      <c r="I2487">
        <v>3</v>
      </c>
    </row>
    <row r="2488" spans="1:9" hidden="1" x14ac:dyDescent="0.3">
      <c r="A2488" s="13">
        <v>386</v>
      </c>
      <c r="B2488" s="4">
        <v>7</v>
      </c>
      <c r="C2488" t="s">
        <v>535</v>
      </c>
      <c r="D2488" t="s">
        <v>536</v>
      </c>
      <c r="E2488">
        <v>10</v>
      </c>
      <c r="F2488">
        <v>9</v>
      </c>
      <c r="G2488" s="8">
        <f>Lektionen[[#This Row],[Bearbeitungsdauer_real]]/Lektionen[[#This Row],[Bearbeitungsdauer_geschätzt]]-1</f>
        <v>-9.9999999999999978E-2</v>
      </c>
      <c r="H2488" s="8" t="str" cm="1">
        <f t="array" ref="H2488">_xlfn.IFS(Lektionen[[#This Row],[Bearbeitungsdauer_abgewichen]]&gt;0.6,"viel länger",Lektionen[[#This Row],[Bearbeitungsdauer_abgewichen]]&gt;0.3,"länger",Lektionen[[#This Row],[Bearbeitungsdauer_abgewichen]]&lt;-0.3,"kürzer",TRUE,"keine Abweichung")</f>
        <v>keine Abweichung</v>
      </c>
      <c r="I2488">
        <v>3</v>
      </c>
    </row>
    <row r="2489" spans="1:9" hidden="1" x14ac:dyDescent="0.3">
      <c r="A2489" s="13">
        <v>386</v>
      </c>
      <c r="B2489" s="4">
        <v>8</v>
      </c>
      <c r="C2489" t="s">
        <v>537</v>
      </c>
      <c r="D2489" t="s">
        <v>527</v>
      </c>
      <c r="E2489">
        <v>5</v>
      </c>
      <c r="F2489">
        <v>7</v>
      </c>
      <c r="G2489" s="8">
        <f>Lektionen[[#This Row],[Bearbeitungsdauer_real]]/Lektionen[[#This Row],[Bearbeitungsdauer_geschätzt]]-1</f>
        <v>0.39999999999999991</v>
      </c>
      <c r="H2489" s="8" t="str" cm="1">
        <f t="array" ref="H2489">_xlfn.IFS(Lektionen[[#This Row],[Bearbeitungsdauer_abgewichen]]&gt;0.6,"viel länger",Lektionen[[#This Row],[Bearbeitungsdauer_abgewichen]]&gt;0.3,"länger",Lektionen[[#This Row],[Bearbeitungsdauer_abgewichen]]&lt;-0.3,"kürzer",TRUE,"keine Abweichung")</f>
        <v>länger</v>
      </c>
      <c r="I2489">
        <v>1</v>
      </c>
    </row>
    <row r="2490" spans="1:9" hidden="1" x14ac:dyDescent="0.3">
      <c r="A2490" s="13">
        <v>388</v>
      </c>
      <c r="B2490" s="4">
        <v>1</v>
      </c>
      <c r="C2490" t="s">
        <v>526</v>
      </c>
      <c r="D2490" t="s">
        <v>527</v>
      </c>
      <c r="E2490">
        <v>4</v>
      </c>
      <c r="F2490">
        <v>4</v>
      </c>
      <c r="G2490" s="8">
        <f>Lektionen[[#This Row],[Bearbeitungsdauer_real]]/Lektionen[[#This Row],[Bearbeitungsdauer_geschätzt]]-1</f>
        <v>0</v>
      </c>
      <c r="H2490" s="8" t="str" cm="1">
        <f t="array" ref="H2490">_xlfn.IFS(Lektionen[[#This Row],[Bearbeitungsdauer_abgewichen]]&gt;0.6,"viel länger",Lektionen[[#This Row],[Bearbeitungsdauer_abgewichen]]&gt;0.3,"länger",Lektionen[[#This Row],[Bearbeitungsdauer_abgewichen]]&lt;-0.3,"kürzer",TRUE,"keine Abweichung")</f>
        <v>keine Abweichung</v>
      </c>
      <c r="I2490">
        <v>1</v>
      </c>
    </row>
    <row r="2491" spans="1:9" hidden="1" x14ac:dyDescent="0.3">
      <c r="A2491" s="13">
        <v>388</v>
      </c>
      <c r="B2491" s="4">
        <v>2</v>
      </c>
      <c r="C2491" t="s">
        <v>528</v>
      </c>
      <c r="D2491" t="s">
        <v>529</v>
      </c>
      <c r="E2491">
        <v>15</v>
      </c>
      <c r="F2491">
        <v>15</v>
      </c>
      <c r="G2491" s="8">
        <f>Lektionen[[#This Row],[Bearbeitungsdauer_real]]/Lektionen[[#This Row],[Bearbeitungsdauer_geschätzt]]-1</f>
        <v>0</v>
      </c>
      <c r="H2491" s="8" t="str" cm="1">
        <f t="array" ref="H2491">_xlfn.IFS(Lektionen[[#This Row],[Bearbeitungsdauer_abgewichen]]&gt;0.6,"viel länger",Lektionen[[#This Row],[Bearbeitungsdauer_abgewichen]]&gt;0.3,"länger",Lektionen[[#This Row],[Bearbeitungsdauer_abgewichen]]&lt;-0.3,"kürzer",TRUE,"keine Abweichung")</f>
        <v>keine Abweichung</v>
      </c>
      <c r="I2491">
        <v>1</v>
      </c>
    </row>
    <row r="2492" spans="1:9" hidden="1" x14ac:dyDescent="0.3">
      <c r="A2492" s="13">
        <v>388</v>
      </c>
      <c r="B2492" s="4">
        <v>3</v>
      </c>
      <c r="C2492" t="s">
        <v>552</v>
      </c>
      <c r="D2492" t="s">
        <v>530</v>
      </c>
      <c r="E2492">
        <v>30</v>
      </c>
      <c r="F2492">
        <v>29</v>
      </c>
      <c r="G2492" s="8">
        <f>Lektionen[[#This Row],[Bearbeitungsdauer_real]]/Lektionen[[#This Row],[Bearbeitungsdauer_geschätzt]]-1</f>
        <v>-3.3333333333333326E-2</v>
      </c>
      <c r="H2492" s="8" t="str" cm="1">
        <f t="array" ref="H2492">_xlfn.IFS(Lektionen[[#This Row],[Bearbeitungsdauer_abgewichen]]&gt;0.6,"viel länger",Lektionen[[#This Row],[Bearbeitungsdauer_abgewichen]]&gt;0.3,"länger",Lektionen[[#This Row],[Bearbeitungsdauer_abgewichen]]&lt;-0.3,"kürzer",TRUE,"keine Abweichung")</f>
        <v>keine Abweichung</v>
      </c>
      <c r="I2492">
        <v>3</v>
      </c>
    </row>
    <row r="2493" spans="1:9" hidden="1" x14ac:dyDescent="0.3">
      <c r="A2493" s="13">
        <v>388</v>
      </c>
      <c r="B2493" s="4">
        <v>4</v>
      </c>
      <c r="C2493" t="s">
        <v>531</v>
      </c>
      <c r="D2493" t="s">
        <v>530</v>
      </c>
      <c r="E2493">
        <v>30</v>
      </c>
      <c r="F2493">
        <v>28</v>
      </c>
      <c r="G2493" s="8">
        <f>Lektionen[[#This Row],[Bearbeitungsdauer_real]]/Lektionen[[#This Row],[Bearbeitungsdauer_geschätzt]]-1</f>
        <v>-6.6666666666666652E-2</v>
      </c>
      <c r="H2493" s="8" t="str" cm="1">
        <f t="array" ref="H2493">_xlfn.IFS(Lektionen[[#This Row],[Bearbeitungsdauer_abgewichen]]&gt;0.6,"viel länger",Lektionen[[#This Row],[Bearbeitungsdauer_abgewichen]]&gt;0.3,"länger",Lektionen[[#This Row],[Bearbeitungsdauer_abgewichen]]&lt;-0.3,"kürzer",TRUE,"keine Abweichung")</f>
        <v>keine Abweichung</v>
      </c>
      <c r="I2493">
        <v>2</v>
      </c>
    </row>
    <row r="2494" spans="1:9" x14ac:dyDescent="0.3">
      <c r="A2494" s="13">
        <v>388</v>
      </c>
      <c r="B2494" s="4">
        <v>5</v>
      </c>
      <c r="C2494" t="s">
        <v>532</v>
      </c>
      <c r="D2494" t="s">
        <v>530</v>
      </c>
      <c r="E2494">
        <v>30</v>
      </c>
      <c r="F2494">
        <v>47</v>
      </c>
      <c r="G2494" s="8">
        <f>Lektionen[[#This Row],[Bearbeitungsdauer_real]]/Lektionen[[#This Row],[Bearbeitungsdauer_geschätzt]]-1</f>
        <v>0.56666666666666665</v>
      </c>
      <c r="H2494" s="8" t="str" cm="1">
        <f t="array" ref="H2494">_xlfn.IFS(Lektionen[[#This Row],[Bearbeitungsdauer_abgewichen]]&gt;0.6,"viel länger",Lektionen[[#This Row],[Bearbeitungsdauer_abgewichen]]&gt;0.3,"länger",Lektionen[[#This Row],[Bearbeitungsdauer_abgewichen]]&lt;-0.3,"kürzer",TRUE,"keine Abweichung")</f>
        <v>länger</v>
      </c>
      <c r="I2494">
        <v>4</v>
      </c>
    </row>
    <row r="2495" spans="1:9" hidden="1" x14ac:dyDescent="0.3">
      <c r="A2495" s="13">
        <v>388</v>
      </c>
      <c r="B2495" s="4">
        <v>6</v>
      </c>
      <c r="C2495" t="s">
        <v>533</v>
      </c>
      <c r="D2495" t="s">
        <v>534</v>
      </c>
      <c r="E2495">
        <v>5</v>
      </c>
      <c r="F2495">
        <v>2</v>
      </c>
      <c r="G2495" s="8">
        <f>Lektionen[[#This Row],[Bearbeitungsdauer_real]]/Lektionen[[#This Row],[Bearbeitungsdauer_geschätzt]]-1</f>
        <v>-0.6</v>
      </c>
      <c r="H2495" s="8" t="str" cm="1">
        <f t="array" ref="H2495">_xlfn.IFS(Lektionen[[#This Row],[Bearbeitungsdauer_abgewichen]]&gt;0.6,"viel länger",Lektionen[[#This Row],[Bearbeitungsdauer_abgewichen]]&gt;0.3,"länger",Lektionen[[#This Row],[Bearbeitungsdauer_abgewichen]]&lt;-0.3,"kürzer",TRUE,"keine Abweichung")</f>
        <v>kürzer</v>
      </c>
      <c r="I2495">
        <v>1</v>
      </c>
    </row>
    <row r="2496" spans="1:9" hidden="1" x14ac:dyDescent="0.3">
      <c r="A2496" s="13">
        <v>388</v>
      </c>
      <c r="B2496" s="4">
        <v>7</v>
      </c>
      <c r="C2496" t="s">
        <v>535</v>
      </c>
      <c r="D2496" t="s">
        <v>536</v>
      </c>
      <c r="E2496">
        <v>10</v>
      </c>
      <c r="F2496">
        <v>8</v>
      </c>
      <c r="G2496" s="8">
        <f>Lektionen[[#This Row],[Bearbeitungsdauer_real]]/Lektionen[[#This Row],[Bearbeitungsdauer_geschätzt]]-1</f>
        <v>-0.19999999999999996</v>
      </c>
      <c r="H2496" s="8" t="str" cm="1">
        <f t="array" ref="H2496">_xlfn.IFS(Lektionen[[#This Row],[Bearbeitungsdauer_abgewichen]]&gt;0.6,"viel länger",Lektionen[[#This Row],[Bearbeitungsdauer_abgewichen]]&gt;0.3,"länger",Lektionen[[#This Row],[Bearbeitungsdauer_abgewichen]]&lt;-0.3,"kürzer",TRUE,"keine Abweichung")</f>
        <v>keine Abweichung</v>
      </c>
      <c r="I2496">
        <v>4</v>
      </c>
    </row>
    <row r="2497" spans="1:9" hidden="1" x14ac:dyDescent="0.3">
      <c r="A2497" s="13">
        <v>388</v>
      </c>
      <c r="B2497" s="4">
        <v>8</v>
      </c>
      <c r="C2497" t="s">
        <v>537</v>
      </c>
      <c r="D2497" t="s">
        <v>527</v>
      </c>
      <c r="E2497">
        <v>5</v>
      </c>
      <c r="F2497">
        <v>5</v>
      </c>
      <c r="G2497" s="8">
        <f>Lektionen[[#This Row],[Bearbeitungsdauer_real]]/Lektionen[[#This Row],[Bearbeitungsdauer_geschätzt]]-1</f>
        <v>0</v>
      </c>
      <c r="H2497" s="8" t="str" cm="1">
        <f t="array" ref="H2497">_xlfn.IFS(Lektionen[[#This Row],[Bearbeitungsdauer_abgewichen]]&gt;0.6,"viel länger",Lektionen[[#This Row],[Bearbeitungsdauer_abgewichen]]&gt;0.3,"länger",Lektionen[[#This Row],[Bearbeitungsdauer_abgewichen]]&lt;-0.3,"kürzer",TRUE,"keine Abweichung")</f>
        <v>keine Abweichung</v>
      </c>
      <c r="I2497">
        <v>2</v>
      </c>
    </row>
    <row r="2498" spans="1:9" hidden="1" x14ac:dyDescent="0.3">
      <c r="A2498" s="13">
        <v>390</v>
      </c>
      <c r="B2498" s="4">
        <v>1</v>
      </c>
      <c r="C2498" t="s">
        <v>526</v>
      </c>
      <c r="D2498" t="s">
        <v>527</v>
      </c>
      <c r="E2498">
        <v>4</v>
      </c>
      <c r="F2498">
        <v>4</v>
      </c>
      <c r="G2498" s="8">
        <f>Lektionen[[#This Row],[Bearbeitungsdauer_real]]/Lektionen[[#This Row],[Bearbeitungsdauer_geschätzt]]-1</f>
        <v>0</v>
      </c>
      <c r="H2498" s="8" t="str" cm="1">
        <f t="array" ref="H2498">_xlfn.IFS(Lektionen[[#This Row],[Bearbeitungsdauer_abgewichen]]&gt;0.6,"viel länger",Lektionen[[#This Row],[Bearbeitungsdauer_abgewichen]]&gt;0.3,"länger",Lektionen[[#This Row],[Bearbeitungsdauer_abgewichen]]&lt;-0.3,"kürzer",TRUE,"keine Abweichung")</f>
        <v>keine Abweichung</v>
      </c>
      <c r="I2498">
        <v>1</v>
      </c>
    </row>
    <row r="2499" spans="1:9" hidden="1" x14ac:dyDescent="0.3">
      <c r="A2499" s="13">
        <v>390</v>
      </c>
      <c r="B2499" s="4">
        <v>2</v>
      </c>
      <c r="C2499" t="s">
        <v>528</v>
      </c>
      <c r="D2499" t="s">
        <v>529</v>
      </c>
      <c r="E2499">
        <v>15</v>
      </c>
      <c r="F2499">
        <v>19</v>
      </c>
      <c r="G2499" s="8">
        <f>Lektionen[[#This Row],[Bearbeitungsdauer_real]]/Lektionen[[#This Row],[Bearbeitungsdauer_geschätzt]]-1</f>
        <v>0.26666666666666661</v>
      </c>
      <c r="H2499" s="8" t="str" cm="1">
        <f t="array" ref="H2499">_xlfn.IFS(Lektionen[[#This Row],[Bearbeitungsdauer_abgewichen]]&gt;0.6,"viel länger",Lektionen[[#This Row],[Bearbeitungsdauer_abgewichen]]&gt;0.3,"länger",Lektionen[[#This Row],[Bearbeitungsdauer_abgewichen]]&lt;-0.3,"kürzer",TRUE,"keine Abweichung")</f>
        <v>keine Abweichung</v>
      </c>
      <c r="I2499">
        <v>2</v>
      </c>
    </row>
    <row r="2500" spans="1:9" hidden="1" x14ac:dyDescent="0.3">
      <c r="A2500" s="13">
        <v>390</v>
      </c>
      <c r="B2500" s="4">
        <v>3</v>
      </c>
      <c r="C2500" t="s">
        <v>552</v>
      </c>
      <c r="D2500" t="s">
        <v>530</v>
      </c>
      <c r="E2500">
        <v>30</v>
      </c>
      <c r="F2500">
        <v>29</v>
      </c>
      <c r="G2500" s="8">
        <f>Lektionen[[#This Row],[Bearbeitungsdauer_real]]/Lektionen[[#This Row],[Bearbeitungsdauer_geschätzt]]-1</f>
        <v>-3.3333333333333326E-2</v>
      </c>
      <c r="H2500" s="8" t="str" cm="1">
        <f t="array" ref="H2500">_xlfn.IFS(Lektionen[[#This Row],[Bearbeitungsdauer_abgewichen]]&gt;0.6,"viel länger",Lektionen[[#This Row],[Bearbeitungsdauer_abgewichen]]&gt;0.3,"länger",Lektionen[[#This Row],[Bearbeitungsdauer_abgewichen]]&lt;-0.3,"kürzer",TRUE,"keine Abweichung")</f>
        <v>keine Abweichung</v>
      </c>
      <c r="I2500">
        <v>3</v>
      </c>
    </row>
    <row r="2501" spans="1:9" hidden="1" x14ac:dyDescent="0.3">
      <c r="A2501" s="13">
        <v>390</v>
      </c>
      <c r="B2501" s="4">
        <v>4</v>
      </c>
      <c r="C2501" t="s">
        <v>531</v>
      </c>
      <c r="D2501" t="s">
        <v>530</v>
      </c>
      <c r="E2501">
        <v>30</v>
      </c>
      <c r="F2501">
        <v>25</v>
      </c>
      <c r="G2501" s="8">
        <f>Lektionen[[#This Row],[Bearbeitungsdauer_real]]/Lektionen[[#This Row],[Bearbeitungsdauer_geschätzt]]-1</f>
        <v>-0.16666666666666663</v>
      </c>
      <c r="H2501" s="8" t="str" cm="1">
        <f t="array" ref="H2501">_xlfn.IFS(Lektionen[[#This Row],[Bearbeitungsdauer_abgewichen]]&gt;0.6,"viel länger",Lektionen[[#This Row],[Bearbeitungsdauer_abgewichen]]&gt;0.3,"länger",Lektionen[[#This Row],[Bearbeitungsdauer_abgewichen]]&lt;-0.3,"kürzer",TRUE,"keine Abweichung")</f>
        <v>keine Abweichung</v>
      </c>
      <c r="I2501">
        <v>2</v>
      </c>
    </row>
    <row r="2502" spans="1:9" x14ac:dyDescent="0.3">
      <c r="A2502" s="13">
        <v>390</v>
      </c>
      <c r="B2502" s="4">
        <v>5</v>
      </c>
      <c r="C2502" t="s">
        <v>532</v>
      </c>
      <c r="D2502" t="s">
        <v>530</v>
      </c>
      <c r="E2502">
        <v>30</v>
      </c>
      <c r="F2502">
        <v>52</v>
      </c>
      <c r="G2502" s="8">
        <f>Lektionen[[#This Row],[Bearbeitungsdauer_real]]/Lektionen[[#This Row],[Bearbeitungsdauer_geschätzt]]-1</f>
        <v>0.73333333333333339</v>
      </c>
      <c r="H2502" s="8" t="str" cm="1">
        <f t="array" ref="H2502">_xlfn.IFS(Lektionen[[#This Row],[Bearbeitungsdauer_abgewichen]]&gt;0.6,"viel länger",Lektionen[[#This Row],[Bearbeitungsdauer_abgewichen]]&gt;0.3,"länger",Lektionen[[#This Row],[Bearbeitungsdauer_abgewichen]]&lt;-0.3,"kürzer",TRUE,"keine Abweichung")</f>
        <v>viel länger</v>
      </c>
      <c r="I2502">
        <v>3</v>
      </c>
    </row>
    <row r="2503" spans="1:9" hidden="1" x14ac:dyDescent="0.3">
      <c r="A2503" s="13">
        <v>390</v>
      </c>
      <c r="B2503" s="4">
        <v>6</v>
      </c>
      <c r="C2503" t="s">
        <v>533</v>
      </c>
      <c r="D2503" t="s">
        <v>534</v>
      </c>
      <c r="E2503">
        <v>5</v>
      </c>
      <c r="F2503">
        <v>1</v>
      </c>
      <c r="G2503" s="8">
        <f>Lektionen[[#This Row],[Bearbeitungsdauer_real]]/Lektionen[[#This Row],[Bearbeitungsdauer_geschätzt]]-1</f>
        <v>-0.8</v>
      </c>
      <c r="H2503" s="8" t="str" cm="1">
        <f t="array" ref="H2503">_xlfn.IFS(Lektionen[[#This Row],[Bearbeitungsdauer_abgewichen]]&gt;0.6,"viel länger",Lektionen[[#This Row],[Bearbeitungsdauer_abgewichen]]&gt;0.3,"länger",Lektionen[[#This Row],[Bearbeitungsdauer_abgewichen]]&lt;-0.3,"kürzer",TRUE,"keine Abweichung")</f>
        <v>kürzer</v>
      </c>
      <c r="I2503">
        <v>2</v>
      </c>
    </row>
    <row r="2504" spans="1:9" hidden="1" x14ac:dyDescent="0.3">
      <c r="A2504" s="13">
        <v>390</v>
      </c>
      <c r="B2504" s="4">
        <v>7</v>
      </c>
      <c r="C2504" t="s">
        <v>535</v>
      </c>
      <c r="D2504" t="s">
        <v>536</v>
      </c>
      <c r="E2504">
        <v>10</v>
      </c>
      <c r="F2504">
        <v>11</v>
      </c>
      <c r="G2504" s="8">
        <f>Lektionen[[#This Row],[Bearbeitungsdauer_real]]/Lektionen[[#This Row],[Bearbeitungsdauer_geschätzt]]-1</f>
        <v>0.10000000000000009</v>
      </c>
      <c r="H2504" s="8" t="str" cm="1">
        <f t="array" ref="H2504">_xlfn.IFS(Lektionen[[#This Row],[Bearbeitungsdauer_abgewichen]]&gt;0.6,"viel länger",Lektionen[[#This Row],[Bearbeitungsdauer_abgewichen]]&gt;0.3,"länger",Lektionen[[#This Row],[Bearbeitungsdauer_abgewichen]]&lt;-0.3,"kürzer",TRUE,"keine Abweichung")</f>
        <v>keine Abweichung</v>
      </c>
      <c r="I2504">
        <v>3</v>
      </c>
    </row>
    <row r="2505" spans="1:9" hidden="1" x14ac:dyDescent="0.3">
      <c r="A2505" s="13">
        <v>390</v>
      </c>
      <c r="B2505" s="4">
        <v>8</v>
      </c>
      <c r="C2505" t="s">
        <v>537</v>
      </c>
      <c r="D2505" t="s">
        <v>527</v>
      </c>
      <c r="E2505">
        <v>5</v>
      </c>
      <c r="F2505">
        <v>5</v>
      </c>
      <c r="G2505" s="8">
        <f>Lektionen[[#This Row],[Bearbeitungsdauer_real]]/Lektionen[[#This Row],[Bearbeitungsdauer_geschätzt]]-1</f>
        <v>0</v>
      </c>
      <c r="H2505" s="8" t="str" cm="1">
        <f t="array" ref="H2505">_xlfn.IFS(Lektionen[[#This Row],[Bearbeitungsdauer_abgewichen]]&gt;0.6,"viel länger",Lektionen[[#This Row],[Bearbeitungsdauer_abgewichen]]&gt;0.3,"länger",Lektionen[[#This Row],[Bearbeitungsdauer_abgewichen]]&lt;-0.3,"kürzer",TRUE,"keine Abweichung")</f>
        <v>keine Abweichung</v>
      </c>
      <c r="I2505">
        <v>1</v>
      </c>
    </row>
    <row r="2506" spans="1:9" hidden="1" x14ac:dyDescent="0.3">
      <c r="A2506" s="13">
        <v>391</v>
      </c>
      <c r="B2506" s="4">
        <v>1</v>
      </c>
      <c r="C2506" t="s">
        <v>526</v>
      </c>
      <c r="D2506" t="s">
        <v>527</v>
      </c>
      <c r="E2506">
        <v>4</v>
      </c>
      <c r="F2506">
        <v>4</v>
      </c>
      <c r="G2506" s="8">
        <f>Lektionen[[#This Row],[Bearbeitungsdauer_real]]/Lektionen[[#This Row],[Bearbeitungsdauer_geschätzt]]-1</f>
        <v>0</v>
      </c>
      <c r="H2506" s="8" t="str" cm="1">
        <f t="array" ref="H2506">_xlfn.IFS(Lektionen[[#This Row],[Bearbeitungsdauer_abgewichen]]&gt;0.6,"viel länger",Lektionen[[#This Row],[Bearbeitungsdauer_abgewichen]]&gt;0.3,"länger",Lektionen[[#This Row],[Bearbeitungsdauer_abgewichen]]&lt;-0.3,"kürzer",TRUE,"keine Abweichung")</f>
        <v>keine Abweichung</v>
      </c>
      <c r="I2506">
        <v>1</v>
      </c>
    </row>
    <row r="2507" spans="1:9" hidden="1" x14ac:dyDescent="0.3">
      <c r="A2507" s="13">
        <v>391</v>
      </c>
      <c r="B2507" s="4">
        <v>2</v>
      </c>
      <c r="C2507" t="s">
        <v>528</v>
      </c>
      <c r="D2507" t="s">
        <v>529</v>
      </c>
      <c r="E2507">
        <v>15</v>
      </c>
      <c r="F2507">
        <v>19</v>
      </c>
      <c r="G2507" s="8">
        <f>Lektionen[[#This Row],[Bearbeitungsdauer_real]]/Lektionen[[#This Row],[Bearbeitungsdauer_geschätzt]]-1</f>
        <v>0.26666666666666661</v>
      </c>
      <c r="H2507" s="8" t="str" cm="1">
        <f t="array" ref="H2507">_xlfn.IFS(Lektionen[[#This Row],[Bearbeitungsdauer_abgewichen]]&gt;0.6,"viel länger",Lektionen[[#This Row],[Bearbeitungsdauer_abgewichen]]&gt;0.3,"länger",Lektionen[[#This Row],[Bearbeitungsdauer_abgewichen]]&lt;-0.3,"kürzer",TRUE,"keine Abweichung")</f>
        <v>keine Abweichung</v>
      </c>
      <c r="I2507">
        <v>2</v>
      </c>
    </row>
    <row r="2508" spans="1:9" hidden="1" x14ac:dyDescent="0.3">
      <c r="A2508" s="13">
        <v>391</v>
      </c>
      <c r="B2508" s="4">
        <v>3</v>
      </c>
      <c r="C2508" t="s">
        <v>552</v>
      </c>
      <c r="D2508" t="s">
        <v>530</v>
      </c>
      <c r="E2508">
        <v>30</v>
      </c>
      <c r="F2508">
        <v>27</v>
      </c>
      <c r="G2508" s="8">
        <f>Lektionen[[#This Row],[Bearbeitungsdauer_real]]/Lektionen[[#This Row],[Bearbeitungsdauer_geschätzt]]-1</f>
        <v>-9.9999999999999978E-2</v>
      </c>
      <c r="H2508" s="8" t="str" cm="1">
        <f t="array" ref="H2508">_xlfn.IFS(Lektionen[[#This Row],[Bearbeitungsdauer_abgewichen]]&gt;0.6,"viel länger",Lektionen[[#This Row],[Bearbeitungsdauer_abgewichen]]&gt;0.3,"länger",Lektionen[[#This Row],[Bearbeitungsdauer_abgewichen]]&lt;-0.3,"kürzer",TRUE,"keine Abweichung")</f>
        <v>keine Abweichung</v>
      </c>
      <c r="I2508">
        <v>2</v>
      </c>
    </row>
    <row r="2509" spans="1:9" hidden="1" x14ac:dyDescent="0.3">
      <c r="A2509" s="13">
        <v>391</v>
      </c>
      <c r="B2509" s="4">
        <v>4</v>
      </c>
      <c r="C2509" t="s">
        <v>531</v>
      </c>
      <c r="D2509" t="s">
        <v>530</v>
      </c>
      <c r="E2509">
        <v>30</v>
      </c>
      <c r="F2509">
        <v>23</v>
      </c>
      <c r="G2509" s="8">
        <f>Lektionen[[#This Row],[Bearbeitungsdauer_real]]/Lektionen[[#This Row],[Bearbeitungsdauer_geschätzt]]-1</f>
        <v>-0.23333333333333328</v>
      </c>
      <c r="H2509" s="8" t="str" cm="1">
        <f t="array" ref="H2509">_xlfn.IFS(Lektionen[[#This Row],[Bearbeitungsdauer_abgewichen]]&gt;0.6,"viel länger",Lektionen[[#This Row],[Bearbeitungsdauer_abgewichen]]&gt;0.3,"länger",Lektionen[[#This Row],[Bearbeitungsdauer_abgewichen]]&lt;-0.3,"kürzer",TRUE,"keine Abweichung")</f>
        <v>keine Abweichung</v>
      </c>
      <c r="I2509">
        <v>3</v>
      </c>
    </row>
    <row r="2510" spans="1:9" x14ac:dyDescent="0.3">
      <c r="A2510" s="13">
        <v>391</v>
      </c>
      <c r="B2510" s="4">
        <v>5</v>
      </c>
      <c r="C2510" t="s">
        <v>532</v>
      </c>
      <c r="D2510" t="s">
        <v>530</v>
      </c>
      <c r="E2510">
        <v>30</v>
      </c>
      <c r="F2510">
        <v>45</v>
      </c>
      <c r="G2510" s="8">
        <f>Lektionen[[#This Row],[Bearbeitungsdauer_real]]/Lektionen[[#This Row],[Bearbeitungsdauer_geschätzt]]-1</f>
        <v>0.5</v>
      </c>
      <c r="H2510" s="8" t="str" cm="1">
        <f t="array" ref="H2510">_xlfn.IFS(Lektionen[[#This Row],[Bearbeitungsdauer_abgewichen]]&gt;0.6,"viel länger",Lektionen[[#This Row],[Bearbeitungsdauer_abgewichen]]&gt;0.3,"länger",Lektionen[[#This Row],[Bearbeitungsdauer_abgewichen]]&lt;-0.3,"kürzer",TRUE,"keine Abweichung")</f>
        <v>länger</v>
      </c>
      <c r="I2510">
        <v>3</v>
      </c>
    </row>
    <row r="2511" spans="1:9" hidden="1" x14ac:dyDescent="0.3">
      <c r="A2511" s="13">
        <v>391</v>
      </c>
      <c r="B2511" s="4">
        <v>6</v>
      </c>
      <c r="C2511" t="s">
        <v>533</v>
      </c>
      <c r="D2511" t="s">
        <v>534</v>
      </c>
      <c r="E2511">
        <v>5</v>
      </c>
      <c r="F2511">
        <v>2</v>
      </c>
      <c r="G2511" s="8">
        <f>Lektionen[[#This Row],[Bearbeitungsdauer_real]]/Lektionen[[#This Row],[Bearbeitungsdauer_geschätzt]]-1</f>
        <v>-0.6</v>
      </c>
      <c r="H2511" s="8" t="str" cm="1">
        <f t="array" ref="H2511">_xlfn.IFS(Lektionen[[#This Row],[Bearbeitungsdauer_abgewichen]]&gt;0.6,"viel länger",Lektionen[[#This Row],[Bearbeitungsdauer_abgewichen]]&gt;0.3,"länger",Lektionen[[#This Row],[Bearbeitungsdauer_abgewichen]]&lt;-0.3,"kürzer",TRUE,"keine Abweichung")</f>
        <v>kürzer</v>
      </c>
      <c r="I2511">
        <v>2</v>
      </c>
    </row>
    <row r="2512" spans="1:9" hidden="1" x14ac:dyDescent="0.3">
      <c r="A2512" s="13">
        <v>391</v>
      </c>
      <c r="B2512" s="4">
        <v>7</v>
      </c>
      <c r="C2512" t="s">
        <v>535</v>
      </c>
      <c r="D2512" t="s">
        <v>536</v>
      </c>
      <c r="E2512">
        <v>10</v>
      </c>
      <c r="F2512">
        <v>8</v>
      </c>
      <c r="G2512" s="8">
        <f>Lektionen[[#This Row],[Bearbeitungsdauer_real]]/Lektionen[[#This Row],[Bearbeitungsdauer_geschätzt]]-1</f>
        <v>-0.19999999999999996</v>
      </c>
      <c r="H2512" s="8" t="str" cm="1">
        <f t="array" ref="H2512">_xlfn.IFS(Lektionen[[#This Row],[Bearbeitungsdauer_abgewichen]]&gt;0.6,"viel länger",Lektionen[[#This Row],[Bearbeitungsdauer_abgewichen]]&gt;0.3,"länger",Lektionen[[#This Row],[Bearbeitungsdauer_abgewichen]]&lt;-0.3,"kürzer",TRUE,"keine Abweichung")</f>
        <v>keine Abweichung</v>
      </c>
      <c r="I2512">
        <v>4</v>
      </c>
    </row>
    <row r="2513" spans="1:9" hidden="1" x14ac:dyDescent="0.3">
      <c r="A2513" s="13">
        <v>391</v>
      </c>
      <c r="B2513" s="4">
        <v>8</v>
      </c>
      <c r="C2513" t="s">
        <v>537</v>
      </c>
      <c r="D2513" t="s">
        <v>527</v>
      </c>
      <c r="E2513">
        <v>5</v>
      </c>
      <c r="F2513">
        <v>5</v>
      </c>
      <c r="G2513" s="8">
        <f>Lektionen[[#This Row],[Bearbeitungsdauer_real]]/Lektionen[[#This Row],[Bearbeitungsdauer_geschätzt]]-1</f>
        <v>0</v>
      </c>
      <c r="H2513" s="8" t="str" cm="1">
        <f t="array" ref="H2513">_xlfn.IFS(Lektionen[[#This Row],[Bearbeitungsdauer_abgewichen]]&gt;0.6,"viel länger",Lektionen[[#This Row],[Bearbeitungsdauer_abgewichen]]&gt;0.3,"länger",Lektionen[[#This Row],[Bearbeitungsdauer_abgewichen]]&lt;-0.3,"kürzer",TRUE,"keine Abweichung")</f>
        <v>keine Abweichung</v>
      </c>
      <c r="I2513">
        <v>1</v>
      </c>
    </row>
    <row r="2514" spans="1:9" hidden="1" x14ac:dyDescent="0.3">
      <c r="A2514" s="13">
        <v>393</v>
      </c>
      <c r="B2514" s="4">
        <v>1</v>
      </c>
      <c r="C2514" t="s">
        <v>526</v>
      </c>
      <c r="D2514" t="s">
        <v>527</v>
      </c>
      <c r="E2514">
        <v>4</v>
      </c>
      <c r="F2514">
        <v>4</v>
      </c>
      <c r="G2514" s="8">
        <f>Lektionen[[#This Row],[Bearbeitungsdauer_real]]/Lektionen[[#This Row],[Bearbeitungsdauer_geschätzt]]-1</f>
        <v>0</v>
      </c>
      <c r="H2514" s="8" t="str" cm="1">
        <f t="array" ref="H2514">_xlfn.IFS(Lektionen[[#This Row],[Bearbeitungsdauer_abgewichen]]&gt;0.6,"viel länger",Lektionen[[#This Row],[Bearbeitungsdauer_abgewichen]]&gt;0.3,"länger",Lektionen[[#This Row],[Bearbeitungsdauer_abgewichen]]&lt;-0.3,"kürzer",TRUE,"keine Abweichung")</f>
        <v>keine Abweichung</v>
      </c>
      <c r="I2514">
        <v>1</v>
      </c>
    </row>
    <row r="2515" spans="1:9" hidden="1" x14ac:dyDescent="0.3">
      <c r="A2515" s="13">
        <v>393</v>
      </c>
      <c r="B2515" s="4">
        <v>2</v>
      </c>
      <c r="C2515" t="s">
        <v>528</v>
      </c>
      <c r="D2515" t="s">
        <v>529</v>
      </c>
      <c r="E2515">
        <v>15</v>
      </c>
      <c r="F2515">
        <v>16</v>
      </c>
      <c r="G2515" s="8">
        <f>Lektionen[[#This Row],[Bearbeitungsdauer_real]]/Lektionen[[#This Row],[Bearbeitungsdauer_geschätzt]]-1</f>
        <v>6.6666666666666652E-2</v>
      </c>
      <c r="H2515" s="8" t="str" cm="1">
        <f t="array" ref="H2515">_xlfn.IFS(Lektionen[[#This Row],[Bearbeitungsdauer_abgewichen]]&gt;0.6,"viel länger",Lektionen[[#This Row],[Bearbeitungsdauer_abgewichen]]&gt;0.3,"länger",Lektionen[[#This Row],[Bearbeitungsdauer_abgewichen]]&lt;-0.3,"kürzer",TRUE,"keine Abweichung")</f>
        <v>keine Abweichung</v>
      </c>
      <c r="I2515">
        <v>2</v>
      </c>
    </row>
    <row r="2516" spans="1:9" hidden="1" x14ac:dyDescent="0.3">
      <c r="A2516" s="13">
        <v>393</v>
      </c>
      <c r="B2516" s="4">
        <v>3</v>
      </c>
      <c r="C2516" t="s">
        <v>552</v>
      </c>
      <c r="D2516" t="s">
        <v>530</v>
      </c>
      <c r="E2516">
        <v>30</v>
      </c>
      <c r="F2516">
        <v>28</v>
      </c>
      <c r="G2516" s="8">
        <f>Lektionen[[#This Row],[Bearbeitungsdauer_real]]/Lektionen[[#This Row],[Bearbeitungsdauer_geschätzt]]-1</f>
        <v>-6.6666666666666652E-2</v>
      </c>
      <c r="H2516" s="8" t="str" cm="1">
        <f t="array" ref="H2516">_xlfn.IFS(Lektionen[[#This Row],[Bearbeitungsdauer_abgewichen]]&gt;0.6,"viel länger",Lektionen[[#This Row],[Bearbeitungsdauer_abgewichen]]&gt;0.3,"länger",Lektionen[[#This Row],[Bearbeitungsdauer_abgewichen]]&lt;-0.3,"kürzer",TRUE,"keine Abweichung")</f>
        <v>keine Abweichung</v>
      </c>
      <c r="I2516">
        <v>3</v>
      </c>
    </row>
    <row r="2517" spans="1:9" hidden="1" x14ac:dyDescent="0.3">
      <c r="A2517" s="13">
        <v>393</v>
      </c>
      <c r="B2517" s="4">
        <v>4</v>
      </c>
      <c r="C2517" t="s">
        <v>531</v>
      </c>
      <c r="D2517" t="s">
        <v>530</v>
      </c>
      <c r="E2517">
        <v>30</v>
      </c>
      <c r="F2517">
        <v>31</v>
      </c>
      <c r="G2517" s="8">
        <f>Lektionen[[#This Row],[Bearbeitungsdauer_real]]/Lektionen[[#This Row],[Bearbeitungsdauer_geschätzt]]-1</f>
        <v>3.3333333333333437E-2</v>
      </c>
      <c r="H2517" s="8" t="str" cm="1">
        <f t="array" ref="H2517">_xlfn.IFS(Lektionen[[#This Row],[Bearbeitungsdauer_abgewichen]]&gt;0.6,"viel länger",Lektionen[[#This Row],[Bearbeitungsdauer_abgewichen]]&gt;0.3,"länger",Lektionen[[#This Row],[Bearbeitungsdauer_abgewichen]]&lt;-0.3,"kürzer",TRUE,"keine Abweichung")</f>
        <v>keine Abweichung</v>
      </c>
      <c r="I2517">
        <v>3</v>
      </c>
    </row>
    <row r="2518" spans="1:9" x14ac:dyDescent="0.3">
      <c r="A2518" s="13">
        <v>393</v>
      </c>
      <c r="B2518" s="4">
        <v>5</v>
      </c>
      <c r="C2518" t="s">
        <v>532</v>
      </c>
      <c r="D2518" t="s">
        <v>530</v>
      </c>
      <c r="E2518">
        <v>30</v>
      </c>
      <c r="F2518">
        <v>40</v>
      </c>
      <c r="G2518" s="8">
        <f>Lektionen[[#This Row],[Bearbeitungsdauer_real]]/Lektionen[[#This Row],[Bearbeitungsdauer_geschätzt]]-1</f>
        <v>0.33333333333333326</v>
      </c>
      <c r="H2518" s="8" t="str" cm="1">
        <f t="array" ref="H2518">_xlfn.IFS(Lektionen[[#This Row],[Bearbeitungsdauer_abgewichen]]&gt;0.6,"viel länger",Lektionen[[#This Row],[Bearbeitungsdauer_abgewichen]]&gt;0.3,"länger",Lektionen[[#This Row],[Bearbeitungsdauer_abgewichen]]&lt;-0.3,"kürzer",TRUE,"keine Abweichung")</f>
        <v>länger</v>
      </c>
      <c r="I2518">
        <v>4</v>
      </c>
    </row>
    <row r="2519" spans="1:9" hidden="1" x14ac:dyDescent="0.3">
      <c r="A2519" s="13">
        <v>393</v>
      </c>
      <c r="B2519" s="4">
        <v>6</v>
      </c>
      <c r="C2519" t="s">
        <v>533</v>
      </c>
      <c r="D2519" t="s">
        <v>534</v>
      </c>
      <c r="E2519">
        <v>5</v>
      </c>
      <c r="F2519">
        <v>1</v>
      </c>
      <c r="G2519" s="8">
        <f>Lektionen[[#This Row],[Bearbeitungsdauer_real]]/Lektionen[[#This Row],[Bearbeitungsdauer_geschätzt]]-1</f>
        <v>-0.8</v>
      </c>
      <c r="H2519" s="8" t="str" cm="1">
        <f t="array" ref="H2519">_xlfn.IFS(Lektionen[[#This Row],[Bearbeitungsdauer_abgewichen]]&gt;0.6,"viel länger",Lektionen[[#This Row],[Bearbeitungsdauer_abgewichen]]&gt;0.3,"länger",Lektionen[[#This Row],[Bearbeitungsdauer_abgewichen]]&lt;-0.3,"kürzer",TRUE,"keine Abweichung")</f>
        <v>kürzer</v>
      </c>
      <c r="I2519">
        <v>3</v>
      </c>
    </row>
    <row r="2520" spans="1:9" hidden="1" x14ac:dyDescent="0.3">
      <c r="A2520" s="13">
        <v>393</v>
      </c>
      <c r="B2520" s="4">
        <v>7</v>
      </c>
      <c r="C2520" t="s">
        <v>535</v>
      </c>
      <c r="D2520" t="s">
        <v>536</v>
      </c>
      <c r="E2520">
        <v>10</v>
      </c>
      <c r="F2520">
        <v>10</v>
      </c>
      <c r="G2520" s="8">
        <f>Lektionen[[#This Row],[Bearbeitungsdauer_real]]/Lektionen[[#This Row],[Bearbeitungsdauer_geschätzt]]-1</f>
        <v>0</v>
      </c>
      <c r="H2520" s="8" t="str" cm="1">
        <f t="array" ref="H2520">_xlfn.IFS(Lektionen[[#This Row],[Bearbeitungsdauer_abgewichen]]&gt;0.6,"viel länger",Lektionen[[#This Row],[Bearbeitungsdauer_abgewichen]]&gt;0.3,"länger",Lektionen[[#This Row],[Bearbeitungsdauer_abgewichen]]&lt;-0.3,"kürzer",TRUE,"keine Abweichung")</f>
        <v>keine Abweichung</v>
      </c>
      <c r="I2520">
        <v>3</v>
      </c>
    </row>
    <row r="2521" spans="1:9" hidden="1" x14ac:dyDescent="0.3">
      <c r="A2521" s="13">
        <v>393</v>
      </c>
      <c r="B2521" s="4">
        <v>8</v>
      </c>
      <c r="C2521" t="s">
        <v>537</v>
      </c>
      <c r="D2521" t="s">
        <v>527</v>
      </c>
      <c r="E2521">
        <v>5</v>
      </c>
      <c r="F2521">
        <v>5</v>
      </c>
      <c r="G2521" s="8">
        <f>Lektionen[[#This Row],[Bearbeitungsdauer_real]]/Lektionen[[#This Row],[Bearbeitungsdauer_geschätzt]]-1</f>
        <v>0</v>
      </c>
      <c r="H2521" s="8" t="str" cm="1">
        <f t="array" ref="H2521">_xlfn.IFS(Lektionen[[#This Row],[Bearbeitungsdauer_abgewichen]]&gt;0.6,"viel länger",Lektionen[[#This Row],[Bearbeitungsdauer_abgewichen]]&gt;0.3,"länger",Lektionen[[#This Row],[Bearbeitungsdauer_abgewichen]]&lt;-0.3,"kürzer",TRUE,"keine Abweichung")</f>
        <v>keine Abweichung</v>
      </c>
      <c r="I2521">
        <v>1</v>
      </c>
    </row>
    <row r="2522" spans="1:9" hidden="1" x14ac:dyDescent="0.3">
      <c r="A2522" s="13">
        <v>394</v>
      </c>
      <c r="B2522" s="4">
        <v>1</v>
      </c>
      <c r="C2522" t="s">
        <v>526</v>
      </c>
      <c r="D2522" t="s">
        <v>527</v>
      </c>
      <c r="E2522">
        <v>4</v>
      </c>
      <c r="F2522">
        <v>6</v>
      </c>
      <c r="G2522" s="8">
        <f>Lektionen[[#This Row],[Bearbeitungsdauer_real]]/Lektionen[[#This Row],[Bearbeitungsdauer_geschätzt]]-1</f>
        <v>0.5</v>
      </c>
      <c r="H2522" s="8" t="str" cm="1">
        <f t="array" ref="H2522">_xlfn.IFS(Lektionen[[#This Row],[Bearbeitungsdauer_abgewichen]]&gt;0.6,"viel länger",Lektionen[[#This Row],[Bearbeitungsdauer_abgewichen]]&gt;0.3,"länger",Lektionen[[#This Row],[Bearbeitungsdauer_abgewichen]]&lt;-0.3,"kürzer",TRUE,"keine Abweichung")</f>
        <v>länger</v>
      </c>
      <c r="I2522">
        <v>1</v>
      </c>
    </row>
    <row r="2523" spans="1:9" hidden="1" x14ac:dyDescent="0.3">
      <c r="A2523" s="13">
        <v>394</v>
      </c>
      <c r="B2523" s="4">
        <v>2</v>
      </c>
      <c r="C2523" t="s">
        <v>528</v>
      </c>
      <c r="D2523" t="s">
        <v>529</v>
      </c>
      <c r="E2523">
        <v>15</v>
      </c>
      <c r="F2523">
        <v>20</v>
      </c>
      <c r="G2523" s="8">
        <f>Lektionen[[#This Row],[Bearbeitungsdauer_real]]/Lektionen[[#This Row],[Bearbeitungsdauer_geschätzt]]-1</f>
        <v>0.33333333333333326</v>
      </c>
      <c r="H2523" s="8" t="str" cm="1">
        <f t="array" ref="H2523">_xlfn.IFS(Lektionen[[#This Row],[Bearbeitungsdauer_abgewichen]]&gt;0.6,"viel länger",Lektionen[[#This Row],[Bearbeitungsdauer_abgewichen]]&gt;0.3,"länger",Lektionen[[#This Row],[Bearbeitungsdauer_abgewichen]]&lt;-0.3,"kürzer",TRUE,"keine Abweichung")</f>
        <v>länger</v>
      </c>
      <c r="I2523">
        <v>1</v>
      </c>
    </row>
    <row r="2524" spans="1:9" hidden="1" x14ac:dyDescent="0.3">
      <c r="A2524" s="13">
        <v>394</v>
      </c>
      <c r="B2524" s="4">
        <v>3</v>
      </c>
      <c r="C2524" t="s">
        <v>552</v>
      </c>
      <c r="D2524" t="s">
        <v>530</v>
      </c>
      <c r="E2524">
        <v>30</v>
      </c>
      <c r="F2524">
        <v>27</v>
      </c>
      <c r="G2524" s="8">
        <f>Lektionen[[#This Row],[Bearbeitungsdauer_real]]/Lektionen[[#This Row],[Bearbeitungsdauer_geschätzt]]-1</f>
        <v>-9.9999999999999978E-2</v>
      </c>
      <c r="H2524" s="8" t="str" cm="1">
        <f t="array" ref="H2524">_xlfn.IFS(Lektionen[[#This Row],[Bearbeitungsdauer_abgewichen]]&gt;0.6,"viel länger",Lektionen[[#This Row],[Bearbeitungsdauer_abgewichen]]&gt;0.3,"länger",Lektionen[[#This Row],[Bearbeitungsdauer_abgewichen]]&lt;-0.3,"kürzer",TRUE,"keine Abweichung")</f>
        <v>keine Abweichung</v>
      </c>
      <c r="I2524">
        <v>3</v>
      </c>
    </row>
    <row r="2525" spans="1:9" hidden="1" x14ac:dyDescent="0.3">
      <c r="A2525" s="13">
        <v>394</v>
      </c>
      <c r="B2525" s="4">
        <v>4</v>
      </c>
      <c r="C2525" t="s">
        <v>531</v>
      </c>
      <c r="D2525" t="s">
        <v>530</v>
      </c>
      <c r="E2525">
        <v>30</v>
      </c>
      <c r="F2525">
        <v>22</v>
      </c>
      <c r="G2525" s="8">
        <f>Lektionen[[#This Row],[Bearbeitungsdauer_real]]/Lektionen[[#This Row],[Bearbeitungsdauer_geschätzt]]-1</f>
        <v>-0.26666666666666672</v>
      </c>
      <c r="H2525" s="8" t="str" cm="1">
        <f t="array" ref="H2525">_xlfn.IFS(Lektionen[[#This Row],[Bearbeitungsdauer_abgewichen]]&gt;0.6,"viel länger",Lektionen[[#This Row],[Bearbeitungsdauer_abgewichen]]&gt;0.3,"länger",Lektionen[[#This Row],[Bearbeitungsdauer_abgewichen]]&lt;-0.3,"kürzer",TRUE,"keine Abweichung")</f>
        <v>keine Abweichung</v>
      </c>
      <c r="I2525">
        <v>2</v>
      </c>
    </row>
    <row r="2526" spans="1:9" x14ac:dyDescent="0.3">
      <c r="A2526" s="13">
        <v>394</v>
      </c>
      <c r="B2526" s="4">
        <v>5</v>
      </c>
      <c r="C2526" t="s">
        <v>532</v>
      </c>
      <c r="D2526" t="s">
        <v>530</v>
      </c>
      <c r="E2526">
        <v>30</v>
      </c>
      <c r="F2526">
        <v>47</v>
      </c>
      <c r="G2526" s="8">
        <f>Lektionen[[#This Row],[Bearbeitungsdauer_real]]/Lektionen[[#This Row],[Bearbeitungsdauer_geschätzt]]-1</f>
        <v>0.56666666666666665</v>
      </c>
      <c r="H2526" s="8" t="str" cm="1">
        <f t="array" ref="H2526">_xlfn.IFS(Lektionen[[#This Row],[Bearbeitungsdauer_abgewichen]]&gt;0.6,"viel länger",Lektionen[[#This Row],[Bearbeitungsdauer_abgewichen]]&gt;0.3,"länger",Lektionen[[#This Row],[Bearbeitungsdauer_abgewichen]]&lt;-0.3,"kürzer",TRUE,"keine Abweichung")</f>
        <v>länger</v>
      </c>
      <c r="I2526">
        <v>4</v>
      </c>
    </row>
    <row r="2527" spans="1:9" hidden="1" x14ac:dyDescent="0.3">
      <c r="A2527" s="13">
        <v>394</v>
      </c>
      <c r="B2527" s="4">
        <v>6</v>
      </c>
      <c r="C2527" t="s">
        <v>533</v>
      </c>
      <c r="D2527" t="s">
        <v>534</v>
      </c>
      <c r="E2527">
        <v>5</v>
      </c>
      <c r="F2527">
        <v>1</v>
      </c>
      <c r="G2527" s="8">
        <f>Lektionen[[#This Row],[Bearbeitungsdauer_real]]/Lektionen[[#This Row],[Bearbeitungsdauer_geschätzt]]-1</f>
        <v>-0.8</v>
      </c>
      <c r="H2527" s="8" t="str" cm="1">
        <f t="array" ref="H2527">_xlfn.IFS(Lektionen[[#This Row],[Bearbeitungsdauer_abgewichen]]&gt;0.6,"viel länger",Lektionen[[#This Row],[Bearbeitungsdauer_abgewichen]]&gt;0.3,"länger",Lektionen[[#This Row],[Bearbeitungsdauer_abgewichen]]&lt;-0.3,"kürzer",TRUE,"keine Abweichung")</f>
        <v>kürzer</v>
      </c>
      <c r="I2527">
        <v>2</v>
      </c>
    </row>
    <row r="2528" spans="1:9" hidden="1" x14ac:dyDescent="0.3">
      <c r="A2528" s="13">
        <v>394</v>
      </c>
      <c r="B2528" s="4">
        <v>7</v>
      </c>
      <c r="C2528" t="s">
        <v>535</v>
      </c>
      <c r="D2528" t="s">
        <v>536</v>
      </c>
      <c r="E2528">
        <v>10</v>
      </c>
      <c r="F2528">
        <v>10</v>
      </c>
      <c r="G2528" s="8">
        <f>Lektionen[[#This Row],[Bearbeitungsdauer_real]]/Lektionen[[#This Row],[Bearbeitungsdauer_geschätzt]]-1</f>
        <v>0</v>
      </c>
      <c r="H2528" s="8" t="str" cm="1">
        <f t="array" ref="H2528">_xlfn.IFS(Lektionen[[#This Row],[Bearbeitungsdauer_abgewichen]]&gt;0.6,"viel länger",Lektionen[[#This Row],[Bearbeitungsdauer_abgewichen]]&gt;0.3,"länger",Lektionen[[#This Row],[Bearbeitungsdauer_abgewichen]]&lt;-0.3,"kürzer",TRUE,"keine Abweichung")</f>
        <v>keine Abweichung</v>
      </c>
      <c r="I2528">
        <v>4</v>
      </c>
    </row>
    <row r="2529" spans="1:9" hidden="1" x14ac:dyDescent="0.3">
      <c r="A2529" s="13">
        <v>394</v>
      </c>
      <c r="B2529" s="4">
        <v>8</v>
      </c>
      <c r="C2529" t="s">
        <v>537</v>
      </c>
      <c r="D2529" t="s">
        <v>527</v>
      </c>
      <c r="E2529">
        <v>5</v>
      </c>
      <c r="F2529">
        <v>5</v>
      </c>
      <c r="G2529" s="8">
        <f>Lektionen[[#This Row],[Bearbeitungsdauer_real]]/Lektionen[[#This Row],[Bearbeitungsdauer_geschätzt]]-1</f>
        <v>0</v>
      </c>
      <c r="H2529" s="8" t="str" cm="1">
        <f t="array" ref="H2529">_xlfn.IFS(Lektionen[[#This Row],[Bearbeitungsdauer_abgewichen]]&gt;0.6,"viel länger",Lektionen[[#This Row],[Bearbeitungsdauer_abgewichen]]&gt;0.3,"länger",Lektionen[[#This Row],[Bearbeitungsdauer_abgewichen]]&lt;-0.3,"kürzer",TRUE,"keine Abweichung")</f>
        <v>keine Abweichung</v>
      </c>
      <c r="I2529">
        <v>1</v>
      </c>
    </row>
    <row r="2530" spans="1:9" hidden="1" x14ac:dyDescent="0.3">
      <c r="A2530" s="13">
        <v>395</v>
      </c>
      <c r="B2530" s="4">
        <v>1</v>
      </c>
      <c r="C2530" t="s">
        <v>526</v>
      </c>
      <c r="D2530" t="s">
        <v>527</v>
      </c>
      <c r="E2530">
        <v>4</v>
      </c>
      <c r="F2530">
        <v>4</v>
      </c>
      <c r="G2530" s="8">
        <f>Lektionen[[#This Row],[Bearbeitungsdauer_real]]/Lektionen[[#This Row],[Bearbeitungsdauer_geschätzt]]-1</f>
        <v>0</v>
      </c>
      <c r="H2530" s="8" t="str" cm="1">
        <f t="array" ref="H2530">_xlfn.IFS(Lektionen[[#This Row],[Bearbeitungsdauer_abgewichen]]&gt;0.6,"viel länger",Lektionen[[#This Row],[Bearbeitungsdauer_abgewichen]]&gt;0.3,"länger",Lektionen[[#This Row],[Bearbeitungsdauer_abgewichen]]&lt;-0.3,"kürzer",TRUE,"keine Abweichung")</f>
        <v>keine Abweichung</v>
      </c>
      <c r="I2530">
        <v>1</v>
      </c>
    </row>
    <row r="2531" spans="1:9" hidden="1" x14ac:dyDescent="0.3">
      <c r="A2531" s="13">
        <v>395</v>
      </c>
      <c r="B2531" s="4">
        <v>2</v>
      </c>
      <c r="C2531" t="s">
        <v>528</v>
      </c>
      <c r="D2531" t="s">
        <v>529</v>
      </c>
      <c r="E2531">
        <v>15</v>
      </c>
      <c r="F2531">
        <v>19</v>
      </c>
      <c r="G2531" s="8">
        <f>Lektionen[[#This Row],[Bearbeitungsdauer_real]]/Lektionen[[#This Row],[Bearbeitungsdauer_geschätzt]]-1</f>
        <v>0.26666666666666661</v>
      </c>
      <c r="H2531" s="8" t="str" cm="1">
        <f t="array" ref="H2531">_xlfn.IFS(Lektionen[[#This Row],[Bearbeitungsdauer_abgewichen]]&gt;0.6,"viel länger",Lektionen[[#This Row],[Bearbeitungsdauer_abgewichen]]&gt;0.3,"länger",Lektionen[[#This Row],[Bearbeitungsdauer_abgewichen]]&lt;-0.3,"kürzer",TRUE,"keine Abweichung")</f>
        <v>keine Abweichung</v>
      </c>
      <c r="I2531">
        <v>2</v>
      </c>
    </row>
    <row r="2532" spans="1:9" hidden="1" x14ac:dyDescent="0.3">
      <c r="A2532" s="13">
        <v>395</v>
      </c>
      <c r="B2532" s="4">
        <v>3</v>
      </c>
      <c r="C2532" t="s">
        <v>552</v>
      </c>
      <c r="D2532" t="s">
        <v>530</v>
      </c>
      <c r="E2532">
        <v>30</v>
      </c>
      <c r="F2532">
        <v>31</v>
      </c>
      <c r="G2532" s="8">
        <f>Lektionen[[#This Row],[Bearbeitungsdauer_real]]/Lektionen[[#This Row],[Bearbeitungsdauer_geschätzt]]-1</f>
        <v>3.3333333333333437E-2</v>
      </c>
      <c r="H2532" s="8" t="str" cm="1">
        <f t="array" ref="H2532">_xlfn.IFS(Lektionen[[#This Row],[Bearbeitungsdauer_abgewichen]]&gt;0.6,"viel länger",Lektionen[[#This Row],[Bearbeitungsdauer_abgewichen]]&gt;0.3,"länger",Lektionen[[#This Row],[Bearbeitungsdauer_abgewichen]]&lt;-0.3,"kürzer",TRUE,"keine Abweichung")</f>
        <v>keine Abweichung</v>
      </c>
      <c r="I2532">
        <v>3</v>
      </c>
    </row>
    <row r="2533" spans="1:9" hidden="1" x14ac:dyDescent="0.3">
      <c r="A2533" s="13">
        <v>395</v>
      </c>
      <c r="B2533" s="4">
        <v>4</v>
      </c>
      <c r="C2533" t="s">
        <v>531</v>
      </c>
      <c r="D2533" t="s">
        <v>530</v>
      </c>
      <c r="E2533">
        <v>30</v>
      </c>
      <c r="F2533">
        <v>20</v>
      </c>
      <c r="G2533" s="8">
        <f>Lektionen[[#This Row],[Bearbeitungsdauer_real]]/Lektionen[[#This Row],[Bearbeitungsdauer_geschätzt]]-1</f>
        <v>-0.33333333333333337</v>
      </c>
      <c r="H2533" s="8" t="str" cm="1">
        <f t="array" ref="H2533">_xlfn.IFS(Lektionen[[#This Row],[Bearbeitungsdauer_abgewichen]]&gt;0.6,"viel länger",Lektionen[[#This Row],[Bearbeitungsdauer_abgewichen]]&gt;0.3,"länger",Lektionen[[#This Row],[Bearbeitungsdauer_abgewichen]]&lt;-0.3,"kürzer",TRUE,"keine Abweichung")</f>
        <v>kürzer</v>
      </c>
      <c r="I2533">
        <v>2</v>
      </c>
    </row>
    <row r="2534" spans="1:9" x14ac:dyDescent="0.3">
      <c r="A2534" s="13">
        <v>395</v>
      </c>
      <c r="B2534" s="4">
        <v>5</v>
      </c>
      <c r="C2534" t="s">
        <v>532</v>
      </c>
      <c r="D2534" t="s">
        <v>530</v>
      </c>
      <c r="E2534">
        <v>30</v>
      </c>
      <c r="F2534">
        <v>42</v>
      </c>
      <c r="G2534" s="8">
        <f>Lektionen[[#This Row],[Bearbeitungsdauer_real]]/Lektionen[[#This Row],[Bearbeitungsdauer_geschätzt]]-1</f>
        <v>0.39999999999999991</v>
      </c>
      <c r="H2534" s="8" t="str" cm="1">
        <f t="array" ref="H2534">_xlfn.IFS(Lektionen[[#This Row],[Bearbeitungsdauer_abgewichen]]&gt;0.6,"viel länger",Lektionen[[#This Row],[Bearbeitungsdauer_abgewichen]]&gt;0.3,"länger",Lektionen[[#This Row],[Bearbeitungsdauer_abgewichen]]&lt;-0.3,"kürzer",TRUE,"keine Abweichung")</f>
        <v>länger</v>
      </c>
      <c r="I2534">
        <v>3</v>
      </c>
    </row>
    <row r="2535" spans="1:9" hidden="1" x14ac:dyDescent="0.3">
      <c r="A2535" s="13">
        <v>395</v>
      </c>
      <c r="B2535" s="4">
        <v>6</v>
      </c>
      <c r="C2535" t="s">
        <v>533</v>
      </c>
      <c r="D2535" t="s">
        <v>534</v>
      </c>
      <c r="E2535">
        <v>5</v>
      </c>
      <c r="F2535">
        <v>3</v>
      </c>
      <c r="G2535" s="8">
        <f>Lektionen[[#This Row],[Bearbeitungsdauer_real]]/Lektionen[[#This Row],[Bearbeitungsdauer_geschätzt]]-1</f>
        <v>-0.4</v>
      </c>
      <c r="H2535" s="8" t="str" cm="1">
        <f t="array" ref="H2535">_xlfn.IFS(Lektionen[[#This Row],[Bearbeitungsdauer_abgewichen]]&gt;0.6,"viel länger",Lektionen[[#This Row],[Bearbeitungsdauer_abgewichen]]&gt;0.3,"länger",Lektionen[[#This Row],[Bearbeitungsdauer_abgewichen]]&lt;-0.3,"kürzer",TRUE,"keine Abweichung")</f>
        <v>kürzer</v>
      </c>
      <c r="I2535">
        <v>2</v>
      </c>
    </row>
    <row r="2536" spans="1:9" hidden="1" x14ac:dyDescent="0.3">
      <c r="A2536" s="13">
        <v>395</v>
      </c>
      <c r="B2536" s="4">
        <v>7</v>
      </c>
      <c r="C2536" t="s">
        <v>535</v>
      </c>
      <c r="D2536" t="s">
        <v>536</v>
      </c>
      <c r="E2536">
        <v>10</v>
      </c>
      <c r="F2536">
        <v>9</v>
      </c>
      <c r="G2536" s="8">
        <f>Lektionen[[#This Row],[Bearbeitungsdauer_real]]/Lektionen[[#This Row],[Bearbeitungsdauer_geschätzt]]-1</f>
        <v>-9.9999999999999978E-2</v>
      </c>
      <c r="H2536" s="8" t="str" cm="1">
        <f t="array" ref="H2536">_xlfn.IFS(Lektionen[[#This Row],[Bearbeitungsdauer_abgewichen]]&gt;0.6,"viel länger",Lektionen[[#This Row],[Bearbeitungsdauer_abgewichen]]&gt;0.3,"länger",Lektionen[[#This Row],[Bearbeitungsdauer_abgewichen]]&lt;-0.3,"kürzer",TRUE,"keine Abweichung")</f>
        <v>keine Abweichung</v>
      </c>
      <c r="I2536">
        <v>3</v>
      </c>
    </row>
    <row r="2537" spans="1:9" hidden="1" x14ac:dyDescent="0.3">
      <c r="A2537" s="13">
        <v>395</v>
      </c>
      <c r="B2537" s="4">
        <v>8</v>
      </c>
      <c r="C2537" t="s">
        <v>537</v>
      </c>
      <c r="D2537" t="s">
        <v>527</v>
      </c>
      <c r="E2537">
        <v>5</v>
      </c>
      <c r="F2537">
        <v>5</v>
      </c>
      <c r="G2537" s="8">
        <f>Lektionen[[#This Row],[Bearbeitungsdauer_real]]/Lektionen[[#This Row],[Bearbeitungsdauer_geschätzt]]-1</f>
        <v>0</v>
      </c>
      <c r="H2537" s="8" t="str" cm="1">
        <f t="array" ref="H2537">_xlfn.IFS(Lektionen[[#This Row],[Bearbeitungsdauer_abgewichen]]&gt;0.6,"viel länger",Lektionen[[#This Row],[Bearbeitungsdauer_abgewichen]]&gt;0.3,"länger",Lektionen[[#This Row],[Bearbeitungsdauer_abgewichen]]&lt;-0.3,"kürzer",TRUE,"keine Abweichung")</f>
        <v>keine Abweichung</v>
      </c>
      <c r="I2537">
        <v>1</v>
      </c>
    </row>
    <row r="2538" spans="1:9" hidden="1" x14ac:dyDescent="0.3">
      <c r="A2538" s="13">
        <v>396</v>
      </c>
      <c r="B2538" s="4">
        <v>1</v>
      </c>
      <c r="C2538" t="s">
        <v>526</v>
      </c>
      <c r="D2538" t="s">
        <v>527</v>
      </c>
      <c r="E2538">
        <v>4</v>
      </c>
      <c r="F2538">
        <v>4</v>
      </c>
      <c r="G2538" s="8">
        <f>Lektionen[[#This Row],[Bearbeitungsdauer_real]]/Lektionen[[#This Row],[Bearbeitungsdauer_geschätzt]]-1</f>
        <v>0</v>
      </c>
      <c r="H2538" s="8" t="str" cm="1">
        <f t="array" ref="H2538">_xlfn.IFS(Lektionen[[#This Row],[Bearbeitungsdauer_abgewichen]]&gt;0.6,"viel länger",Lektionen[[#This Row],[Bearbeitungsdauer_abgewichen]]&gt;0.3,"länger",Lektionen[[#This Row],[Bearbeitungsdauer_abgewichen]]&lt;-0.3,"kürzer",TRUE,"keine Abweichung")</f>
        <v>keine Abweichung</v>
      </c>
      <c r="I2538">
        <v>1</v>
      </c>
    </row>
    <row r="2539" spans="1:9" hidden="1" x14ac:dyDescent="0.3">
      <c r="A2539" s="13">
        <v>396</v>
      </c>
      <c r="B2539" s="4">
        <v>2</v>
      </c>
      <c r="C2539" t="s">
        <v>528</v>
      </c>
      <c r="D2539" t="s">
        <v>529</v>
      </c>
      <c r="E2539">
        <v>15</v>
      </c>
      <c r="F2539">
        <v>22</v>
      </c>
      <c r="G2539" s="8">
        <f>Lektionen[[#This Row],[Bearbeitungsdauer_real]]/Lektionen[[#This Row],[Bearbeitungsdauer_geschätzt]]-1</f>
        <v>0.46666666666666656</v>
      </c>
      <c r="H2539" s="8" t="str" cm="1">
        <f t="array" ref="H2539">_xlfn.IFS(Lektionen[[#This Row],[Bearbeitungsdauer_abgewichen]]&gt;0.6,"viel länger",Lektionen[[#This Row],[Bearbeitungsdauer_abgewichen]]&gt;0.3,"länger",Lektionen[[#This Row],[Bearbeitungsdauer_abgewichen]]&lt;-0.3,"kürzer",TRUE,"keine Abweichung")</f>
        <v>länger</v>
      </c>
      <c r="I2539">
        <v>2</v>
      </c>
    </row>
    <row r="2540" spans="1:9" hidden="1" x14ac:dyDescent="0.3">
      <c r="A2540" s="13">
        <v>396</v>
      </c>
      <c r="B2540" s="4">
        <v>3</v>
      </c>
      <c r="C2540" t="s">
        <v>552</v>
      </c>
      <c r="D2540" t="s">
        <v>530</v>
      </c>
      <c r="E2540">
        <v>30</v>
      </c>
      <c r="F2540">
        <v>30</v>
      </c>
      <c r="G2540" s="8">
        <f>Lektionen[[#This Row],[Bearbeitungsdauer_real]]/Lektionen[[#This Row],[Bearbeitungsdauer_geschätzt]]-1</f>
        <v>0</v>
      </c>
      <c r="H2540" s="8" t="str" cm="1">
        <f t="array" ref="H2540">_xlfn.IFS(Lektionen[[#This Row],[Bearbeitungsdauer_abgewichen]]&gt;0.6,"viel länger",Lektionen[[#This Row],[Bearbeitungsdauer_abgewichen]]&gt;0.3,"länger",Lektionen[[#This Row],[Bearbeitungsdauer_abgewichen]]&lt;-0.3,"kürzer",TRUE,"keine Abweichung")</f>
        <v>keine Abweichung</v>
      </c>
      <c r="I2540">
        <v>3</v>
      </c>
    </row>
    <row r="2541" spans="1:9" hidden="1" x14ac:dyDescent="0.3">
      <c r="A2541" s="13">
        <v>396</v>
      </c>
      <c r="B2541" s="4">
        <v>4</v>
      </c>
      <c r="C2541" t="s">
        <v>531</v>
      </c>
      <c r="D2541" t="s">
        <v>530</v>
      </c>
      <c r="E2541">
        <v>30</v>
      </c>
      <c r="F2541">
        <v>28</v>
      </c>
      <c r="G2541" s="8">
        <f>Lektionen[[#This Row],[Bearbeitungsdauer_real]]/Lektionen[[#This Row],[Bearbeitungsdauer_geschätzt]]-1</f>
        <v>-6.6666666666666652E-2</v>
      </c>
      <c r="H2541" s="8" t="str" cm="1">
        <f t="array" ref="H2541">_xlfn.IFS(Lektionen[[#This Row],[Bearbeitungsdauer_abgewichen]]&gt;0.6,"viel länger",Lektionen[[#This Row],[Bearbeitungsdauer_abgewichen]]&gt;0.3,"länger",Lektionen[[#This Row],[Bearbeitungsdauer_abgewichen]]&lt;-0.3,"kürzer",TRUE,"keine Abweichung")</f>
        <v>keine Abweichung</v>
      </c>
      <c r="I2541">
        <v>3</v>
      </c>
    </row>
    <row r="2542" spans="1:9" x14ac:dyDescent="0.3">
      <c r="A2542" s="13">
        <v>396</v>
      </c>
      <c r="B2542" s="4">
        <v>5</v>
      </c>
      <c r="C2542" t="s">
        <v>532</v>
      </c>
      <c r="D2542" t="s">
        <v>530</v>
      </c>
      <c r="E2542">
        <v>30</v>
      </c>
      <c r="F2542">
        <v>45</v>
      </c>
      <c r="G2542" s="8">
        <f>Lektionen[[#This Row],[Bearbeitungsdauer_real]]/Lektionen[[#This Row],[Bearbeitungsdauer_geschätzt]]-1</f>
        <v>0.5</v>
      </c>
      <c r="H2542" s="8" t="str" cm="1">
        <f t="array" ref="H2542">_xlfn.IFS(Lektionen[[#This Row],[Bearbeitungsdauer_abgewichen]]&gt;0.6,"viel länger",Lektionen[[#This Row],[Bearbeitungsdauer_abgewichen]]&gt;0.3,"länger",Lektionen[[#This Row],[Bearbeitungsdauer_abgewichen]]&lt;-0.3,"kürzer",TRUE,"keine Abweichung")</f>
        <v>länger</v>
      </c>
      <c r="I2542">
        <v>3</v>
      </c>
    </row>
    <row r="2543" spans="1:9" hidden="1" x14ac:dyDescent="0.3">
      <c r="A2543" s="13">
        <v>396</v>
      </c>
      <c r="B2543" s="4">
        <v>6</v>
      </c>
      <c r="C2543" t="s">
        <v>533</v>
      </c>
      <c r="D2543" t="s">
        <v>534</v>
      </c>
      <c r="E2543">
        <v>5</v>
      </c>
      <c r="F2543">
        <v>4</v>
      </c>
      <c r="G2543" s="8">
        <f>Lektionen[[#This Row],[Bearbeitungsdauer_real]]/Lektionen[[#This Row],[Bearbeitungsdauer_geschätzt]]-1</f>
        <v>-0.19999999999999996</v>
      </c>
      <c r="H2543" s="8" t="str" cm="1">
        <f t="array" ref="H2543">_xlfn.IFS(Lektionen[[#This Row],[Bearbeitungsdauer_abgewichen]]&gt;0.6,"viel länger",Lektionen[[#This Row],[Bearbeitungsdauer_abgewichen]]&gt;0.3,"länger",Lektionen[[#This Row],[Bearbeitungsdauer_abgewichen]]&lt;-0.3,"kürzer",TRUE,"keine Abweichung")</f>
        <v>keine Abweichung</v>
      </c>
      <c r="I2543">
        <v>3</v>
      </c>
    </row>
    <row r="2544" spans="1:9" hidden="1" x14ac:dyDescent="0.3">
      <c r="A2544" s="13">
        <v>396</v>
      </c>
      <c r="B2544" s="4">
        <v>7</v>
      </c>
      <c r="C2544" t="s">
        <v>535</v>
      </c>
      <c r="D2544" t="s">
        <v>536</v>
      </c>
      <c r="E2544">
        <v>10</v>
      </c>
      <c r="F2544">
        <v>10</v>
      </c>
      <c r="G2544" s="8">
        <f>Lektionen[[#This Row],[Bearbeitungsdauer_real]]/Lektionen[[#This Row],[Bearbeitungsdauer_geschätzt]]-1</f>
        <v>0</v>
      </c>
      <c r="H2544" s="8" t="str" cm="1">
        <f t="array" ref="H2544">_xlfn.IFS(Lektionen[[#This Row],[Bearbeitungsdauer_abgewichen]]&gt;0.6,"viel länger",Lektionen[[#This Row],[Bearbeitungsdauer_abgewichen]]&gt;0.3,"länger",Lektionen[[#This Row],[Bearbeitungsdauer_abgewichen]]&lt;-0.3,"kürzer",TRUE,"keine Abweichung")</f>
        <v>keine Abweichung</v>
      </c>
      <c r="I2544">
        <v>4</v>
      </c>
    </row>
    <row r="2545" spans="1:9" hidden="1" x14ac:dyDescent="0.3">
      <c r="A2545" s="13">
        <v>396</v>
      </c>
      <c r="B2545" s="4">
        <v>8</v>
      </c>
      <c r="C2545" t="s">
        <v>537</v>
      </c>
      <c r="D2545" t="s">
        <v>527</v>
      </c>
      <c r="E2545">
        <v>5</v>
      </c>
      <c r="F2545">
        <v>9</v>
      </c>
      <c r="G2545" s="8">
        <f>Lektionen[[#This Row],[Bearbeitungsdauer_real]]/Lektionen[[#This Row],[Bearbeitungsdauer_geschätzt]]-1</f>
        <v>0.8</v>
      </c>
      <c r="H2545" s="8" t="str" cm="1">
        <f t="array" ref="H2545">_xlfn.IFS(Lektionen[[#This Row],[Bearbeitungsdauer_abgewichen]]&gt;0.6,"viel länger",Lektionen[[#This Row],[Bearbeitungsdauer_abgewichen]]&gt;0.3,"länger",Lektionen[[#This Row],[Bearbeitungsdauer_abgewichen]]&lt;-0.3,"kürzer",TRUE,"keine Abweichung")</f>
        <v>viel länger</v>
      </c>
      <c r="I2545">
        <v>1</v>
      </c>
    </row>
    <row r="2546" spans="1:9" hidden="1" x14ac:dyDescent="0.3">
      <c r="A2546" s="13">
        <v>398</v>
      </c>
      <c r="B2546" s="4">
        <v>1</v>
      </c>
      <c r="C2546" t="s">
        <v>526</v>
      </c>
      <c r="D2546" t="s">
        <v>527</v>
      </c>
      <c r="E2546">
        <v>4</v>
      </c>
      <c r="F2546">
        <v>4</v>
      </c>
      <c r="G2546" s="8">
        <f>Lektionen[[#This Row],[Bearbeitungsdauer_real]]/Lektionen[[#This Row],[Bearbeitungsdauer_geschätzt]]-1</f>
        <v>0</v>
      </c>
      <c r="H2546" s="8" t="str" cm="1">
        <f t="array" ref="H2546">_xlfn.IFS(Lektionen[[#This Row],[Bearbeitungsdauer_abgewichen]]&gt;0.6,"viel länger",Lektionen[[#This Row],[Bearbeitungsdauer_abgewichen]]&gt;0.3,"länger",Lektionen[[#This Row],[Bearbeitungsdauer_abgewichen]]&lt;-0.3,"kürzer",TRUE,"keine Abweichung")</f>
        <v>keine Abweichung</v>
      </c>
      <c r="I2546">
        <v>1</v>
      </c>
    </row>
    <row r="2547" spans="1:9" hidden="1" x14ac:dyDescent="0.3">
      <c r="A2547" s="13">
        <v>398</v>
      </c>
      <c r="B2547" s="4">
        <v>2</v>
      </c>
      <c r="C2547" t="s">
        <v>528</v>
      </c>
      <c r="D2547" t="s">
        <v>529</v>
      </c>
      <c r="E2547">
        <v>15</v>
      </c>
      <c r="F2547">
        <v>19</v>
      </c>
      <c r="G2547" s="8">
        <f>Lektionen[[#This Row],[Bearbeitungsdauer_real]]/Lektionen[[#This Row],[Bearbeitungsdauer_geschätzt]]-1</f>
        <v>0.26666666666666661</v>
      </c>
      <c r="H2547" s="8" t="str" cm="1">
        <f t="array" ref="H2547">_xlfn.IFS(Lektionen[[#This Row],[Bearbeitungsdauer_abgewichen]]&gt;0.6,"viel länger",Lektionen[[#This Row],[Bearbeitungsdauer_abgewichen]]&gt;0.3,"länger",Lektionen[[#This Row],[Bearbeitungsdauer_abgewichen]]&lt;-0.3,"kürzer",TRUE,"keine Abweichung")</f>
        <v>keine Abweichung</v>
      </c>
      <c r="I2547">
        <v>1</v>
      </c>
    </row>
    <row r="2548" spans="1:9" hidden="1" x14ac:dyDescent="0.3">
      <c r="A2548" s="13">
        <v>398</v>
      </c>
      <c r="B2548" s="4">
        <v>3</v>
      </c>
      <c r="C2548" t="s">
        <v>552</v>
      </c>
      <c r="D2548" t="s">
        <v>530</v>
      </c>
      <c r="E2548">
        <v>30</v>
      </c>
      <c r="F2548">
        <v>29</v>
      </c>
      <c r="G2548" s="8">
        <f>Lektionen[[#This Row],[Bearbeitungsdauer_real]]/Lektionen[[#This Row],[Bearbeitungsdauer_geschätzt]]-1</f>
        <v>-3.3333333333333326E-2</v>
      </c>
      <c r="H2548" s="8" t="str" cm="1">
        <f t="array" ref="H2548">_xlfn.IFS(Lektionen[[#This Row],[Bearbeitungsdauer_abgewichen]]&gt;0.6,"viel länger",Lektionen[[#This Row],[Bearbeitungsdauer_abgewichen]]&gt;0.3,"länger",Lektionen[[#This Row],[Bearbeitungsdauer_abgewichen]]&lt;-0.3,"kürzer",TRUE,"keine Abweichung")</f>
        <v>keine Abweichung</v>
      </c>
      <c r="I2548">
        <v>2</v>
      </c>
    </row>
    <row r="2549" spans="1:9" hidden="1" x14ac:dyDescent="0.3">
      <c r="A2549" s="13">
        <v>398</v>
      </c>
      <c r="B2549" s="4">
        <v>4</v>
      </c>
      <c r="C2549" t="s">
        <v>531</v>
      </c>
      <c r="D2549" t="s">
        <v>530</v>
      </c>
      <c r="E2549">
        <v>30</v>
      </c>
      <c r="F2549">
        <v>33</v>
      </c>
      <c r="G2549" s="8">
        <f>Lektionen[[#This Row],[Bearbeitungsdauer_real]]/Lektionen[[#This Row],[Bearbeitungsdauer_geschätzt]]-1</f>
        <v>0.10000000000000009</v>
      </c>
      <c r="H2549" s="8" t="str" cm="1">
        <f t="array" ref="H2549">_xlfn.IFS(Lektionen[[#This Row],[Bearbeitungsdauer_abgewichen]]&gt;0.6,"viel länger",Lektionen[[#This Row],[Bearbeitungsdauer_abgewichen]]&gt;0.3,"länger",Lektionen[[#This Row],[Bearbeitungsdauer_abgewichen]]&lt;-0.3,"kürzer",TRUE,"keine Abweichung")</f>
        <v>keine Abweichung</v>
      </c>
      <c r="I2549">
        <v>3</v>
      </c>
    </row>
    <row r="2550" spans="1:9" x14ac:dyDescent="0.3">
      <c r="A2550" s="13">
        <v>398</v>
      </c>
      <c r="B2550" s="4">
        <v>5</v>
      </c>
      <c r="C2550" t="s">
        <v>532</v>
      </c>
      <c r="D2550" t="s">
        <v>530</v>
      </c>
      <c r="E2550">
        <v>30</v>
      </c>
      <c r="F2550">
        <v>47</v>
      </c>
      <c r="G2550" s="8">
        <f>Lektionen[[#This Row],[Bearbeitungsdauer_real]]/Lektionen[[#This Row],[Bearbeitungsdauer_geschätzt]]-1</f>
        <v>0.56666666666666665</v>
      </c>
      <c r="H2550" s="8" t="str" cm="1">
        <f t="array" ref="H2550">_xlfn.IFS(Lektionen[[#This Row],[Bearbeitungsdauer_abgewichen]]&gt;0.6,"viel länger",Lektionen[[#This Row],[Bearbeitungsdauer_abgewichen]]&gt;0.3,"länger",Lektionen[[#This Row],[Bearbeitungsdauer_abgewichen]]&lt;-0.3,"kürzer",TRUE,"keine Abweichung")</f>
        <v>länger</v>
      </c>
      <c r="I2550">
        <v>4</v>
      </c>
    </row>
    <row r="2551" spans="1:9" hidden="1" x14ac:dyDescent="0.3">
      <c r="A2551" s="13">
        <v>398</v>
      </c>
      <c r="B2551" s="4">
        <v>6</v>
      </c>
      <c r="C2551" t="s">
        <v>533</v>
      </c>
      <c r="D2551" t="s">
        <v>534</v>
      </c>
      <c r="E2551">
        <v>5</v>
      </c>
      <c r="F2551">
        <v>2</v>
      </c>
      <c r="G2551" s="8">
        <f>Lektionen[[#This Row],[Bearbeitungsdauer_real]]/Lektionen[[#This Row],[Bearbeitungsdauer_geschätzt]]-1</f>
        <v>-0.6</v>
      </c>
      <c r="H2551" s="8" t="str" cm="1">
        <f t="array" ref="H2551">_xlfn.IFS(Lektionen[[#This Row],[Bearbeitungsdauer_abgewichen]]&gt;0.6,"viel länger",Lektionen[[#This Row],[Bearbeitungsdauer_abgewichen]]&gt;0.3,"länger",Lektionen[[#This Row],[Bearbeitungsdauer_abgewichen]]&lt;-0.3,"kürzer",TRUE,"keine Abweichung")</f>
        <v>kürzer</v>
      </c>
      <c r="I2551">
        <v>2</v>
      </c>
    </row>
    <row r="2552" spans="1:9" hidden="1" x14ac:dyDescent="0.3">
      <c r="A2552" s="13">
        <v>398</v>
      </c>
      <c r="B2552" s="4">
        <v>7</v>
      </c>
      <c r="C2552" t="s">
        <v>535</v>
      </c>
      <c r="D2552" t="s">
        <v>536</v>
      </c>
      <c r="E2552">
        <v>10</v>
      </c>
      <c r="F2552">
        <v>11</v>
      </c>
      <c r="G2552" s="8">
        <f>Lektionen[[#This Row],[Bearbeitungsdauer_real]]/Lektionen[[#This Row],[Bearbeitungsdauer_geschätzt]]-1</f>
        <v>0.10000000000000009</v>
      </c>
      <c r="H2552" s="8" t="str" cm="1">
        <f t="array" ref="H2552">_xlfn.IFS(Lektionen[[#This Row],[Bearbeitungsdauer_abgewichen]]&gt;0.6,"viel länger",Lektionen[[#This Row],[Bearbeitungsdauer_abgewichen]]&gt;0.3,"länger",Lektionen[[#This Row],[Bearbeitungsdauer_abgewichen]]&lt;-0.3,"kürzer",TRUE,"keine Abweichung")</f>
        <v>keine Abweichung</v>
      </c>
      <c r="I2552">
        <v>4</v>
      </c>
    </row>
    <row r="2553" spans="1:9" hidden="1" x14ac:dyDescent="0.3">
      <c r="A2553" s="13">
        <v>398</v>
      </c>
      <c r="B2553" s="4">
        <v>8</v>
      </c>
      <c r="C2553" t="s">
        <v>537</v>
      </c>
      <c r="D2553" t="s">
        <v>527</v>
      </c>
      <c r="E2553">
        <v>5</v>
      </c>
      <c r="F2553">
        <v>5</v>
      </c>
      <c r="G2553" s="8">
        <f>Lektionen[[#This Row],[Bearbeitungsdauer_real]]/Lektionen[[#This Row],[Bearbeitungsdauer_geschätzt]]-1</f>
        <v>0</v>
      </c>
      <c r="H2553" s="8" t="str" cm="1">
        <f t="array" ref="H2553">_xlfn.IFS(Lektionen[[#This Row],[Bearbeitungsdauer_abgewichen]]&gt;0.6,"viel länger",Lektionen[[#This Row],[Bearbeitungsdauer_abgewichen]]&gt;0.3,"länger",Lektionen[[#This Row],[Bearbeitungsdauer_abgewichen]]&lt;-0.3,"kürzer",TRUE,"keine Abweichung")</f>
        <v>keine Abweichung</v>
      </c>
      <c r="I2553">
        <v>1</v>
      </c>
    </row>
    <row r="2554" spans="1:9" hidden="1" x14ac:dyDescent="0.3">
      <c r="A2554" s="13">
        <v>399</v>
      </c>
      <c r="B2554" s="4">
        <v>1</v>
      </c>
      <c r="C2554" t="s">
        <v>526</v>
      </c>
      <c r="D2554" t="s">
        <v>527</v>
      </c>
      <c r="E2554">
        <v>4</v>
      </c>
      <c r="F2554">
        <v>4</v>
      </c>
      <c r="G2554" s="8">
        <f>Lektionen[[#This Row],[Bearbeitungsdauer_real]]/Lektionen[[#This Row],[Bearbeitungsdauer_geschätzt]]-1</f>
        <v>0</v>
      </c>
      <c r="H2554" s="8" t="str" cm="1">
        <f t="array" ref="H2554">_xlfn.IFS(Lektionen[[#This Row],[Bearbeitungsdauer_abgewichen]]&gt;0.6,"viel länger",Lektionen[[#This Row],[Bearbeitungsdauer_abgewichen]]&gt;0.3,"länger",Lektionen[[#This Row],[Bearbeitungsdauer_abgewichen]]&lt;-0.3,"kürzer",TRUE,"keine Abweichung")</f>
        <v>keine Abweichung</v>
      </c>
      <c r="I2554">
        <v>1</v>
      </c>
    </row>
    <row r="2555" spans="1:9" hidden="1" x14ac:dyDescent="0.3">
      <c r="A2555" s="13">
        <v>399</v>
      </c>
      <c r="B2555" s="4">
        <v>2</v>
      </c>
      <c r="C2555" t="s">
        <v>528</v>
      </c>
      <c r="D2555" t="s">
        <v>529</v>
      </c>
      <c r="E2555">
        <v>15</v>
      </c>
      <c r="F2555">
        <v>17</v>
      </c>
      <c r="G2555" s="8">
        <f>Lektionen[[#This Row],[Bearbeitungsdauer_real]]/Lektionen[[#This Row],[Bearbeitungsdauer_geschätzt]]-1</f>
        <v>0.1333333333333333</v>
      </c>
      <c r="H2555" s="8" t="str" cm="1">
        <f t="array" ref="H2555">_xlfn.IFS(Lektionen[[#This Row],[Bearbeitungsdauer_abgewichen]]&gt;0.6,"viel länger",Lektionen[[#This Row],[Bearbeitungsdauer_abgewichen]]&gt;0.3,"länger",Lektionen[[#This Row],[Bearbeitungsdauer_abgewichen]]&lt;-0.3,"kürzer",TRUE,"keine Abweichung")</f>
        <v>keine Abweichung</v>
      </c>
      <c r="I2555">
        <v>2</v>
      </c>
    </row>
    <row r="2556" spans="1:9" hidden="1" x14ac:dyDescent="0.3">
      <c r="A2556" s="13">
        <v>399</v>
      </c>
      <c r="B2556" s="4">
        <v>3</v>
      </c>
      <c r="C2556" t="s">
        <v>552</v>
      </c>
      <c r="D2556" t="s">
        <v>530</v>
      </c>
      <c r="E2556">
        <v>30</v>
      </c>
      <c r="F2556">
        <v>29</v>
      </c>
      <c r="G2556" s="8">
        <f>Lektionen[[#This Row],[Bearbeitungsdauer_real]]/Lektionen[[#This Row],[Bearbeitungsdauer_geschätzt]]-1</f>
        <v>-3.3333333333333326E-2</v>
      </c>
      <c r="H2556" s="8" t="str" cm="1">
        <f t="array" ref="H2556">_xlfn.IFS(Lektionen[[#This Row],[Bearbeitungsdauer_abgewichen]]&gt;0.6,"viel länger",Lektionen[[#This Row],[Bearbeitungsdauer_abgewichen]]&gt;0.3,"länger",Lektionen[[#This Row],[Bearbeitungsdauer_abgewichen]]&lt;-0.3,"kürzer",TRUE,"keine Abweichung")</f>
        <v>keine Abweichung</v>
      </c>
      <c r="I2556">
        <v>3</v>
      </c>
    </row>
    <row r="2557" spans="1:9" hidden="1" x14ac:dyDescent="0.3">
      <c r="A2557" s="13">
        <v>399</v>
      </c>
      <c r="B2557" s="4">
        <v>4</v>
      </c>
      <c r="C2557" t="s">
        <v>531</v>
      </c>
      <c r="D2557" t="s">
        <v>530</v>
      </c>
      <c r="E2557">
        <v>30</v>
      </c>
      <c r="F2557">
        <v>30</v>
      </c>
      <c r="G2557" s="8">
        <f>Lektionen[[#This Row],[Bearbeitungsdauer_real]]/Lektionen[[#This Row],[Bearbeitungsdauer_geschätzt]]-1</f>
        <v>0</v>
      </c>
      <c r="H2557" s="8" t="str" cm="1">
        <f t="array" ref="H2557">_xlfn.IFS(Lektionen[[#This Row],[Bearbeitungsdauer_abgewichen]]&gt;0.6,"viel länger",Lektionen[[#This Row],[Bearbeitungsdauer_abgewichen]]&gt;0.3,"länger",Lektionen[[#This Row],[Bearbeitungsdauer_abgewichen]]&lt;-0.3,"kürzer",TRUE,"keine Abweichung")</f>
        <v>keine Abweichung</v>
      </c>
      <c r="I2557">
        <v>4</v>
      </c>
    </row>
    <row r="2558" spans="1:9" x14ac:dyDescent="0.3">
      <c r="A2558" s="13">
        <v>399</v>
      </c>
      <c r="B2558" s="4">
        <v>5</v>
      </c>
      <c r="C2558" t="s">
        <v>532</v>
      </c>
      <c r="D2558" t="s">
        <v>530</v>
      </c>
      <c r="E2558">
        <v>30</v>
      </c>
      <c r="F2558">
        <v>51</v>
      </c>
      <c r="G2558" s="8">
        <f>Lektionen[[#This Row],[Bearbeitungsdauer_real]]/Lektionen[[#This Row],[Bearbeitungsdauer_geschätzt]]-1</f>
        <v>0.7</v>
      </c>
      <c r="H2558" s="8" t="str" cm="1">
        <f t="array" ref="H2558">_xlfn.IFS(Lektionen[[#This Row],[Bearbeitungsdauer_abgewichen]]&gt;0.6,"viel länger",Lektionen[[#This Row],[Bearbeitungsdauer_abgewichen]]&gt;0.3,"länger",Lektionen[[#This Row],[Bearbeitungsdauer_abgewichen]]&lt;-0.3,"kürzer",TRUE,"keine Abweichung")</f>
        <v>viel länger</v>
      </c>
      <c r="I2558">
        <v>4</v>
      </c>
    </row>
    <row r="2559" spans="1:9" hidden="1" x14ac:dyDescent="0.3">
      <c r="A2559" s="13">
        <v>399</v>
      </c>
      <c r="B2559" s="4">
        <v>6</v>
      </c>
      <c r="C2559" t="s">
        <v>533</v>
      </c>
      <c r="D2559" t="s">
        <v>534</v>
      </c>
      <c r="E2559">
        <v>5</v>
      </c>
      <c r="F2559">
        <v>1</v>
      </c>
      <c r="G2559" s="8">
        <f>Lektionen[[#This Row],[Bearbeitungsdauer_real]]/Lektionen[[#This Row],[Bearbeitungsdauer_geschätzt]]-1</f>
        <v>-0.8</v>
      </c>
      <c r="H2559" s="8" t="str" cm="1">
        <f t="array" ref="H2559">_xlfn.IFS(Lektionen[[#This Row],[Bearbeitungsdauer_abgewichen]]&gt;0.6,"viel länger",Lektionen[[#This Row],[Bearbeitungsdauer_abgewichen]]&gt;0.3,"länger",Lektionen[[#This Row],[Bearbeitungsdauer_abgewichen]]&lt;-0.3,"kürzer",TRUE,"keine Abweichung")</f>
        <v>kürzer</v>
      </c>
      <c r="I2559">
        <v>1</v>
      </c>
    </row>
    <row r="2560" spans="1:9" hidden="1" x14ac:dyDescent="0.3">
      <c r="A2560" s="13">
        <v>399</v>
      </c>
      <c r="B2560" s="4">
        <v>7</v>
      </c>
      <c r="C2560" t="s">
        <v>535</v>
      </c>
      <c r="D2560" t="s">
        <v>536</v>
      </c>
      <c r="E2560">
        <v>10</v>
      </c>
      <c r="F2560">
        <v>10</v>
      </c>
      <c r="G2560" s="8">
        <f>Lektionen[[#This Row],[Bearbeitungsdauer_real]]/Lektionen[[#This Row],[Bearbeitungsdauer_geschätzt]]-1</f>
        <v>0</v>
      </c>
      <c r="H2560" s="8" t="str" cm="1">
        <f t="array" ref="H2560">_xlfn.IFS(Lektionen[[#This Row],[Bearbeitungsdauer_abgewichen]]&gt;0.6,"viel länger",Lektionen[[#This Row],[Bearbeitungsdauer_abgewichen]]&gt;0.3,"länger",Lektionen[[#This Row],[Bearbeitungsdauer_abgewichen]]&lt;-0.3,"kürzer",TRUE,"keine Abweichung")</f>
        <v>keine Abweichung</v>
      </c>
      <c r="I2560">
        <v>3</v>
      </c>
    </row>
    <row r="2561" spans="1:9" hidden="1" x14ac:dyDescent="0.3">
      <c r="A2561" s="13">
        <v>399</v>
      </c>
      <c r="B2561" s="4">
        <v>8</v>
      </c>
      <c r="C2561" t="s">
        <v>537</v>
      </c>
      <c r="D2561" t="s">
        <v>527</v>
      </c>
      <c r="E2561">
        <v>5</v>
      </c>
      <c r="F2561">
        <v>5</v>
      </c>
      <c r="G2561" s="8">
        <f>Lektionen[[#This Row],[Bearbeitungsdauer_real]]/Lektionen[[#This Row],[Bearbeitungsdauer_geschätzt]]-1</f>
        <v>0</v>
      </c>
      <c r="H2561" s="8" t="str" cm="1">
        <f t="array" ref="H2561">_xlfn.IFS(Lektionen[[#This Row],[Bearbeitungsdauer_abgewichen]]&gt;0.6,"viel länger",Lektionen[[#This Row],[Bearbeitungsdauer_abgewichen]]&gt;0.3,"länger",Lektionen[[#This Row],[Bearbeitungsdauer_abgewichen]]&lt;-0.3,"kürzer",TRUE,"keine Abweichung")</f>
        <v>keine Abweichung</v>
      </c>
      <c r="I2561">
        <v>1</v>
      </c>
    </row>
    <row r="2562" spans="1:9" hidden="1" x14ac:dyDescent="0.3">
      <c r="A2562" s="13">
        <v>400</v>
      </c>
      <c r="B2562" s="4">
        <v>1</v>
      </c>
      <c r="C2562" t="s">
        <v>526</v>
      </c>
      <c r="D2562" t="s">
        <v>527</v>
      </c>
      <c r="E2562">
        <v>4</v>
      </c>
      <c r="F2562">
        <v>4</v>
      </c>
      <c r="G2562" s="8">
        <f>Lektionen[[#This Row],[Bearbeitungsdauer_real]]/Lektionen[[#This Row],[Bearbeitungsdauer_geschätzt]]-1</f>
        <v>0</v>
      </c>
      <c r="H2562" s="8" t="str" cm="1">
        <f t="array" ref="H2562">_xlfn.IFS(Lektionen[[#This Row],[Bearbeitungsdauer_abgewichen]]&gt;0.6,"viel länger",Lektionen[[#This Row],[Bearbeitungsdauer_abgewichen]]&gt;0.3,"länger",Lektionen[[#This Row],[Bearbeitungsdauer_abgewichen]]&lt;-0.3,"kürzer",TRUE,"keine Abweichung")</f>
        <v>keine Abweichung</v>
      </c>
      <c r="I2562">
        <v>1</v>
      </c>
    </row>
    <row r="2563" spans="1:9" hidden="1" x14ac:dyDescent="0.3">
      <c r="A2563" s="13">
        <v>400</v>
      </c>
      <c r="B2563" s="4">
        <v>2</v>
      </c>
      <c r="C2563" t="s">
        <v>528</v>
      </c>
      <c r="D2563" t="s">
        <v>529</v>
      </c>
      <c r="E2563">
        <v>15</v>
      </c>
      <c r="F2563">
        <v>17</v>
      </c>
      <c r="G2563" s="8">
        <f>Lektionen[[#This Row],[Bearbeitungsdauer_real]]/Lektionen[[#This Row],[Bearbeitungsdauer_geschätzt]]-1</f>
        <v>0.1333333333333333</v>
      </c>
      <c r="H2563" s="8" t="str" cm="1">
        <f t="array" ref="H2563">_xlfn.IFS(Lektionen[[#This Row],[Bearbeitungsdauer_abgewichen]]&gt;0.6,"viel länger",Lektionen[[#This Row],[Bearbeitungsdauer_abgewichen]]&gt;0.3,"länger",Lektionen[[#This Row],[Bearbeitungsdauer_abgewichen]]&lt;-0.3,"kürzer",TRUE,"keine Abweichung")</f>
        <v>keine Abweichung</v>
      </c>
      <c r="I2563">
        <v>1</v>
      </c>
    </row>
    <row r="2564" spans="1:9" hidden="1" x14ac:dyDescent="0.3">
      <c r="A2564" s="13">
        <v>400</v>
      </c>
      <c r="B2564" s="4">
        <v>3</v>
      </c>
      <c r="C2564" t="s">
        <v>552</v>
      </c>
      <c r="D2564" t="s">
        <v>530</v>
      </c>
      <c r="E2564">
        <v>30</v>
      </c>
      <c r="F2564">
        <v>29</v>
      </c>
      <c r="G2564" s="8">
        <f>Lektionen[[#This Row],[Bearbeitungsdauer_real]]/Lektionen[[#This Row],[Bearbeitungsdauer_geschätzt]]-1</f>
        <v>-3.3333333333333326E-2</v>
      </c>
      <c r="H2564" s="8" t="str" cm="1">
        <f t="array" ref="H2564">_xlfn.IFS(Lektionen[[#This Row],[Bearbeitungsdauer_abgewichen]]&gt;0.6,"viel länger",Lektionen[[#This Row],[Bearbeitungsdauer_abgewichen]]&gt;0.3,"länger",Lektionen[[#This Row],[Bearbeitungsdauer_abgewichen]]&lt;-0.3,"kürzer",TRUE,"keine Abweichung")</f>
        <v>keine Abweichung</v>
      </c>
      <c r="I2564">
        <v>3</v>
      </c>
    </row>
    <row r="2565" spans="1:9" hidden="1" x14ac:dyDescent="0.3">
      <c r="A2565" s="13">
        <v>400</v>
      </c>
      <c r="B2565" s="4">
        <v>4</v>
      </c>
      <c r="C2565" t="s">
        <v>531</v>
      </c>
      <c r="D2565" t="s">
        <v>530</v>
      </c>
      <c r="E2565">
        <v>30</v>
      </c>
      <c r="F2565">
        <v>41</v>
      </c>
      <c r="G2565" s="8">
        <f>Lektionen[[#This Row],[Bearbeitungsdauer_real]]/Lektionen[[#This Row],[Bearbeitungsdauer_geschätzt]]-1</f>
        <v>0.3666666666666667</v>
      </c>
      <c r="H2565" s="8" t="str" cm="1">
        <f t="array" ref="H2565">_xlfn.IFS(Lektionen[[#This Row],[Bearbeitungsdauer_abgewichen]]&gt;0.6,"viel länger",Lektionen[[#This Row],[Bearbeitungsdauer_abgewichen]]&gt;0.3,"länger",Lektionen[[#This Row],[Bearbeitungsdauer_abgewichen]]&lt;-0.3,"kürzer",TRUE,"keine Abweichung")</f>
        <v>länger</v>
      </c>
      <c r="I2565">
        <v>5</v>
      </c>
    </row>
    <row r="2566" spans="1:9" x14ac:dyDescent="0.3">
      <c r="A2566" s="13">
        <v>400</v>
      </c>
      <c r="B2566" s="4">
        <v>5</v>
      </c>
      <c r="C2566" t="s">
        <v>532</v>
      </c>
      <c r="D2566" t="s">
        <v>530</v>
      </c>
      <c r="E2566">
        <v>30</v>
      </c>
      <c r="F2566">
        <v>44</v>
      </c>
      <c r="G2566" s="8">
        <f>Lektionen[[#This Row],[Bearbeitungsdauer_real]]/Lektionen[[#This Row],[Bearbeitungsdauer_geschätzt]]-1</f>
        <v>0.46666666666666656</v>
      </c>
      <c r="H2566" s="8" t="str" cm="1">
        <f t="array" ref="H2566">_xlfn.IFS(Lektionen[[#This Row],[Bearbeitungsdauer_abgewichen]]&gt;0.6,"viel länger",Lektionen[[#This Row],[Bearbeitungsdauer_abgewichen]]&gt;0.3,"länger",Lektionen[[#This Row],[Bearbeitungsdauer_abgewichen]]&lt;-0.3,"kürzer",TRUE,"keine Abweichung")</f>
        <v>länger</v>
      </c>
      <c r="I2566">
        <v>4</v>
      </c>
    </row>
    <row r="2567" spans="1:9" hidden="1" x14ac:dyDescent="0.3">
      <c r="A2567" s="13">
        <v>400</v>
      </c>
      <c r="B2567" s="4">
        <v>6</v>
      </c>
      <c r="C2567" t="s">
        <v>533</v>
      </c>
      <c r="D2567" t="s">
        <v>534</v>
      </c>
      <c r="E2567">
        <v>5</v>
      </c>
      <c r="F2567">
        <v>2</v>
      </c>
      <c r="G2567" s="8">
        <f>Lektionen[[#This Row],[Bearbeitungsdauer_real]]/Lektionen[[#This Row],[Bearbeitungsdauer_geschätzt]]-1</f>
        <v>-0.6</v>
      </c>
      <c r="H2567" s="8" t="str" cm="1">
        <f t="array" ref="H2567">_xlfn.IFS(Lektionen[[#This Row],[Bearbeitungsdauer_abgewichen]]&gt;0.6,"viel länger",Lektionen[[#This Row],[Bearbeitungsdauer_abgewichen]]&gt;0.3,"länger",Lektionen[[#This Row],[Bearbeitungsdauer_abgewichen]]&lt;-0.3,"kürzer",TRUE,"keine Abweichung")</f>
        <v>kürzer</v>
      </c>
      <c r="I2567">
        <v>2</v>
      </c>
    </row>
    <row r="2568" spans="1:9" hidden="1" x14ac:dyDescent="0.3">
      <c r="A2568" s="13">
        <v>400</v>
      </c>
      <c r="B2568" s="4">
        <v>7</v>
      </c>
      <c r="C2568" t="s">
        <v>535</v>
      </c>
      <c r="D2568" t="s">
        <v>536</v>
      </c>
      <c r="E2568">
        <v>10</v>
      </c>
      <c r="F2568">
        <v>10</v>
      </c>
      <c r="G2568" s="8">
        <f>Lektionen[[#This Row],[Bearbeitungsdauer_real]]/Lektionen[[#This Row],[Bearbeitungsdauer_geschätzt]]-1</f>
        <v>0</v>
      </c>
      <c r="H2568" s="8" t="str" cm="1">
        <f t="array" ref="H2568">_xlfn.IFS(Lektionen[[#This Row],[Bearbeitungsdauer_abgewichen]]&gt;0.6,"viel länger",Lektionen[[#This Row],[Bearbeitungsdauer_abgewichen]]&gt;0.3,"länger",Lektionen[[#This Row],[Bearbeitungsdauer_abgewichen]]&lt;-0.3,"kürzer",TRUE,"keine Abweichung")</f>
        <v>keine Abweichung</v>
      </c>
      <c r="I2568">
        <v>3</v>
      </c>
    </row>
    <row r="2569" spans="1:9" hidden="1" x14ac:dyDescent="0.3">
      <c r="A2569" s="13">
        <v>400</v>
      </c>
      <c r="B2569" s="4">
        <v>8</v>
      </c>
      <c r="C2569" t="s">
        <v>537</v>
      </c>
      <c r="D2569" t="s">
        <v>527</v>
      </c>
      <c r="E2569">
        <v>5</v>
      </c>
      <c r="F2569">
        <v>5</v>
      </c>
      <c r="G2569" s="8">
        <f>Lektionen[[#This Row],[Bearbeitungsdauer_real]]/Lektionen[[#This Row],[Bearbeitungsdauer_geschätzt]]-1</f>
        <v>0</v>
      </c>
      <c r="H2569" s="8" t="str" cm="1">
        <f t="array" ref="H2569">_xlfn.IFS(Lektionen[[#This Row],[Bearbeitungsdauer_abgewichen]]&gt;0.6,"viel länger",Lektionen[[#This Row],[Bearbeitungsdauer_abgewichen]]&gt;0.3,"länger",Lektionen[[#This Row],[Bearbeitungsdauer_abgewichen]]&lt;-0.3,"kürzer",TRUE,"keine Abweichung")</f>
        <v>keine Abweichung</v>
      </c>
      <c r="I2569">
        <v>1</v>
      </c>
    </row>
    <row r="2570" spans="1:9" hidden="1" x14ac:dyDescent="0.3">
      <c r="A2570" s="13">
        <v>401</v>
      </c>
      <c r="B2570" s="4">
        <v>1</v>
      </c>
      <c r="C2570" t="s">
        <v>526</v>
      </c>
      <c r="D2570" t="s">
        <v>527</v>
      </c>
      <c r="E2570">
        <v>4</v>
      </c>
      <c r="F2570">
        <v>4</v>
      </c>
      <c r="G2570" s="8">
        <f>Lektionen[[#This Row],[Bearbeitungsdauer_real]]/Lektionen[[#This Row],[Bearbeitungsdauer_geschätzt]]-1</f>
        <v>0</v>
      </c>
      <c r="H2570" s="8" t="str" cm="1">
        <f t="array" ref="H2570">_xlfn.IFS(Lektionen[[#This Row],[Bearbeitungsdauer_abgewichen]]&gt;0.6,"viel länger",Lektionen[[#This Row],[Bearbeitungsdauer_abgewichen]]&gt;0.3,"länger",Lektionen[[#This Row],[Bearbeitungsdauer_abgewichen]]&lt;-0.3,"kürzer",TRUE,"keine Abweichung")</f>
        <v>keine Abweichung</v>
      </c>
      <c r="I2570">
        <v>1</v>
      </c>
    </row>
    <row r="2571" spans="1:9" hidden="1" x14ac:dyDescent="0.3">
      <c r="A2571" s="13">
        <v>401</v>
      </c>
      <c r="B2571" s="4">
        <v>2</v>
      </c>
      <c r="C2571" t="s">
        <v>528</v>
      </c>
      <c r="D2571" t="s">
        <v>529</v>
      </c>
      <c r="E2571">
        <v>15</v>
      </c>
      <c r="F2571">
        <v>15</v>
      </c>
      <c r="G2571" s="8">
        <f>Lektionen[[#This Row],[Bearbeitungsdauer_real]]/Lektionen[[#This Row],[Bearbeitungsdauer_geschätzt]]-1</f>
        <v>0</v>
      </c>
      <c r="H2571" s="8" t="str" cm="1">
        <f t="array" ref="H2571">_xlfn.IFS(Lektionen[[#This Row],[Bearbeitungsdauer_abgewichen]]&gt;0.6,"viel länger",Lektionen[[#This Row],[Bearbeitungsdauer_abgewichen]]&gt;0.3,"länger",Lektionen[[#This Row],[Bearbeitungsdauer_abgewichen]]&lt;-0.3,"kürzer",TRUE,"keine Abweichung")</f>
        <v>keine Abweichung</v>
      </c>
      <c r="I2571">
        <v>2</v>
      </c>
    </row>
    <row r="2572" spans="1:9" hidden="1" x14ac:dyDescent="0.3">
      <c r="A2572" s="13">
        <v>401</v>
      </c>
      <c r="B2572" s="4">
        <v>3</v>
      </c>
      <c r="C2572" t="s">
        <v>552</v>
      </c>
      <c r="D2572" t="s">
        <v>530</v>
      </c>
      <c r="E2572">
        <v>30</v>
      </c>
      <c r="F2572">
        <v>28</v>
      </c>
      <c r="G2572" s="8">
        <f>Lektionen[[#This Row],[Bearbeitungsdauer_real]]/Lektionen[[#This Row],[Bearbeitungsdauer_geschätzt]]-1</f>
        <v>-6.6666666666666652E-2</v>
      </c>
      <c r="H2572" s="8" t="str" cm="1">
        <f t="array" ref="H2572">_xlfn.IFS(Lektionen[[#This Row],[Bearbeitungsdauer_abgewichen]]&gt;0.6,"viel länger",Lektionen[[#This Row],[Bearbeitungsdauer_abgewichen]]&gt;0.3,"länger",Lektionen[[#This Row],[Bearbeitungsdauer_abgewichen]]&lt;-0.3,"kürzer",TRUE,"keine Abweichung")</f>
        <v>keine Abweichung</v>
      </c>
      <c r="I2572">
        <v>3</v>
      </c>
    </row>
    <row r="2573" spans="1:9" hidden="1" x14ac:dyDescent="0.3">
      <c r="A2573" s="13">
        <v>401</v>
      </c>
      <c r="B2573" s="4">
        <v>4</v>
      </c>
      <c r="C2573" t="s">
        <v>531</v>
      </c>
      <c r="D2573" t="s">
        <v>530</v>
      </c>
      <c r="E2573">
        <v>30</v>
      </c>
      <c r="F2573">
        <v>32</v>
      </c>
      <c r="G2573" s="8">
        <f>Lektionen[[#This Row],[Bearbeitungsdauer_real]]/Lektionen[[#This Row],[Bearbeitungsdauer_geschätzt]]-1</f>
        <v>6.6666666666666652E-2</v>
      </c>
      <c r="H2573" s="8" t="str" cm="1">
        <f t="array" ref="H2573">_xlfn.IFS(Lektionen[[#This Row],[Bearbeitungsdauer_abgewichen]]&gt;0.6,"viel länger",Lektionen[[#This Row],[Bearbeitungsdauer_abgewichen]]&gt;0.3,"länger",Lektionen[[#This Row],[Bearbeitungsdauer_abgewichen]]&lt;-0.3,"kürzer",TRUE,"keine Abweichung")</f>
        <v>keine Abweichung</v>
      </c>
      <c r="I2573">
        <v>2</v>
      </c>
    </row>
    <row r="2574" spans="1:9" x14ac:dyDescent="0.3">
      <c r="A2574" s="13">
        <v>401</v>
      </c>
      <c r="B2574" s="4">
        <v>5</v>
      </c>
      <c r="C2574" t="s">
        <v>532</v>
      </c>
      <c r="D2574" t="s">
        <v>530</v>
      </c>
      <c r="E2574">
        <v>30</v>
      </c>
      <c r="F2574">
        <v>50</v>
      </c>
      <c r="G2574" s="8">
        <f>Lektionen[[#This Row],[Bearbeitungsdauer_real]]/Lektionen[[#This Row],[Bearbeitungsdauer_geschätzt]]-1</f>
        <v>0.66666666666666674</v>
      </c>
      <c r="H2574" s="8" t="str" cm="1">
        <f t="array" ref="H2574">_xlfn.IFS(Lektionen[[#This Row],[Bearbeitungsdauer_abgewichen]]&gt;0.6,"viel länger",Lektionen[[#This Row],[Bearbeitungsdauer_abgewichen]]&gt;0.3,"länger",Lektionen[[#This Row],[Bearbeitungsdauer_abgewichen]]&lt;-0.3,"kürzer",TRUE,"keine Abweichung")</f>
        <v>viel länger</v>
      </c>
      <c r="I2574">
        <v>4</v>
      </c>
    </row>
    <row r="2575" spans="1:9" hidden="1" x14ac:dyDescent="0.3">
      <c r="A2575" s="13">
        <v>401</v>
      </c>
      <c r="B2575" s="4">
        <v>6</v>
      </c>
      <c r="C2575" t="s">
        <v>533</v>
      </c>
      <c r="D2575" t="s">
        <v>534</v>
      </c>
      <c r="E2575">
        <v>5</v>
      </c>
      <c r="F2575">
        <v>1</v>
      </c>
      <c r="G2575" s="8">
        <f>Lektionen[[#This Row],[Bearbeitungsdauer_real]]/Lektionen[[#This Row],[Bearbeitungsdauer_geschätzt]]-1</f>
        <v>-0.8</v>
      </c>
      <c r="H2575" s="8" t="str" cm="1">
        <f t="array" ref="H2575">_xlfn.IFS(Lektionen[[#This Row],[Bearbeitungsdauer_abgewichen]]&gt;0.6,"viel länger",Lektionen[[#This Row],[Bearbeitungsdauer_abgewichen]]&gt;0.3,"länger",Lektionen[[#This Row],[Bearbeitungsdauer_abgewichen]]&lt;-0.3,"kürzer",TRUE,"keine Abweichung")</f>
        <v>kürzer</v>
      </c>
      <c r="I2575">
        <v>2</v>
      </c>
    </row>
    <row r="2576" spans="1:9" hidden="1" x14ac:dyDescent="0.3">
      <c r="A2576" s="13">
        <v>401</v>
      </c>
      <c r="B2576" s="4">
        <v>7</v>
      </c>
      <c r="C2576" t="s">
        <v>535</v>
      </c>
      <c r="D2576" t="s">
        <v>536</v>
      </c>
      <c r="E2576">
        <v>10</v>
      </c>
      <c r="F2576">
        <v>10</v>
      </c>
      <c r="G2576" s="8">
        <f>Lektionen[[#This Row],[Bearbeitungsdauer_real]]/Lektionen[[#This Row],[Bearbeitungsdauer_geschätzt]]-1</f>
        <v>0</v>
      </c>
      <c r="H2576" s="8" t="str" cm="1">
        <f t="array" ref="H2576">_xlfn.IFS(Lektionen[[#This Row],[Bearbeitungsdauer_abgewichen]]&gt;0.6,"viel länger",Lektionen[[#This Row],[Bearbeitungsdauer_abgewichen]]&gt;0.3,"länger",Lektionen[[#This Row],[Bearbeitungsdauer_abgewichen]]&lt;-0.3,"kürzer",TRUE,"keine Abweichung")</f>
        <v>keine Abweichung</v>
      </c>
      <c r="I2576">
        <v>4</v>
      </c>
    </row>
    <row r="2577" spans="1:9" hidden="1" x14ac:dyDescent="0.3">
      <c r="A2577" s="13">
        <v>401</v>
      </c>
      <c r="B2577" s="4">
        <v>8</v>
      </c>
      <c r="C2577" t="s">
        <v>537</v>
      </c>
      <c r="D2577" t="s">
        <v>527</v>
      </c>
      <c r="E2577">
        <v>5</v>
      </c>
      <c r="F2577">
        <v>5</v>
      </c>
      <c r="G2577" s="8">
        <f>Lektionen[[#This Row],[Bearbeitungsdauer_real]]/Lektionen[[#This Row],[Bearbeitungsdauer_geschätzt]]-1</f>
        <v>0</v>
      </c>
      <c r="H2577" s="8" t="str" cm="1">
        <f t="array" ref="H2577">_xlfn.IFS(Lektionen[[#This Row],[Bearbeitungsdauer_abgewichen]]&gt;0.6,"viel länger",Lektionen[[#This Row],[Bearbeitungsdauer_abgewichen]]&gt;0.3,"länger",Lektionen[[#This Row],[Bearbeitungsdauer_abgewichen]]&lt;-0.3,"kürzer",TRUE,"keine Abweichung")</f>
        <v>keine Abweichung</v>
      </c>
      <c r="I2577">
        <v>1</v>
      </c>
    </row>
    <row r="2578" spans="1:9" hidden="1" x14ac:dyDescent="0.3">
      <c r="A2578" s="13">
        <v>403</v>
      </c>
      <c r="B2578" s="4">
        <v>1</v>
      </c>
      <c r="C2578" t="s">
        <v>526</v>
      </c>
      <c r="D2578" t="s">
        <v>527</v>
      </c>
      <c r="E2578">
        <v>4</v>
      </c>
      <c r="F2578">
        <v>4</v>
      </c>
      <c r="G2578" s="8">
        <f>Lektionen[[#This Row],[Bearbeitungsdauer_real]]/Lektionen[[#This Row],[Bearbeitungsdauer_geschätzt]]-1</f>
        <v>0</v>
      </c>
      <c r="H2578" s="8" t="str" cm="1">
        <f t="array" ref="H2578">_xlfn.IFS(Lektionen[[#This Row],[Bearbeitungsdauer_abgewichen]]&gt;0.6,"viel länger",Lektionen[[#This Row],[Bearbeitungsdauer_abgewichen]]&gt;0.3,"länger",Lektionen[[#This Row],[Bearbeitungsdauer_abgewichen]]&lt;-0.3,"kürzer",TRUE,"keine Abweichung")</f>
        <v>keine Abweichung</v>
      </c>
      <c r="I2578">
        <v>1</v>
      </c>
    </row>
    <row r="2579" spans="1:9" hidden="1" x14ac:dyDescent="0.3">
      <c r="A2579" s="13">
        <v>403</v>
      </c>
      <c r="B2579" s="4">
        <v>2</v>
      </c>
      <c r="C2579" t="s">
        <v>528</v>
      </c>
      <c r="D2579" t="s">
        <v>529</v>
      </c>
      <c r="E2579">
        <v>15</v>
      </c>
      <c r="F2579">
        <v>18</v>
      </c>
      <c r="G2579" s="8">
        <f>Lektionen[[#This Row],[Bearbeitungsdauer_real]]/Lektionen[[#This Row],[Bearbeitungsdauer_geschätzt]]-1</f>
        <v>0.19999999999999996</v>
      </c>
      <c r="H2579" s="8" t="str" cm="1">
        <f t="array" ref="H2579">_xlfn.IFS(Lektionen[[#This Row],[Bearbeitungsdauer_abgewichen]]&gt;0.6,"viel länger",Lektionen[[#This Row],[Bearbeitungsdauer_abgewichen]]&gt;0.3,"länger",Lektionen[[#This Row],[Bearbeitungsdauer_abgewichen]]&lt;-0.3,"kürzer",TRUE,"keine Abweichung")</f>
        <v>keine Abweichung</v>
      </c>
      <c r="I2579">
        <v>1</v>
      </c>
    </row>
    <row r="2580" spans="1:9" hidden="1" x14ac:dyDescent="0.3">
      <c r="A2580" s="13">
        <v>403</v>
      </c>
      <c r="B2580" s="4">
        <v>3</v>
      </c>
      <c r="C2580" t="s">
        <v>552</v>
      </c>
      <c r="D2580" t="s">
        <v>530</v>
      </c>
      <c r="E2580">
        <v>30</v>
      </c>
      <c r="F2580">
        <v>27</v>
      </c>
      <c r="G2580" s="8">
        <f>Lektionen[[#This Row],[Bearbeitungsdauer_real]]/Lektionen[[#This Row],[Bearbeitungsdauer_geschätzt]]-1</f>
        <v>-9.9999999999999978E-2</v>
      </c>
      <c r="H2580" s="8" t="str" cm="1">
        <f t="array" ref="H2580">_xlfn.IFS(Lektionen[[#This Row],[Bearbeitungsdauer_abgewichen]]&gt;0.6,"viel länger",Lektionen[[#This Row],[Bearbeitungsdauer_abgewichen]]&gt;0.3,"länger",Lektionen[[#This Row],[Bearbeitungsdauer_abgewichen]]&lt;-0.3,"kürzer",TRUE,"keine Abweichung")</f>
        <v>keine Abweichung</v>
      </c>
      <c r="I2580">
        <v>2</v>
      </c>
    </row>
    <row r="2581" spans="1:9" hidden="1" x14ac:dyDescent="0.3">
      <c r="A2581" s="13">
        <v>403</v>
      </c>
      <c r="B2581" s="4">
        <v>4</v>
      </c>
      <c r="C2581" t="s">
        <v>531</v>
      </c>
      <c r="D2581" t="s">
        <v>530</v>
      </c>
      <c r="E2581">
        <v>30</v>
      </c>
      <c r="F2581">
        <v>32</v>
      </c>
      <c r="G2581" s="8">
        <f>Lektionen[[#This Row],[Bearbeitungsdauer_real]]/Lektionen[[#This Row],[Bearbeitungsdauer_geschätzt]]-1</f>
        <v>6.6666666666666652E-2</v>
      </c>
      <c r="H2581" s="8" t="str" cm="1">
        <f t="array" ref="H2581">_xlfn.IFS(Lektionen[[#This Row],[Bearbeitungsdauer_abgewichen]]&gt;0.6,"viel länger",Lektionen[[#This Row],[Bearbeitungsdauer_abgewichen]]&gt;0.3,"länger",Lektionen[[#This Row],[Bearbeitungsdauer_abgewichen]]&lt;-0.3,"kürzer",TRUE,"keine Abweichung")</f>
        <v>keine Abweichung</v>
      </c>
      <c r="I2581">
        <v>3</v>
      </c>
    </row>
    <row r="2582" spans="1:9" x14ac:dyDescent="0.3">
      <c r="A2582" s="13">
        <v>403</v>
      </c>
      <c r="B2582" s="4">
        <v>5</v>
      </c>
      <c r="C2582" t="s">
        <v>532</v>
      </c>
      <c r="D2582" t="s">
        <v>530</v>
      </c>
      <c r="E2582">
        <v>30</v>
      </c>
      <c r="F2582">
        <v>55</v>
      </c>
      <c r="G2582" s="8">
        <f>Lektionen[[#This Row],[Bearbeitungsdauer_real]]/Lektionen[[#This Row],[Bearbeitungsdauer_geschätzt]]-1</f>
        <v>0.83333333333333326</v>
      </c>
      <c r="H2582" s="8" t="str" cm="1">
        <f t="array" ref="H2582">_xlfn.IFS(Lektionen[[#This Row],[Bearbeitungsdauer_abgewichen]]&gt;0.6,"viel länger",Lektionen[[#This Row],[Bearbeitungsdauer_abgewichen]]&gt;0.3,"länger",Lektionen[[#This Row],[Bearbeitungsdauer_abgewichen]]&lt;-0.3,"kürzer",TRUE,"keine Abweichung")</f>
        <v>viel länger</v>
      </c>
      <c r="I2582">
        <v>5</v>
      </c>
    </row>
    <row r="2583" spans="1:9" hidden="1" x14ac:dyDescent="0.3">
      <c r="A2583" s="13">
        <v>403</v>
      </c>
      <c r="B2583" s="4">
        <v>6</v>
      </c>
      <c r="C2583" t="s">
        <v>533</v>
      </c>
      <c r="D2583" t="s">
        <v>534</v>
      </c>
      <c r="E2583">
        <v>5</v>
      </c>
      <c r="F2583">
        <v>2</v>
      </c>
      <c r="G2583" s="8">
        <f>Lektionen[[#This Row],[Bearbeitungsdauer_real]]/Lektionen[[#This Row],[Bearbeitungsdauer_geschätzt]]-1</f>
        <v>-0.6</v>
      </c>
      <c r="H2583" s="8" t="str" cm="1">
        <f t="array" ref="H2583">_xlfn.IFS(Lektionen[[#This Row],[Bearbeitungsdauer_abgewichen]]&gt;0.6,"viel länger",Lektionen[[#This Row],[Bearbeitungsdauer_abgewichen]]&gt;0.3,"länger",Lektionen[[#This Row],[Bearbeitungsdauer_abgewichen]]&lt;-0.3,"kürzer",TRUE,"keine Abweichung")</f>
        <v>kürzer</v>
      </c>
      <c r="I2583">
        <v>1</v>
      </c>
    </row>
    <row r="2584" spans="1:9" hidden="1" x14ac:dyDescent="0.3">
      <c r="A2584" s="13">
        <v>403</v>
      </c>
      <c r="B2584" s="4">
        <v>7</v>
      </c>
      <c r="C2584" t="s">
        <v>535</v>
      </c>
      <c r="D2584" t="s">
        <v>536</v>
      </c>
      <c r="E2584">
        <v>10</v>
      </c>
      <c r="F2584">
        <v>9</v>
      </c>
      <c r="G2584" s="8">
        <f>Lektionen[[#This Row],[Bearbeitungsdauer_real]]/Lektionen[[#This Row],[Bearbeitungsdauer_geschätzt]]-1</f>
        <v>-9.9999999999999978E-2</v>
      </c>
      <c r="H2584" s="8" t="str" cm="1">
        <f t="array" ref="H2584">_xlfn.IFS(Lektionen[[#This Row],[Bearbeitungsdauer_abgewichen]]&gt;0.6,"viel länger",Lektionen[[#This Row],[Bearbeitungsdauer_abgewichen]]&gt;0.3,"länger",Lektionen[[#This Row],[Bearbeitungsdauer_abgewichen]]&lt;-0.3,"kürzer",TRUE,"keine Abweichung")</f>
        <v>keine Abweichung</v>
      </c>
      <c r="I2584">
        <v>3</v>
      </c>
    </row>
    <row r="2585" spans="1:9" hidden="1" x14ac:dyDescent="0.3">
      <c r="A2585" s="13">
        <v>403</v>
      </c>
      <c r="B2585" s="4">
        <v>8</v>
      </c>
      <c r="C2585" t="s">
        <v>537</v>
      </c>
      <c r="D2585" t="s">
        <v>527</v>
      </c>
      <c r="E2585">
        <v>5</v>
      </c>
      <c r="F2585">
        <v>5</v>
      </c>
      <c r="G2585" s="8">
        <f>Lektionen[[#This Row],[Bearbeitungsdauer_real]]/Lektionen[[#This Row],[Bearbeitungsdauer_geschätzt]]-1</f>
        <v>0</v>
      </c>
      <c r="H2585" s="8" t="str" cm="1">
        <f t="array" ref="H2585">_xlfn.IFS(Lektionen[[#This Row],[Bearbeitungsdauer_abgewichen]]&gt;0.6,"viel länger",Lektionen[[#This Row],[Bearbeitungsdauer_abgewichen]]&gt;0.3,"länger",Lektionen[[#This Row],[Bearbeitungsdauer_abgewichen]]&lt;-0.3,"kürzer",TRUE,"keine Abweichung")</f>
        <v>keine Abweichung</v>
      </c>
      <c r="I2585">
        <v>1</v>
      </c>
    </row>
    <row r="2586" spans="1:9" hidden="1" x14ac:dyDescent="0.3">
      <c r="A2586" s="13">
        <v>404</v>
      </c>
      <c r="B2586" s="4">
        <v>1</v>
      </c>
      <c r="C2586" t="s">
        <v>526</v>
      </c>
      <c r="D2586" t="s">
        <v>527</v>
      </c>
      <c r="E2586">
        <v>4</v>
      </c>
      <c r="F2586">
        <v>4</v>
      </c>
      <c r="G2586" s="8">
        <f>Lektionen[[#This Row],[Bearbeitungsdauer_real]]/Lektionen[[#This Row],[Bearbeitungsdauer_geschätzt]]-1</f>
        <v>0</v>
      </c>
      <c r="H2586" s="8" t="str" cm="1">
        <f t="array" ref="H2586">_xlfn.IFS(Lektionen[[#This Row],[Bearbeitungsdauer_abgewichen]]&gt;0.6,"viel länger",Lektionen[[#This Row],[Bearbeitungsdauer_abgewichen]]&gt;0.3,"länger",Lektionen[[#This Row],[Bearbeitungsdauer_abgewichen]]&lt;-0.3,"kürzer",TRUE,"keine Abweichung")</f>
        <v>keine Abweichung</v>
      </c>
      <c r="I2586">
        <v>2</v>
      </c>
    </row>
    <row r="2587" spans="1:9" hidden="1" x14ac:dyDescent="0.3">
      <c r="A2587" s="13">
        <v>404</v>
      </c>
      <c r="B2587" s="4">
        <v>2</v>
      </c>
      <c r="C2587" t="s">
        <v>528</v>
      </c>
      <c r="D2587" t="s">
        <v>529</v>
      </c>
      <c r="E2587">
        <v>15</v>
      </c>
      <c r="F2587">
        <v>15</v>
      </c>
      <c r="G2587" s="8">
        <f>Lektionen[[#This Row],[Bearbeitungsdauer_real]]/Lektionen[[#This Row],[Bearbeitungsdauer_geschätzt]]-1</f>
        <v>0</v>
      </c>
      <c r="H2587" s="8" t="str" cm="1">
        <f t="array" ref="H2587">_xlfn.IFS(Lektionen[[#This Row],[Bearbeitungsdauer_abgewichen]]&gt;0.6,"viel länger",Lektionen[[#This Row],[Bearbeitungsdauer_abgewichen]]&gt;0.3,"länger",Lektionen[[#This Row],[Bearbeitungsdauer_abgewichen]]&lt;-0.3,"kürzer",TRUE,"keine Abweichung")</f>
        <v>keine Abweichung</v>
      </c>
      <c r="I2587">
        <v>1</v>
      </c>
    </row>
    <row r="2588" spans="1:9" hidden="1" x14ac:dyDescent="0.3">
      <c r="A2588" s="13">
        <v>404</v>
      </c>
      <c r="B2588" s="4">
        <v>3</v>
      </c>
      <c r="C2588" t="s">
        <v>552</v>
      </c>
      <c r="D2588" t="s">
        <v>530</v>
      </c>
      <c r="E2588">
        <v>30</v>
      </c>
      <c r="F2588">
        <v>30</v>
      </c>
      <c r="G2588" s="8">
        <f>Lektionen[[#This Row],[Bearbeitungsdauer_real]]/Lektionen[[#This Row],[Bearbeitungsdauer_geschätzt]]-1</f>
        <v>0</v>
      </c>
      <c r="H2588" s="8" t="str" cm="1">
        <f t="array" ref="H2588">_xlfn.IFS(Lektionen[[#This Row],[Bearbeitungsdauer_abgewichen]]&gt;0.6,"viel länger",Lektionen[[#This Row],[Bearbeitungsdauer_abgewichen]]&gt;0.3,"länger",Lektionen[[#This Row],[Bearbeitungsdauer_abgewichen]]&lt;-0.3,"kürzer",TRUE,"keine Abweichung")</f>
        <v>keine Abweichung</v>
      </c>
      <c r="I2588">
        <v>2</v>
      </c>
    </row>
    <row r="2589" spans="1:9" hidden="1" x14ac:dyDescent="0.3">
      <c r="A2589" s="13">
        <v>404</v>
      </c>
      <c r="B2589" s="4">
        <v>4</v>
      </c>
      <c r="C2589" t="s">
        <v>531</v>
      </c>
      <c r="D2589" t="s">
        <v>530</v>
      </c>
      <c r="E2589">
        <v>30</v>
      </c>
      <c r="F2589">
        <v>29</v>
      </c>
      <c r="G2589" s="8">
        <f>Lektionen[[#This Row],[Bearbeitungsdauer_real]]/Lektionen[[#This Row],[Bearbeitungsdauer_geschätzt]]-1</f>
        <v>-3.3333333333333326E-2</v>
      </c>
      <c r="H2589" s="8" t="str" cm="1">
        <f t="array" ref="H2589">_xlfn.IFS(Lektionen[[#This Row],[Bearbeitungsdauer_abgewichen]]&gt;0.6,"viel länger",Lektionen[[#This Row],[Bearbeitungsdauer_abgewichen]]&gt;0.3,"länger",Lektionen[[#This Row],[Bearbeitungsdauer_abgewichen]]&lt;-0.3,"kürzer",TRUE,"keine Abweichung")</f>
        <v>keine Abweichung</v>
      </c>
      <c r="I2589">
        <v>3</v>
      </c>
    </row>
    <row r="2590" spans="1:9" x14ac:dyDescent="0.3">
      <c r="A2590" s="13">
        <v>404</v>
      </c>
      <c r="B2590" s="4">
        <v>5</v>
      </c>
      <c r="C2590" t="s">
        <v>532</v>
      </c>
      <c r="D2590" t="s">
        <v>530</v>
      </c>
      <c r="E2590">
        <v>30</v>
      </c>
      <c r="F2590">
        <v>35</v>
      </c>
      <c r="G2590" s="8">
        <f>Lektionen[[#This Row],[Bearbeitungsdauer_real]]/Lektionen[[#This Row],[Bearbeitungsdauer_geschätzt]]-1</f>
        <v>0.16666666666666674</v>
      </c>
      <c r="H2590" s="8" t="str" cm="1">
        <f t="array" ref="H2590">_xlfn.IFS(Lektionen[[#This Row],[Bearbeitungsdauer_abgewichen]]&gt;0.6,"viel länger",Lektionen[[#This Row],[Bearbeitungsdauer_abgewichen]]&gt;0.3,"länger",Lektionen[[#This Row],[Bearbeitungsdauer_abgewichen]]&lt;-0.3,"kürzer",TRUE,"keine Abweichung")</f>
        <v>keine Abweichung</v>
      </c>
      <c r="I2590">
        <v>4</v>
      </c>
    </row>
    <row r="2591" spans="1:9" hidden="1" x14ac:dyDescent="0.3">
      <c r="A2591" s="13">
        <v>404</v>
      </c>
      <c r="B2591" s="4">
        <v>6</v>
      </c>
      <c r="C2591" t="s">
        <v>533</v>
      </c>
      <c r="D2591" t="s">
        <v>534</v>
      </c>
      <c r="E2591">
        <v>5</v>
      </c>
      <c r="F2591">
        <v>1</v>
      </c>
      <c r="G2591" s="8">
        <f>Lektionen[[#This Row],[Bearbeitungsdauer_real]]/Lektionen[[#This Row],[Bearbeitungsdauer_geschätzt]]-1</f>
        <v>-0.8</v>
      </c>
      <c r="H2591" s="8" t="str" cm="1">
        <f t="array" ref="H2591">_xlfn.IFS(Lektionen[[#This Row],[Bearbeitungsdauer_abgewichen]]&gt;0.6,"viel länger",Lektionen[[#This Row],[Bearbeitungsdauer_abgewichen]]&gt;0.3,"länger",Lektionen[[#This Row],[Bearbeitungsdauer_abgewichen]]&lt;-0.3,"kürzer",TRUE,"keine Abweichung")</f>
        <v>kürzer</v>
      </c>
      <c r="I2591">
        <v>2</v>
      </c>
    </row>
    <row r="2592" spans="1:9" hidden="1" x14ac:dyDescent="0.3">
      <c r="A2592" s="13">
        <v>404</v>
      </c>
      <c r="B2592" s="4">
        <v>7</v>
      </c>
      <c r="C2592" t="s">
        <v>535</v>
      </c>
      <c r="D2592" t="s">
        <v>536</v>
      </c>
      <c r="E2592">
        <v>10</v>
      </c>
      <c r="F2592">
        <v>9</v>
      </c>
      <c r="G2592" s="8">
        <f>Lektionen[[#This Row],[Bearbeitungsdauer_real]]/Lektionen[[#This Row],[Bearbeitungsdauer_geschätzt]]-1</f>
        <v>-9.9999999999999978E-2</v>
      </c>
      <c r="H2592" s="8" t="str" cm="1">
        <f t="array" ref="H2592">_xlfn.IFS(Lektionen[[#This Row],[Bearbeitungsdauer_abgewichen]]&gt;0.6,"viel länger",Lektionen[[#This Row],[Bearbeitungsdauer_abgewichen]]&gt;0.3,"länger",Lektionen[[#This Row],[Bearbeitungsdauer_abgewichen]]&lt;-0.3,"kürzer",TRUE,"keine Abweichung")</f>
        <v>keine Abweichung</v>
      </c>
      <c r="I2592">
        <v>3</v>
      </c>
    </row>
    <row r="2593" spans="1:9" hidden="1" x14ac:dyDescent="0.3">
      <c r="A2593" s="13">
        <v>404</v>
      </c>
      <c r="B2593" s="4">
        <v>8</v>
      </c>
      <c r="C2593" t="s">
        <v>537</v>
      </c>
      <c r="D2593" t="s">
        <v>527</v>
      </c>
      <c r="E2593">
        <v>5</v>
      </c>
      <c r="F2593">
        <v>5</v>
      </c>
      <c r="G2593" s="8">
        <f>Lektionen[[#This Row],[Bearbeitungsdauer_real]]/Lektionen[[#This Row],[Bearbeitungsdauer_geschätzt]]-1</f>
        <v>0</v>
      </c>
      <c r="H2593" s="8" t="str" cm="1">
        <f t="array" ref="H2593">_xlfn.IFS(Lektionen[[#This Row],[Bearbeitungsdauer_abgewichen]]&gt;0.6,"viel länger",Lektionen[[#This Row],[Bearbeitungsdauer_abgewichen]]&gt;0.3,"länger",Lektionen[[#This Row],[Bearbeitungsdauer_abgewichen]]&lt;-0.3,"kürzer",TRUE,"keine Abweichung")</f>
        <v>keine Abweichung</v>
      </c>
      <c r="I2593">
        <v>1</v>
      </c>
    </row>
    <row r="2594" spans="1:9" hidden="1" x14ac:dyDescent="0.3">
      <c r="A2594" s="13">
        <v>405</v>
      </c>
      <c r="B2594" s="4">
        <v>1</v>
      </c>
      <c r="C2594" t="s">
        <v>526</v>
      </c>
      <c r="D2594" t="s">
        <v>527</v>
      </c>
      <c r="E2594">
        <v>4</v>
      </c>
      <c r="F2594">
        <v>4</v>
      </c>
      <c r="G2594" s="8">
        <f>Lektionen[[#This Row],[Bearbeitungsdauer_real]]/Lektionen[[#This Row],[Bearbeitungsdauer_geschätzt]]-1</f>
        <v>0</v>
      </c>
      <c r="H2594" s="8" t="str" cm="1">
        <f t="array" ref="H2594">_xlfn.IFS(Lektionen[[#This Row],[Bearbeitungsdauer_abgewichen]]&gt;0.6,"viel länger",Lektionen[[#This Row],[Bearbeitungsdauer_abgewichen]]&gt;0.3,"länger",Lektionen[[#This Row],[Bearbeitungsdauer_abgewichen]]&lt;-0.3,"kürzer",TRUE,"keine Abweichung")</f>
        <v>keine Abweichung</v>
      </c>
      <c r="I2594">
        <v>1</v>
      </c>
    </row>
    <row r="2595" spans="1:9" hidden="1" x14ac:dyDescent="0.3">
      <c r="A2595" s="13">
        <v>405</v>
      </c>
      <c r="B2595" s="4">
        <v>2</v>
      </c>
      <c r="C2595" t="s">
        <v>528</v>
      </c>
      <c r="D2595" t="s">
        <v>529</v>
      </c>
      <c r="E2595">
        <v>15</v>
      </c>
      <c r="F2595">
        <v>17</v>
      </c>
      <c r="G2595" s="8">
        <f>Lektionen[[#This Row],[Bearbeitungsdauer_real]]/Lektionen[[#This Row],[Bearbeitungsdauer_geschätzt]]-1</f>
        <v>0.1333333333333333</v>
      </c>
      <c r="H2595" s="8" t="str" cm="1">
        <f t="array" ref="H2595">_xlfn.IFS(Lektionen[[#This Row],[Bearbeitungsdauer_abgewichen]]&gt;0.6,"viel länger",Lektionen[[#This Row],[Bearbeitungsdauer_abgewichen]]&gt;0.3,"länger",Lektionen[[#This Row],[Bearbeitungsdauer_abgewichen]]&lt;-0.3,"kürzer",TRUE,"keine Abweichung")</f>
        <v>keine Abweichung</v>
      </c>
      <c r="I2595">
        <v>2</v>
      </c>
    </row>
    <row r="2596" spans="1:9" hidden="1" x14ac:dyDescent="0.3">
      <c r="A2596" s="13">
        <v>405</v>
      </c>
      <c r="B2596" s="4">
        <v>3</v>
      </c>
      <c r="C2596" t="s">
        <v>552</v>
      </c>
      <c r="D2596" t="s">
        <v>530</v>
      </c>
      <c r="E2596">
        <v>30</v>
      </c>
      <c r="F2596">
        <v>28</v>
      </c>
      <c r="G2596" s="8">
        <f>Lektionen[[#This Row],[Bearbeitungsdauer_real]]/Lektionen[[#This Row],[Bearbeitungsdauer_geschätzt]]-1</f>
        <v>-6.6666666666666652E-2</v>
      </c>
      <c r="H2596" s="8" t="str" cm="1">
        <f t="array" ref="H2596">_xlfn.IFS(Lektionen[[#This Row],[Bearbeitungsdauer_abgewichen]]&gt;0.6,"viel länger",Lektionen[[#This Row],[Bearbeitungsdauer_abgewichen]]&gt;0.3,"länger",Lektionen[[#This Row],[Bearbeitungsdauer_abgewichen]]&lt;-0.3,"kürzer",TRUE,"keine Abweichung")</f>
        <v>keine Abweichung</v>
      </c>
      <c r="I2596">
        <v>2</v>
      </c>
    </row>
    <row r="2597" spans="1:9" hidden="1" x14ac:dyDescent="0.3">
      <c r="A2597" s="13">
        <v>405</v>
      </c>
      <c r="B2597" s="4">
        <v>4</v>
      </c>
      <c r="C2597" t="s">
        <v>531</v>
      </c>
      <c r="D2597" t="s">
        <v>530</v>
      </c>
      <c r="E2597">
        <v>30</v>
      </c>
      <c r="F2597">
        <v>28</v>
      </c>
      <c r="G2597" s="8">
        <f>Lektionen[[#This Row],[Bearbeitungsdauer_real]]/Lektionen[[#This Row],[Bearbeitungsdauer_geschätzt]]-1</f>
        <v>-6.6666666666666652E-2</v>
      </c>
      <c r="H2597" s="8" t="str" cm="1">
        <f t="array" ref="H2597">_xlfn.IFS(Lektionen[[#This Row],[Bearbeitungsdauer_abgewichen]]&gt;0.6,"viel länger",Lektionen[[#This Row],[Bearbeitungsdauer_abgewichen]]&gt;0.3,"länger",Lektionen[[#This Row],[Bearbeitungsdauer_abgewichen]]&lt;-0.3,"kürzer",TRUE,"keine Abweichung")</f>
        <v>keine Abweichung</v>
      </c>
      <c r="I2597">
        <v>3</v>
      </c>
    </row>
    <row r="2598" spans="1:9" x14ac:dyDescent="0.3">
      <c r="A2598" s="13">
        <v>405</v>
      </c>
      <c r="B2598" s="4">
        <v>5</v>
      </c>
      <c r="C2598" t="s">
        <v>532</v>
      </c>
      <c r="D2598" t="s">
        <v>530</v>
      </c>
      <c r="E2598">
        <v>30</v>
      </c>
      <c r="F2598">
        <v>46</v>
      </c>
      <c r="G2598" s="8">
        <f>Lektionen[[#This Row],[Bearbeitungsdauer_real]]/Lektionen[[#This Row],[Bearbeitungsdauer_geschätzt]]-1</f>
        <v>0.53333333333333344</v>
      </c>
      <c r="H2598" s="8" t="str" cm="1">
        <f t="array" ref="H2598">_xlfn.IFS(Lektionen[[#This Row],[Bearbeitungsdauer_abgewichen]]&gt;0.6,"viel länger",Lektionen[[#This Row],[Bearbeitungsdauer_abgewichen]]&gt;0.3,"länger",Lektionen[[#This Row],[Bearbeitungsdauer_abgewichen]]&lt;-0.3,"kürzer",TRUE,"keine Abweichung")</f>
        <v>länger</v>
      </c>
      <c r="I2598">
        <v>3</v>
      </c>
    </row>
    <row r="2599" spans="1:9" hidden="1" x14ac:dyDescent="0.3">
      <c r="A2599" s="13">
        <v>405</v>
      </c>
      <c r="B2599" s="4">
        <v>6</v>
      </c>
      <c r="C2599" t="s">
        <v>533</v>
      </c>
      <c r="D2599" t="s">
        <v>534</v>
      </c>
      <c r="E2599">
        <v>5</v>
      </c>
      <c r="F2599">
        <v>1</v>
      </c>
      <c r="G2599" s="8">
        <f>Lektionen[[#This Row],[Bearbeitungsdauer_real]]/Lektionen[[#This Row],[Bearbeitungsdauer_geschätzt]]-1</f>
        <v>-0.8</v>
      </c>
      <c r="H2599" s="8" t="str" cm="1">
        <f t="array" ref="H2599">_xlfn.IFS(Lektionen[[#This Row],[Bearbeitungsdauer_abgewichen]]&gt;0.6,"viel länger",Lektionen[[#This Row],[Bearbeitungsdauer_abgewichen]]&gt;0.3,"länger",Lektionen[[#This Row],[Bearbeitungsdauer_abgewichen]]&lt;-0.3,"kürzer",TRUE,"keine Abweichung")</f>
        <v>kürzer</v>
      </c>
      <c r="I2599">
        <v>1</v>
      </c>
    </row>
    <row r="2600" spans="1:9" hidden="1" x14ac:dyDescent="0.3">
      <c r="A2600" s="13">
        <v>405</v>
      </c>
      <c r="B2600" s="4">
        <v>7</v>
      </c>
      <c r="C2600" t="s">
        <v>535</v>
      </c>
      <c r="D2600" t="s">
        <v>536</v>
      </c>
      <c r="E2600">
        <v>10</v>
      </c>
      <c r="F2600">
        <v>10</v>
      </c>
      <c r="G2600" s="8">
        <f>Lektionen[[#This Row],[Bearbeitungsdauer_real]]/Lektionen[[#This Row],[Bearbeitungsdauer_geschätzt]]-1</f>
        <v>0</v>
      </c>
      <c r="H2600" s="8" t="str" cm="1">
        <f t="array" ref="H2600">_xlfn.IFS(Lektionen[[#This Row],[Bearbeitungsdauer_abgewichen]]&gt;0.6,"viel länger",Lektionen[[#This Row],[Bearbeitungsdauer_abgewichen]]&gt;0.3,"länger",Lektionen[[#This Row],[Bearbeitungsdauer_abgewichen]]&lt;-0.3,"kürzer",TRUE,"keine Abweichung")</f>
        <v>keine Abweichung</v>
      </c>
      <c r="I2600">
        <v>4</v>
      </c>
    </row>
    <row r="2601" spans="1:9" hidden="1" x14ac:dyDescent="0.3">
      <c r="A2601" s="13">
        <v>405</v>
      </c>
      <c r="B2601" s="4">
        <v>8</v>
      </c>
      <c r="C2601" t="s">
        <v>537</v>
      </c>
      <c r="D2601" t="s">
        <v>527</v>
      </c>
      <c r="E2601">
        <v>5</v>
      </c>
      <c r="F2601">
        <v>5</v>
      </c>
      <c r="G2601" s="8">
        <f>Lektionen[[#This Row],[Bearbeitungsdauer_real]]/Lektionen[[#This Row],[Bearbeitungsdauer_geschätzt]]-1</f>
        <v>0</v>
      </c>
      <c r="H2601" s="8" t="str" cm="1">
        <f t="array" ref="H2601">_xlfn.IFS(Lektionen[[#This Row],[Bearbeitungsdauer_abgewichen]]&gt;0.6,"viel länger",Lektionen[[#This Row],[Bearbeitungsdauer_abgewichen]]&gt;0.3,"länger",Lektionen[[#This Row],[Bearbeitungsdauer_abgewichen]]&lt;-0.3,"kürzer",TRUE,"keine Abweichung")</f>
        <v>keine Abweichung</v>
      </c>
      <c r="I2601">
        <v>1</v>
      </c>
    </row>
    <row r="2602" spans="1:9" hidden="1" x14ac:dyDescent="0.3">
      <c r="A2602" s="13">
        <v>407</v>
      </c>
      <c r="B2602" s="4">
        <v>1</v>
      </c>
      <c r="C2602" t="s">
        <v>526</v>
      </c>
      <c r="D2602" t="s">
        <v>527</v>
      </c>
      <c r="E2602">
        <v>4</v>
      </c>
      <c r="F2602">
        <v>4</v>
      </c>
      <c r="G2602" s="8">
        <f>Lektionen[[#This Row],[Bearbeitungsdauer_real]]/Lektionen[[#This Row],[Bearbeitungsdauer_geschätzt]]-1</f>
        <v>0</v>
      </c>
      <c r="H2602" s="8" t="str" cm="1">
        <f t="array" ref="H2602">_xlfn.IFS(Lektionen[[#This Row],[Bearbeitungsdauer_abgewichen]]&gt;0.6,"viel länger",Lektionen[[#This Row],[Bearbeitungsdauer_abgewichen]]&gt;0.3,"länger",Lektionen[[#This Row],[Bearbeitungsdauer_abgewichen]]&lt;-0.3,"kürzer",TRUE,"keine Abweichung")</f>
        <v>keine Abweichung</v>
      </c>
      <c r="I2602">
        <v>1</v>
      </c>
    </row>
    <row r="2603" spans="1:9" hidden="1" x14ac:dyDescent="0.3">
      <c r="A2603" s="13">
        <v>407</v>
      </c>
      <c r="B2603" s="4">
        <v>2</v>
      </c>
      <c r="C2603" t="s">
        <v>528</v>
      </c>
      <c r="D2603" t="s">
        <v>529</v>
      </c>
      <c r="E2603">
        <v>15</v>
      </c>
      <c r="F2603">
        <v>15</v>
      </c>
      <c r="G2603" s="8">
        <f>Lektionen[[#This Row],[Bearbeitungsdauer_real]]/Lektionen[[#This Row],[Bearbeitungsdauer_geschätzt]]-1</f>
        <v>0</v>
      </c>
      <c r="H2603" s="8" t="str" cm="1">
        <f t="array" ref="H2603">_xlfn.IFS(Lektionen[[#This Row],[Bearbeitungsdauer_abgewichen]]&gt;0.6,"viel länger",Lektionen[[#This Row],[Bearbeitungsdauer_abgewichen]]&gt;0.3,"länger",Lektionen[[#This Row],[Bearbeitungsdauer_abgewichen]]&lt;-0.3,"kürzer",TRUE,"keine Abweichung")</f>
        <v>keine Abweichung</v>
      </c>
      <c r="I2603">
        <v>2</v>
      </c>
    </row>
    <row r="2604" spans="1:9" hidden="1" x14ac:dyDescent="0.3">
      <c r="A2604" s="13">
        <v>407</v>
      </c>
      <c r="B2604" s="4">
        <v>3</v>
      </c>
      <c r="C2604" t="s">
        <v>552</v>
      </c>
      <c r="D2604" t="s">
        <v>530</v>
      </c>
      <c r="E2604">
        <v>30</v>
      </c>
      <c r="F2604">
        <v>29</v>
      </c>
      <c r="G2604" s="8">
        <f>Lektionen[[#This Row],[Bearbeitungsdauer_real]]/Lektionen[[#This Row],[Bearbeitungsdauer_geschätzt]]-1</f>
        <v>-3.3333333333333326E-2</v>
      </c>
      <c r="H2604" s="8" t="str" cm="1">
        <f t="array" ref="H2604">_xlfn.IFS(Lektionen[[#This Row],[Bearbeitungsdauer_abgewichen]]&gt;0.6,"viel länger",Lektionen[[#This Row],[Bearbeitungsdauer_abgewichen]]&gt;0.3,"länger",Lektionen[[#This Row],[Bearbeitungsdauer_abgewichen]]&lt;-0.3,"kürzer",TRUE,"keine Abweichung")</f>
        <v>keine Abweichung</v>
      </c>
      <c r="I2604">
        <v>2</v>
      </c>
    </row>
    <row r="2605" spans="1:9" hidden="1" x14ac:dyDescent="0.3">
      <c r="A2605" s="13">
        <v>407</v>
      </c>
      <c r="B2605" s="4">
        <v>4</v>
      </c>
      <c r="C2605" t="s">
        <v>531</v>
      </c>
      <c r="D2605" t="s">
        <v>530</v>
      </c>
      <c r="E2605">
        <v>30</v>
      </c>
      <c r="F2605">
        <v>23</v>
      </c>
      <c r="G2605" s="8">
        <f>Lektionen[[#This Row],[Bearbeitungsdauer_real]]/Lektionen[[#This Row],[Bearbeitungsdauer_geschätzt]]-1</f>
        <v>-0.23333333333333328</v>
      </c>
      <c r="H2605" s="8" t="str" cm="1">
        <f t="array" ref="H2605">_xlfn.IFS(Lektionen[[#This Row],[Bearbeitungsdauer_abgewichen]]&gt;0.6,"viel länger",Lektionen[[#This Row],[Bearbeitungsdauer_abgewichen]]&gt;0.3,"länger",Lektionen[[#This Row],[Bearbeitungsdauer_abgewichen]]&lt;-0.3,"kürzer",TRUE,"keine Abweichung")</f>
        <v>keine Abweichung</v>
      </c>
      <c r="I2605">
        <v>3</v>
      </c>
    </row>
    <row r="2606" spans="1:9" x14ac:dyDescent="0.3">
      <c r="A2606" s="13">
        <v>407</v>
      </c>
      <c r="B2606" s="4">
        <v>5</v>
      </c>
      <c r="C2606" t="s">
        <v>532</v>
      </c>
      <c r="D2606" t="s">
        <v>530</v>
      </c>
      <c r="E2606">
        <v>30</v>
      </c>
      <c r="F2606">
        <v>55</v>
      </c>
      <c r="G2606" s="8">
        <f>Lektionen[[#This Row],[Bearbeitungsdauer_real]]/Lektionen[[#This Row],[Bearbeitungsdauer_geschätzt]]-1</f>
        <v>0.83333333333333326</v>
      </c>
      <c r="H2606" s="8" t="str" cm="1">
        <f t="array" ref="H2606">_xlfn.IFS(Lektionen[[#This Row],[Bearbeitungsdauer_abgewichen]]&gt;0.6,"viel länger",Lektionen[[#This Row],[Bearbeitungsdauer_abgewichen]]&gt;0.3,"länger",Lektionen[[#This Row],[Bearbeitungsdauer_abgewichen]]&lt;-0.3,"kürzer",TRUE,"keine Abweichung")</f>
        <v>viel länger</v>
      </c>
      <c r="I2606">
        <v>3</v>
      </c>
    </row>
    <row r="2607" spans="1:9" hidden="1" x14ac:dyDescent="0.3">
      <c r="A2607" s="13">
        <v>407</v>
      </c>
      <c r="B2607" s="4">
        <v>6</v>
      </c>
      <c r="C2607" t="s">
        <v>533</v>
      </c>
      <c r="D2607" t="s">
        <v>534</v>
      </c>
      <c r="E2607">
        <v>5</v>
      </c>
      <c r="F2607">
        <v>1</v>
      </c>
      <c r="G2607" s="8">
        <f>Lektionen[[#This Row],[Bearbeitungsdauer_real]]/Lektionen[[#This Row],[Bearbeitungsdauer_geschätzt]]-1</f>
        <v>-0.8</v>
      </c>
      <c r="H2607" s="8" t="str" cm="1">
        <f t="array" ref="H2607">_xlfn.IFS(Lektionen[[#This Row],[Bearbeitungsdauer_abgewichen]]&gt;0.6,"viel länger",Lektionen[[#This Row],[Bearbeitungsdauer_abgewichen]]&gt;0.3,"länger",Lektionen[[#This Row],[Bearbeitungsdauer_abgewichen]]&lt;-0.3,"kürzer",TRUE,"keine Abweichung")</f>
        <v>kürzer</v>
      </c>
      <c r="I2607">
        <v>2</v>
      </c>
    </row>
    <row r="2608" spans="1:9" hidden="1" x14ac:dyDescent="0.3">
      <c r="A2608" s="13">
        <v>407</v>
      </c>
      <c r="B2608" s="4">
        <v>7</v>
      </c>
      <c r="C2608" t="s">
        <v>535</v>
      </c>
      <c r="D2608" t="s">
        <v>536</v>
      </c>
      <c r="E2608">
        <v>10</v>
      </c>
      <c r="F2608">
        <v>10</v>
      </c>
      <c r="G2608" s="8">
        <f>Lektionen[[#This Row],[Bearbeitungsdauer_real]]/Lektionen[[#This Row],[Bearbeitungsdauer_geschätzt]]-1</f>
        <v>0</v>
      </c>
      <c r="H2608" s="8" t="str" cm="1">
        <f t="array" ref="H2608">_xlfn.IFS(Lektionen[[#This Row],[Bearbeitungsdauer_abgewichen]]&gt;0.6,"viel länger",Lektionen[[#This Row],[Bearbeitungsdauer_abgewichen]]&gt;0.3,"länger",Lektionen[[#This Row],[Bearbeitungsdauer_abgewichen]]&lt;-0.3,"kürzer",TRUE,"keine Abweichung")</f>
        <v>keine Abweichung</v>
      </c>
      <c r="I2608">
        <v>3</v>
      </c>
    </row>
    <row r="2609" spans="1:9" hidden="1" x14ac:dyDescent="0.3">
      <c r="A2609" s="13">
        <v>407</v>
      </c>
      <c r="B2609" s="4">
        <v>8</v>
      </c>
      <c r="C2609" t="s">
        <v>537</v>
      </c>
      <c r="D2609" t="s">
        <v>527</v>
      </c>
      <c r="E2609">
        <v>5</v>
      </c>
      <c r="F2609">
        <v>5</v>
      </c>
      <c r="G2609" s="8">
        <f>Lektionen[[#This Row],[Bearbeitungsdauer_real]]/Lektionen[[#This Row],[Bearbeitungsdauer_geschätzt]]-1</f>
        <v>0</v>
      </c>
      <c r="H2609" s="8" t="str" cm="1">
        <f t="array" ref="H2609">_xlfn.IFS(Lektionen[[#This Row],[Bearbeitungsdauer_abgewichen]]&gt;0.6,"viel länger",Lektionen[[#This Row],[Bearbeitungsdauer_abgewichen]]&gt;0.3,"länger",Lektionen[[#This Row],[Bearbeitungsdauer_abgewichen]]&lt;-0.3,"kürzer",TRUE,"keine Abweichung")</f>
        <v>keine Abweichung</v>
      </c>
      <c r="I2609">
        <v>1</v>
      </c>
    </row>
    <row r="2610" spans="1:9" hidden="1" x14ac:dyDescent="0.3">
      <c r="A2610" s="13">
        <v>408</v>
      </c>
      <c r="B2610" s="4">
        <v>1</v>
      </c>
      <c r="C2610" t="s">
        <v>526</v>
      </c>
      <c r="D2610" t="s">
        <v>527</v>
      </c>
      <c r="E2610">
        <v>4</v>
      </c>
      <c r="F2610">
        <v>6</v>
      </c>
      <c r="G2610" s="8">
        <f>Lektionen[[#This Row],[Bearbeitungsdauer_real]]/Lektionen[[#This Row],[Bearbeitungsdauer_geschätzt]]-1</f>
        <v>0.5</v>
      </c>
      <c r="H2610" s="8" t="str" cm="1">
        <f t="array" ref="H2610">_xlfn.IFS(Lektionen[[#This Row],[Bearbeitungsdauer_abgewichen]]&gt;0.6,"viel länger",Lektionen[[#This Row],[Bearbeitungsdauer_abgewichen]]&gt;0.3,"länger",Lektionen[[#This Row],[Bearbeitungsdauer_abgewichen]]&lt;-0.3,"kürzer",TRUE,"keine Abweichung")</f>
        <v>länger</v>
      </c>
      <c r="I2610">
        <v>1</v>
      </c>
    </row>
    <row r="2611" spans="1:9" hidden="1" x14ac:dyDescent="0.3">
      <c r="A2611" s="13">
        <v>408</v>
      </c>
      <c r="B2611" s="4">
        <v>2</v>
      </c>
      <c r="C2611" t="s">
        <v>528</v>
      </c>
      <c r="D2611" t="s">
        <v>529</v>
      </c>
      <c r="E2611">
        <v>15</v>
      </c>
      <c r="F2611">
        <v>18</v>
      </c>
      <c r="G2611" s="8">
        <f>Lektionen[[#This Row],[Bearbeitungsdauer_real]]/Lektionen[[#This Row],[Bearbeitungsdauer_geschätzt]]-1</f>
        <v>0.19999999999999996</v>
      </c>
      <c r="H2611" s="8" t="str" cm="1">
        <f t="array" ref="H2611">_xlfn.IFS(Lektionen[[#This Row],[Bearbeitungsdauer_abgewichen]]&gt;0.6,"viel länger",Lektionen[[#This Row],[Bearbeitungsdauer_abgewichen]]&gt;0.3,"länger",Lektionen[[#This Row],[Bearbeitungsdauer_abgewichen]]&lt;-0.3,"kürzer",TRUE,"keine Abweichung")</f>
        <v>keine Abweichung</v>
      </c>
      <c r="I2611">
        <v>2</v>
      </c>
    </row>
    <row r="2612" spans="1:9" hidden="1" x14ac:dyDescent="0.3">
      <c r="A2612" s="13">
        <v>408</v>
      </c>
      <c r="B2612" s="4">
        <v>3</v>
      </c>
      <c r="C2612" t="s">
        <v>552</v>
      </c>
      <c r="D2612" t="s">
        <v>530</v>
      </c>
      <c r="E2612">
        <v>30</v>
      </c>
      <c r="F2612">
        <v>31</v>
      </c>
      <c r="G2612" s="8">
        <f>Lektionen[[#This Row],[Bearbeitungsdauer_real]]/Lektionen[[#This Row],[Bearbeitungsdauer_geschätzt]]-1</f>
        <v>3.3333333333333437E-2</v>
      </c>
      <c r="H2612" s="8" t="str" cm="1">
        <f t="array" ref="H2612">_xlfn.IFS(Lektionen[[#This Row],[Bearbeitungsdauer_abgewichen]]&gt;0.6,"viel länger",Lektionen[[#This Row],[Bearbeitungsdauer_abgewichen]]&gt;0.3,"länger",Lektionen[[#This Row],[Bearbeitungsdauer_abgewichen]]&lt;-0.3,"kürzer",TRUE,"keine Abweichung")</f>
        <v>keine Abweichung</v>
      </c>
      <c r="I2612">
        <v>4</v>
      </c>
    </row>
    <row r="2613" spans="1:9" hidden="1" x14ac:dyDescent="0.3">
      <c r="A2613" s="13">
        <v>408</v>
      </c>
      <c r="B2613" s="4">
        <v>4</v>
      </c>
      <c r="C2613" t="s">
        <v>531</v>
      </c>
      <c r="D2613" t="s">
        <v>530</v>
      </c>
      <c r="E2613">
        <v>30</v>
      </c>
      <c r="F2613">
        <v>33</v>
      </c>
      <c r="G2613" s="8">
        <f>Lektionen[[#This Row],[Bearbeitungsdauer_real]]/Lektionen[[#This Row],[Bearbeitungsdauer_geschätzt]]-1</f>
        <v>0.10000000000000009</v>
      </c>
      <c r="H2613" s="8" t="str" cm="1">
        <f t="array" ref="H2613">_xlfn.IFS(Lektionen[[#This Row],[Bearbeitungsdauer_abgewichen]]&gt;0.6,"viel länger",Lektionen[[#This Row],[Bearbeitungsdauer_abgewichen]]&gt;0.3,"länger",Lektionen[[#This Row],[Bearbeitungsdauer_abgewichen]]&lt;-0.3,"kürzer",TRUE,"keine Abweichung")</f>
        <v>keine Abweichung</v>
      </c>
      <c r="I2613">
        <v>4</v>
      </c>
    </row>
    <row r="2614" spans="1:9" x14ac:dyDescent="0.3">
      <c r="A2614" s="13">
        <v>408</v>
      </c>
      <c r="B2614" s="4">
        <v>5</v>
      </c>
      <c r="C2614" t="s">
        <v>532</v>
      </c>
      <c r="D2614" t="s">
        <v>530</v>
      </c>
      <c r="E2614">
        <v>30</v>
      </c>
      <c r="F2614">
        <v>40</v>
      </c>
      <c r="G2614" s="8">
        <f>Lektionen[[#This Row],[Bearbeitungsdauer_real]]/Lektionen[[#This Row],[Bearbeitungsdauer_geschätzt]]-1</f>
        <v>0.33333333333333326</v>
      </c>
      <c r="H2614" s="8" t="str" cm="1">
        <f t="array" ref="H2614">_xlfn.IFS(Lektionen[[#This Row],[Bearbeitungsdauer_abgewichen]]&gt;0.6,"viel länger",Lektionen[[#This Row],[Bearbeitungsdauer_abgewichen]]&gt;0.3,"länger",Lektionen[[#This Row],[Bearbeitungsdauer_abgewichen]]&lt;-0.3,"kürzer",TRUE,"keine Abweichung")</f>
        <v>länger</v>
      </c>
      <c r="I2614">
        <v>3</v>
      </c>
    </row>
    <row r="2615" spans="1:9" hidden="1" x14ac:dyDescent="0.3">
      <c r="A2615" s="13">
        <v>408</v>
      </c>
      <c r="B2615" s="4">
        <v>6</v>
      </c>
      <c r="C2615" t="s">
        <v>533</v>
      </c>
      <c r="D2615" t="s">
        <v>534</v>
      </c>
      <c r="E2615">
        <v>5</v>
      </c>
      <c r="F2615">
        <v>1</v>
      </c>
      <c r="G2615" s="8">
        <f>Lektionen[[#This Row],[Bearbeitungsdauer_real]]/Lektionen[[#This Row],[Bearbeitungsdauer_geschätzt]]-1</f>
        <v>-0.8</v>
      </c>
      <c r="H2615" s="8" t="str" cm="1">
        <f t="array" ref="H2615">_xlfn.IFS(Lektionen[[#This Row],[Bearbeitungsdauer_abgewichen]]&gt;0.6,"viel länger",Lektionen[[#This Row],[Bearbeitungsdauer_abgewichen]]&gt;0.3,"länger",Lektionen[[#This Row],[Bearbeitungsdauer_abgewichen]]&lt;-0.3,"kürzer",TRUE,"keine Abweichung")</f>
        <v>kürzer</v>
      </c>
      <c r="I2615">
        <v>1</v>
      </c>
    </row>
    <row r="2616" spans="1:9" hidden="1" x14ac:dyDescent="0.3">
      <c r="A2616" s="13">
        <v>408</v>
      </c>
      <c r="B2616" s="4">
        <v>7</v>
      </c>
      <c r="C2616" t="s">
        <v>535</v>
      </c>
      <c r="D2616" t="s">
        <v>536</v>
      </c>
      <c r="E2616">
        <v>10</v>
      </c>
      <c r="F2616">
        <v>11</v>
      </c>
      <c r="G2616" s="8">
        <f>Lektionen[[#This Row],[Bearbeitungsdauer_real]]/Lektionen[[#This Row],[Bearbeitungsdauer_geschätzt]]-1</f>
        <v>0.10000000000000009</v>
      </c>
      <c r="H2616" s="8" t="str" cm="1">
        <f t="array" ref="H2616">_xlfn.IFS(Lektionen[[#This Row],[Bearbeitungsdauer_abgewichen]]&gt;0.6,"viel länger",Lektionen[[#This Row],[Bearbeitungsdauer_abgewichen]]&gt;0.3,"länger",Lektionen[[#This Row],[Bearbeitungsdauer_abgewichen]]&lt;-0.3,"kürzer",TRUE,"keine Abweichung")</f>
        <v>keine Abweichung</v>
      </c>
      <c r="I2616">
        <v>3</v>
      </c>
    </row>
    <row r="2617" spans="1:9" hidden="1" x14ac:dyDescent="0.3">
      <c r="A2617" s="13">
        <v>408</v>
      </c>
      <c r="B2617" s="4">
        <v>8</v>
      </c>
      <c r="C2617" t="s">
        <v>537</v>
      </c>
      <c r="D2617" t="s">
        <v>527</v>
      </c>
      <c r="E2617">
        <v>5</v>
      </c>
      <c r="F2617">
        <v>6</v>
      </c>
      <c r="G2617" s="8">
        <f>Lektionen[[#This Row],[Bearbeitungsdauer_real]]/Lektionen[[#This Row],[Bearbeitungsdauer_geschätzt]]-1</f>
        <v>0.19999999999999996</v>
      </c>
      <c r="H2617" s="8" t="str" cm="1">
        <f t="array" ref="H2617">_xlfn.IFS(Lektionen[[#This Row],[Bearbeitungsdauer_abgewichen]]&gt;0.6,"viel länger",Lektionen[[#This Row],[Bearbeitungsdauer_abgewichen]]&gt;0.3,"länger",Lektionen[[#This Row],[Bearbeitungsdauer_abgewichen]]&lt;-0.3,"kürzer",TRUE,"keine Abweichung")</f>
        <v>keine Abweichung</v>
      </c>
      <c r="I2617">
        <v>1</v>
      </c>
    </row>
    <row r="2618" spans="1:9" hidden="1" x14ac:dyDescent="0.3">
      <c r="A2618" s="13">
        <v>410</v>
      </c>
      <c r="B2618" s="4">
        <v>1</v>
      </c>
      <c r="C2618" t="s">
        <v>526</v>
      </c>
      <c r="D2618" t="s">
        <v>527</v>
      </c>
      <c r="E2618">
        <v>4</v>
      </c>
      <c r="F2618">
        <v>4</v>
      </c>
      <c r="G2618" s="8">
        <f>Lektionen[[#This Row],[Bearbeitungsdauer_real]]/Lektionen[[#This Row],[Bearbeitungsdauer_geschätzt]]-1</f>
        <v>0</v>
      </c>
      <c r="H2618" s="8" t="str" cm="1">
        <f t="array" ref="H2618">_xlfn.IFS(Lektionen[[#This Row],[Bearbeitungsdauer_abgewichen]]&gt;0.6,"viel länger",Lektionen[[#This Row],[Bearbeitungsdauer_abgewichen]]&gt;0.3,"länger",Lektionen[[#This Row],[Bearbeitungsdauer_abgewichen]]&lt;-0.3,"kürzer",TRUE,"keine Abweichung")</f>
        <v>keine Abweichung</v>
      </c>
      <c r="I2618">
        <v>1</v>
      </c>
    </row>
    <row r="2619" spans="1:9" hidden="1" x14ac:dyDescent="0.3">
      <c r="A2619" s="13">
        <v>410</v>
      </c>
      <c r="B2619" s="4">
        <v>2</v>
      </c>
      <c r="C2619" t="s">
        <v>528</v>
      </c>
      <c r="D2619" t="s">
        <v>529</v>
      </c>
      <c r="E2619">
        <v>15</v>
      </c>
      <c r="F2619">
        <v>18</v>
      </c>
      <c r="G2619" s="8">
        <f>Lektionen[[#This Row],[Bearbeitungsdauer_real]]/Lektionen[[#This Row],[Bearbeitungsdauer_geschätzt]]-1</f>
        <v>0.19999999999999996</v>
      </c>
      <c r="H2619" s="8" t="str" cm="1">
        <f t="array" ref="H2619">_xlfn.IFS(Lektionen[[#This Row],[Bearbeitungsdauer_abgewichen]]&gt;0.6,"viel länger",Lektionen[[#This Row],[Bearbeitungsdauer_abgewichen]]&gt;0.3,"länger",Lektionen[[#This Row],[Bearbeitungsdauer_abgewichen]]&lt;-0.3,"kürzer",TRUE,"keine Abweichung")</f>
        <v>keine Abweichung</v>
      </c>
      <c r="I2619">
        <v>2</v>
      </c>
    </row>
    <row r="2620" spans="1:9" hidden="1" x14ac:dyDescent="0.3">
      <c r="A2620" s="13">
        <v>410</v>
      </c>
      <c r="B2620" s="4">
        <v>3</v>
      </c>
      <c r="C2620" t="s">
        <v>552</v>
      </c>
      <c r="D2620" t="s">
        <v>530</v>
      </c>
      <c r="E2620">
        <v>30</v>
      </c>
      <c r="F2620">
        <v>29</v>
      </c>
      <c r="G2620" s="8">
        <f>Lektionen[[#This Row],[Bearbeitungsdauer_real]]/Lektionen[[#This Row],[Bearbeitungsdauer_geschätzt]]-1</f>
        <v>-3.3333333333333326E-2</v>
      </c>
      <c r="H2620" s="8" t="str" cm="1">
        <f t="array" ref="H2620">_xlfn.IFS(Lektionen[[#This Row],[Bearbeitungsdauer_abgewichen]]&gt;0.6,"viel länger",Lektionen[[#This Row],[Bearbeitungsdauer_abgewichen]]&gt;0.3,"länger",Lektionen[[#This Row],[Bearbeitungsdauer_abgewichen]]&lt;-0.3,"kürzer",TRUE,"keine Abweichung")</f>
        <v>keine Abweichung</v>
      </c>
      <c r="I2620">
        <v>2</v>
      </c>
    </row>
    <row r="2621" spans="1:9" hidden="1" x14ac:dyDescent="0.3">
      <c r="A2621" s="13">
        <v>410</v>
      </c>
      <c r="B2621" s="4">
        <v>4</v>
      </c>
      <c r="C2621" t="s">
        <v>531</v>
      </c>
      <c r="D2621" t="s">
        <v>530</v>
      </c>
      <c r="E2621">
        <v>30</v>
      </c>
      <c r="F2621">
        <v>25</v>
      </c>
      <c r="G2621" s="8">
        <f>Lektionen[[#This Row],[Bearbeitungsdauer_real]]/Lektionen[[#This Row],[Bearbeitungsdauer_geschätzt]]-1</f>
        <v>-0.16666666666666663</v>
      </c>
      <c r="H2621" s="8" t="str" cm="1">
        <f t="array" ref="H2621">_xlfn.IFS(Lektionen[[#This Row],[Bearbeitungsdauer_abgewichen]]&gt;0.6,"viel länger",Lektionen[[#This Row],[Bearbeitungsdauer_abgewichen]]&gt;0.3,"länger",Lektionen[[#This Row],[Bearbeitungsdauer_abgewichen]]&lt;-0.3,"kürzer",TRUE,"keine Abweichung")</f>
        <v>keine Abweichung</v>
      </c>
      <c r="I2621">
        <v>2</v>
      </c>
    </row>
    <row r="2622" spans="1:9" x14ac:dyDescent="0.3">
      <c r="A2622" s="13">
        <v>410</v>
      </c>
      <c r="B2622" s="4">
        <v>5</v>
      </c>
      <c r="C2622" t="s">
        <v>532</v>
      </c>
      <c r="D2622" t="s">
        <v>530</v>
      </c>
      <c r="E2622">
        <v>30</v>
      </c>
      <c r="F2622">
        <v>50</v>
      </c>
      <c r="G2622" s="8">
        <f>Lektionen[[#This Row],[Bearbeitungsdauer_real]]/Lektionen[[#This Row],[Bearbeitungsdauer_geschätzt]]-1</f>
        <v>0.66666666666666674</v>
      </c>
      <c r="H2622" s="8" t="str" cm="1">
        <f t="array" ref="H2622">_xlfn.IFS(Lektionen[[#This Row],[Bearbeitungsdauer_abgewichen]]&gt;0.6,"viel länger",Lektionen[[#This Row],[Bearbeitungsdauer_abgewichen]]&gt;0.3,"länger",Lektionen[[#This Row],[Bearbeitungsdauer_abgewichen]]&lt;-0.3,"kürzer",TRUE,"keine Abweichung")</f>
        <v>viel länger</v>
      </c>
      <c r="I2622">
        <v>4</v>
      </c>
    </row>
    <row r="2623" spans="1:9" hidden="1" x14ac:dyDescent="0.3">
      <c r="A2623" s="13">
        <v>410</v>
      </c>
      <c r="B2623" s="4">
        <v>6</v>
      </c>
      <c r="C2623" t="s">
        <v>533</v>
      </c>
      <c r="D2623" t="s">
        <v>534</v>
      </c>
      <c r="E2623">
        <v>5</v>
      </c>
      <c r="F2623">
        <v>2</v>
      </c>
      <c r="G2623" s="8">
        <f>Lektionen[[#This Row],[Bearbeitungsdauer_real]]/Lektionen[[#This Row],[Bearbeitungsdauer_geschätzt]]-1</f>
        <v>-0.6</v>
      </c>
      <c r="H2623" s="8" t="str" cm="1">
        <f t="array" ref="H2623">_xlfn.IFS(Lektionen[[#This Row],[Bearbeitungsdauer_abgewichen]]&gt;0.6,"viel länger",Lektionen[[#This Row],[Bearbeitungsdauer_abgewichen]]&gt;0.3,"länger",Lektionen[[#This Row],[Bearbeitungsdauer_abgewichen]]&lt;-0.3,"kürzer",TRUE,"keine Abweichung")</f>
        <v>kürzer</v>
      </c>
      <c r="I2623">
        <v>1</v>
      </c>
    </row>
    <row r="2624" spans="1:9" hidden="1" x14ac:dyDescent="0.3">
      <c r="A2624" s="13">
        <v>410</v>
      </c>
      <c r="B2624" s="4">
        <v>7</v>
      </c>
      <c r="C2624" t="s">
        <v>535</v>
      </c>
      <c r="D2624" t="s">
        <v>536</v>
      </c>
      <c r="E2624">
        <v>10</v>
      </c>
      <c r="F2624">
        <v>11</v>
      </c>
      <c r="G2624" s="8">
        <f>Lektionen[[#This Row],[Bearbeitungsdauer_real]]/Lektionen[[#This Row],[Bearbeitungsdauer_geschätzt]]-1</f>
        <v>0.10000000000000009</v>
      </c>
      <c r="H2624" s="8" t="str" cm="1">
        <f t="array" ref="H2624">_xlfn.IFS(Lektionen[[#This Row],[Bearbeitungsdauer_abgewichen]]&gt;0.6,"viel länger",Lektionen[[#This Row],[Bearbeitungsdauer_abgewichen]]&gt;0.3,"länger",Lektionen[[#This Row],[Bearbeitungsdauer_abgewichen]]&lt;-0.3,"kürzer",TRUE,"keine Abweichung")</f>
        <v>keine Abweichung</v>
      </c>
      <c r="I2624">
        <v>3</v>
      </c>
    </row>
    <row r="2625" spans="1:9" hidden="1" x14ac:dyDescent="0.3">
      <c r="A2625" s="13">
        <v>410</v>
      </c>
      <c r="B2625" s="4">
        <v>8</v>
      </c>
      <c r="C2625" t="s">
        <v>537</v>
      </c>
      <c r="D2625" t="s">
        <v>527</v>
      </c>
      <c r="E2625">
        <v>5</v>
      </c>
      <c r="F2625">
        <v>5</v>
      </c>
      <c r="G2625" s="8">
        <f>Lektionen[[#This Row],[Bearbeitungsdauer_real]]/Lektionen[[#This Row],[Bearbeitungsdauer_geschätzt]]-1</f>
        <v>0</v>
      </c>
      <c r="H2625" s="8" t="str" cm="1">
        <f t="array" ref="H2625">_xlfn.IFS(Lektionen[[#This Row],[Bearbeitungsdauer_abgewichen]]&gt;0.6,"viel länger",Lektionen[[#This Row],[Bearbeitungsdauer_abgewichen]]&gt;0.3,"länger",Lektionen[[#This Row],[Bearbeitungsdauer_abgewichen]]&lt;-0.3,"kürzer",TRUE,"keine Abweichung")</f>
        <v>keine Abweichung</v>
      </c>
      <c r="I2625">
        <v>1</v>
      </c>
    </row>
    <row r="2626" spans="1:9" hidden="1" x14ac:dyDescent="0.3">
      <c r="A2626" s="13">
        <v>412</v>
      </c>
      <c r="B2626" s="4">
        <v>1</v>
      </c>
      <c r="C2626" t="s">
        <v>526</v>
      </c>
      <c r="D2626" t="s">
        <v>527</v>
      </c>
      <c r="E2626">
        <v>4</v>
      </c>
      <c r="F2626">
        <v>4</v>
      </c>
      <c r="G2626" s="8">
        <f>Lektionen[[#This Row],[Bearbeitungsdauer_real]]/Lektionen[[#This Row],[Bearbeitungsdauer_geschätzt]]-1</f>
        <v>0</v>
      </c>
      <c r="H2626" s="8" t="str" cm="1">
        <f t="array" ref="H2626">_xlfn.IFS(Lektionen[[#This Row],[Bearbeitungsdauer_abgewichen]]&gt;0.6,"viel länger",Lektionen[[#This Row],[Bearbeitungsdauer_abgewichen]]&gt;0.3,"länger",Lektionen[[#This Row],[Bearbeitungsdauer_abgewichen]]&lt;-0.3,"kürzer",TRUE,"keine Abweichung")</f>
        <v>keine Abweichung</v>
      </c>
      <c r="I2626">
        <v>1</v>
      </c>
    </row>
    <row r="2627" spans="1:9" hidden="1" x14ac:dyDescent="0.3">
      <c r="A2627" s="13">
        <v>412</v>
      </c>
      <c r="B2627" s="4">
        <v>2</v>
      </c>
      <c r="C2627" t="s">
        <v>528</v>
      </c>
      <c r="D2627" t="s">
        <v>529</v>
      </c>
      <c r="E2627">
        <v>15</v>
      </c>
      <c r="F2627">
        <v>20</v>
      </c>
      <c r="G2627" s="8">
        <f>Lektionen[[#This Row],[Bearbeitungsdauer_real]]/Lektionen[[#This Row],[Bearbeitungsdauer_geschätzt]]-1</f>
        <v>0.33333333333333326</v>
      </c>
      <c r="H2627" s="8" t="str" cm="1">
        <f t="array" ref="H2627">_xlfn.IFS(Lektionen[[#This Row],[Bearbeitungsdauer_abgewichen]]&gt;0.6,"viel länger",Lektionen[[#This Row],[Bearbeitungsdauer_abgewichen]]&gt;0.3,"länger",Lektionen[[#This Row],[Bearbeitungsdauer_abgewichen]]&lt;-0.3,"kürzer",TRUE,"keine Abweichung")</f>
        <v>länger</v>
      </c>
      <c r="I2627">
        <v>2</v>
      </c>
    </row>
    <row r="2628" spans="1:9" hidden="1" x14ac:dyDescent="0.3">
      <c r="A2628" s="13">
        <v>412</v>
      </c>
      <c r="B2628" s="4">
        <v>3</v>
      </c>
      <c r="C2628" t="s">
        <v>552</v>
      </c>
      <c r="D2628" t="s">
        <v>530</v>
      </c>
      <c r="E2628">
        <v>30</v>
      </c>
      <c r="F2628">
        <v>27</v>
      </c>
      <c r="G2628" s="8">
        <f>Lektionen[[#This Row],[Bearbeitungsdauer_real]]/Lektionen[[#This Row],[Bearbeitungsdauer_geschätzt]]-1</f>
        <v>-9.9999999999999978E-2</v>
      </c>
      <c r="H2628" s="8" t="str" cm="1">
        <f t="array" ref="H2628">_xlfn.IFS(Lektionen[[#This Row],[Bearbeitungsdauer_abgewichen]]&gt;0.6,"viel länger",Lektionen[[#This Row],[Bearbeitungsdauer_abgewichen]]&gt;0.3,"länger",Lektionen[[#This Row],[Bearbeitungsdauer_abgewichen]]&lt;-0.3,"kürzer",TRUE,"keine Abweichung")</f>
        <v>keine Abweichung</v>
      </c>
      <c r="I2628">
        <v>2</v>
      </c>
    </row>
    <row r="2629" spans="1:9" hidden="1" x14ac:dyDescent="0.3">
      <c r="A2629" s="13">
        <v>412</v>
      </c>
      <c r="B2629" s="4">
        <v>4</v>
      </c>
      <c r="C2629" t="s">
        <v>531</v>
      </c>
      <c r="D2629" t="s">
        <v>530</v>
      </c>
      <c r="E2629">
        <v>30</v>
      </c>
      <c r="F2629">
        <v>29</v>
      </c>
      <c r="G2629" s="8">
        <f>Lektionen[[#This Row],[Bearbeitungsdauer_real]]/Lektionen[[#This Row],[Bearbeitungsdauer_geschätzt]]-1</f>
        <v>-3.3333333333333326E-2</v>
      </c>
      <c r="H2629" s="8" t="str" cm="1">
        <f t="array" ref="H2629">_xlfn.IFS(Lektionen[[#This Row],[Bearbeitungsdauer_abgewichen]]&gt;0.6,"viel länger",Lektionen[[#This Row],[Bearbeitungsdauer_abgewichen]]&gt;0.3,"länger",Lektionen[[#This Row],[Bearbeitungsdauer_abgewichen]]&lt;-0.3,"kürzer",TRUE,"keine Abweichung")</f>
        <v>keine Abweichung</v>
      </c>
      <c r="I2629">
        <v>4</v>
      </c>
    </row>
    <row r="2630" spans="1:9" x14ac:dyDescent="0.3">
      <c r="A2630" s="13">
        <v>412</v>
      </c>
      <c r="B2630" s="4">
        <v>5</v>
      </c>
      <c r="C2630" t="s">
        <v>532</v>
      </c>
      <c r="D2630" t="s">
        <v>530</v>
      </c>
      <c r="E2630">
        <v>30</v>
      </c>
      <c r="F2630">
        <v>49</v>
      </c>
      <c r="G2630" s="8">
        <f>Lektionen[[#This Row],[Bearbeitungsdauer_real]]/Lektionen[[#This Row],[Bearbeitungsdauer_geschätzt]]-1</f>
        <v>0.6333333333333333</v>
      </c>
      <c r="H2630" s="8" t="str" cm="1">
        <f t="array" ref="H2630">_xlfn.IFS(Lektionen[[#This Row],[Bearbeitungsdauer_abgewichen]]&gt;0.6,"viel länger",Lektionen[[#This Row],[Bearbeitungsdauer_abgewichen]]&gt;0.3,"länger",Lektionen[[#This Row],[Bearbeitungsdauer_abgewichen]]&lt;-0.3,"kürzer",TRUE,"keine Abweichung")</f>
        <v>viel länger</v>
      </c>
      <c r="I2630">
        <v>4</v>
      </c>
    </row>
    <row r="2631" spans="1:9" hidden="1" x14ac:dyDescent="0.3">
      <c r="A2631" s="13">
        <v>412</v>
      </c>
      <c r="B2631" s="4">
        <v>6</v>
      </c>
      <c r="C2631" t="s">
        <v>533</v>
      </c>
      <c r="D2631" t="s">
        <v>534</v>
      </c>
      <c r="E2631">
        <v>5</v>
      </c>
      <c r="F2631">
        <v>1</v>
      </c>
      <c r="G2631" s="8">
        <f>Lektionen[[#This Row],[Bearbeitungsdauer_real]]/Lektionen[[#This Row],[Bearbeitungsdauer_geschätzt]]-1</f>
        <v>-0.8</v>
      </c>
      <c r="H2631" s="8" t="str" cm="1">
        <f t="array" ref="H2631">_xlfn.IFS(Lektionen[[#This Row],[Bearbeitungsdauer_abgewichen]]&gt;0.6,"viel länger",Lektionen[[#This Row],[Bearbeitungsdauer_abgewichen]]&gt;0.3,"länger",Lektionen[[#This Row],[Bearbeitungsdauer_abgewichen]]&lt;-0.3,"kürzer",TRUE,"keine Abweichung")</f>
        <v>kürzer</v>
      </c>
      <c r="I2631">
        <v>2</v>
      </c>
    </row>
    <row r="2632" spans="1:9" hidden="1" x14ac:dyDescent="0.3">
      <c r="A2632" s="13">
        <v>412</v>
      </c>
      <c r="B2632" s="4">
        <v>7</v>
      </c>
      <c r="C2632" t="s">
        <v>535</v>
      </c>
      <c r="D2632" t="s">
        <v>536</v>
      </c>
      <c r="E2632">
        <v>10</v>
      </c>
      <c r="F2632">
        <v>10</v>
      </c>
      <c r="G2632" s="8">
        <f>Lektionen[[#This Row],[Bearbeitungsdauer_real]]/Lektionen[[#This Row],[Bearbeitungsdauer_geschätzt]]-1</f>
        <v>0</v>
      </c>
      <c r="H2632" s="8" t="str" cm="1">
        <f t="array" ref="H2632">_xlfn.IFS(Lektionen[[#This Row],[Bearbeitungsdauer_abgewichen]]&gt;0.6,"viel länger",Lektionen[[#This Row],[Bearbeitungsdauer_abgewichen]]&gt;0.3,"länger",Lektionen[[#This Row],[Bearbeitungsdauer_abgewichen]]&lt;-0.3,"kürzer",TRUE,"keine Abweichung")</f>
        <v>keine Abweichung</v>
      </c>
      <c r="I2632">
        <v>3</v>
      </c>
    </row>
    <row r="2633" spans="1:9" hidden="1" x14ac:dyDescent="0.3">
      <c r="A2633" s="13">
        <v>412</v>
      </c>
      <c r="B2633" s="4">
        <v>8</v>
      </c>
      <c r="C2633" t="s">
        <v>537</v>
      </c>
      <c r="D2633" t="s">
        <v>527</v>
      </c>
      <c r="E2633">
        <v>5</v>
      </c>
      <c r="F2633">
        <v>5</v>
      </c>
      <c r="G2633" s="8">
        <f>Lektionen[[#This Row],[Bearbeitungsdauer_real]]/Lektionen[[#This Row],[Bearbeitungsdauer_geschätzt]]-1</f>
        <v>0</v>
      </c>
      <c r="H2633" s="8" t="str" cm="1">
        <f t="array" ref="H2633">_xlfn.IFS(Lektionen[[#This Row],[Bearbeitungsdauer_abgewichen]]&gt;0.6,"viel länger",Lektionen[[#This Row],[Bearbeitungsdauer_abgewichen]]&gt;0.3,"länger",Lektionen[[#This Row],[Bearbeitungsdauer_abgewichen]]&lt;-0.3,"kürzer",TRUE,"keine Abweichung")</f>
        <v>keine Abweichung</v>
      </c>
      <c r="I2633">
        <v>1</v>
      </c>
    </row>
    <row r="2634" spans="1:9" hidden="1" x14ac:dyDescent="0.3">
      <c r="A2634" s="13">
        <v>416</v>
      </c>
      <c r="B2634" s="4">
        <v>1</v>
      </c>
      <c r="C2634" t="s">
        <v>526</v>
      </c>
      <c r="D2634" t="s">
        <v>527</v>
      </c>
      <c r="E2634">
        <v>4</v>
      </c>
      <c r="F2634">
        <v>4</v>
      </c>
      <c r="G2634" s="8">
        <f>Lektionen[[#This Row],[Bearbeitungsdauer_real]]/Lektionen[[#This Row],[Bearbeitungsdauer_geschätzt]]-1</f>
        <v>0</v>
      </c>
      <c r="H2634" s="8" t="str" cm="1">
        <f t="array" ref="H2634">_xlfn.IFS(Lektionen[[#This Row],[Bearbeitungsdauer_abgewichen]]&gt;0.6,"viel länger",Lektionen[[#This Row],[Bearbeitungsdauer_abgewichen]]&gt;0.3,"länger",Lektionen[[#This Row],[Bearbeitungsdauer_abgewichen]]&lt;-0.3,"kürzer",TRUE,"keine Abweichung")</f>
        <v>keine Abweichung</v>
      </c>
      <c r="I2634">
        <v>1</v>
      </c>
    </row>
    <row r="2635" spans="1:9" hidden="1" x14ac:dyDescent="0.3">
      <c r="A2635" s="13">
        <v>416</v>
      </c>
      <c r="B2635" s="4">
        <v>2</v>
      </c>
      <c r="C2635" t="s">
        <v>528</v>
      </c>
      <c r="D2635" t="s">
        <v>529</v>
      </c>
      <c r="E2635">
        <v>15</v>
      </c>
      <c r="F2635">
        <v>19</v>
      </c>
      <c r="G2635" s="8">
        <f>Lektionen[[#This Row],[Bearbeitungsdauer_real]]/Lektionen[[#This Row],[Bearbeitungsdauer_geschätzt]]-1</f>
        <v>0.26666666666666661</v>
      </c>
      <c r="H2635" s="8" t="str" cm="1">
        <f t="array" ref="H2635">_xlfn.IFS(Lektionen[[#This Row],[Bearbeitungsdauer_abgewichen]]&gt;0.6,"viel länger",Lektionen[[#This Row],[Bearbeitungsdauer_abgewichen]]&gt;0.3,"länger",Lektionen[[#This Row],[Bearbeitungsdauer_abgewichen]]&lt;-0.3,"kürzer",TRUE,"keine Abweichung")</f>
        <v>keine Abweichung</v>
      </c>
      <c r="I2635">
        <v>1</v>
      </c>
    </row>
    <row r="2636" spans="1:9" hidden="1" x14ac:dyDescent="0.3">
      <c r="A2636" s="13">
        <v>416</v>
      </c>
      <c r="B2636" s="4">
        <v>3</v>
      </c>
      <c r="C2636" t="s">
        <v>552</v>
      </c>
      <c r="D2636" t="s">
        <v>530</v>
      </c>
      <c r="E2636">
        <v>30</v>
      </c>
      <c r="F2636">
        <v>30</v>
      </c>
      <c r="G2636" s="8">
        <f>Lektionen[[#This Row],[Bearbeitungsdauer_real]]/Lektionen[[#This Row],[Bearbeitungsdauer_geschätzt]]-1</f>
        <v>0</v>
      </c>
      <c r="H2636" s="8" t="str" cm="1">
        <f t="array" ref="H2636">_xlfn.IFS(Lektionen[[#This Row],[Bearbeitungsdauer_abgewichen]]&gt;0.6,"viel länger",Lektionen[[#This Row],[Bearbeitungsdauer_abgewichen]]&gt;0.3,"länger",Lektionen[[#This Row],[Bearbeitungsdauer_abgewichen]]&lt;-0.3,"kürzer",TRUE,"keine Abweichung")</f>
        <v>keine Abweichung</v>
      </c>
      <c r="I2636">
        <v>2</v>
      </c>
    </row>
    <row r="2637" spans="1:9" hidden="1" x14ac:dyDescent="0.3">
      <c r="A2637" s="13">
        <v>416</v>
      </c>
      <c r="B2637" s="4">
        <v>4</v>
      </c>
      <c r="C2637" t="s">
        <v>531</v>
      </c>
      <c r="D2637" t="s">
        <v>530</v>
      </c>
      <c r="E2637">
        <v>30</v>
      </c>
      <c r="F2637">
        <v>30</v>
      </c>
      <c r="G2637" s="8">
        <f>Lektionen[[#This Row],[Bearbeitungsdauer_real]]/Lektionen[[#This Row],[Bearbeitungsdauer_geschätzt]]-1</f>
        <v>0</v>
      </c>
      <c r="H2637" s="8" t="str" cm="1">
        <f t="array" ref="H2637">_xlfn.IFS(Lektionen[[#This Row],[Bearbeitungsdauer_abgewichen]]&gt;0.6,"viel länger",Lektionen[[#This Row],[Bearbeitungsdauer_abgewichen]]&gt;0.3,"länger",Lektionen[[#This Row],[Bearbeitungsdauer_abgewichen]]&lt;-0.3,"kürzer",TRUE,"keine Abweichung")</f>
        <v>keine Abweichung</v>
      </c>
      <c r="I2637">
        <v>4</v>
      </c>
    </row>
    <row r="2638" spans="1:9" x14ac:dyDescent="0.3">
      <c r="A2638" s="13">
        <v>416</v>
      </c>
      <c r="B2638" s="4">
        <v>5</v>
      </c>
      <c r="C2638" t="s">
        <v>532</v>
      </c>
      <c r="D2638" t="s">
        <v>530</v>
      </c>
      <c r="E2638">
        <v>30</v>
      </c>
      <c r="F2638">
        <v>39</v>
      </c>
      <c r="G2638" s="8">
        <f>Lektionen[[#This Row],[Bearbeitungsdauer_real]]/Lektionen[[#This Row],[Bearbeitungsdauer_geschätzt]]-1</f>
        <v>0.30000000000000004</v>
      </c>
      <c r="H2638" s="8" t="str" cm="1">
        <f t="array" ref="H2638">_xlfn.IFS(Lektionen[[#This Row],[Bearbeitungsdauer_abgewichen]]&gt;0.6,"viel länger",Lektionen[[#This Row],[Bearbeitungsdauer_abgewichen]]&gt;0.3,"länger",Lektionen[[#This Row],[Bearbeitungsdauer_abgewichen]]&lt;-0.3,"kürzer",TRUE,"keine Abweichung")</f>
        <v>keine Abweichung</v>
      </c>
      <c r="I2638">
        <v>3</v>
      </c>
    </row>
    <row r="2639" spans="1:9" hidden="1" x14ac:dyDescent="0.3">
      <c r="A2639" s="13">
        <v>416</v>
      </c>
      <c r="B2639" s="4">
        <v>6</v>
      </c>
      <c r="C2639" t="s">
        <v>533</v>
      </c>
      <c r="D2639" t="s">
        <v>534</v>
      </c>
      <c r="E2639">
        <v>5</v>
      </c>
      <c r="F2639">
        <v>2</v>
      </c>
      <c r="G2639" s="8">
        <f>Lektionen[[#This Row],[Bearbeitungsdauer_real]]/Lektionen[[#This Row],[Bearbeitungsdauer_geschätzt]]-1</f>
        <v>-0.6</v>
      </c>
      <c r="H2639" s="8" t="str" cm="1">
        <f t="array" ref="H2639">_xlfn.IFS(Lektionen[[#This Row],[Bearbeitungsdauer_abgewichen]]&gt;0.6,"viel länger",Lektionen[[#This Row],[Bearbeitungsdauer_abgewichen]]&gt;0.3,"länger",Lektionen[[#This Row],[Bearbeitungsdauer_abgewichen]]&lt;-0.3,"kürzer",TRUE,"keine Abweichung")</f>
        <v>kürzer</v>
      </c>
      <c r="I2639">
        <v>2</v>
      </c>
    </row>
    <row r="2640" spans="1:9" hidden="1" x14ac:dyDescent="0.3">
      <c r="A2640" s="13">
        <v>416</v>
      </c>
      <c r="B2640" s="4">
        <v>7</v>
      </c>
      <c r="C2640" t="s">
        <v>535</v>
      </c>
      <c r="D2640" t="s">
        <v>536</v>
      </c>
      <c r="E2640">
        <v>10</v>
      </c>
      <c r="F2640">
        <v>9</v>
      </c>
      <c r="G2640" s="8">
        <f>Lektionen[[#This Row],[Bearbeitungsdauer_real]]/Lektionen[[#This Row],[Bearbeitungsdauer_geschätzt]]-1</f>
        <v>-9.9999999999999978E-2</v>
      </c>
      <c r="H2640" s="8" t="str" cm="1">
        <f t="array" ref="H2640">_xlfn.IFS(Lektionen[[#This Row],[Bearbeitungsdauer_abgewichen]]&gt;0.6,"viel länger",Lektionen[[#This Row],[Bearbeitungsdauer_abgewichen]]&gt;0.3,"länger",Lektionen[[#This Row],[Bearbeitungsdauer_abgewichen]]&lt;-0.3,"kürzer",TRUE,"keine Abweichung")</f>
        <v>keine Abweichung</v>
      </c>
      <c r="I2640">
        <v>3</v>
      </c>
    </row>
    <row r="2641" spans="1:9" hidden="1" x14ac:dyDescent="0.3">
      <c r="A2641" s="13">
        <v>416</v>
      </c>
      <c r="B2641" s="4">
        <v>8</v>
      </c>
      <c r="C2641" t="s">
        <v>537</v>
      </c>
      <c r="D2641" t="s">
        <v>527</v>
      </c>
      <c r="E2641">
        <v>5</v>
      </c>
      <c r="F2641">
        <v>5</v>
      </c>
      <c r="G2641" s="8">
        <f>Lektionen[[#This Row],[Bearbeitungsdauer_real]]/Lektionen[[#This Row],[Bearbeitungsdauer_geschätzt]]-1</f>
        <v>0</v>
      </c>
      <c r="H2641" s="8" t="str" cm="1">
        <f t="array" ref="H2641">_xlfn.IFS(Lektionen[[#This Row],[Bearbeitungsdauer_abgewichen]]&gt;0.6,"viel länger",Lektionen[[#This Row],[Bearbeitungsdauer_abgewichen]]&gt;0.3,"länger",Lektionen[[#This Row],[Bearbeitungsdauer_abgewichen]]&lt;-0.3,"kürzer",TRUE,"keine Abweichung")</f>
        <v>keine Abweichung</v>
      </c>
      <c r="I2641">
        <v>1</v>
      </c>
    </row>
    <row r="2642" spans="1:9" hidden="1" x14ac:dyDescent="0.3">
      <c r="A2642" s="13">
        <v>417</v>
      </c>
      <c r="B2642" s="4">
        <v>1</v>
      </c>
      <c r="C2642" t="s">
        <v>526</v>
      </c>
      <c r="D2642" t="s">
        <v>527</v>
      </c>
      <c r="E2642">
        <v>4</v>
      </c>
      <c r="F2642">
        <v>4</v>
      </c>
      <c r="G2642" s="8">
        <f>Lektionen[[#This Row],[Bearbeitungsdauer_real]]/Lektionen[[#This Row],[Bearbeitungsdauer_geschätzt]]-1</f>
        <v>0</v>
      </c>
      <c r="H2642" s="8" t="str" cm="1">
        <f t="array" ref="H2642">_xlfn.IFS(Lektionen[[#This Row],[Bearbeitungsdauer_abgewichen]]&gt;0.6,"viel länger",Lektionen[[#This Row],[Bearbeitungsdauer_abgewichen]]&gt;0.3,"länger",Lektionen[[#This Row],[Bearbeitungsdauer_abgewichen]]&lt;-0.3,"kürzer",TRUE,"keine Abweichung")</f>
        <v>keine Abweichung</v>
      </c>
      <c r="I2642">
        <v>1</v>
      </c>
    </row>
    <row r="2643" spans="1:9" hidden="1" x14ac:dyDescent="0.3">
      <c r="A2643" s="13">
        <v>417</v>
      </c>
      <c r="B2643" s="4">
        <v>2</v>
      </c>
      <c r="C2643" t="s">
        <v>528</v>
      </c>
      <c r="D2643" t="s">
        <v>529</v>
      </c>
      <c r="E2643">
        <v>15</v>
      </c>
      <c r="F2643">
        <v>16</v>
      </c>
      <c r="G2643" s="8">
        <f>Lektionen[[#This Row],[Bearbeitungsdauer_real]]/Lektionen[[#This Row],[Bearbeitungsdauer_geschätzt]]-1</f>
        <v>6.6666666666666652E-2</v>
      </c>
      <c r="H2643" s="8" t="str" cm="1">
        <f t="array" ref="H2643">_xlfn.IFS(Lektionen[[#This Row],[Bearbeitungsdauer_abgewichen]]&gt;0.6,"viel länger",Lektionen[[#This Row],[Bearbeitungsdauer_abgewichen]]&gt;0.3,"länger",Lektionen[[#This Row],[Bearbeitungsdauer_abgewichen]]&lt;-0.3,"kürzer",TRUE,"keine Abweichung")</f>
        <v>keine Abweichung</v>
      </c>
      <c r="I2643">
        <v>1</v>
      </c>
    </row>
    <row r="2644" spans="1:9" hidden="1" x14ac:dyDescent="0.3">
      <c r="A2644" s="13">
        <v>417</v>
      </c>
      <c r="B2644" s="4">
        <v>3</v>
      </c>
      <c r="C2644" t="s">
        <v>552</v>
      </c>
      <c r="D2644" t="s">
        <v>530</v>
      </c>
      <c r="E2644">
        <v>30</v>
      </c>
      <c r="F2644">
        <v>29</v>
      </c>
      <c r="G2644" s="8">
        <f>Lektionen[[#This Row],[Bearbeitungsdauer_real]]/Lektionen[[#This Row],[Bearbeitungsdauer_geschätzt]]-1</f>
        <v>-3.3333333333333326E-2</v>
      </c>
      <c r="H2644" s="8" t="str" cm="1">
        <f t="array" ref="H2644">_xlfn.IFS(Lektionen[[#This Row],[Bearbeitungsdauer_abgewichen]]&gt;0.6,"viel länger",Lektionen[[#This Row],[Bearbeitungsdauer_abgewichen]]&gt;0.3,"länger",Lektionen[[#This Row],[Bearbeitungsdauer_abgewichen]]&lt;-0.3,"kürzer",TRUE,"keine Abweichung")</f>
        <v>keine Abweichung</v>
      </c>
      <c r="I2644">
        <v>3</v>
      </c>
    </row>
    <row r="2645" spans="1:9" hidden="1" x14ac:dyDescent="0.3">
      <c r="A2645" s="13">
        <v>417</v>
      </c>
      <c r="B2645" s="4">
        <v>4</v>
      </c>
      <c r="C2645" t="s">
        <v>531</v>
      </c>
      <c r="D2645" t="s">
        <v>530</v>
      </c>
      <c r="E2645">
        <v>30</v>
      </c>
      <c r="F2645">
        <v>35</v>
      </c>
      <c r="G2645" s="8">
        <f>Lektionen[[#This Row],[Bearbeitungsdauer_real]]/Lektionen[[#This Row],[Bearbeitungsdauer_geschätzt]]-1</f>
        <v>0.16666666666666674</v>
      </c>
      <c r="H2645" s="8" t="str" cm="1">
        <f t="array" ref="H2645">_xlfn.IFS(Lektionen[[#This Row],[Bearbeitungsdauer_abgewichen]]&gt;0.6,"viel länger",Lektionen[[#This Row],[Bearbeitungsdauer_abgewichen]]&gt;0.3,"länger",Lektionen[[#This Row],[Bearbeitungsdauer_abgewichen]]&lt;-0.3,"kürzer",TRUE,"keine Abweichung")</f>
        <v>keine Abweichung</v>
      </c>
      <c r="I2645">
        <v>3</v>
      </c>
    </row>
    <row r="2646" spans="1:9" x14ac:dyDescent="0.3">
      <c r="A2646" s="13">
        <v>417</v>
      </c>
      <c r="B2646" s="4">
        <v>5</v>
      </c>
      <c r="C2646" t="s">
        <v>532</v>
      </c>
      <c r="D2646" t="s">
        <v>530</v>
      </c>
      <c r="E2646">
        <v>30</v>
      </c>
      <c r="F2646">
        <v>50</v>
      </c>
      <c r="G2646" s="8">
        <f>Lektionen[[#This Row],[Bearbeitungsdauer_real]]/Lektionen[[#This Row],[Bearbeitungsdauer_geschätzt]]-1</f>
        <v>0.66666666666666674</v>
      </c>
      <c r="H2646" s="8" t="str" cm="1">
        <f t="array" ref="H2646">_xlfn.IFS(Lektionen[[#This Row],[Bearbeitungsdauer_abgewichen]]&gt;0.6,"viel länger",Lektionen[[#This Row],[Bearbeitungsdauer_abgewichen]]&gt;0.3,"länger",Lektionen[[#This Row],[Bearbeitungsdauer_abgewichen]]&lt;-0.3,"kürzer",TRUE,"keine Abweichung")</f>
        <v>viel länger</v>
      </c>
      <c r="I2646">
        <v>4</v>
      </c>
    </row>
    <row r="2647" spans="1:9" hidden="1" x14ac:dyDescent="0.3">
      <c r="A2647" s="13">
        <v>417</v>
      </c>
      <c r="B2647" s="4">
        <v>6</v>
      </c>
      <c r="C2647" t="s">
        <v>533</v>
      </c>
      <c r="D2647" t="s">
        <v>534</v>
      </c>
      <c r="E2647">
        <v>5</v>
      </c>
      <c r="F2647">
        <v>2</v>
      </c>
      <c r="G2647" s="8">
        <f>Lektionen[[#This Row],[Bearbeitungsdauer_real]]/Lektionen[[#This Row],[Bearbeitungsdauer_geschätzt]]-1</f>
        <v>-0.6</v>
      </c>
      <c r="H2647" s="8" t="str" cm="1">
        <f t="array" ref="H2647">_xlfn.IFS(Lektionen[[#This Row],[Bearbeitungsdauer_abgewichen]]&gt;0.6,"viel länger",Lektionen[[#This Row],[Bearbeitungsdauer_abgewichen]]&gt;0.3,"länger",Lektionen[[#This Row],[Bearbeitungsdauer_abgewichen]]&lt;-0.3,"kürzer",TRUE,"keine Abweichung")</f>
        <v>kürzer</v>
      </c>
      <c r="I2647">
        <v>2</v>
      </c>
    </row>
    <row r="2648" spans="1:9" hidden="1" x14ac:dyDescent="0.3">
      <c r="A2648" s="13">
        <v>417</v>
      </c>
      <c r="B2648" s="4">
        <v>7</v>
      </c>
      <c r="C2648" t="s">
        <v>535</v>
      </c>
      <c r="D2648" t="s">
        <v>536</v>
      </c>
      <c r="E2648">
        <v>10</v>
      </c>
      <c r="F2648">
        <v>8</v>
      </c>
      <c r="G2648" s="8">
        <f>Lektionen[[#This Row],[Bearbeitungsdauer_real]]/Lektionen[[#This Row],[Bearbeitungsdauer_geschätzt]]-1</f>
        <v>-0.19999999999999996</v>
      </c>
      <c r="H2648" s="8" t="str" cm="1">
        <f t="array" ref="H2648">_xlfn.IFS(Lektionen[[#This Row],[Bearbeitungsdauer_abgewichen]]&gt;0.6,"viel länger",Lektionen[[#This Row],[Bearbeitungsdauer_abgewichen]]&gt;0.3,"länger",Lektionen[[#This Row],[Bearbeitungsdauer_abgewichen]]&lt;-0.3,"kürzer",TRUE,"keine Abweichung")</f>
        <v>keine Abweichung</v>
      </c>
      <c r="I2648">
        <v>3</v>
      </c>
    </row>
    <row r="2649" spans="1:9" hidden="1" x14ac:dyDescent="0.3">
      <c r="A2649" s="13">
        <v>417</v>
      </c>
      <c r="B2649" s="4">
        <v>8</v>
      </c>
      <c r="C2649" t="s">
        <v>537</v>
      </c>
      <c r="D2649" t="s">
        <v>527</v>
      </c>
      <c r="E2649">
        <v>5</v>
      </c>
      <c r="F2649">
        <v>5</v>
      </c>
      <c r="G2649" s="8">
        <f>Lektionen[[#This Row],[Bearbeitungsdauer_real]]/Lektionen[[#This Row],[Bearbeitungsdauer_geschätzt]]-1</f>
        <v>0</v>
      </c>
      <c r="H2649" s="8" t="str" cm="1">
        <f t="array" ref="H2649">_xlfn.IFS(Lektionen[[#This Row],[Bearbeitungsdauer_abgewichen]]&gt;0.6,"viel länger",Lektionen[[#This Row],[Bearbeitungsdauer_abgewichen]]&gt;0.3,"länger",Lektionen[[#This Row],[Bearbeitungsdauer_abgewichen]]&lt;-0.3,"kürzer",TRUE,"keine Abweichung")</f>
        <v>keine Abweichung</v>
      </c>
      <c r="I2649">
        <v>1</v>
      </c>
    </row>
    <row r="2650" spans="1:9" hidden="1" x14ac:dyDescent="0.3">
      <c r="A2650" s="13">
        <v>418</v>
      </c>
      <c r="B2650" s="4">
        <v>1</v>
      </c>
      <c r="C2650" t="s">
        <v>526</v>
      </c>
      <c r="D2650" t="s">
        <v>527</v>
      </c>
      <c r="E2650">
        <v>4</v>
      </c>
      <c r="F2650">
        <v>4</v>
      </c>
      <c r="G2650" s="8">
        <f>Lektionen[[#This Row],[Bearbeitungsdauer_real]]/Lektionen[[#This Row],[Bearbeitungsdauer_geschätzt]]-1</f>
        <v>0</v>
      </c>
      <c r="H2650" s="8" t="str" cm="1">
        <f t="array" ref="H2650">_xlfn.IFS(Lektionen[[#This Row],[Bearbeitungsdauer_abgewichen]]&gt;0.6,"viel länger",Lektionen[[#This Row],[Bearbeitungsdauer_abgewichen]]&gt;0.3,"länger",Lektionen[[#This Row],[Bearbeitungsdauer_abgewichen]]&lt;-0.3,"kürzer",TRUE,"keine Abweichung")</f>
        <v>keine Abweichung</v>
      </c>
      <c r="I2650">
        <v>2</v>
      </c>
    </row>
    <row r="2651" spans="1:9" hidden="1" x14ac:dyDescent="0.3">
      <c r="A2651" s="13">
        <v>418</v>
      </c>
      <c r="B2651" s="4">
        <v>2</v>
      </c>
      <c r="C2651" t="s">
        <v>528</v>
      </c>
      <c r="D2651" t="s">
        <v>529</v>
      </c>
      <c r="E2651">
        <v>15</v>
      </c>
      <c r="F2651">
        <v>15</v>
      </c>
      <c r="G2651" s="8">
        <f>Lektionen[[#This Row],[Bearbeitungsdauer_real]]/Lektionen[[#This Row],[Bearbeitungsdauer_geschätzt]]-1</f>
        <v>0</v>
      </c>
      <c r="H2651" s="8" t="str" cm="1">
        <f t="array" ref="H2651">_xlfn.IFS(Lektionen[[#This Row],[Bearbeitungsdauer_abgewichen]]&gt;0.6,"viel länger",Lektionen[[#This Row],[Bearbeitungsdauer_abgewichen]]&gt;0.3,"länger",Lektionen[[#This Row],[Bearbeitungsdauer_abgewichen]]&lt;-0.3,"kürzer",TRUE,"keine Abweichung")</f>
        <v>keine Abweichung</v>
      </c>
      <c r="I2651">
        <v>2</v>
      </c>
    </row>
    <row r="2652" spans="1:9" hidden="1" x14ac:dyDescent="0.3">
      <c r="A2652" s="13">
        <v>418</v>
      </c>
      <c r="B2652" s="4">
        <v>3</v>
      </c>
      <c r="C2652" t="s">
        <v>552</v>
      </c>
      <c r="D2652" t="s">
        <v>530</v>
      </c>
      <c r="E2652">
        <v>30</v>
      </c>
      <c r="F2652">
        <v>26</v>
      </c>
      <c r="G2652" s="8">
        <f>Lektionen[[#This Row],[Bearbeitungsdauer_real]]/Lektionen[[#This Row],[Bearbeitungsdauer_geschätzt]]-1</f>
        <v>-0.1333333333333333</v>
      </c>
      <c r="H2652" s="8" t="str" cm="1">
        <f t="array" ref="H2652">_xlfn.IFS(Lektionen[[#This Row],[Bearbeitungsdauer_abgewichen]]&gt;0.6,"viel länger",Lektionen[[#This Row],[Bearbeitungsdauer_abgewichen]]&gt;0.3,"länger",Lektionen[[#This Row],[Bearbeitungsdauer_abgewichen]]&lt;-0.3,"kürzer",TRUE,"keine Abweichung")</f>
        <v>keine Abweichung</v>
      </c>
      <c r="I2652">
        <v>3</v>
      </c>
    </row>
    <row r="2653" spans="1:9" hidden="1" x14ac:dyDescent="0.3">
      <c r="A2653" s="13">
        <v>418</v>
      </c>
      <c r="B2653" s="4">
        <v>4</v>
      </c>
      <c r="C2653" t="s">
        <v>531</v>
      </c>
      <c r="D2653" t="s">
        <v>530</v>
      </c>
      <c r="E2653">
        <v>30</v>
      </c>
      <c r="F2653">
        <v>21</v>
      </c>
      <c r="G2653" s="8">
        <f>Lektionen[[#This Row],[Bearbeitungsdauer_real]]/Lektionen[[#This Row],[Bearbeitungsdauer_geschätzt]]-1</f>
        <v>-0.30000000000000004</v>
      </c>
      <c r="H2653" s="8" t="str" cm="1">
        <f t="array" ref="H2653">_xlfn.IFS(Lektionen[[#This Row],[Bearbeitungsdauer_abgewichen]]&gt;0.6,"viel länger",Lektionen[[#This Row],[Bearbeitungsdauer_abgewichen]]&gt;0.3,"länger",Lektionen[[#This Row],[Bearbeitungsdauer_abgewichen]]&lt;-0.3,"kürzer",TRUE,"keine Abweichung")</f>
        <v>keine Abweichung</v>
      </c>
      <c r="I2653">
        <v>3</v>
      </c>
    </row>
    <row r="2654" spans="1:9" x14ac:dyDescent="0.3">
      <c r="A2654" s="13">
        <v>418</v>
      </c>
      <c r="B2654" s="4">
        <v>5</v>
      </c>
      <c r="C2654" t="s">
        <v>532</v>
      </c>
      <c r="D2654" t="s">
        <v>530</v>
      </c>
      <c r="E2654">
        <v>30</v>
      </c>
      <c r="F2654">
        <v>45</v>
      </c>
      <c r="G2654" s="8">
        <f>Lektionen[[#This Row],[Bearbeitungsdauer_real]]/Lektionen[[#This Row],[Bearbeitungsdauer_geschätzt]]-1</f>
        <v>0.5</v>
      </c>
      <c r="H2654" s="8" t="str" cm="1">
        <f t="array" ref="H2654">_xlfn.IFS(Lektionen[[#This Row],[Bearbeitungsdauer_abgewichen]]&gt;0.6,"viel länger",Lektionen[[#This Row],[Bearbeitungsdauer_abgewichen]]&gt;0.3,"länger",Lektionen[[#This Row],[Bearbeitungsdauer_abgewichen]]&lt;-0.3,"kürzer",TRUE,"keine Abweichung")</f>
        <v>länger</v>
      </c>
      <c r="I2654">
        <v>4</v>
      </c>
    </row>
    <row r="2655" spans="1:9" hidden="1" x14ac:dyDescent="0.3">
      <c r="A2655" s="13">
        <v>418</v>
      </c>
      <c r="B2655" s="4">
        <v>6</v>
      </c>
      <c r="C2655" t="s">
        <v>533</v>
      </c>
      <c r="D2655" t="s">
        <v>534</v>
      </c>
      <c r="E2655">
        <v>5</v>
      </c>
      <c r="F2655">
        <v>1</v>
      </c>
      <c r="G2655" s="8">
        <f>Lektionen[[#This Row],[Bearbeitungsdauer_real]]/Lektionen[[#This Row],[Bearbeitungsdauer_geschätzt]]-1</f>
        <v>-0.8</v>
      </c>
      <c r="H2655" s="8" t="str" cm="1">
        <f t="array" ref="H2655">_xlfn.IFS(Lektionen[[#This Row],[Bearbeitungsdauer_abgewichen]]&gt;0.6,"viel länger",Lektionen[[#This Row],[Bearbeitungsdauer_abgewichen]]&gt;0.3,"länger",Lektionen[[#This Row],[Bearbeitungsdauer_abgewichen]]&lt;-0.3,"kürzer",TRUE,"keine Abweichung")</f>
        <v>kürzer</v>
      </c>
      <c r="I2655">
        <v>3</v>
      </c>
    </row>
    <row r="2656" spans="1:9" hidden="1" x14ac:dyDescent="0.3">
      <c r="A2656" s="13">
        <v>418</v>
      </c>
      <c r="B2656" s="4">
        <v>7</v>
      </c>
      <c r="C2656" t="s">
        <v>535</v>
      </c>
      <c r="D2656" t="s">
        <v>536</v>
      </c>
      <c r="E2656">
        <v>10</v>
      </c>
      <c r="F2656">
        <v>8</v>
      </c>
      <c r="G2656" s="8">
        <f>Lektionen[[#This Row],[Bearbeitungsdauer_real]]/Lektionen[[#This Row],[Bearbeitungsdauer_geschätzt]]-1</f>
        <v>-0.19999999999999996</v>
      </c>
      <c r="H2656" s="8" t="str" cm="1">
        <f t="array" ref="H2656">_xlfn.IFS(Lektionen[[#This Row],[Bearbeitungsdauer_abgewichen]]&gt;0.6,"viel länger",Lektionen[[#This Row],[Bearbeitungsdauer_abgewichen]]&gt;0.3,"länger",Lektionen[[#This Row],[Bearbeitungsdauer_abgewichen]]&lt;-0.3,"kürzer",TRUE,"keine Abweichung")</f>
        <v>keine Abweichung</v>
      </c>
      <c r="I2656">
        <v>3</v>
      </c>
    </row>
    <row r="2657" spans="1:9" hidden="1" x14ac:dyDescent="0.3">
      <c r="A2657" s="13">
        <v>418</v>
      </c>
      <c r="B2657" s="4">
        <v>8</v>
      </c>
      <c r="C2657" t="s">
        <v>537</v>
      </c>
      <c r="D2657" t="s">
        <v>527</v>
      </c>
      <c r="E2657">
        <v>5</v>
      </c>
      <c r="F2657">
        <v>5</v>
      </c>
      <c r="G2657" s="8">
        <f>Lektionen[[#This Row],[Bearbeitungsdauer_real]]/Lektionen[[#This Row],[Bearbeitungsdauer_geschätzt]]-1</f>
        <v>0</v>
      </c>
      <c r="H2657" s="8" t="str" cm="1">
        <f t="array" ref="H2657">_xlfn.IFS(Lektionen[[#This Row],[Bearbeitungsdauer_abgewichen]]&gt;0.6,"viel länger",Lektionen[[#This Row],[Bearbeitungsdauer_abgewichen]]&gt;0.3,"länger",Lektionen[[#This Row],[Bearbeitungsdauer_abgewichen]]&lt;-0.3,"kürzer",TRUE,"keine Abweichung")</f>
        <v>keine Abweichung</v>
      </c>
      <c r="I2657">
        <v>1</v>
      </c>
    </row>
    <row r="2658" spans="1:9" hidden="1" x14ac:dyDescent="0.3">
      <c r="A2658" s="13">
        <v>419</v>
      </c>
      <c r="B2658" s="4">
        <v>1</v>
      </c>
      <c r="C2658" t="s">
        <v>526</v>
      </c>
      <c r="D2658" t="s">
        <v>527</v>
      </c>
      <c r="E2658">
        <v>4</v>
      </c>
      <c r="F2658">
        <v>4</v>
      </c>
      <c r="G2658" s="8">
        <f>Lektionen[[#This Row],[Bearbeitungsdauer_real]]/Lektionen[[#This Row],[Bearbeitungsdauer_geschätzt]]-1</f>
        <v>0</v>
      </c>
      <c r="H2658" s="8" t="str" cm="1">
        <f t="array" ref="H2658">_xlfn.IFS(Lektionen[[#This Row],[Bearbeitungsdauer_abgewichen]]&gt;0.6,"viel länger",Lektionen[[#This Row],[Bearbeitungsdauer_abgewichen]]&gt;0.3,"länger",Lektionen[[#This Row],[Bearbeitungsdauer_abgewichen]]&lt;-0.3,"kürzer",TRUE,"keine Abweichung")</f>
        <v>keine Abweichung</v>
      </c>
      <c r="I2658">
        <v>1</v>
      </c>
    </row>
    <row r="2659" spans="1:9" hidden="1" x14ac:dyDescent="0.3">
      <c r="A2659" s="13">
        <v>419</v>
      </c>
      <c r="B2659" s="4">
        <v>2</v>
      </c>
      <c r="C2659" t="s">
        <v>528</v>
      </c>
      <c r="D2659" t="s">
        <v>529</v>
      </c>
      <c r="E2659">
        <v>15</v>
      </c>
      <c r="F2659">
        <v>18</v>
      </c>
      <c r="G2659" s="8">
        <f>Lektionen[[#This Row],[Bearbeitungsdauer_real]]/Lektionen[[#This Row],[Bearbeitungsdauer_geschätzt]]-1</f>
        <v>0.19999999999999996</v>
      </c>
      <c r="H2659" s="8" t="str" cm="1">
        <f t="array" ref="H2659">_xlfn.IFS(Lektionen[[#This Row],[Bearbeitungsdauer_abgewichen]]&gt;0.6,"viel länger",Lektionen[[#This Row],[Bearbeitungsdauer_abgewichen]]&gt;0.3,"länger",Lektionen[[#This Row],[Bearbeitungsdauer_abgewichen]]&lt;-0.3,"kürzer",TRUE,"keine Abweichung")</f>
        <v>keine Abweichung</v>
      </c>
      <c r="I2659">
        <v>1</v>
      </c>
    </row>
    <row r="2660" spans="1:9" hidden="1" x14ac:dyDescent="0.3">
      <c r="A2660" s="13">
        <v>419</v>
      </c>
      <c r="B2660" s="4">
        <v>3</v>
      </c>
      <c r="C2660" t="s">
        <v>552</v>
      </c>
      <c r="D2660" t="s">
        <v>530</v>
      </c>
      <c r="E2660">
        <v>30</v>
      </c>
      <c r="F2660">
        <v>28</v>
      </c>
      <c r="G2660" s="8">
        <f>Lektionen[[#This Row],[Bearbeitungsdauer_real]]/Lektionen[[#This Row],[Bearbeitungsdauer_geschätzt]]-1</f>
        <v>-6.6666666666666652E-2</v>
      </c>
      <c r="H2660" s="8" t="str" cm="1">
        <f t="array" ref="H2660">_xlfn.IFS(Lektionen[[#This Row],[Bearbeitungsdauer_abgewichen]]&gt;0.6,"viel länger",Lektionen[[#This Row],[Bearbeitungsdauer_abgewichen]]&gt;0.3,"länger",Lektionen[[#This Row],[Bearbeitungsdauer_abgewichen]]&lt;-0.3,"kürzer",TRUE,"keine Abweichung")</f>
        <v>keine Abweichung</v>
      </c>
      <c r="I2660">
        <v>2</v>
      </c>
    </row>
    <row r="2661" spans="1:9" hidden="1" x14ac:dyDescent="0.3">
      <c r="A2661" s="13">
        <v>419</v>
      </c>
      <c r="B2661" s="4">
        <v>4</v>
      </c>
      <c r="C2661" t="s">
        <v>531</v>
      </c>
      <c r="D2661" t="s">
        <v>530</v>
      </c>
      <c r="E2661">
        <v>30</v>
      </c>
      <c r="F2661">
        <v>35</v>
      </c>
      <c r="G2661" s="8">
        <f>Lektionen[[#This Row],[Bearbeitungsdauer_real]]/Lektionen[[#This Row],[Bearbeitungsdauer_geschätzt]]-1</f>
        <v>0.16666666666666674</v>
      </c>
      <c r="H2661" s="8" t="str" cm="1">
        <f t="array" ref="H2661">_xlfn.IFS(Lektionen[[#This Row],[Bearbeitungsdauer_abgewichen]]&gt;0.6,"viel länger",Lektionen[[#This Row],[Bearbeitungsdauer_abgewichen]]&gt;0.3,"länger",Lektionen[[#This Row],[Bearbeitungsdauer_abgewichen]]&lt;-0.3,"kürzer",TRUE,"keine Abweichung")</f>
        <v>keine Abweichung</v>
      </c>
      <c r="I2661">
        <v>3</v>
      </c>
    </row>
    <row r="2662" spans="1:9" x14ac:dyDescent="0.3">
      <c r="A2662" s="13">
        <v>419</v>
      </c>
      <c r="B2662" s="4">
        <v>5</v>
      </c>
      <c r="C2662" t="s">
        <v>532</v>
      </c>
      <c r="D2662" t="s">
        <v>530</v>
      </c>
      <c r="E2662">
        <v>30</v>
      </c>
      <c r="F2662">
        <v>50</v>
      </c>
      <c r="G2662" s="8">
        <f>Lektionen[[#This Row],[Bearbeitungsdauer_real]]/Lektionen[[#This Row],[Bearbeitungsdauer_geschätzt]]-1</f>
        <v>0.66666666666666674</v>
      </c>
      <c r="H2662" s="8" t="str" cm="1">
        <f t="array" ref="H2662">_xlfn.IFS(Lektionen[[#This Row],[Bearbeitungsdauer_abgewichen]]&gt;0.6,"viel länger",Lektionen[[#This Row],[Bearbeitungsdauer_abgewichen]]&gt;0.3,"länger",Lektionen[[#This Row],[Bearbeitungsdauer_abgewichen]]&lt;-0.3,"kürzer",TRUE,"keine Abweichung")</f>
        <v>viel länger</v>
      </c>
      <c r="I2662">
        <v>4</v>
      </c>
    </row>
    <row r="2663" spans="1:9" hidden="1" x14ac:dyDescent="0.3">
      <c r="A2663" s="13">
        <v>419</v>
      </c>
      <c r="B2663" s="4">
        <v>6</v>
      </c>
      <c r="C2663" t="s">
        <v>533</v>
      </c>
      <c r="D2663" t="s">
        <v>534</v>
      </c>
      <c r="E2663">
        <v>5</v>
      </c>
      <c r="F2663">
        <v>2</v>
      </c>
      <c r="G2663" s="8">
        <f>Lektionen[[#This Row],[Bearbeitungsdauer_real]]/Lektionen[[#This Row],[Bearbeitungsdauer_geschätzt]]-1</f>
        <v>-0.6</v>
      </c>
      <c r="H2663" s="8" t="str" cm="1">
        <f t="array" ref="H2663">_xlfn.IFS(Lektionen[[#This Row],[Bearbeitungsdauer_abgewichen]]&gt;0.6,"viel länger",Lektionen[[#This Row],[Bearbeitungsdauer_abgewichen]]&gt;0.3,"länger",Lektionen[[#This Row],[Bearbeitungsdauer_abgewichen]]&lt;-0.3,"kürzer",TRUE,"keine Abweichung")</f>
        <v>kürzer</v>
      </c>
      <c r="I2663">
        <v>2</v>
      </c>
    </row>
    <row r="2664" spans="1:9" hidden="1" x14ac:dyDescent="0.3">
      <c r="A2664" s="13">
        <v>419</v>
      </c>
      <c r="B2664" s="4">
        <v>7</v>
      </c>
      <c r="C2664" t="s">
        <v>535</v>
      </c>
      <c r="D2664" t="s">
        <v>536</v>
      </c>
      <c r="E2664">
        <v>10</v>
      </c>
      <c r="F2664">
        <v>10</v>
      </c>
      <c r="G2664" s="8">
        <f>Lektionen[[#This Row],[Bearbeitungsdauer_real]]/Lektionen[[#This Row],[Bearbeitungsdauer_geschätzt]]-1</f>
        <v>0</v>
      </c>
      <c r="H2664" s="8" t="str" cm="1">
        <f t="array" ref="H2664">_xlfn.IFS(Lektionen[[#This Row],[Bearbeitungsdauer_abgewichen]]&gt;0.6,"viel länger",Lektionen[[#This Row],[Bearbeitungsdauer_abgewichen]]&gt;0.3,"länger",Lektionen[[#This Row],[Bearbeitungsdauer_abgewichen]]&lt;-0.3,"kürzer",TRUE,"keine Abweichung")</f>
        <v>keine Abweichung</v>
      </c>
      <c r="I2664">
        <v>4</v>
      </c>
    </row>
    <row r="2665" spans="1:9" hidden="1" x14ac:dyDescent="0.3">
      <c r="A2665" s="13">
        <v>419</v>
      </c>
      <c r="B2665" s="4">
        <v>8</v>
      </c>
      <c r="C2665" t="s">
        <v>537</v>
      </c>
      <c r="D2665" t="s">
        <v>527</v>
      </c>
      <c r="E2665">
        <v>5</v>
      </c>
      <c r="F2665">
        <v>5</v>
      </c>
      <c r="G2665" s="8">
        <f>Lektionen[[#This Row],[Bearbeitungsdauer_real]]/Lektionen[[#This Row],[Bearbeitungsdauer_geschätzt]]-1</f>
        <v>0</v>
      </c>
      <c r="H2665" s="8" t="str" cm="1">
        <f t="array" ref="H2665">_xlfn.IFS(Lektionen[[#This Row],[Bearbeitungsdauer_abgewichen]]&gt;0.6,"viel länger",Lektionen[[#This Row],[Bearbeitungsdauer_abgewichen]]&gt;0.3,"länger",Lektionen[[#This Row],[Bearbeitungsdauer_abgewichen]]&lt;-0.3,"kürzer",TRUE,"keine Abweichung")</f>
        <v>keine Abweichung</v>
      </c>
      <c r="I2665">
        <v>1</v>
      </c>
    </row>
    <row r="2666" spans="1:9" hidden="1" x14ac:dyDescent="0.3">
      <c r="A2666" s="13">
        <v>421</v>
      </c>
      <c r="B2666" s="4">
        <v>1</v>
      </c>
      <c r="C2666" t="s">
        <v>526</v>
      </c>
      <c r="D2666" t="s">
        <v>527</v>
      </c>
      <c r="E2666">
        <v>4</v>
      </c>
      <c r="F2666">
        <v>4</v>
      </c>
      <c r="G2666" s="8">
        <f>Lektionen[[#This Row],[Bearbeitungsdauer_real]]/Lektionen[[#This Row],[Bearbeitungsdauer_geschätzt]]-1</f>
        <v>0</v>
      </c>
      <c r="H2666" s="8" t="str" cm="1">
        <f t="array" ref="H2666">_xlfn.IFS(Lektionen[[#This Row],[Bearbeitungsdauer_abgewichen]]&gt;0.6,"viel länger",Lektionen[[#This Row],[Bearbeitungsdauer_abgewichen]]&gt;0.3,"länger",Lektionen[[#This Row],[Bearbeitungsdauer_abgewichen]]&lt;-0.3,"kürzer",TRUE,"keine Abweichung")</f>
        <v>keine Abweichung</v>
      </c>
      <c r="I2666">
        <v>1</v>
      </c>
    </row>
    <row r="2667" spans="1:9" hidden="1" x14ac:dyDescent="0.3">
      <c r="A2667" s="13">
        <v>421</v>
      </c>
      <c r="B2667" s="4">
        <v>2</v>
      </c>
      <c r="C2667" t="s">
        <v>528</v>
      </c>
      <c r="D2667" t="s">
        <v>529</v>
      </c>
      <c r="E2667">
        <v>15</v>
      </c>
      <c r="F2667">
        <v>19</v>
      </c>
      <c r="G2667" s="8">
        <f>Lektionen[[#This Row],[Bearbeitungsdauer_real]]/Lektionen[[#This Row],[Bearbeitungsdauer_geschätzt]]-1</f>
        <v>0.26666666666666661</v>
      </c>
      <c r="H2667" s="8" t="str" cm="1">
        <f t="array" ref="H2667">_xlfn.IFS(Lektionen[[#This Row],[Bearbeitungsdauer_abgewichen]]&gt;0.6,"viel länger",Lektionen[[#This Row],[Bearbeitungsdauer_abgewichen]]&gt;0.3,"länger",Lektionen[[#This Row],[Bearbeitungsdauer_abgewichen]]&lt;-0.3,"kürzer",TRUE,"keine Abweichung")</f>
        <v>keine Abweichung</v>
      </c>
      <c r="I2667">
        <v>2</v>
      </c>
    </row>
    <row r="2668" spans="1:9" hidden="1" x14ac:dyDescent="0.3">
      <c r="A2668" s="13">
        <v>421</v>
      </c>
      <c r="B2668" s="4">
        <v>3</v>
      </c>
      <c r="C2668" t="s">
        <v>552</v>
      </c>
      <c r="D2668" t="s">
        <v>530</v>
      </c>
      <c r="E2668">
        <v>30</v>
      </c>
      <c r="F2668">
        <v>29</v>
      </c>
      <c r="G2668" s="8">
        <f>Lektionen[[#This Row],[Bearbeitungsdauer_real]]/Lektionen[[#This Row],[Bearbeitungsdauer_geschätzt]]-1</f>
        <v>-3.3333333333333326E-2</v>
      </c>
      <c r="H2668" s="8" t="str" cm="1">
        <f t="array" ref="H2668">_xlfn.IFS(Lektionen[[#This Row],[Bearbeitungsdauer_abgewichen]]&gt;0.6,"viel länger",Lektionen[[#This Row],[Bearbeitungsdauer_abgewichen]]&gt;0.3,"länger",Lektionen[[#This Row],[Bearbeitungsdauer_abgewichen]]&lt;-0.3,"kürzer",TRUE,"keine Abweichung")</f>
        <v>keine Abweichung</v>
      </c>
      <c r="I2668">
        <v>2</v>
      </c>
    </row>
    <row r="2669" spans="1:9" hidden="1" x14ac:dyDescent="0.3">
      <c r="A2669" s="13">
        <v>421</v>
      </c>
      <c r="B2669" s="4">
        <v>4</v>
      </c>
      <c r="C2669" t="s">
        <v>531</v>
      </c>
      <c r="D2669" t="s">
        <v>530</v>
      </c>
      <c r="E2669">
        <v>30</v>
      </c>
      <c r="F2669">
        <v>20</v>
      </c>
      <c r="G2669" s="8">
        <f>Lektionen[[#This Row],[Bearbeitungsdauer_real]]/Lektionen[[#This Row],[Bearbeitungsdauer_geschätzt]]-1</f>
        <v>-0.33333333333333337</v>
      </c>
      <c r="H2669" s="8" t="str" cm="1">
        <f t="array" ref="H2669">_xlfn.IFS(Lektionen[[#This Row],[Bearbeitungsdauer_abgewichen]]&gt;0.6,"viel länger",Lektionen[[#This Row],[Bearbeitungsdauer_abgewichen]]&gt;0.3,"länger",Lektionen[[#This Row],[Bearbeitungsdauer_abgewichen]]&lt;-0.3,"kürzer",TRUE,"keine Abweichung")</f>
        <v>kürzer</v>
      </c>
      <c r="I2669">
        <v>2</v>
      </c>
    </row>
    <row r="2670" spans="1:9" x14ac:dyDescent="0.3">
      <c r="A2670" s="13">
        <v>421</v>
      </c>
      <c r="B2670" s="4">
        <v>5</v>
      </c>
      <c r="C2670" t="s">
        <v>532</v>
      </c>
      <c r="D2670" t="s">
        <v>530</v>
      </c>
      <c r="E2670">
        <v>30</v>
      </c>
      <c r="F2670">
        <v>39</v>
      </c>
      <c r="G2670" s="8">
        <f>Lektionen[[#This Row],[Bearbeitungsdauer_real]]/Lektionen[[#This Row],[Bearbeitungsdauer_geschätzt]]-1</f>
        <v>0.30000000000000004</v>
      </c>
      <c r="H2670" s="8" t="str" cm="1">
        <f t="array" ref="H2670">_xlfn.IFS(Lektionen[[#This Row],[Bearbeitungsdauer_abgewichen]]&gt;0.6,"viel länger",Lektionen[[#This Row],[Bearbeitungsdauer_abgewichen]]&gt;0.3,"länger",Lektionen[[#This Row],[Bearbeitungsdauer_abgewichen]]&lt;-0.3,"kürzer",TRUE,"keine Abweichung")</f>
        <v>keine Abweichung</v>
      </c>
      <c r="I2670">
        <v>3</v>
      </c>
    </row>
    <row r="2671" spans="1:9" hidden="1" x14ac:dyDescent="0.3">
      <c r="A2671" s="13">
        <v>421</v>
      </c>
      <c r="B2671" s="4">
        <v>6</v>
      </c>
      <c r="C2671" t="s">
        <v>533</v>
      </c>
      <c r="D2671" t="s">
        <v>534</v>
      </c>
      <c r="E2671">
        <v>5</v>
      </c>
      <c r="F2671">
        <v>1</v>
      </c>
      <c r="G2671" s="8">
        <f>Lektionen[[#This Row],[Bearbeitungsdauer_real]]/Lektionen[[#This Row],[Bearbeitungsdauer_geschätzt]]-1</f>
        <v>-0.8</v>
      </c>
      <c r="H2671" s="8" t="str" cm="1">
        <f t="array" ref="H2671">_xlfn.IFS(Lektionen[[#This Row],[Bearbeitungsdauer_abgewichen]]&gt;0.6,"viel länger",Lektionen[[#This Row],[Bearbeitungsdauer_abgewichen]]&gt;0.3,"länger",Lektionen[[#This Row],[Bearbeitungsdauer_abgewichen]]&lt;-0.3,"kürzer",TRUE,"keine Abweichung")</f>
        <v>kürzer</v>
      </c>
      <c r="I2671">
        <v>2</v>
      </c>
    </row>
    <row r="2672" spans="1:9" hidden="1" x14ac:dyDescent="0.3">
      <c r="A2672" s="13">
        <v>421</v>
      </c>
      <c r="B2672" s="4">
        <v>7</v>
      </c>
      <c r="C2672" t="s">
        <v>535</v>
      </c>
      <c r="D2672" t="s">
        <v>536</v>
      </c>
      <c r="E2672">
        <v>10</v>
      </c>
      <c r="F2672">
        <v>10</v>
      </c>
      <c r="G2672" s="8">
        <f>Lektionen[[#This Row],[Bearbeitungsdauer_real]]/Lektionen[[#This Row],[Bearbeitungsdauer_geschätzt]]-1</f>
        <v>0</v>
      </c>
      <c r="H2672" s="8" t="str" cm="1">
        <f t="array" ref="H2672">_xlfn.IFS(Lektionen[[#This Row],[Bearbeitungsdauer_abgewichen]]&gt;0.6,"viel länger",Lektionen[[#This Row],[Bearbeitungsdauer_abgewichen]]&gt;0.3,"länger",Lektionen[[#This Row],[Bearbeitungsdauer_abgewichen]]&lt;-0.3,"kürzer",TRUE,"keine Abweichung")</f>
        <v>keine Abweichung</v>
      </c>
      <c r="I2672">
        <v>4</v>
      </c>
    </row>
    <row r="2673" spans="1:9" hidden="1" x14ac:dyDescent="0.3">
      <c r="A2673" s="13">
        <v>421</v>
      </c>
      <c r="B2673" s="4">
        <v>8</v>
      </c>
      <c r="C2673" t="s">
        <v>537</v>
      </c>
      <c r="D2673" t="s">
        <v>527</v>
      </c>
      <c r="E2673">
        <v>5</v>
      </c>
      <c r="F2673">
        <v>5</v>
      </c>
      <c r="G2673" s="8">
        <f>Lektionen[[#This Row],[Bearbeitungsdauer_real]]/Lektionen[[#This Row],[Bearbeitungsdauer_geschätzt]]-1</f>
        <v>0</v>
      </c>
      <c r="H2673" s="8" t="str" cm="1">
        <f t="array" ref="H2673">_xlfn.IFS(Lektionen[[#This Row],[Bearbeitungsdauer_abgewichen]]&gt;0.6,"viel länger",Lektionen[[#This Row],[Bearbeitungsdauer_abgewichen]]&gt;0.3,"länger",Lektionen[[#This Row],[Bearbeitungsdauer_abgewichen]]&lt;-0.3,"kürzer",TRUE,"keine Abweichung")</f>
        <v>keine Abweichung</v>
      </c>
      <c r="I2673">
        <v>1</v>
      </c>
    </row>
    <row r="2674" spans="1:9" hidden="1" x14ac:dyDescent="0.3">
      <c r="A2674" s="13">
        <v>422</v>
      </c>
      <c r="B2674" s="4">
        <v>1</v>
      </c>
      <c r="C2674" t="s">
        <v>526</v>
      </c>
      <c r="D2674" t="s">
        <v>527</v>
      </c>
      <c r="E2674">
        <v>4</v>
      </c>
      <c r="F2674">
        <v>4</v>
      </c>
      <c r="G2674" s="8">
        <f>Lektionen[[#This Row],[Bearbeitungsdauer_real]]/Lektionen[[#This Row],[Bearbeitungsdauer_geschätzt]]-1</f>
        <v>0</v>
      </c>
      <c r="H2674" s="8" t="str" cm="1">
        <f t="array" ref="H2674">_xlfn.IFS(Lektionen[[#This Row],[Bearbeitungsdauer_abgewichen]]&gt;0.6,"viel länger",Lektionen[[#This Row],[Bearbeitungsdauer_abgewichen]]&gt;0.3,"länger",Lektionen[[#This Row],[Bearbeitungsdauer_abgewichen]]&lt;-0.3,"kürzer",TRUE,"keine Abweichung")</f>
        <v>keine Abweichung</v>
      </c>
      <c r="I2674">
        <v>1</v>
      </c>
    </row>
    <row r="2675" spans="1:9" hidden="1" x14ac:dyDescent="0.3">
      <c r="A2675" s="13">
        <v>422</v>
      </c>
      <c r="B2675" s="4">
        <v>2</v>
      </c>
      <c r="C2675" t="s">
        <v>528</v>
      </c>
      <c r="D2675" t="s">
        <v>529</v>
      </c>
      <c r="E2675">
        <v>15</v>
      </c>
      <c r="F2675">
        <v>21</v>
      </c>
      <c r="G2675" s="8">
        <f>Lektionen[[#This Row],[Bearbeitungsdauer_real]]/Lektionen[[#This Row],[Bearbeitungsdauer_geschätzt]]-1</f>
        <v>0.39999999999999991</v>
      </c>
      <c r="H2675" s="8" t="str" cm="1">
        <f t="array" ref="H2675">_xlfn.IFS(Lektionen[[#This Row],[Bearbeitungsdauer_abgewichen]]&gt;0.6,"viel länger",Lektionen[[#This Row],[Bearbeitungsdauer_abgewichen]]&gt;0.3,"länger",Lektionen[[#This Row],[Bearbeitungsdauer_abgewichen]]&lt;-0.3,"kürzer",TRUE,"keine Abweichung")</f>
        <v>länger</v>
      </c>
      <c r="I2675">
        <v>1</v>
      </c>
    </row>
    <row r="2676" spans="1:9" hidden="1" x14ac:dyDescent="0.3">
      <c r="A2676" s="13">
        <v>422</v>
      </c>
      <c r="B2676" s="4">
        <v>3</v>
      </c>
      <c r="C2676" t="s">
        <v>552</v>
      </c>
      <c r="D2676" t="s">
        <v>530</v>
      </c>
      <c r="E2676">
        <v>30</v>
      </c>
      <c r="F2676">
        <v>26</v>
      </c>
      <c r="G2676" s="8">
        <f>Lektionen[[#This Row],[Bearbeitungsdauer_real]]/Lektionen[[#This Row],[Bearbeitungsdauer_geschätzt]]-1</f>
        <v>-0.1333333333333333</v>
      </c>
      <c r="H2676" s="8" t="str" cm="1">
        <f t="array" ref="H2676">_xlfn.IFS(Lektionen[[#This Row],[Bearbeitungsdauer_abgewichen]]&gt;0.6,"viel länger",Lektionen[[#This Row],[Bearbeitungsdauer_abgewichen]]&gt;0.3,"länger",Lektionen[[#This Row],[Bearbeitungsdauer_abgewichen]]&lt;-0.3,"kürzer",TRUE,"keine Abweichung")</f>
        <v>keine Abweichung</v>
      </c>
      <c r="I2676">
        <v>3</v>
      </c>
    </row>
    <row r="2677" spans="1:9" hidden="1" x14ac:dyDescent="0.3">
      <c r="A2677" s="13">
        <v>422</v>
      </c>
      <c r="B2677" s="4">
        <v>4</v>
      </c>
      <c r="C2677" t="s">
        <v>531</v>
      </c>
      <c r="D2677" t="s">
        <v>530</v>
      </c>
      <c r="E2677">
        <v>30</v>
      </c>
      <c r="F2677">
        <v>28</v>
      </c>
      <c r="G2677" s="8">
        <f>Lektionen[[#This Row],[Bearbeitungsdauer_real]]/Lektionen[[#This Row],[Bearbeitungsdauer_geschätzt]]-1</f>
        <v>-6.6666666666666652E-2</v>
      </c>
      <c r="H2677" s="8" t="str" cm="1">
        <f t="array" ref="H2677">_xlfn.IFS(Lektionen[[#This Row],[Bearbeitungsdauer_abgewichen]]&gt;0.6,"viel länger",Lektionen[[#This Row],[Bearbeitungsdauer_abgewichen]]&gt;0.3,"länger",Lektionen[[#This Row],[Bearbeitungsdauer_abgewichen]]&lt;-0.3,"kürzer",TRUE,"keine Abweichung")</f>
        <v>keine Abweichung</v>
      </c>
      <c r="I2677">
        <v>3</v>
      </c>
    </row>
    <row r="2678" spans="1:9" x14ac:dyDescent="0.3">
      <c r="A2678" s="13">
        <v>422</v>
      </c>
      <c r="B2678" s="4">
        <v>5</v>
      </c>
      <c r="C2678" t="s">
        <v>532</v>
      </c>
      <c r="D2678" t="s">
        <v>530</v>
      </c>
      <c r="E2678">
        <v>30</v>
      </c>
      <c r="F2678">
        <v>42</v>
      </c>
      <c r="G2678" s="8">
        <f>Lektionen[[#This Row],[Bearbeitungsdauer_real]]/Lektionen[[#This Row],[Bearbeitungsdauer_geschätzt]]-1</f>
        <v>0.39999999999999991</v>
      </c>
      <c r="H2678" s="8" t="str" cm="1">
        <f t="array" ref="H2678">_xlfn.IFS(Lektionen[[#This Row],[Bearbeitungsdauer_abgewichen]]&gt;0.6,"viel länger",Lektionen[[#This Row],[Bearbeitungsdauer_abgewichen]]&gt;0.3,"länger",Lektionen[[#This Row],[Bearbeitungsdauer_abgewichen]]&lt;-0.3,"kürzer",TRUE,"keine Abweichung")</f>
        <v>länger</v>
      </c>
      <c r="I2678">
        <v>4</v>
      </c>
    </row>
    <row r="2679" spans="1:9" hidden="1" x14ac:dyDescent="0.3">
      <c r="A2679" s="13">
        <v>422</v>
      </c>
      <c r="B2679" s="4">
        <v>6</v>
      </c>
      <c r="C2679" t="s">
        <v>533</v>
      </c>
      <c r="D2679" t="s">
        <v>534</v>
      </c>
      <c r="E2679">
        <v>5</v>
      </c>
      <c r="F2679">
        <v>1</v>
      </c>
      <c r="G2679" s="8">
        <f>Lektionen[[#This Row],[Bearbeitungsdauer_real]]/Lektionen[[#This Row],[Bearbeitungsdauer_geschätzt]]-1</f>
        <v>-0.8</v>
      </c>
      <c r="H2679" s="8" t="str" cm="1">
        <f t="array" ref="H2679">_xlfn.IFS(Lektionen[[#This Row],[Bearbeitungsdauer_abgewichen]]&gt;0.6,"viel länger",Lektionen[[#This Row],[Bearbeitungsdauer_abgewichen]]&gt;0.3,"länger",Lektionen[[#This Row],[Bearbeitungsdauer_abgewichen]]&lt;-0.3,"kürzer",TRUE,"keine Abweichung")</f>
        <v>kürzer</v>
      </c>
      <c r="I2679">
        <v>3</v>
      </c>
    </row>
    <row r="2680" spans="1:9" hidden="1" x14ac:dyDescent="0.3">
      <c r="A2680" s="13">
        <v>422</v>
      </c>
      <c r="B2680" s="4">
        <v>7</v>
      </c>
      <c r="C2680" t="s">
        <v>535</v>
      </c>
      <c r="D2680" t="s">
        <v>536</v>
      </c>
      <c r="E2680">
        <v>10</v>
      </c>
      <c r="F2680">
        <v>9</v>
      </c>
      <c r="G2680" s="8">
        <f>Lektionen[[#This Row],[Bearbeitungsdauer_real]]/Lektionen[[#This Row],[Bearbeitungsdauer_geschätzt]]-1</f>
        <v>-9.9999999999999978E-2</v>
      </c>
      <c r="H2680" s="8" t="str" cm="1">
        <f t="array" ref="H2680">_xlfn.IFS(Lektionen[[#This Row],[Bearbeitungsdauer_abgewichen]]&gt;0.6,"viel länger",Lektionen[[#This Row],[Bearbeitungsdauer_abgewichen]]&gt;0.3,"länger",Lektionen[[#This Row],[Bearbeitungsdauer_abgewichen]]&lt;-0.3,"kürzer",TRUE,"keine Abweichung")</f>
        <v>keine Abweichung</v>
      </c>
      <c r="I2680">
        <v>3</v>
      </c>
    </row>
    <row r="2681" spans="1:9" hidden="1" x14ac:dyDescent="0.3">
      <c r="A2681" s="13">
        <v>422</v>
      </c>
      <c r="B2681" s="4">
        <v>8</v>
      </c>
      <c r="C2681" t="s">
        <v>537</v>
      </c>
      <c r="D2681" t="s">
        <v>527</v>
      </c>
      <c r="E2681">
        <v>5</v>
      </c>
      <c r="F2681">
        <v>5</v>
      </c>
      <c r="G2681" s="8">
        <f>Lektionen[[#This Row],[Bearbeitungsdauer_real]]/Lektionen[[#This Row],[Bearbeitungsdauer_geschätzt]]-1</f>
        <v>0</v>
      </c>
      <c r="H2681" s="8" t="str" cm="1">
        <f t="array" ref="H2681">_xlfn.IFS(Lektionen[[#This Row],[Bearbeitungsdauer_abgewichen]]&gt;0.6,"viel länger",Lektionen[[#This Row],[Bearbeitungsdauer_abgewichen]]&gt;0.3,"länger",Lektionen[[#This Row],[Bearbeitungsdauer_abgewichen]]&lt;-0.3,"kürzer",TRUE,"keine Abweichung")</f>
        <v>keine Abweichung</v>
      </c>
      <c r="I2681">
        <v>1</v>
      </c>
    </row>
    <row r="2682" spans="1:9" hidden="1" x14ac:dyDescent="0.3">
      <c r="A2682" s="13">
        <v>423</v>
      </c>
      <c r="B2682" s="4">
        <v>1</v>
      </c>
      <c r="C2682" t="s">
        <v>526</v>
      </c>
      <c r="D2682" t="s">
        <v>527</v>
      </c>
      <c r="E2682">
        <v>4</v>
      </c>
      <c r="F2682">
        <v>7</v>
      </c>
      <c r="G2682" s="8">
        <f>Lektionen[[#This Row],[Bearbeitungsdauer_real]]/Lektionen[[#This Row],[Bearbeitungsdauer_geschätzt]]-1</f>
        <v>0.75</v>
      </c>
      <c r="H2682" s="8" t="str" cm="1">
        <f t="array" ref="H2682">_xlfn.IFS(Lektionen[[#This Row],[Bearbeitungsdauer_abgewichen]]&gt;0.6,"viel länger",Lektionen[[#This Row],[Bearbeitungsdauer_abgewichen]]&gt;0.3,"länger",Lektionen[[#This Row],[Bearbeitungsdauer_abgewichen]]&lt;-0.3,"kürzer",TRUE,"keine Abweichung")</f>
        <v>viel länger</v>
      </c>
      <c r="I2682">
        <v>1</v>
      </c>
    </row>
    <row r="2683" spans="1:9" hidden="1" x14ac:dyDescent="0.3">
      <c r="A2683" s="13">
        <v>423</v>
      </c>
      <c r="B2683" s="4">
        <v>2</v>
      </c>
      <c r="C2683" t="s">
        <v>528</v>
      </c>
      <c r="D2683" t="s">
        <v>529</v>
      </c>
      <c r="E2683">
        <v>15</v>
      </c>
      <c r="F2683">
        <v>20</v>
      </c>
      <c r="G2683" s="8">
        <f>Lektionen[[#This Row],[Bearbeitungsdauer_real]]/Lektionen[[#This Row],[Bearbeitungsdauer_geschätzt]]-1</f>
        <v>0.33333333333333326</v>
      </c>
      <c r="H2683" s="8" t="str" cm="1">
        <f t="array" ref="H2683">_xlfn.IFS(Lektionen[[#This Row],[Bearbeitungsdauer_abgewichen]]&gt;0.6,"viel länger",Lektionen[[#This Row],[Bearbeitungsdauer_abgewichen]]&gt;0.3,"länger",Lektionen[[#This Row],[Bearbeitungsdauer_abgewichen]]&lt;-0.3,"kürzer",TRUE,"keine Abweichung")</f>
        <v>länger</v>
      </c>
      <c r="I2683">
        <v>1</v>
      </c>
    </row>
    <row r="2684" spans="1:9" hidden="1" x14ac:dyDescent="0.3">
      <c r="A2684" s="13">
        <v>423</v>
      </c>
      <c r="B2684" s="4">
        <v>3</v>
      </c>
      <c r="C2684" t="s">
        <v>552</v>
      </c>
      <c r="D2684" t="s">
        <v>530</v>
      </c>
      <c r="E2684">
        <v>30</v>
      </c>
      <c r="F2684">
        <v>29</v>
      </c>
      <c r="G2684" s="8">
        <f>Lektionen[[#This Row],[Bearbeitungsdauer_real]]/Lektionen[[#This Row],[Bearbeitungsdauer_geschätzt]]-1</f>
        <v>-3.3333333333333326E-2</v>
      </c>
      <c r="H2684" s="8" t="str" cm="1">
        <f t="array" ref="H2684">_xlfn.IFS(Lektionen[[#This Row],[Bearbeitungsdauer_abgewichen]]&gt;0.6,"viel länger",Lektionen[[#This Row],[Bearbeitungsdauer_abgewichen]]&gt;0.3,"länger",Lektionen[[#This Row],[Bearbeitungsdauer_abgewichen]]&lt;-0.3,"kürzer",TRUE,"keine Abweichung")</f>
        <v>keine Abweichung</v>
      </c>
      <c r="I2684">
        <v>2</v>
      </c>
    </row>
    <row r="2685" spans="1:9" hidden="1" x14ac:dyDescent="0.3">
      <c r="A2685" s="13">
        <v>423</v>
      </c>
      <c r="B2685" s="4">
        <v>4</v>
      </c>
      <c r="C2685" t="s">
        <v>531</v>
      </c>
      <c r="D2685" t="s">
        <v>530</v>
      </c>
      <c r="E2685">
        <v>30</v>
      </c>
      <c r="F2685">
        <v>31</v>
      </c>
      <c r="G2685" s="8">
        <f>Lektionen[[#This Row],[Bearbeitungsdauer_real]]/Lektionen[[#This Row],[Bearbeitungsdauer_geschätzt]]-1</f>
        <v>3.3333333333333437E-2</v>
      </c>
      <c r="H2685" s="8" t="str" cm="1">
        <f t="array" ref="H2685">_xlfn.IFS(Lektionen[[#This Row],[Bearbeitungsdauer_abgewichen]]&gt;0.6,"viel länger",Lektionen[[#This Row],[Bearbeitungsdauer_abgewichen]]&gt;0.3,"länger",Lektionen[[#This Row],[Bearbeitungsdauer_abgewichen]]&lt;-0.3,"kürzer",TRUE,"keine Abweichung")</f>
        <v>keine Abweichung</v>
      </c>
      <c r="I2685">
        <v>3</v>
      </c>
    </row>
    <row r="2686" spans="1:9" x14ac:dyDescent="0.3">
      <c r="A2686" s="13">
        <v>423</v>
      </c>
      <c r="B2686" s="4">
        <v>5</v>
      </c>
      <c r="C2686" t="s">
        <v>532</v>
      </c>
      <c r="D2686" t="s">
        <v>530</v>
      </c>
      <c r="E2686">
        <v>30</v>
      </c>
      <c r="F2686">
        <v>52</v>
      </c>
      <c r="G2686" s="8">
        <f>Lektionen[[#This Row],[Bearbeitungsdauer_real]]/Lektionen[[#This Row],[Bearbeitungsdauer_geschätzt]]-1</f>
        <v>0.73333333333333339</v>
      </c>
      <c r="H2686" s="8" t="str" cm="1">
        <f t="array" ref="H2686">_xlfn.IFS(Lektionen[[#This Row],[Bearbeitungsdauer_abgewichen]]&gt;0.6,"viel länger",Lektionen[[#This Row],[Bearbeitungsdauer_abgewichen]]&gt;0.3,"länger",Lektionen[[#This Row],[Bearbeitungsdauer_abgewichen]]&lt;-0.3,"kürzer",TRUE,"keine Abweichung")</f>
        <v>viel länger</v>
      </c>
      <c r="I2686">
        <v>3</v>
      </c>
    </row>
    <row r="2687" spans="1:9" hidden="1" x14ac:dyDescent="0.3">
      <c r="A2687" s="13">
        <v>423</v>
      </c>
      <c r="B2687" s="4">
        <v>6</v>
      </c>
      <c r="C2687" t="s">
        <v>533</v>
      </c>
      <c r="D2687" t="s">
        <v>534</v>
      </c>
      <c r="E2687">
        <v>5</v>
      </c>
      <c r="F2687">
        <v>2</v>
      </c>
      <c r="G2687" s="8">
        <f>Lektionen[[#This Row],[Bearbeitungsdauer_real]]/Lektionen[[#This Row],[Bearbeitungsdauer_geschätzt]]-1</f>
        <v>-0.6</v>
      </c>
      <c r="H2687" s="8" t="str" cm="1">
        <f t="array" ref="H2687">_xlfn.IFS(Lektionen[[#This Row],[Bearbeitungsdauer_abgewichen]]&gt;0.6,"viel länger",Lektionen[[#This Row],[Bearbeitungsdauer_abgewichen]]&gt;0.3,"länger",Lektionen[[#This Row],[Bearbeitungsdauer_abgewichen]]&lt;-0.3,"kürzer",TRUE,"keine Abweichung")</f>
        <v>kürzer</v>
      </c>
      <c r="I2687">
        <v>2</v>
      </c>
    </row>
    <row r="2688" spans="1:9" hidden="1" x14ac:dyDescent="0.3">
      <c r="A2688" s="13">
        <v>423</v>
      </c>
      <c r="B2688" s="4">
        <v>7</v>
      </c>
      <c r="C2688" t="s">
        <v>535</v>
      </c>
      <c r="D2688" t="s">
        <v>536</v>
      </c>
      <c r="E2688">
        <v>10</v>
      </c>
      <c r="F2688">
        <v>8</v>
      </c>
      <c r="G2688" s="8">
        <f>Lektionen[[#This Row],[Bearbeitungsdauer_real]]/Lektionen[[#This Row],[Bearbeitungsdauer_geschätzt]]-1</f>
        <v>-0.19999999999999996</v>
      </c>
      <c r="H2688" s="8" t="str" cm="1">
        <f t="array" ref="H2688">_xlfn.IFS(Lektionen[[#This Row],[Bearbeitungsdauer_abgewichen]]&gt;0.6,"viel länger",Lektionen[[#This Row],[Bearbeitungsdauer_abgewichen]]&gt;0.3,"länger",Lektionen[[#This Row],[Bearbeitungsdauer_abgewichen]]&lt;-0.3,"kürzer",TRUE,"keine Abweichung")</f>
        <v>keine Abweichung</v>
      </c>
      <c r="I2688">
        <v>3</v>
      </c>
    </row>
    <row r="2689" spans="1:9" hidden="1" x14ac:dyDescent="0.3">
      <c r="A2689" s="13">
        <v>423</v>
      </c>
      <c r="B2689" s="4">
        <v>8</v>
      </c>
      <c r="C2689" t="s">
        <v>537</v>
      </c>
      <c r="D2689" t="s">
        <v>527</v>
      </c>
      <c r="E2689">
        <v>5</v>
      </c>
      <c r="F2689">
        <v>5</v>
      </c>
      <c r="G2689" s="8">
        <f>Lektionen[[#This Row],[Bearbeitungsdauer_real]]/Lektionen[[#This Row],[Bearbeitungsdauer_geschätzt]]-1</f>
        <v>0</v>
      </c>
      <c r="H2689" s="8" t="str" cm="1">
        <f t="array" ref="H2689">_xlfn.IFS(Lektionen[[#This Row],[Bearbeitungsdauer_abgewichen]]&gt;0.6,"viel länger",Lektionen[[#This Row],[Bearbeitungsdauer_abgewichen]]&gt;0.3,"länger",Lektionen[[#This Row],[Bearbeitungsdauer_abgewichen]]&lt;-0.3,"kürzer",TRUE,"keine Abweichung")</f>
        <v>keine Abweichung</v>
      </c>
      <c r="I2689">
        <v>1</v>
      </c>
    </row>
    <row r="2690" spans="1:9" hidden="1" x14ac:dyDescent="0.3">
      <c r="A2690" s="13">
        <v>424</v>
      </c>
      <c r="B2690" s="4">
        <v>1</v>
      </c>
      <c r="C2690" t="s">
        <v>526</v>
      </c>
      <c r="D2690" t="s">
        <v>527</v>
      </c>
      <c r="E2690">
        <v>4</v>
      </c>
      <c r="F2690">
        <v>4</v>
      </c>
      <c r="G2690" s="8">
        <f>Lektionen[[#This Row],[Bearbeitungsdauer_real]]/Lektionen[[#This Row],[Bearbeitungsdauer_geschätzt]]-1</f>
        <v>0</v>
      </c>
      <c r="H2690" s="8" t="str" cm="1">
        <f t="array" ref="H2690">_xlfn.IFS(Lektionen[[#This Row],[Bearbeitungsdauer_abgewichen]]&gt;0.6,"viel länger",Lektionen[[#This Row],[Bearbeitungsdauer_abgewichen]]&gt;0.3,"länger",Lektionen[[#This Row],[Bearbeitungsdauer_abgewichen]]&lt;-0.3,"kürzer",TRUE,"keine Abweichung")</f>
        <v>keine Abweichung</v>
      </c>
      <c r="I2690">
        <v>1</v>
      </c>
    </row>
    <row r="2691" spans="1:9" hidden="1" x14ac:dyDescent="0.3">
      <c r="A2691" s="13">
        <v>424</v>
      </c>
      <c r="B2691" s="4">
        <v>2</v>
      </c>
      <c r="C2691" t="s">
        <v>528</v>
      </c>
      <c r="D2691" t="s">
        <v>529</v>
      </c>
      <c r="E2691">
        <v>15</v>
      </c>
      <c r="F2691">
        <v>19</v>
      </c>
      <c r="G2691" s="8">
        <f>Lektionen[[#This Row],[Bearbeitungsdauer_real]]/Lektionen[[#This Row],[Bearbeitungsdauer_geschätzt]]-1</f>
        <v>0.26666666666666661</v>
      </c>
      <c r="H2691" s="8" t="str" cm="1">
        <f t="array" ref="H2691">_xlfn.IFS(Lektionen[[#This Row],[Bearbeitungsdauer_abgewichen]]&gt;0.6,"viel länger",Lektionen[[#This Row],[Bearbeitungsdauer_abgewichen]]&gt;0.3,"länger",Lektionen[[#This Row],[Bearbeitungsdauer_abgewichen]]&lt;-0.3,"kürzer",TRUE,"keine Abweichung")</f>
        <v>keine Abweichung</v>
      </c>
      <c r="I2691">
        <v>1</v>
      </c>
    </row>
    <row r="2692" spans="1:9" hidden="1" x14ac:dyDescent="0.3">
      <c r="A2692" s="13">
        <v>424</v>
      </c>
      <c r="B2692" s="4">
        <v>3</v>
      </c>
      <c r="C2692" t="s">
        <v>552</v>
      </c>
      <c r="D2692" t="s">
        <v>530</v>
      </c>
      <c r="E2692">
        <v>30</v>
      </c>
      <c r="F2692">
        <v>28</v>
      </c>
      <c r="G2692" s="8">
        <f>Lektionen[[#This Row],[Bearbeitungsdauer_real]]/Lektionen[[#This Row],[Bearbeitungsdauer_geschätzt]]-1</f>
        <v>-6.6666666666666652E-2</v>
      </c>
      <c r="H2692" s="8" t="str" cm="1">
        <f t="array" ref="H2692">_xlfn.IFS(Lektionen[[#This Row],[Bearbeitungsdauer_abgewichen]]&gt;0.6,"viel länger",Lektionen[[#This Row],[Bearbeitungsdauer_abgewichen]]&gt;0.3,"länger",Lektionen[[#This Row],[Bearbeitungsdauer_abgewichen]]&lt;-0.3,"kürzer",TRUE,"keine Abweichung")</f>
        <v>keine Abweichung</v>
      </c>
      <c r="I2692">
        <v>3</v>
      </c>
    </row>
    <row r="2693" spans="1:9" hidden="1" x14ac:dyDescent="0.3">
      <c r="A2693" s="13">
        <v>424</v>
      </c>
      <c r="B2693" s="4">
        <v>4</v>
      </c>
      <c r="C2693" t="s">
        <v>531</v>
      </c>
      <c r="D2693" t="s">
        <v>530</v>
      </c>
      <c r="E2693">
        <v>30</v>
      </c>
      <c r="F2693">
        <v>26</v>
      </c>
      <c r="G2693" s="8">
        <f>Lektionen[[#This Row],[Bearbeitungsdauer_real]]/Lektionen[[#This Row],[Bearbeitungsdauer_geschätzt]]-1</f>
        <v>-0.1333333333333333</v>
      </c>
      <c r="H2693" s="8" t="str" cm="1">
        <f t="array" ref="H2693">_xlfn.IFS(Lektionen[[#This Row],[Bearbeitungsdauer_abgewichen]]&gt;0.6,"viel länger",Lektionen[[#This Row],[Bearbeitungsdauer_abgewichen]]&gt;0.3,"länger",Lektionen[[#This Row],[Bearbeitungsdauer_abgewichen]]&lt;-0.3,"kürzer",TRUE,"keine Abweichung")</f>
        <v>keine Abweichung</v>
      </c>
      <c r="I2693">
        <v>3</v>
      </c>
    </row>
    <row r="2694" spans="1:9" x14ac:dyDescent="0.3">
      <c r="A2694" s="13">
        <v>424</v>
      </c>
      <c r="B2694" s="4">
        <v>5</v>
      </c>
      <c r="C2694" t="s">
        <v>532</v>
      </c>
      <c r="D2694" t="s">
        <v>530</v>
      </c>
      <c r="E2694">
        <v>30</v>
      </c>
      <c r="F2694">
        <v>51</v>
      </c>
      <c r="G2694" s="8">
        <f>Lektionen[[#This Row],[Bearbeitungsdauer_real]]/Lektionen[[#This Row],[Bearbeitungsdauer_geschätzt]]-1</f>
        <v>0.7</v>
      </c>
      <c r="H2694" s="8" t="str" cm="1">
        <f t="array" ref="H2694">_xlfn.IFS(Lektionen[[#This Row],[Bearbeitungsdauer_abgewichen]]&gt;0.6,"viel länger",Lektionen[[#This Row],[Bearbeitungsdauer_abgewichen]]&gt;0.3,"länger",Lektionen[[#This Row],[Bearbeitungsdauer_abgewichen]]&lt;-0.3,"kürzer",TRUE,"keine Abweichung")</f>
        <v>viel länger</v>
      </c>
      <c r="I2694">
        <v>4</v>
      </c>
    </row>
    <row r="2695" spans="1:9" hidden="1" x14ac:dyDescent="0.3">
      <c r="A2695" s="13">
        <v>424</v>
      </c>
      <c r="B2695" s="4">
        <v>6</v>
      </c>
      <c r="C2695" t="s">
        <v>533</v>
      </c>
      <c r="D2695" t="s">
        <v>534</v>
      </c>
      <c r="E2695">
        <v>5</v>
      </c>
      <c r="F2695">
        <v>1</v>
      </c>
      <c r="G2695" s="8">
        <f>Lektionen[[#This Row],[Bearbeitungsdauer_real]]/Lektionen[[#This Row],[Bearbeitungsdauer_geschätzt]]-1</f>
        <v>-0.8</v>
      </c>
      <c r="H2695" s="8" t="str" cm="1">
        <f t="array" ref="H2695">_xlfn.IFS(Lektionen[[#This Row],[Bearbeitungsdauer_abgewichen]]&gt;0.6,"viel länger",Lektionen[[#This Row],[Bearbeitungsdauer_abgewichen]]&gt;0.3,"länger",Lektionen[[#This Row],[Bearbeitungsdauer_abgewichen]]&lt;-0.3,"kürzer",TRUE,"keine Abweichung")</f>
        <v>kürzer</v>
      </c>
      <c r="I2695">
        <v>1</v>
      </c>
    </row>
    <row r="2696" spans="1:9" hidden="1" x14ac:dyDescent="0.3">
      <c r="A2696" s="13">
        <v>424</v>
      </c>
      <c r="B2696" s="4">
        <v>7</v>
      </c>
      <c r="C2696" t="s">
        <v>535</v>
      </c>
      <c r="D2696" t="s">
        <v>536</v>
      </c>
      <c r="E2696">
        <v>10</v>
      </c>
      <c r="F2696">
        <v>10</v>
      </c>
      <c r="G2696" s="8">
        <f>Lektionen[[#This Row],[Bearbeitungsdauer_real]]/Lektionen[[#This Row],[Bearbeitungsdauer_geschätzt]]-1</f>
        <v>0</v>
      </c>
      <c r="H2696" s="8" t="str" cm="1">
        <f t="array" ref="H2696">_xlfn.IFS(Lektionen[[#This Row],[Bearbeitungsdauer_abgewichen]]&gt;0.6,"viel länger",Lektionen[[#This Row],[Bearbeitungsdauer_abgewichen]]&gt;0.3,"länger",Lektionen[[#This Row],[Bearbeitungsdauer_abgewichen]]&lt;-0.3,"kürzer",TRUE,"keine Abweichung")</f>
        <v>keine Abweichung</v>
      </c>
      <c r="I2696">
        <v>3</v>
      </c>
    </row>
    <row r="2697" spans="1:9" hidden="1" x14ac:dyDescent="0.3">
      <c r="A2697" s="13">
        <v>424</v>
      </c>
      <c r="B2697" s="4">
        <v>8</v>
      </c>
      <c r="C2697" t="s">
        <v>537</v>
      </c>
      <c r="D2697" t="s">
        <v>527</v>
      </c>
      <c r="E2697">
        <v>5</v>
      </c>
      <c r="F2697">
        <v>8</v>
      </c>
      <c r="G2697" s="8">
        <f>Lektionen[[#This Row],[Bearbeitungsdauer_real]]/Lektionen[[#This Row],[Bearbeitungsdauer_geschätzt]]-1</f>
        <v>0.60000000000000009</v>
      </c>
      <c r="H2697" s="8" t="str" cm="1">
        <f t="array" ref="H2697">_xlfn.IFS(Lektionen[[#This Row],[Bearbeitungsdauer_abgewichen]]&gt;0.6,"viel länger",Lektionen[[#This Row],[Bearbeitungsdauer_abgewichen]]&gt;0.3,"länger",Lektionen[[#This Row],[Bearbeitungsdauer_abgewichen]]&lt;-0.3,"kürzer",TRUE,"keine Abweichung")</f>
        <v>länger</v>
      </c>
      <c r="I2697">
        <v>1</v>
      </c>
    </row>
    <row r="2698" spans="1:9" hidden="1" x14ac:dyDescent="0.3">
      <c r="A2698" s="13">
        <v>425</v>
      </c>
      <c r="B2698" s="4">
        <v>1</v>
      </c>
      <c r="C2698" t="s">
        <v>526</v>
      </c>
      <c r="D2698" t="s">
        <v>527</v>
      </c>
      <c r="E2698">
        <v>4</v>
      </c>
      <c r="F2698">
        <v>4</v>
      </c>
      <c r="G2698" s="8">
        <f>Lektionen[[#This Row],[Bearbeitungsdauer_real]]/Lektionen[[#This Row],[Bearbeitungsdauer_geschätzt]]-1</f>
        <v>0</v>
      </c>
      <c r="H2698" s="8" t="str" cm="1">
        <f t="array" ref="H2698">_xlfn.IFS(Lektionen[[#This Row],[Bearbeitungsdauer_abgewichen]]&gt;0.6,"viel länger",Lektionen[[#This Row],[Bearbeitungsdauer_abgewichen]]&gt;0.3,"länger",Lektionen[[#This Row],[Bearbeitungsdauer_abgewichen]]&lt;-0.3,"kürzer",TRUE,"keine Abweichung")</f>
        <v>keine Abweichung</v>
      </c>
      <c r="I2698">
        <v>1</v>
      </c>
    </row>
    <row r="2699" spans="1:9" hidden="1" x14ac:dyDescent="0.3">
      <c r="A2699" s="13">
        <v>425</v>
      </c>
      <c r="B2699" s="4">
        <v>2</v>
      </c>
      <c r="C2699" t="s">
        <v>528</v>
      </c>
      <c r="D2699" t="s">
        <v>529</v>
      </c>
      <c r="E2699">
        <v>15</v>
      </c>
      <c r="F2699">
        <v>17</v>
      </c>
      <c r="G2699" s="8">
        <f>Lektionen[[#This Row],[Bearbeitungsdauer_real]]/Lektionen[[#This Row],[Bearbeitungsdauer_geschätzt]]-1</f>
        <v>0.1333333333333333</v>
      </c>
      <c r="H2699" s="8" t="str" cm="1">
        <f t="array" ref="H2699">_xlfn.IFS(Lektionen[[#This Row],[Bearbeitungsdauer_abgewichen]]&gt;0.6,"viel länger",Lektionen[[#This Row],[Bearbeitungsdauer_abgewichen]]&gt;0.3,"länger",Lektionen[[#This Row],[Bearbeitungsdauer_abgewichen]]&lt;-0.3,"kürzer",TRUE,"keine Abweichung")</f>
        <v>keine Abweichung</v>
      </c>
      <c r="I2699">
        <v>2</v>
      </c>
    </row>
    <row r="2700" spans="1:9" hidden="1" x14ac:dyDescent="0.3">
      <c r="A2700" s="13">
        <v>425</v>
      </c>
      <c r="B2700" s="4">
        <v>3</v>
      </c>
      <c r="C2700" t="s">
        <v>552</v>
      </c>
      <c r="D2700" t="s">
        <v>530</v>
      </c>
      <c r="E2700">
        <v>30</v>
      </c>
      <c r="F2700">
        <v>29</v>
      </c>
      <c r="G2700" s="8">
        <f>Lektionen[[#This Row],[Bearbeitungsdauer_real]]/Lektionen[[#This Row],[Bearbeitungsdauer_geschätzt]]-1</f>
        <v>-3.3333333333333326E-2</v>
      </c>
      <c r="H2700" s="8" t="str" cm="1">
        <f t="array" ref="H2700">_xlfn.IFS(Lektionen[[#This Row],[Bearbeitungsdauer_abgewichen]]&gt;0.6,"viel länger",Lektionen[[#This Row],[Bearbeitungsdauer_abgewichen]]&gt;0.3,"länger",Lektionen[[#This Row],[Bearbeitungsdauer_abgewichen]]&lt;-0.3,"kürzer",TRUE,"keine Abweichung")</f>
        <v>keine Abweichung</v>
      </c>
      <c r="I2700">
        <v>3</v>
      </c>
    </row>
    <row r="2701" spans="1:9" hidden="1" x14ac:dyDescent="0.3">
      <c r="A2701" s="13">
        <v>425</v>
      </c>
      <c r="B2701" s="4">
        <v>4</v>
      </c>
      <c r="C2701" t="s">
        <v>531</v>
      </c>
      <c r="D2701" t="s">
        <v>530</v>
      </c>
      <c r="E2701">
        <v>30</v>
      </c>
      <c r="F2701">
        <v>40</v>
      </c>
      <c r="G2701" s="8">
        <f>Lektionen[[#This Row],[Bearbeitungsdauer_real]]/Lektionen[[#This Row],[Bearbeitungsdauer_geschätzt]]-1</f>
        <v>0.33333333333333326</v>
      </c>
      <c r="H2701" s="8" t="str" cm="1">
        <f t="array" ref="H2701">_xlfn.IFS(Lektionen[[#This Row],[Bearbeitungsdauer_abgewichen]]&gt;0.6,"viel länger",Lektionen[[#This Row],[Bearbeitungsdauer_abgewichen]]&gt;0.3,"länger",Lektionen[[#This Row],[Bearbeitungsdauer_abgewichen]]&lt;-0.3,"kürzer",TRUE,"keine Abweichung")</f>
        <v>länger</v>
      </c>
      <c r="I2701">
        <v>5</v>
      </c>
    </row>
    <row r="2702" spans="1:9" x14ac:dyDescent="0.3">
      <c r="A2702" s="13">
        <v>425</v>
      </c>
      <c r="B2702" s="4">
        <v>5</v>
      </c>
      <c r="C2702" t="s">
        <v>532</v>
      </c>
      <c r="D2702" t="s">
        <v>530</v>
      </c>
      <c r="E2702">
        <v>30</v>
      </c>
      <c r="F2702">
        <v>44</v>
      </c>
      <c r="G2702" s="8">
        <f>Lektionen[[#This Row],[Bearbeitungsdauer_real]]/Lektionen[[#This Row],[Bearbeitungsdauer_geschätzt]]-1</f>
        <v>0.46666666666666656</v>
      </c>
      <c r="H2702" s="8" t="str" cm="1">
        <f t="array" ref="H2702">_xlfn.IFS(Lektionen[[#This Row],[Bearbeitungsdauer_abgewichen]]&gt;0.6,"viel länger",Lektionen[[#This Row],[Bearbeitungsdauer_abgewichen]]&gt;0.3,"länger",Lektionen[[#This Row],[Bearbeitungsdauer_abgewichen]]&lt;-0.3,"kürzer",TRUE,"keine Abweichung")</f>
        <v>länger</v>
      </c>
      <c r="I2702">
        <v>4</v>
      </c>
    </row>
    <row r="2703" spans="1:9" hidden="1" x14ac:dyDescent="0.3">
      <c r="A2703" s="13">
        <v>425</v>
      </c>
      <c r="B2703" s="4">
        <v>6</v>
      </c>
      <c r="C2703" t="s">
        <v>533</v>
      </c>
      <c r="D2703" t="s">
        <v>534</v>
      </c>
      <c r="E2703">
        <v>5</v>
      </c>
      <c r="F2703">
        <v>1</v>
      </c>
      <c r="G2703" s="8">
        <f>Lektionen[[#This Row],[Bearbeitungsdauer_real]]/Lektionen[[#This Row],[Bearbeitungsdauer_geschätzt]]-1</f>
        <v>-0.8</v>
      </c>
      <c r="H2703" s="8" t="str" cm="1">
        <f t="array" ref="H2703">_xlfn.IFS(Lektionen[[#This Row],[Bearbeitungsdauer_abgewichen]]&gt;0.6,"viel länger",Lektionen[[#This Row],[Bearbeitungsdauer_abgewichen]]&gt;0.3,"länger",Lektionen[[#This Row],[Bearbeitungsdauer_abgewichen]]&lt;-0.3,"kürzer",TRUE,"keine Abweichung")</f>
        <v>kürzer</v>
      </c>
      <c r="I2703">
        <v>2</v>
      </c>
    </row>
    <row r="2704" spans="1:9" hidden="1" x14ac:dyDescent="0.3">
      <c r="A2704" s="13">
        <v>425</v>
      </c>
      <c r="B2704" s="4">
        <v>7</v>
      </c>
      <c r="C2704" t="s">
        <v>535</v>
      </c>
      <c r="D2704" t="s">
        <v>536</v>
      </c>
      <c r="E2704">
        <v>10</v>
      </c>
      <c r="F2704">
        <v>10</v>
      </c>
      <c r="G2704" s="8">
        <f>Lektionen[[#This Row],[Bearbeitungsdauer_real]]/Lektionen[[#This Row],[Bearbeitungsdauer_geschätzt]]-1</f>
        <v>0</v>
      </c>
      <c r="H2704" s="8" t="str" cm="1">
        <f t="array" ref="H2704">_xlfn.IFS(Lektionen[[#This Row],[Bearbeitungsdauer_abgewichen]]&gt;0.6,"viel länger",Lektionen[[#This Row],[Bearbeitungsdauer_abgewichen]]&gt;0.3,"länger",Lektionen[[#This Row],[Bearbeitungsdauer_abgewichen]]&lt;-0.3,"kürzer",TRUE,"keine Abweichung")</f>
        <v>keine Abweichung</v>
      </c>
      <c r="I2704">
        <v>3</v>
      </c>
    </row>
    <row r="2705" spans="1:9" hidden="1" x14ac:dyDescent="0.3">
      <c r="A2705" s="13">
        <v>425</v>
      </c>
      <c r="B2705" s="4">
        <v>8</v>
      </c>
      <c r="C2705" t="s">
        <v>537</v>
      </c>
      <c r="D2705" t="s">
        <v>527</v>
      </c>
      <c r="E2705">
        <v>5</v>
      </c>
      <c r="F2705">
        <v>5</v>
      </c>
      <c r="G2705" s="8">
        <f>Lektionen[[#This Row],[Bearbeitungsdauer_real]]/Lektionen[[#This Row],[Bearbeitungsdauer_geschätzt]]-1</f>
        <v>0</v>
      </c>
      <c r="H2705" s="8" t="str" cm="1">
        <f t="array" ref="H2705">_xlfn.IFS(Lektionen[[#This Row],[Bearbeitungsdauer_abgewichen]]&gt;0.6,"viel länger",Lektionen[[#This Row],[Bearbeitungsdauer_abgewichen]]&gt;0.3,"länger",Lektionen[[#This Row],[Bearbeitungsdauer_abgewichen]]&lt;-0.3,"kürzer",TRUE,"keine Abweichung")</f>
        <v>keine Abweichung</v>
      </c>
      <c r="I2705">
        <v>1</v>
      </c>
    </row>
    <row r="2706" spans="1:9" hidden="1" x14ac:dyDescent="0.3">
      <c r="A2706" s="13">
        <v>426</v>
      </c>
      <c r="B2706" s="4">
        <v>1</v>
      </c>
      <c r="C2706" t="s">
        <v>526</v>
      </c>
      <c r="D2706" t="s">
        <v>527</v>
      </c>
      <c r="E2706">
        <v>4</v>
      </c>
      <c r="F2706">
        <v>4</v>
      </c>
      <c r="G2706" s="8">
        <f>Lektionen[[#This Row],[Bearbeitungsdauer_real]]/Lektionen[[#This Row],[Bearbeitungsdauer_geschätzt]]-1</f>
        <v>0</v>
      </c>
      <c r="H2706" s="8" t="str" cm="1">
        <f t="array" ref="H2706">_xlfn.IFS(Lektionen[[#This Row],[Bearbeitungsdauer_abgewichen]]&gt;0.6,"viel länger",Lektionen[[#This Row],[Bearbeitungsdauer_abgewichen]]&gt;0.3,"länger",Lektionen[[#This Row],[Bearbeitungsdauer_abgewichen]]&lt;-0.3,"kürzer",TRUE,"keine Abweichung")</f>
        <v>keine Abweichung</v>
      </c>
      <c r="I2706">
        <v>1</v>
      </c>
    </row>
    <row r="2707" spans="1:9" hidden="1" x14ac:dyDescent="0.3">
      <c r="A2707" s="13">
        <v>426</v>
      </c>
      <c r="B2707" s="4">
        <v>2</v>
      </c>
      <c r="C2707" t="s">
        <v>528</v>
      </c>
      <c r="D2707" t="s">
        <v>529</v>
      </c>
      <c r="E2707">
        <v>15</v>
      </c>
      <c r="F2707">
        <v>16</v>
      </c>
      <c r="G2707" s="8">
        <f>Lektionen[[#This Row],[Bearbeitungsdauer_real]]/Lektionen[[#This Row],[Bearbeitungsdauer_geschätzt]]-1</f>
        <v>6.6666666666666652E-2</v>
      </c>
      <c r="H2707" s="8" t="str" cm="1">
        <f t="array" ref="H2707">_xlfn.IFS(Lektionen[[#This Row],[Bearbeitungsdauer_abgewichen]]&gt;0.6,"viel länger",Lektionen[[#This Row],[Bearbeitungsdauer_abgewichen]]&gt;0.3,"länger",Lektionen[[#This Row],[Bearbeitungsdauer_abgewichen]]&lt;-0.3,"kürzer",TRUE,"keine Abweichung")</f>
        <v>keine Abweichung</v>
      </c>
      <c r="I2707">
        <v>2</v>
      </c>
    </row>
    <row r="2708" spans="1:9" hidden="1" x14ac:dyDescent="0.3">
      <c r="A2708" s="13">
        <v>426</v>
      </c>
      <c r="B2708" s="4">
        <v>3</v>
      </c>
      <c r="C2708" t="s">
        <v>552</v>
      </c>
      <c r="D2708" t="s">
        <v>530</v>
      </c>
      <c r="E2708">
        <v>30</v>
      </c>
      <c r="F2708">
        <v>31</v>
      </c>
      <c r="G2708" s="8">
        <f>Lektionen[[#This Row],[Bearbeitungsdauer_real]]/Lektionen[[#This Row],[Bearbeitungsdauer_geschätzt]]-1</f>
        <v>3.3333333333333437E-2</v>
      </c>
      <c r="H2708" s="8" t="str" cm="1">
        <f t="array" ref="H2708">_xlfn.IFS(Lektionen[[#This Row],[Bearbeitungsdauer_abgewichen]]&gt;0.6,"viel länger",Lektionen[[#This Row],[Bearbeitungsdauer_abgewichen]]&gt;0.3,"länger",Lektionen[[#This Row],[Bearbeitungsdauer_abgewichen]]&lt;-0.3,"kürzer",TRUE,"keine Abweichung")</f>
        <v>keine Abweichung</v>
      </c>
      <c r="I2708">
        <v>3</v>
      </c>
    </row>
    <row r="2709" spans="1:9" hidden="1" x14ac:dyDescent="0.3">
      <c r="A2709" s="13">
        <v>426</v>
      </c>
      <c r="B2709" s="4">
        <v>4</v>
      </c>
      <c r="C2709" t="s">
        <v>531</v>
      </c>
      <c r="D2709" t="s">
        <v>530</v>
      </c>
      <c r="E2709">
        <v>30</v>
      </c>
      <c r="F2709">
        <v>23</v>
      </c>
      <c r="G2709" s="8">
        <f>Lektionen[[#This Row],[Bearbeitungsdauer_real]]/Lektionen[[#This Row],[Bearbeitungsdauer_geschätzt]]-1</f>
        <v>-0.23333333333333328</v>
      </c>
      <c r="H2709" s="8" t="str" cm="1">
        <f t="array" ref="H2709">_xlfn.IFS(Lektionen[[#This Row],[Bearbeitungsdauer_abgewichen]]&gt;0.6,"viel länger",Lektionen[[#This Row],[Bearbeitungsdauer_abgewichen]]&gt;0.3,"länger",Lektionen[[#This Row],[Bearbeitungsdauer_abgewichen]]&lt;-0.3,"kürzer",TRUE,"keine Abweichung")</f>
        <v>keine Abweichung</v>
      </c>
      <c r="I2709">
        <v>2</v>
      </c>
    </row>
    <row r="2710" spans="1:9" x14ac:dyDescent="0.3">
      <c r="A2710" s="13">
        <v>426</v>
      </c>
      <c r="B2710" s="4">
        <v>5</v>
      </c>
      <c r="C2710" t="s">
        <v>532</v>
      </c>
      <c r="D2710" t="s">
        <v>530</v>
      </c>
      <c r="E2710">
        <v>30</v>
      </c>
      <c r="F2710">
        <v>38</v>
      </c>
      <c r="G2710" s="8">
        <f>Lektionen[[#This Row],[Bearbeitungsdauer_real]]/Lektionen[[#This Row],[Bearbeitungsdauer_geschätzt]]-1</f>
        <v>0.26666666666666661</v>
      </c>
      <c r="H2710" s="8" t="str" cm="1">
        <f t="array" ref="H2710">_xlfn.IFS(Lektionen[[#This Row],[Bearbeitungsdauer_abgewichen]]&gt;0.6,"viel länger",Lektionen[[#This Row],[Bearbeitungsdauer_abgewichen]]&gt;0.3,"länger",Lektionen[[#This Row],[Bearbeitungsdauer_abgewichen]]&lt;-0.3,"kürzer",TRUE,"keine Abweichung")</f>
        <v>keine Abweichung</v>
      </c>
      <c r="I2710">
        <v>3</v>
      </c>
    </row>
    <row r="2711" spans="1:9" hidden="1" x14ac:dyDescent="0.3">
      <c r="A2711" s="13">
        <v>426</v>
      </c>
      <c r="B2711" s="4">
        <v>6</v>
      </c>
      <c r="C2711" t="s">
        <v>533</v>
      </c>
      <c r="D2711" t="s">
        <v>534</v>
      </c>
      <c r="E2711">
        <v>5</v>
      </c>
      <c r="F2711">
        <v>1</v>
      </c>
      <c r="G2711" s="8">
        <f>Lektionen[[#This Row],[Bearbeitungsdauer_real]]/Lektionen[[#This Row],[Bearbeitungsdauer_geschätzt]]-1</f>
        <v>-0.8</v>
      </c>
      <c r="H2711" s="8" t="str" cm="1">
        <f t="array" ref="H2711">_xlfn.IFS(Lektionen[[#This Row],[Bearbeitungsdauer_abgewichen]]&gt;0.6,"viel länger",Lektionen[[#This Row],[Bearbeitungsdauer_abgewichen]]&gt;0.3,"länger",Lektionen[[#This Row],[Bearbeitungsdauer_abgewichen]]&lt;-0.3,"kürzer",TRUE,"keine Abweichung")</f>
        <v>kürzer</v>
      </c>
      <c r="I2711">
        <v>2</v>
      </c>
    </row>
    <row r="2712" spans="1:9" hidden="1" x14ac:dyDescent="0.3">
      <c r="A2712" s="13">
        <v>426</v>
      </c>
      <c r="B2712" s="4">
        <v>7</v>
      </c>
      <c r="C2712" t="s">
        <v>535</v>
      </c>
      <c r="D2712" t="s">
        <v>536</v>
      </c>
      <c r="E2712">
        <v>10</v>
      </c>
      <c r="F2712">
        <v>10</v>
      </c>
      <c r="G2712" s="8">
        <f>Lektionen[[#This Row],[Bearbeitungsdauer_real]]/Lektionen[[#This Row],[Bearbeitungsdauer_geschätzt]]-1</f>
        <v>0</v>
      </c>
      <c r="H2712" s="8" t="str" cm="1">
        <f t="array" ref="H2712">_xlfn.IFS(Lektionen[[#This Row],[Bearbeitungsdauer_abgewichen]]&gt;0.6,"viel länger",Lektionen[[#This Row],[Bearbeitungsdauer_abgewichen]]&gt;0.3,"länger",Lektionen[[#This Row],[Bearbeitungsdauer_abgewichen]]&lt;-0.3,"kürzer",TRUE,"keine Abweichung")</f>
        <v>keine Abweichung</v>
      </c>
      <c r="I2712">
        <v>4</v>
      </c>
    </row>
    <row r="2713" spans="1:9" hidden="1" x14ac:dyDescent="0.3">
      <c r="A2713" s="13">
        <v>426</v>
      </c>
      <c r="B2713" s="4">
        <v>8</v>
      </c>
      <c r="C2713" t="s">
        <v>537</v>
      </c>
      <c r="D2713" t="s">
        <v>527</v>
      </c>
      <c r="E2713">
        <v>5</v>
      </c>
      <c r="F2713">
        <v>5</v>
      </c>
      <c r="G2713" s="8">
        <f>Lektionen[[#This Row],[Bearbeitungsdauer_real]]/Lektionen[[#This Row],[Bearbeitungsdauer_geschätzt]]-1</f>
        <v>0</v>
      </c>
      <c r="H2713" s="8" t="str" cm="1">
        <f t="array" ref="H2713">_xlfn.IFS(Lektionen[[#This Row],[Bearbeitungsdauer_abgewichen]]&gt;0.6,"viel länger",Lektionen[[#This Row],[Bearbeitungsdauer_abgewichen]]&gt;0.3,"länger",Lektionen[[#This Row],[Bearbeitungsdauer_abgewichen]]&lt;-0.3,"kürzer",TRUE,"keine Abweichung")</f>
        <v>keine Abweichung</v>
      </c>
      <c r="I2713">
        <v>1</v>
      </c>
    </row>
    <row r="2714" spans="1:9" hidden="1" x14ac:dyDescent="0.3">
      <c r="A2714" s="13">
        <v>428</v>
      </c>
      <c r="B2714" s="4">
        <v>1</v>
      </c>
      <c r="C2714" t="s">
        <v>526</v>
      </c>
      <c r="D2714" t="s">
        <v>527</v>
      </c>
      <c r="E2714">
        <v>4</v>
      </c>
      <c r="F2714">
        <v>4</v>
      </c>
      <c r="G2714" s="8">
        <f>Lektionen[[#This Row],[Bearbeitungsdauer_real]]/Lektionen[[#This Row],[Bearbeitungsdauer_geschätzt]]-1</f>
        <v>0</v>
      </c>
      <c r="H2714" s="8" t="str" cm="1">
        <f t="array" ref="H2714">_xlfn.IFS(Lektionen[[#This Row],[Bearbeitungsdauer_abgewichen]]&gt;0.6,"viel länger",Lektionen[[#This Row],[Bearbeitungsdauer_abgewichen]]&gt;0.3,"länger",Lektionen[[#This Row],[Bearbeitungsdauer_abgewichen]]&lt;-0.3,"kürzer",TRUE,"keine Abweichung")</f>
        <v>keine Abweichung</v>
      </c>
      <c r="I2714">
        <v>1</v>
      </c>
    </row>
    <row r="2715" spans="1:9" hidden="1" x14ac:dyDescent="0.3">
      <c r="A2715" s="13">
        <v>428</v>
      </c>
      <c r="B2715" s="4">
        <v>2</v>
      </c>
      <c r="C2715" t="s">
        <v>528</v>
      </c>
      <c r="D2715" t="s">
        <v>529</v>
      </c>
      <c r="E2715">
        <v>15</v>
      </c>
      <c r="F2715">
        <v>18</v>
      </c>
      <c r="G2715" s="8">
        <f>Lektionen[[#This Row],[Bearbeitungsdauer_real]]/Lektionen[[#This Row],[Bearbeitungsdauer_geschätzt]]-1</f>
        <v>0.19999999999999996</v>
      </c>
      <c r="H2715" s="8" t="str" cm="1">
        <f t="array" ref="H2715">_xlfn.IFS(Lektionen[[#This Row],[Bearbeitungsdauer_abgewichen]]&gt;0.6,"viel länger",Lektionen[[#This Row],[Bearbeitungsdauer_abgewichen]]&gt;0.3,"länger",Lektionen[[#This Row],[Bearbeitungsdauer_abgewichen]]&lt;-0.3,"kürzer",TRUE,"keine Abweichung")</f>
        <v>keine Abweichung</v>
      </c>
      <c r="I2715">
        <v>1</v>
      </c>
    </row>
    <row r="2716" spans="1:9" hidden="1" x14ac:dyDescent="0.3">
      <c r="A2716" s="13">
        <v>428</v>
      </c>
      <c r="B2716" s="4">
        <v>3</v>
      </c>
      <c r="C2716" t="s">
        <v>552</v>
      </c>
      <c r="D2716" t="s">
        <v>530</v>
      </c>
      <c r="E2716">
        <v>30</v>
      </c>
      <c r="F2716">
        <v>28</v>
      </c>
      <c r="G2716" s="8">
        <f>Lektionen[[#This Row],[Bearbeitungsdauer_real]]/Lektionen[[#This Row],[Bearbeitungsdauer_geschätzt]]-1</f>
        <v>-6.6666666666666652E-2</v>
      </c>
      <c r="H2716" s="8" t="str" cm="1">
        <f t="array" ref="H2716">_xlfn.IFS(Lektionen[[#This Row],[Bearbeitungsdauer_abgewichen]]&gt;0.6,"viel länger",Lektionen[[#This Row],[Bearbeitungsdauer_abgewichen]]&gt;0.3,"länger",Lektionen[[#This Row],[Bearbeitungsdauer_abgewichen]]&lt;-0.3,"kürzer",TRUE,"keine Abweichung")</f>
        <v>keine Abweichung</v>
      </c>
      <c r="I2716">
        <v>3</v>
      </c>
    </row>
    <row r="2717" spans="1:9" hidden="1" x14ac:dyDescent="0.3">
      <c r="A2717" s="13">
        <v>428</v>
      </c>
      <c r="B2717" s="4">
        <v>4</v>
      </c>
      <c r="C2717" t="s">
        <v>531</v>
      </c>
      <c r="D2717" t="s">
        <v>530</v>
      </c>
      <c r="E2717">
        <v>30</v>
      </c>
      <c r="F2717">
        <v>25</v>
      </c>
      <c r="G2717" s="8">
        <f>Lektionen[[#This Row],[Bearbeitungsdauer_real]]/Lektionen[[#This Row],[Bearbeitungsdauer_geschätzt]]-1</f>
        <v>-0.16666666666666663</v>
      </c>
      <c r="H2717" s="8" t="str" cm="1">
        <f t="array" ref="H2717">_xlfn.IFS(Lektionen[[#This Row],[Bearbeitungsdauer_abgewichen]]&gt;0.6,"viel länger",Lektionen[[#This Row],[Bearbeitungsdauer_abgewichen]]&gt;0.3,"länger",Lektionen[[#This Row],[Bearbeitungsdauer_abgewichen]]&lt;-0.3,"kürzer",TRUE,"keine Abweichung")</f>
        <v>keine Abweichung</v>
      </c>
      <c r="I2717">
        <v>3</v>
      </c>
    </row>
    <row r="2718" spans="1:9" x14ac:dyDescent="0.3">
      <c r="A2718" s="13">
        <v>428</v>
      </c>
      <c r="B2718" s="4">
        <v>5</v>
      </c>
      <c r="C2718" t="s">
        <v>532</v>
      </c>
      <c r="D2718" t="s">
        <v>530</v>
      </c>
      <c r="E2718">
        <v>30</v>
      </c>
      <c r="F2718">
        <v>52</v>
      </c>
      <c r="G2718" s="8">
        <f>Lektionen[[#This Row],[Bearbeitungsdauer_real]]/Lektionen[[#This Row],[Bearbeitungsdauer_geschätzt]]-1</f>
        <v>0.73333333333333339</v>
      </c>
      <c r="H2718" s="8" t="str" cm="1">
        <f t="array" ref="H2718">_xlfn.IFS(Lektionen[[#This Row],[Bearbeitungsdauer_abgewichen]]&gt;0.6,"viel länger",Lektionen[[#This Row],[Bearbeitungsdauer_abgewichen]]&gt;0.3,"länger",Lektionen[[#This Row],[Bearbeitungsdauer_abgewichen]]&lt;-0.3,"kürzer",TRUE,"keine Abweichung")</f>
        <v>viel länger</v>
      </c>
      <c r="I2718">
        <v>3</v>
      </c>
    </row>
    <row r="2719" spans="1:9" hidden="1" x14ac:dyDescent="0.3">
      <c r="A2719" s="13">
        <v>428</v>
      </c>
      <c r="B2719" s="4">
        <v>6</v>
      </c>
      <c r="C2719" t="s">
        <v>533</v>
      </c>
      <c r="D2719" t="s">
        <v>534</v>
      </c>
      <c r="E2719">
        <v>5</v>
      </c>
      <c r="F2719">
        <v>1</v>
      </c>
      <c r="G2719" s="8">
        <f>Lektionen[[#This Row],[Bearbeitungsdauer_real]]/Lektionen[[#This Row],[Bearbeitungsdauer_geschätzt]]-1</f>
        <v>-0.8</v>
      </c>
      <c r="H2719" s="8" t="str" cm="1">
        <f t="array" ref="H2719">_xlfn.IFS(Lektionen[[#This Row],[Bearbeitungsdauer_abgewichen]]&gt;0.6,"viel länger",Lektionen[[#This Row],[Bearbeitungsdauer_abgewichen]]&gt;0.3,"länger",Lektionen[[#This Row],[Bearbeitungsdauer_abgewichen]]&lt;-0.3,"kürzer",TRUE,"keine Abweichung")</f>
        <v>kürzer</v>
      </c>
      <c r="I2719">
        <v>2</v>
      </c>
    </row>
    <row r="2720" spans="1:9" hidden="1" x14ac:dyDescent="0.3">
      <c r="A2720" s="13">
        <v>428</v>
      </c>
      <c r="B2720" s="4">
        <v>7</v>
      </c>
      <c r="C2720" t="s">
        <v>535</v>
      </c>
      <c r="D2720" t="s">
        <v>536</v>
      </c>
      <c r="E2720">
        <v>10</v>
      </c>
      <c r="F2720">
        <v>10</v>
      </c>
      <c r="G2720" s="8">
        <f>Lektionen[[#This Row],[Bearbeitungsdauer_real]]/Lektionen[[#This Row],[Bearbeitungsdauer_geschätzt]]-1</f>
        <v>0</v>
      </c>
      <c r="H2720" s="8" t="str" cm="1">
        <f t="array" ref="H2720">_xlfn.IFS(Lektionen[[#This Row],[Bearbeitungsdauer_abgewichen]]&gt;0.6,"viel länger",Lektionen[[#This Row],[Bearbeitungsdauer_abgewichen]]&gt;0.3,"länger",Lektionen[[#This Row],[Bearbeitungsdauer_abgewichen]]&lt;-0.3,"kürzer",TRUE,"keine Abweichung")</f>
        <v>keine Abweichung</v>
      </c>
      <c r="I2720">
        <v>3</v>
      </c>
    </row>
    <row r="2721" spans="1:9" hidden="1" x14ac:dyDescent="0.3">
      <c r="A2721" s="13">
        <v>428</v>
      </c>
      <c r="B2721" s="4">
        <v>8</v>
      </c>
      <c r="C2721" t="s">
        <v>537</v>
      </c>
      <c r="D2721" t="s">
        <v>527</v>
      </c>
      <c r="E2721">
        <v>5</v>
      </c>
      <c r="F2721">
        <v>5</v>
      </c>
      <c r="G2721" s="8">
        <f>Lektionen[[#This Row],[Bearbeitungsdauer_real]]/Lektionen[[#This Row],[Bearbeitungsdauer_geschätzt]]-1</f>
        <v>0</v>
      </c>
      <c r="H2721" s="8" t="str" cm="1">
        <f t="array" ref="H2721">_xlfn.IFS(Lektionen[[#This Row],[Bearbeitungsdauer_abgewichen]]&gt;0.6,"viel länger",Lektionen[[#This Row],[Bearbeitungsdauer_abgewichen]]&gt;0.3,"länger",Lektionen[[#This Row],[Bearbeitungsdauer_abgewichen]]&lt;-0.3,"kürzer",TRUE,"keine Abweichung")</f>
        <v>keine Abweichung</v>
      </c>
      <c r="I2721">
        <v>1</v>
      </c>
    </row>
    <row r="2722" spans="1:9" hidden="1" x14ac:dyDescent="0.3">
      <c r="A2722" s="13">
        <v>429</v>
      </c>
      <c r="B2722" s="4">
        <v>1</v>
      </c>
      <c r="C2722" t="s">
        <v>526</v>
      </c>
      <c r="D2722" t="s">
        <v>527</v>
      </c>
      <c r="E2722">
        <v>4</v>
      </c>
      <c r="F2722">
        <v>4</v>
      </c>
      <c r="G2722" s="8">
        <f>Lektionen[[#This Row],[Bearbeitungsdauer_real]]/Lektionen[[#This Row],[Bearbeitungsdauer_geschätzt]]-1</f>
        <v>0</v>
      </c>
      <c r="H2722" s="8" t="str" cm="1">
        <f t="array" ref="H2722">_xlfn.IFS(Lektionen[[#This Row],[Bearbeitungsdauer_abgewichen]]&gt;0.6,"viel länger",Lektionen[[#This Row],[Bearbeitungsdauer_abgewichen]]&gt;0.3,"länger",Lektionen[[#This Row],[Bearbeitungsdauer_abgewichen]]&lt;-0.3,"kürzer",TRUE,"keine Abweichung")</f>
        <v>keine Abweichung</v>
      </c>
      <c r="I2722">
        <v>1</v>
      </c>
    </row>
    <row r="2723" spans="1:9" hidden="1" x14ac:dyDescent="0.3">
      <c r="A2723" s="13">
        <v>429</v>
      </c>
      <c r="B2723" s="4">
        <v>2</v>
      </c>
      <c r="C2723" t="s">
        <v>528</v>
      </c>
      <c r="D2723" t="s">
        <v>529</v>
      </c>
      <c r="E2723">
        <v>15</v>
      </c>
      <c r="F2723">
        <v>17</v>
      </c>
      <c r="G2723" s="8">
        <f>Lektionen[[#This Row],[Bearbeitungsdauer_real]]/Lektionen[[#This Row],[Bearbeitungsdauer_geschätzt]]-1</f>
        <v>0.1333333333333333</v>
      </c>
      <c r="H2723" s="8" t="str" cm="1">
        <f t="array" ref="H2723">_xlfn.IFS(Lektionen[[#This Row],[Bearbeitungsdauer_abgewichen]]&gt;0.6,"viel länger",Lektionen[[#This Row],[Bearbeitungsdauer_abgewichen]]&gt;0.3,"länger",Lektionen[[#This Row],[Bearbeitungsdauer_abgewichen]]&lt;-0.3,"kürzer",TRUE,"keine Abweichung")</f>
        <v>keine Abweichung</v>
      </c>
      <c r="I2723">
        <v>2</v>
      </c>
    </row>
    <row r="2724" spans="1:9" hidden="1" x14ac:dyDescent="0.3">
      <c r="A2724" s="13">
        <v>429</v>
      </c>
      <c r="B2724" s="4">
        <v>3</v>
      </c>
      <c r="C2724" t="s">
        <v>552</v>
      </c>
      <c r="D2724" t="s">
        <v>530</v>
      </c>
      <c r="E2724">
        <v>30</v>
      </c>
      <c r="F2724">
        <v>30</v>
      </c>
      <c r="G2724" s="8">
        <f>Lektionen[[#This Row],[Bearbeitungsdauer_real]]/Lektionen[[#This Row],[Bearbeitungsdauer_geschätzt]]-1</f>
        <v>0</v>
      </c>
      <c r="H2724" s="8" t="str" cm="1">
        <f t="array" ref="H2724">_xlfn.IFS(Lektionen[[#This Row],[Bearbeitungsdauer_abgewichen]]&gt;0.6,"viel länger",Lektionen[[#This Row],[Bearbeitungsdauer_abgewichen]]&gt;0.3,"länger",Lektionen[[#This Row],[Bearbeitungsdauer_abgewichen]]&lt;-0.3,"kürzer",TRUE,"keine Abweichung")</f>
        <v>keine Abweichung</v>
      </c>
      <c r="I2724">
        <v>3</v>
      </c>
    </row>
    <row r="2725" spans="1:9" hidden="1" x14ac:dyDescent="0.3">
      <c r="A2725" s="13">
        <v>429</v>
      </c>
      <c r="B2725" s="4">
        <v>4</v>
      </c>
      <c r="C2725" t="s">
        <v>531</v>
      </c>
      <c r="D2725" t="s">
        <v>530</v>
      </c>
      <c r="E2725">
        <v>30</v>
      </c>
      <c r="F2725">
        <v>19</v>
      </c>
      <c r="G2725" s="8">
        <f>Lektionen[[#This Row],[Bearbeitungsdauer_real]]/Lektionen[[#This Row],[Bearbeitungsdauer_geschätzt]]-1</f>
        <v>-0.3666666666666667</v>
      </c>
      <c r="H2725" s="8" t="str" cm="1">
        <f t="array" ref="H2725">_xlfn.IFS(Lektionen[[#This Row],[Bearbeitungsdauer_abgewichen]]&gt;0.6,"viel länger",Lektionen[[#This Row],[Bearbeitungsdauer_abgewichen]]&gt;0.3,"länger",Lektionen[[#This Row],[Bearbeitungsdauer_abgewichen]]&lt;-0.3,"kürzer",TRUE,"keine Abweichung")</f>
        <v>kürzer</v>
      </c>
      <c r="I2725">
        <v>3</v>
      </c>
    </row>
    <row r="2726" spans="1:9" x14ac:dyDescent="0.3">
      <c r="A2726" s="13">
        <v>429</v>
      </c>
      <c r="B2726" s="4">
        <v>5</v>
      </c>
      <c r="C2726" t="s">
        <v>532</v>
      </c>
      <c r="D2726" t="s">
        <v>530</v>
      </c>
      <c r="E2726">
        <v>30</v>
      </c>
      <c r="F2726">
        <v>42</v>
      </c>
      <c r="G2726" s="8">
        <f>Lektionen[[#This Row],[Bearbeitungsdauer_real]]/Lektionen[[#This Row],[Bearbeitungsdauer_geschätzt]]-1</f>
        <v>0.39999999999999991</v>
      </c>
      <c r="H2726" s="8" t="str" cm="1">
        <f t="array" ref="H2726">_xlfn.IFS(Lektionen[[#This Row],[Bearbeitungsdauer_abgewichen]]&gt;0.6,"viel länger",Lektionen[[#This Row],[Bearbeitungsdauer_abgewichen]]&gt;0.3,"länger",Lektionen[[#This Row],[Bearbeitungsdauer_abgewichen]]&lt;-0.3,"kürzer",TRUE,"keine Abweichung")</f>
        <v>länger</v>
      </c>
      <c r="I2726">
        <v>4</v>
      </c>
    </row>
    <row r="2727" spans="1:9" hidden="1" x14ac:dyDescent="0.3">
      <c r="A2727" s="13">
        <v>429</v>
      </c>
      <c r="B2727" s="4">
        <v>6</v>
      </c>
      <c r="C2727" t="s">
        <v>533</v>
      </c>
      <c r="D2727" t="s">
        <v>534</v>
      </c>
      <c r="E2727">
        <v>5</v>
      </c>
      <c r="F2727">
        <v>3</v>
      </c>
      <c r="G2727" s="8">
        <f>Lektionen[[#This Row],[Bearbeitungsdauer_real]]/Lektionen[[#This Row],[Bearbeitungsdauer_geschätzt]]-1</f>
        <v>-0.4</v>
      </c>
      <c r="H2727" s="8" t="str" cm="1">
        <f t="array" ref="H2727">_xlfn.IFS(Lektionen[[#This Row],[Bearbeitungsdauer_abgewichen]]&gt;0.6,"viel länger",Lektionen[[#This Row],[Bearbeitungsdauer_abgewichen]]&gt;0.3,"länger",Lektionen[[#This Row],[Bearbeitungsdauer_abgewichen]]&lt;-0.3,"kürzer",TRUE,"keine Abweichung")</f>
        <v>kürzer</v>
      </c>
      <c r="I2727">
        <v>3</v>
      </c>
    </row>
    <row r="2728" spans="1:9" hidden="1" x14ac:dyDescent="0.3">
      <c r="A2728" s="13">
        <v>429</v>
      </c>
      <c r="B2728" s="4">
        <v>7</v>
      </c>
      <c r="C2728" t="s">
        <v>535</v>
      </c>
      <c r="D2728" t="s">
        <v>536</v>
      </c>
      <c r="E2728">
        <v>10</v>
      </c>
      <c r="F2728">
        <v>9</v>
      </c>
      <c r="G2728" s="8">
        <f>Lektionen[[#This Row],[Bearbeitungsdauer_real]]/Lektionen[[#This Row],[Bearbeitungsdauer_geschätzt]]-1</f>
        <v>-9.9999999999999978E-2</v>
      </c>
      <c r="H2728" s="8" t="str" cm="1">
        <f t="array" ref="H2728">_xlfn.IFS(Lektionen[[#This Row],[Bearbeitungsdauer_abgewichen]]&gt;0.6,"viel länger",Lektionen[[#This Row],[Bearbeitungsdauer_abgewichen]]&gt;0.3,"länger",Lektionen[[#This Row],[Bearbeitungsdauer_abgewichen]]&lt;-0.3,"kürzer",TRUE,"keine Abweichung")</f>
        <v>keine Abweichung</v>
      </c>
      <c r="I2728">
        <v>3</v>
      </c>
    </row>
    <row r="2729" spans="1:9" hidden="1" x14ac:dyDescent="0.3">
      <c r="A2729" s="13">
        <v>429</v>
      </c>
      <c r="B2729" s="4">
        <v>8</v>
      </c>
      <c r="C2729" t="s">
        <v>537</v>
      </c>
      <c r="D2729" t="s">
        <v>527</v>
      </c>
      <c r="E2729">
        <v>5</v>
      </c>
      <c r="F2729">
        <v>5</v>
      </c>
      <c r="G2729" s="8">
        <f>Lektionen[[#This Row],[Bearbeitungsdauer_real]]/Lektionen[[#This Row],[Bearbeitungsdauer_geschätzt]]-1</f>
        <v>0</v>
      </c>
      <c r="H2729" s="8" t="str" cm="1">
        <f t="array" ref="H2729">_xlfn.IFS(Lektionen[[#This Row],[Bearbeitungsdauer_abgewichen]]&gt;0.6,"viel länger",Lektionen[[#This Row],[Bearbeitungsdauer_abgewichen]]&gt;0.3,"länger",Lektionen[[#This Row],[Bearbeitungsdauer_abgewichen]]&lt;-0.3,"kürzer",TRUE,"keine Abweichung")</f>
        <v>keine Abweichung</v>
      </c>
      <c r="I2729">
        <v>1</v>
      </c>
    </row>
    <row r="2730" spans="1:9" hidden="1" x14ac:dyDescent="0.3">
      <c r="A2730" s="13">
        <v>430</v>
      </c>
      <c r="B2730" s="4">
        <v>1</v>
      </c>
      <c r="C2730" t="s">
        <v>526</v>
      </c>
      <c r="D2730" t="s">
        <v>527</v>
      </c>
      <c r="E2730">
        <v>4</v>
      </c>
      <c r="F2730">
        <v>4</v>
      </c>
      <c r="G2730" s="8">
        <f>Lektionen[[#This Row],[Bearbeitungsdauer_real]]/Lektionen[[#This Row],[Bearbeitungsdauer_geschätzt]]-1</f>
        <v>0</v>
      </c>
      <c r="H2730" s="8" t="str" cm="1">
        <f t="array" ref="H2730">_xlfn.IFS(Lektionen[[#This Row],[Bearbeitungsdauer_abgewichen]]&gt;0.6,"viel länger",Lektionen[[#This Row],[Bearbeitungsdauer_abgewichen]]&gt;0.3,"länger",Lektionen[[#This Row],[Bearbeitungsdauer_abgewichen]]&lt;-0.3,"kürzer",TRUE,"keine Abweichung")</f>
        <v>keine Abweichung</v>
      </c>
      <c r="I2730">
        <v>1</v>
      </c>
    </row>
    <row r="2731" spans="1:9" hidden="1" x14ac:dyDescent="0.3">
      <c r="A2731" s="13">
        <v>430</v>
      </c>
      <c r="B2731" s="4">
        <v>2</v>
      </c>
      <c r="C2731" t="s">
        <v>528</v>
      </c>
      <c r="D2731" t="s">
        <v>529</v>
      </c>
      <c r="E2731">
        <v>15</v>
      </c>
      <c r="F2731">
        <v>18</v>
      </c>
      <c r="G2731" s="8">
        <f>Lektionen[[#This Row],[Bearbeitungsdauer_real]]/Lektionen[[#This Row],[Bearbeitungsdauer_geschätzt]]-1</f>
        <v>0.19999999999999996</v>
      </c>
      <c r="H2731" s="8" t="str" cm="1">
        <f t="array" ref="H2731">_xlfn.IFS(Lektionen[[#This Row],[Bearbeitungsdauer_abgewichen]]&gt;0.6,"viel länger",Lektionen[[#This Row],[Bearbeitungsdauer_abgewichen]]&gt;0.3,"länger",Lektionen[[#This Row],[Bearbeitungsdauer_abgewichen]]&lt;-0.3,"kürzer",TRUE,"keine Abweichung")</f>
        <v>keine Abweichung</v>
      </c>
      <c r="I2731">
        <v>1</v>
      </c>
    </row>
    <row r="2732" spans="1:9" hidden="1" x14ac:dyDescent="0.3">
      <c r="A2732" s="13">
        <v>430</v>
      </c>
      <c r="B2732" s="4">
        <v>3</v>
      </c>
      <c r="C2732" t="s">
        <v>552</v>
      </c>
      <c r="D2732" t="s">
        <v>530</v>
      </c>
      <c r="E2732">
        <v>30</v>
      </c>
      <c r="F2732">
        <v>28</v>
      </c>
      <c r="G2732" s="8">
        <f>Lektionen[[#This Row],[Bearbeitungsdauer_real]]/Lektionen[[#This Row],[Bearbeitungsdauer_geschätzt]]-1</f>
        <v>-6.6666666666666652E-2</v>
      </c>
      <c r="H2732" s="8" t="str" cm="1">
        <f t="array" ref="H2732">_xlfn.IFS(Lektionen[[#This Row],[Bearbeitungsdauer_abgewichen]]&gt;0.6,"viel länger",Lektionen[[#This Row],[Bearbeitungsdauer_abgewichen]]&gt;0.3,"länger",Lektionen[[#This Row],[Bearbeitungsdauer_abgewichen]]&lt;-0.3,"kürzer",TRUE,"keine Abweichung")</f>
        <v>keine Abweichung</v>
      </c>
      <c r="I2732">
        <v>2</v>
      </c>
    </row>
    <row r="2733" spans="1:9" hidden="1" x14ac:dyDescent="0.3">
      <c r="A2733" s="13">
        <v>430</v>
      </c>
      <c r="B2733" s="4">
        <v>4</v>
      </c>
      <c r="C2733" t="s">
        <v>531</v>
      </c>
      <c r="D2733" t="s">
        <v>530</v>
      </c>
      <c r="E2733">
        <v>30</v>
      </c>
      <c r="F2733">
        <v>21</v>
      </c>
      <c r="G2733" s="8">
        <f>Lektionen[[#This Row],[Bearbeitungsdauer_real]]/Lektionen[[#This Row],[Bearbeitungsdauer_geschätzt]]-1</f>
        <v>-0.30000000000000004</v>
      </c>
      <c r="H2733" s="8" t="str" cm="1">
        <f t="array" ref="H2733">_xlfn.IFS(Lektionen[[#This Row],[Bearbeitungsdauer_abgewichen]]&gt;0.6,"viel länger",Lektionen[[#This Row],[Bearbeitungsdauer_abgewichen]]&gt;0.3,"länger",Lektionen[[#This Row],[Bearbeitungsdauer_abgewichen]]&lt;-0.3,"kürzer",TRUE,"keine Abweichung")</f>
        <v>keine Abweichung</v>
      </c>
      <c r="I2733">
        <v>4</v>
      </c>
    </row>
    <row r="2734" spans="1:9" x14ac:dyDescent="0.3">
      <c r="A2734" s="13">
        <v>430</v>
      </c>
      <c r="B2734" s="4">
        <v>5</v>
      </c>
      <c r="C2734" t="s">
        <v>532</v>
      </c>
      <c r="D2734" t="s">
        <v>530</v>
      </c>
      <c r="E2734">
        <v>30</v>
      </c>
      <c r="F2734">
        <v>43</v>
      </c>
      <c r="G2734" s="8">
        <f>Lektionen[[#This Row],[Bearbeitungsdauer_real]]/Lektionen[[#This Row],[Bearbeitungsdauer_geschätzt]]-1</f>
        <v>0.43333333333333335</v>
      </c>
      <c r="H2734" s="8" t="str" cm="1">
        <f t="array" ref="H2734">_xlfn.IFS(Lektionen[[#This Row],[Bearbeitungsdauer_abgewichen]]&gt;0.6,"viel länger",Lektionen[[#This Row],[Bearbeitungsdauer_abgewichen]]&gt;0.3,"länger",Lektionen[[#This Row],[Bearbeitungsdauer_abgewichen]]&lt;-0.3,"kürzer",TRUE,"keine Abweichung")</f>
        <v>länger</v>
      </c>
      <c r="I2734">
        <v>4</v>
      </c>
    </row>
    <row r="2735" spans="1:9" hidden="1" x14ac:dyDescent="0.3">
      <c r="A2735" s="13">
        <v>430</v>
      </c>
      <c r="B2735" s="4">
        <v>6</v>
      </c>
      <c r="C2735" t="s">
        <v>533</v>
      </c>
      <c r="D2735" t="s">
        <v>534</v>
      </c>
      <c r="E2735">
        <v>5</v>
      </c>
      <c r="F2735">
        <v>1</v>
      </c>
      <c r="G2735" s="8">
        <f>Lektionen[[#This Row],[Bearbeitungsdauer_real]]/Lektionen[[#This Row],[Bearbeitungsdauer_geschätzt]]-1</f>
        <v>-0.8</v>
      </c>
      <c r="H2735" s="8" t="str" cm="1">
        <f t="array" ref="H2735">_xlfn.IFS(Lektionen[[#This Row],[Bearbeitungsdauer_abgewichen]]&gt;0.6,"viel länger",Lektionen[[#This Row],[Bearbeitungsdauer_abgewichen]]&gt;0.3,"länger",Lektionen[[#This Row],[Bearbeitungsdauer_abgewichen]]&lt;-0.3,"kürzer",TRUE,"keine Abweichung")</f>
        <v>kürzer</v>
      </c>
      <c r="I2735">
        <v>1</v>
      </c>
    </row>
    <row r="2736" spans="1:9" hidden="1" x14ac:dyDescent="0.3">
      <c r="A2736" s="13">
        <v>430</v>
      </c>
      <c r="B2736" s="4">
        <v>7</v>
      </c>
      <c r="C2736" t="s">
        <v>535</v>
      </c>
      <c r="D2736" t="s">
        <v>536</v>
      </c>
      <c r="E2736">
        <v>10</v>
      </c>
      <c r="F2736">
        <v>9</v>
      </c>
      <c r="G2736" s="8">
        <f>Lektionen[[#This Row],[Bearbeitungsdauer_real]]/Lektionen[[#This Row],[Bearbeitungsdauer_geschätzt]]-1</f>
        <v>-9.9999999999999978E-2</v>
      </c>
      <c r="H2736" s="8" t="str" cm="1">
        <f t="array" ref="H2736">_xlfn.IFS(Lektionen[[#This Row],[Bearbeitungsdauer_abgewichen]]&gt;0.6,"viel länger",Lektionen[[#This Row],[Bearbeitungsdauer_abgewichen]]&gt;0.3,"länger",Lektionen[[#This Row],[Bearbeitungsdauer_abgewichen]]&lt;-0.3,"kürzer",TRUE,"keine Abweichung")</f>
        <v>keine Abweichung</v>
      </c>
      <c r="I2736">
        <v>4</v>
      </c>
    </row>
    <row r="2737" spans="1:9" hidden="1" x14ac:dyDescent="0.3">
      <c r="A2737" s="13">
        <v>430</v>
      </c>
      <c r="B2737" s="4">
        <v>8</v>
      </c>
      <c r="C2737" t="s">
        <v>537</v>
      </c>
      <c r="D2737" t="s">
        <v>527</v>
      </c>
      <c r="E2737">
        <v>5</v>
      </c>
      <c r="F2737">
        <v>8</v>
      </c>
      <c r="G2737" s="8">
        <f>Lektionen[[#This Row],[Bearbeitungsdauer_real]]/Lektionen[[#This Row],[Bearbeitungsdauer_geschätzt]]-1</f>
        <v>0.60000000000000009</v>
      </c>
      <c r="H2737" s="8" t="str" cm="1">
        <f t="array" ref="H2737">_xlfn.IFS(Lektionen[[#This Row],[Bearbeitungsdauer_abgewichen]]&gt;0.6,"viel länger",Lektionen[[#This Row],[Bearbeitungsdauer_abgewichen]]&gt;0.3,"länger",Lektionen[[#This Row],[Bearbeitungsdauer_abgewichen]]&lt;-0.3,"kürzer",TRUE,"keine Abweichung")</f>
        <v>länger</v>
      </c>
      <c r="I2737">
        <v>1</v>
      </c>
    </row>
    <row r="2738" spans="1:9" hidden="1" x14ac:dyDescent="0.3">
      <c r="A2738" s="13">
        <v>431</v>
      </c>
      <c r="B2738" s="4">
        <v>1</v>
      </c>
      <c r="C2738" t="s">
        <v>526</v>
      </c>
      <c r="D2738" t="s">
        <v>527</v>
      </c>
      <c r="E2738">
        <v>4</v>
      </c>
      <c r="F2738">
        <v>7</v>
      </c>
      <c r="G2738" s="8">
        <f>Lektionen[[#This Row],[Bearbeitungsdauer_real]]/Lektionen[[#This Row],[Bearbeitungsdauer_geschätzt]]-1</f>
        <v>0.75</v>
      </c>
      <c r="H2738" s="8" t="str" cm="1">
        <f t="array" ref="H2738">_xlfn.IFS(Lektionen[[#This Row],[Bearbeitungsdauer_abgewichen]]&gt;0.6,"viel länger",Lektionen[[#This Row],[Bearbeitungsdauer_abgewichen]]&gt;0.3,"länger",Lektionen[[#This Row],[Bearbeitungsdauer_abgewichen]]&lt;-0.3,"kürzer",TRUE,"keine Abweichung")</f>
        <v>viel länger</v>
      </c>
      <c r="I2738">
        <v>1</v>
      </c>
    </row>
    <row r="2739" spans="1:9" hidden="1" x14ac:dyDescent="0.3">
      <c r="A2739" s="13">
        <v>431</v>
      </c>
      <c r="B2739" s="4">
        <v>2</v>
      </c>
      <c r="C2739" t="s">
        <v>528</v>
      </c>
      <c r="D2739" t="s">
        <v>529</v>
      </c>
      <c r="E2739">
        <v>15</v>
      </c>
      <c r="F2739">
        <v>15</v>
      </c>
      <c r="G2739" s="8">
        <f>Lektionen[[#This Row],[Bearbeitungsdauer_real]]/Lektionen[[#This Row],[Bearbeitungsdauer_geschätzt]]-1</f>
        <v>0</v>
      </c>
      <c r="H2739" s="8" t="str" cm="1">
        <f t="array" ref="H2739">_xlfn.IFS(Lektionen[[#This Row],[Bearbeitungsdauer_abgewichen]]&gt;0.6,"viel länger",Lektionen[[#This Row],[Bearbeitungsdauer_abgewichen]]&gt;0.3,"länger",Lektionen[[#This Row],[Bearbeitungsdauer_abgewichen]]&lt;-0.3,"kürzer",TRUE,"keine Abweichung")</f>
        <v>keine Abweichung</v>
      </c>
      <c r="I2739">
        <v>2</v>
      </c>
    </row>
    <row r="2740" spans="1:9" hidden="1" x14ac:dyDescent="0.3">
      <c r="A2740" s="13">
        <v>431</v>
      </c>
      <c r="B2740" s="4">
        <v>3</v>
      </c>
      <c r="C2740" t="s">
        <v>552</v>
      </c>
      <c r="D2740" t="s">
        <v>530</v>
      </c>
      <c r="E2740">
        <v>30</v>
      </c>
      <c r="F2740">
        <v>30</v>
      </c>
      <c r="G2740" s="8">
        <f>Lektionen[[#This Row],[Bearbeitungsdauer_real]]/Lektionen[[#This Row],[Bearbeitungsdauer_geschätzt]]-1</f>
        <v>0</v>
      </c>
      <c r="H2740" s="8" t="str" cm="1">
        <f t="array" ref="H2740">_xlfn.IFS(Lektionen[[#This Row],[Bearbeitungsdauer_abgewichen]]&gt;0.6,"viel länger",Lektionen[[#This Row],[Bearbeitungsdauer_abgewichen]]&gt;0.3,"länger",Lektionen[[#This Row],[Bearbeitungsdauer_abgewichen]]&lt;-0.3,"kürzer",TRUE,"keine Abweichung")</f>
        <v>keine Abweichung</v>
      </c>
      <c r="I2740">
        <v>2</v>
      </c>
    </row>
    <row r="2741" spans="1:9" hidden="1" x14ac:dyDescent="0.3">
      <c r="A2741" s="13">
        <v>431</v>
      </c>
      <c r="B2741" s="4">
        <v>4</v>
      </c>
      <c r="C2741" t="s">
        <v>531</v>
      </c>
      <c r="D2741" t="s">
        <v>530</v>
      </c>
      <c r="E2741">
        <v>30</v>
      </c>
      <c r="F2741">
        <v>25</v>
      </c>
      <c r="G2741" s="8">
        <f>Lektionen[[#This Row],[Bearbeitungsdauer_real]]/Lektionen[[#This Row],[Bearbeitungsdauer_geschätzt]]-1</f>
        <v>-0.16666666666666663</v>
      </c>
      <c r="H2741" s="8" t="str" cm="1">
        <f t="array" ref="H2741">_xlfn.IFS(Lektionen[[#This Row],[Bearbeitungsdauer_abgewichen]]&gt;0.6,"viel länger",Lektionen[[#This Row],[Bearbeitungsdauer_abgewichen]]&gt;0.3,"länger",Lektionen[[#This Row],[Bearbeitungsdauer_abgewichen]]&lt;-0.3,"kürzer",TRUE,"keine Abweichung")</f>
        <v>keine Abweichung</v>
      </c>
      <c r="I2741">
        <v>3</v>
      </c>
    </row>
    <row r="2742" spans="1:9" x14ac:dyDescent="0.3">
      <c r="A2742" s="13">
        <v>431</v>
      </c>
      <c r="B2742" s="4">
        <v>5</v>
      </c>
      <c r="C2742" t="s">
        <v>532</v>
      </c>
      <c r="D2742" t="s">
        <v>530</v>
      </c>
      <c r="E2742">
        <v>30</v>
      </c>
      <c r="F2742">
        <v>48</v>
      </c>
      <c r="G2742" s="8">
        <f>Lektionen[[#This Row],[Bearbeitungsdauer_real]]/Lektionen[[#This Row],[Bearbeitungsdauer_geschätzt]]-1</f>
        <v>0.60000000000000009</v>
      </c>
      <c r="H2742" s="8" t="str" cm="1">
        <f t="array" ref="H2742">_xlfn.IFS(Lektionen[[#This Row],[Bearbeitungsdauer_abgewichen]]&gt;0.6,"viel länger",Lektionen[[#This Row],[Bearbeitungsdauer_abgewichen]]&gt;0.3,"länger",Lektionen[[#This Row],[Bearbeitungsdauer_abgewichen]]&lt;-0.3,"kürzer",TRUE,"keine Abweichung")</f>
        <v>länger</v>
      </c>
      <c r="I2742">
        <v>5</v>
      </c>
    </row>
    <row r="2743" spans="1:9" hidden="1" x14ac:dyDescent="0.3">
      <c r="A2743" s="13">
        <v>431</v>
      </c>
      <c r="B2743" s="4">
        <v>6</v>
      </c>
      <c r="C2743" t="s">
        <v>533</v>
      </c>
      <c r="D2743" t="s">
        <v>534</v>
      </c>
      <c r="E2743">
        <v>5</v>
      </c>
      <c r="F2743">
        <v>1</v>
      </c>
      <c r="G2743" s="8">
        <f>Lektionen[[#This Row],[Bearbeitungsdauer_real]]/Lektionen[[#This Row],[Bearbeitungsdauer_geschätzt]]-1</f>
        <v>-0.8</v>
      </c>
      <c r="H2743" s="8" t="str" cm="1">
        <f t="array" ref="H2743">_xlfn.IFS(Lektionen[[#This Row],[Bearbeitungsdauer_abgewichen]]&gt;0.6,"viel länger",Lektionen[[#This Row],[Bearbeitungsdauer_abgewichen]]&gt;0.3,"länger",Lektionen[[#This Row],[Bearbeitungsdauer_abgewichen]]&lt;-0.3,"kürzer",TRUE,"keine Abweichung")</f>
        <v>kürzer</v>
      </c>
      <c r="I2743">
        <v>1</v>
      </c>
    </row>
    <row r="2744" spans="1:9" hidden="1" x14ac:dyDescent="0.3">
      <c r="A2744" s="13">
        <v>431</v>
      </c>
      <c r="B2744" s="4">
        <v>7</v>
      </c>
      <c r="C2744" t="s">
        <v>535</v>
      </c>
      <c r="D2744" t="s">
        <v>536</v>
      </c>
      <c r="E2744">
        <v>10</v>
      </c>
      <c r="F2744">
        <v>11</v>
      </c>
      <c r="G2744" s="8">
        <f>Lektionen[[#This Row],[Bearbeitungsdauer_real]]/Lektionen[[#This Row],[Bearbeitungsdauer_geschätzt]]-1</f>
        <v>0.10000000000000009</v>
      </c>
      <c r="H2744" s="8" t="str" cm="1">
        <f t="array" ref="H2744">_xlfn.IFS(Lektionen[[#This Row],[Bearbeitungsdauer_abgewichen]]&gt;0.6,"viel länger",Lektionen[[#This Row],[Bearbeitungsdauer_abgewichen]]&gt;0.3,"länger",Lektionen[[#This Row],[Bearbeitungsdauer_abgewichen]]&lt;-0.3,"kürzer",TRUE,"keine Abweichung")</f>
        <v>keine Abweichung</v>
      </c>
      <c r="I2744">
        <v>3</v>
      </c>
    </row>
    <row r="2745" spans="1:9" hidden="1" x14ac:dyDescent="0.3">
      <c r="A2745" s="13">
        <v>431</v>
      </c>
      <c r="B2745" s="4">
        <v>8</v>
      </c>
      <c r="C2745" t="s">
        <v>537</v>
      </c>
      <c r="D2745" t="s">
        <v>527</v>
      </c>
      <c r="E2745">
        <v>5</v>
      </c>
      <c r="F2745">
        <v>5</v>
      </c>
      <c r="G2745" s="8">
        <f>Lektionen[[#This Row],[Bearbeitungsdauer_real]]/Lektionen[[#This Row],[Bearbeitungsdauer_geschätzt]]-1</f>
        <v>0</v>
      </c>
      <c r="H2745" s="8" t="str" cm="1">
        <f t="array" ref="H2745">_xlfn.IFS(Lektionen[[#This Row],[Bearbeitungsdauer_abgewichen]]&gt;0.6,"viel länger",Lektionen[[#This Row],[Bearbeitungsdauer_abgewichen]]&gt;0.3,"länger",Lektionen[[#This Row],[Bearbeitungsdauer_abgewichen]]&lt;-0.3,"kürzer",TRUE,"keine Abweichung")</f>
        <v>keine Abweichung</v>
      </c>
      <c r="I2745">
        <v>1</v>
      </c>
    </row>
    <row r="2746" spans="1:9" hidden="1" x14ac:dyDescent="0.3">
      <c r="A2746" s="13">
        <v>432</v>
      </c>
      <c r="B2746" s="4">
        <v>1</v>
      </c>
      <c r="C2746" t="s">
        <v>526</v>
      </c>
      <c r="D2746" t="s">
        <v>527</v>
      </c>
      <c r="E2746">
        <v>4</v>
      </c>
      <c r="F2746">
        <v>4</v>
      </c>
      <c r="G2746" s="8">
        <f>Lektionen[[#This Row],[Bearbeitungsdauer_real]]/Lektionen[[#This Row],[Bearbeitungsdauer_geschätzt]]-1</f>
        <v>0</v>
      </c>
      <c r="H2746" s="8" t="str" cm="1">
        <f t="array" ref="H2746">_xlfn.IFS(Lektionen[[#This Row],[Bearbeitungsdauer_abgewichen]]&gt;0.6,"viel länger",Lektionen[[#This Row],[Bearbeitungsdauer_abgewichen]]&gt;0.3,"länger",Lektionen[[#This Row],[Bearbeitungsdauer_abgewichen]]&lt;-0.3,"kürzer",TRUE,"keine Abweichung")</f>
        <v>keine Abweichung</v>
      </c>
      <c r="I2746">
        <v>2</v>
      </c>
    </row>
    <row r="2747" spans="1:9" hidden="1" x14ac:dyDescent="0.3">
      <c r="A2747" s="13">
        <v>432</v>
      </c>
      <c r="B2747" s="4">
        <v>2</v>
      </c>
      <c r="C2747" t="s">
        <v>528</v>
      </c>
      <c r="D2747" t="s">
        <v>529</v>
      </c>
      <c r="E2747">
        <v>15</v>
      </c>
      <c r="F2747">
        <v>19</v>
      </c>
      <c r="G2747" s="8">
        <f>Lektionen[[#This Row],[Bearbeitungsdauer_real]]/Lektionen[[#This Row],[Bearbeitungsdauer_geschätzt]]-1</f>
        <v>0.26666666666666661</v>
      </c>
      <c r="H2747" s="8" t="str" cm="1">
        <f t="array" ref="H2747">_xlfn.IFS(Lektionen[[#This Row],[Bearbeitungsdauer_abgewichen]]&gt;0.6,"viel länger",Lektionen[[#This Row],[Bearbeitungsdauer_abgewichen]]&gt;0.3,"länger",Lektionen[[#This Row],[Bearbeitungsdauer_abgewichen]]&lt;-0.3,"kürzer",TRUE,"keine Abweichung")</f>
        <v>keine Abweichung</v>
      </c>
      <c r="I2747">
        <v>2</v>
      </c>
    </row>
    <row r="2748" spans="1:9" hidden="1" x14ac:dyDescent="0.3">
      <c r="A2748" s="13">
        <v>432</v>
      </c>
      <c r="B2748" s="4">
        <v>3</v>
      </c>
      <c r="C2748" t="s">
        <v>552</v>
      </c>
      <c r="D2748" t="s">
        <v>530</v>
      </c>
      <c r="E2748">
        <v>30</v>
      </c>
      <c r="F2748">
        <v>29</v>
      </c>
      <c r="G2748" s="8">
        <f>Lektionen[[#This Row],[Bearbeitungsdauer_real]]/Lektionen[[#This Row],[Bearbeitungsdauer_geschätzt]]-1</f>
        <v>-3.3333333333333326E-2</v>
      </c>
      <c r="H2748" s="8" t="str" cm="1">
        <f t="array" ref="H2748">_xlfn.IFS(Lektionen[[#This Row],[Bearbeitungsdauer_abgewichen]]&gt;0.6,"viel länger",Lektionen[[#This Row],[Bearbeitungsdauer_abgewichen]]&gt;0.3,"länger",Lektionen[[#This Row],[Bearbeitungsdauer_abgewichen]]&lt;-0.3,"kürzer",TRUE,"keine Abweichung")</f>
        <v>keine Abweichung</v>
      </c>
      <c r="I2748">
        <v>2</v>
      </c>
    </row>
    <row r="2749" spans="1:9" hidden="1" x14ac:dyDescent="0.3">
      <c r="A2749" s="13">
        <v>432</v>
      </c>
      <c r="B2749" s="4">
        <v>4</v>
      </c>
      <c r="C2749" t="s">
        <v>531</v>
      </c>
      <c r="D2749" t="s">
        <v>530</v>
      </c>
      <c r="E2749">
        <v>30</v>
      </c>
      <c r="F2749">
        <v>27</v>
      </c>
      <c r="G2749" s="8">
        <f>Lektionen[[#This Row],[Bearbeitungsdauer_real]]/Lektionen[[#This Row],[Bearbeitungsdauer_geschätzt]]-1</f>
        <v>-9.9999999999999978E-2</v>
      </c>
      <c r="H2749" s="8" t="str" cm="1">
        <f t="array" ref="H2749">_xlfn.IFS(Lektionen[[#This Row],[Bearbeitungsdauer_abgewichen]]&gt;0.6,"viel länger",Lektionen[[#This Row],[Bearbeitungsdauer_abgewichen]]&gt;0.3,"länger",Lektionen[[#This Row],[Bearbeitungsdauer_abgewichen]]&lt;-0.3,"kürzer",TRUE,"keine Abweichung")</f>
        <v>keine Abweichung</v>
      </c>
      <c r="I2749">
        <v>3</v>
      </c>
    </row>
    <row r="2750" spans="1:9" x14ac:dyDescent="0.3">
      <c r="A2750" s="13">
        <v>432</v>
      </c>
      <c r="B2750" s="4">
        <v>5</v>
      </c>
      <c r="C2750" t="s">
        <v>532</v>
      </c>
      <c r="D2750" t="s">
        <v>530</v>
      </c>
      <c r="E2750">
        <v>30</v>
      </c>
      <c r="F2750">
        <v>42</v>
      </c>
      <c r="G2750" s="8">
        <f>Lektionen[[#This Row],[Bearbeitungsdauer_real]]/Lektionen[[#This Row],[Bearbeitungsdauer_geschätzt]]-1</f>
        <v>0.39999999999999991</v>
      </c>
      <c r="H2750" s="8" t="str" cm="1">
        <f t="array" ref="H2750">_xlfn.IFS(Lektionen[[#This Row],[Bearbeitungsdauer_abgewichen]]&gt;0.6,"viel länger",Lektionen[[#This Row],[Bearbeitungsdauer_abgewichen]]&gt;0.3,"länger",Lektionen[[#This Row],[Bearbeitungsdauer_abgewichen]]&lt;-0.3,"kürzer",TRUE,"keine Abweichung")</f>
        <v>länger</v>
      </c>
      <c r="I2750">
        <v>4</v>
      </c>
    </row>
    <row r="2751" spans="1:9" hidden="1" x14ac:dyDescent="0.3">
      <c r="A2751" s="13">
        <v>432</v>
      </c>
      <c r="B2751" s="4">
        <v>6</v>
      </c>
      <c r="C2751" t="s">
        <v>533</v>
      </c>
      <c r="D2751" t="s">
        <v>534</v>
      </c>
      <c r="E2751">
        <v>5</v>
      </c>
      <c r="F2751">
        <v>2</v>
      </c>
      <c r="G2751" s="8">
        <f>Lektionen[[#This Row],[Bearbeitungsdauer_real]]/Lektionen[[#This Row],[Bearbeitungsdauer_geschätzt]]-1</f>
        <v>-0.6</v>
      </c>
      <c r="H2751" s="8" t="str" cm="1">
        <f t="array" ref="H2751">_xlfn.IFS(Lektionen[[#This Row],[Bearbeitungsdauer_abgewichen]]&gt;0.6,"viel länger",Lektionen[[#This Row],[Bearbeitungsdauer_abgewichen]]&gt;0.3,"länger",Lektionen[[#This Row],[Bearbeitungsdauer_abgewichen]]&lt;-0.3,"kürzer",TRUE,"keine Abweichung")</f>
        <v>kürzer</v>
      </c>
      <c r="I2751">
        <v>2</v>
      </c>
    </row>
    <row r="2752" spans="1:9" hidden="1" x14ac:dyDescent="0.3">
      <c r="A2752" s="13">
        <v>432</v>
      </c>
      <c r="B2752" s="4">
        <v>7</v>
      </c>
      <c r="C2752" t="s">
        <v>535</v>
      </c>
      <c r="D2752" t="s">
        <v>536</v>
      </c>
      <c r="E2752">
        <v>10</v>
      </c>
      <c r="F2752">
        <v>10</v>
      </c>
      <c r="G2752" s="8">
        <f>Lektionen[[#This Row],[Bearbeitungsdauer_real]]/Lektionen[[#This Row],[Bearbeitungsdauer_geschätzt]]-1</f>
        <v>0</v>
      </c>
      <c r="H2752" s="8" t="str" cm="1">
        <f t="array" ref="H2752">_xlfn.IFS(Lektionen[[#This Row],[Bearbeitungsdauer_abgewichen]]&gt;0.6,"viel länger",Lektionen[[#This Row],[Bearbeitungsdauer_abgewichen]]&gt;0.3,"länger",Lektionen[[#This Row],[Bearbeitungsdauer_abgewichen]]&lt;-0.3,"kürzer",TRUE,"keine Abweichung")</f>
        <v>keine Abweichung</v>
      </c>
      <c r="I2752">
        <v>4</v>
      </c>
    </row>
    <row r="2753" spans="1:9" hidden="1" x14ac:dyDescent="0.3">
      <c r="A2753" s="13">
        <v>432</v>
      </c>
      <c r="B2753" s="4">
        <v>8</v>
      </c>
      <c r="C2753" t="s">
        <v>537</v>
      </c>
      <c r="D2753" t="s">
        <v>527</v>
      </c>
      <c r="E2753">
        <v>5</v>
      </c>
      <c r="F2753">
        <v>5</v>
      </c>
      <c r="G2753" s="8">
        <f>Lektionen[[#This Row],[Bearbeitungsdauer_real]]/Lektionen[[#This Row],[Bearbeitungsdauer_geschätzt]]-1</f>
        <v>0</v>
      </c>
      <c r="H2753" s="8" t="str" cm="1">
        <f t="array" ref="H2753">_xlfn.IFS(Lektionen[[#This Row],[Bearbeitungsdauer_abgewichen]]&gt;0.6,"viel länger",Lektionen[[#This Row],[Bearbeitungsdauer_abgewichen]]&gt;0.3,"länger",Lektionen[[#This Row],[Bearbeitungsdauer_abgewichen]]&lt;-0.3,"kürzer",TRUE,"keine Abweichung")</f>
        <v>keine Abweichung</v>
      </c>
      <c r="I2753">
        <v>1</v>
      </c>
    </row>
    <row r="2754" spans="1:9" hidden="1" x14ac:dyDescent="0.3">
      <c r="A2754" s="13">
        <v>433</v>
      </c>
      <c r="B2754" s="4">
        <v>1</v>
      </c>
      <c r="C2754" t="s">
        <v>526</v>
      </c>
      <c r="D2754" t="s">
        <v>527</v>
      </c>
      <c r="E2754">
        <v>4</v>
      </c>
      <c r="F2754">
        <v>4</v>
      </c>
      <c r="G2754" s="8">
        <f>Lektionen[[#This Row],[Bearbeitungsdauer_real]]/Lektionen[[#This Row],[Bearbeitungsdauer_geschätzt]]-1</f>
        <v>0</v>
      </c>
      <c r="H2754" s="8" t="str" cm="1">
        <f t="array" ref="H2754">_xlfn.IFS(Lektionen[[#This Row],[Bearbeitungsdauer_abgewichen]]&gt;0.6,"viel länger",Lektionen[[#This Row],[Bearbeitungsdauer_abgewichen]]&gt;0.3,"länger",Lektionen[[#This Row],[Bearbeitungsdauer_abgewichen]]&lt;-0.3,"kürzer",TRUE,"keine Abweichung")</f>
        <v>keine Abweichung</v>
      </c>
      <c r="I2754">
        <v>1</v>
      </c>
    </row>
    <row r="2755" spans="1:9" hidden="1" x14ac:dyDescent="0.3">
      <c r="A2755" s="13">
        <v>433</v>
      </c>
      <c r="B2755" s="4">
        <v>2</v>
      </c>
      <c r="C2755" t="s">
        <v>528</v>
      </c>
      <c r="D2755" t="s">
        <v>529</v>
      </c>
      <c r="E2755">
        <v>15</v>
      </c>
      <c r="F2755">
        <v>22</v>
      </c>
      <c r="G2755" s="8">
        <f>Lektionen[[#This Row],[Bearbeitungsdauer_real]]/Lektionen[[#This Row],[Bearbeitungsdauer_geschätzt]]-1</f>
        <v>0.46666666666666656</v>
      </c>
      <c r="H2755" s="8" t="str" cm="1">
        <f t="array" ref="H2755">_xlfn.IFS(Lektionen[[#This Row],[Bearbeitungsdauer_abgewichen]]&gt;0.6,"viel länger",Lektionen[[#This Row],[Bearbeitungsdauer_abgewichen]]&gt;0.3,"länger",Lektionen[[#This Row],[Bearbeitungsdauer_abgewichen]]&lt;-0.3,"kürzer",TRUE,"keine Abweichung")</f>
        <v>länger</v>
      </c>
      <c r="I2755">
        <v>1</v>
      </c>
    </row>
    <row r="2756" spans="1:9" hidden="1" x14ac:dyDescent="0.3">
      <c r="A2756" s="13">
        <v>433</v>
      </c>
      <c r="B2756" s="4">
        <v>3</v>
      </c>
      <c r="C2756" t="s">
        <v>552</v>
      </c>
      <c r="D2756" t="s">
        <v>530</v>
      </c>
      <c r="E2756">
        <v>30</v>
      </c>
      <c r="F2756">
        <v>28</v>
      </c>
      <c r="G2756" s="8">
        <f>Lektionen[[#This Row],[Bearbeitungsdauer_real]]/Lektionen[[#This Row],[Bearbeitungsdauer_geschätzt]]-1</f>
        <v>-6.6666666666666652E-2</v>
      </c>
      <c r="H2756" s="8" t="str" cm="1">
        <f t="array" ref="H2756">_xlfn.IFS(Lektionen[[#This Row],[Bearbeitungsdauer_abgewichen]]&gt;0.6,"viel länger",Lektionen[[#This Row],[Bearbeitungsdauer_abgewichen]]&gt;0.3,"länger",Lektionen[[#This Row],[Bearbeitungsdauer_abgewichen]]&lt;-0.3,"kürzer",TRUE,"keine Abweichung")</f>
        <v>keine Abweichung</v>
      </c>
      <c r="I2756">
        <v>3</v>
      </c>
    </row>
    <row r="2757" spans="1:9" hidden="1" x14ac:dyDescent="0.3">
      <c r="A2757" s="13">
        <v>433</v>
      </c>
      <c r="B2757" s="4">
        <v>4</v>
      </c>
      <c r="C2757" t="s">
        <v>531</v>
      </c>
      <c r="D2757" t="s">
        <v>530</v>
      </c>
      <c r="E2757">
        <v>30</v>
      </c>
      <c r="F2757">
        <v>30</v>
      </c>
      <c r="G2757" s="8">
        <f>Lektionen[[#This Row],[Bearbeitungsdauer_real]]/Lektionen[[#This Row],[Bearbeitungsdauer_geschätzt]]-1</f>
        <v>0</v>
      </c>
      <c r="H2757" s="8" t="str" cm="1">
        <f t="array" ref="H2757">_xlfn.IFS(Lektionen[[#This Row],[Bearbeitungsdauer_abgewichen]]&gt;0.6,"viel länger",Lektionen[[#This Row],[Bearbeitungsdauer_abgewichen]]&gt;0.3,"länger",Lektionen[[#This Row],[Bearbeitungsdauer_abgewichen]]&lt;-0.3,"kürzer",TRUE,"keine Abweichung")</f>
        <v>keine Abweichung</v>
      </c>
      <c r="I2757">
        <v>3</v>
      </c>
    </row>
    <row r="2758" spans="1:9" x14ac:dyDescent="0.3">
      <c r="A2758" s="13">
        <v>433</v>
      </c>
      <c r="B2758" s="4">
        <v>5</v>
      </c>
      <c r="C2758" t="s">
        <v>532</v>
      </c>
      <c r="D2758" t="s">
        <v>530</v>
      </c>
      <c r="E2758">
        <v>30</v>
      </c>
      <c r="F2758">
        <v>45</v>
      </c>
      <c r="G2758" s="8">
        <f>Lektionen[[#This Row],[Bearbeitungsdauer_real]]/Lektionen[[#This Row],[Bearbeitungsdauer_geschätzt]]-1</f>
        <v>0.5</v>
      </c>
      <c r="H2758" s="8" t="str" cm="1">
        <f t="array" ref="H2758">_xlfn.IFS(Lektionen[[#This Row],[Bearbeitungsdauer_abgewichen]]&gt;0.6,"viel länger",Lektionen[[#This Row],[Bearbeitungsdauer_abgewichen]]&gt;0.3,"länger",Lektionen[[#This Row],[Bearbeitungsdauer_abgewichen]]&lt;-0.3,"kürzer",TRUE,"keine Abweichung")</f>
        <v>länger</v>
      </c>
      <c r="I2758">
        <v>3</v>
      </c>
    </row>
    <row r="2759" spans="1:9" hidden="1" x14ac:dyDescent="0.3">
      <c r="A2759" s="13">
        <v>433</v>
      </c>
      <c r="B2759" s="4">
        <v>6</v>
      </c>
      <c r="C2759" t="s">
        <v>533</v>
      </c>
      <c r="D2759" t="s">
        <v>534</v>
      </c>
      <c r="E2759">
        <v>5</v>
      </c>
      <c r="F2759">
        <v>1</v>
      </c>
      <c r="G2759" s="8">
        <f>Lektionen[[#This Row],[Bearbeitungsdauer_real]]/Lektionen[[#This Row],[Bearbeitungsdauer_geschätzt]]-1</f>
        <v>-0.8</v>
      </c>
      <c r="H2759" s="8" t="str" cm="1">
        <f t="array" ref="H2759">_xlfn.IFS(Lektionen[[#This Row],[Bearbeitungsdauer_abgewichen]]&gt;0.6,"viel länger",Lektionen[[#This Row],[Bearbeitungsdauer_abgewichen]]&gt;0.3,"länger",Lektionen[[#This Row],[Bearbeitungsdauer_abgewichen]]&lt;-0.3,"kürzer",TRUE,"keine Abweichung")</f>
        <v>kürzer</v>
      </c>
      <c r="I2759">
        <v>2</v>
      </c>
    </row>
    <row r="2760" spans="1:9" hidden="1" x14ac:dyDescent="0.3">
      <c r="A2760" s="13">
        <v>433</v>
      </c>
      <c r="B2760" s="4">
        <v>7</v>
      </c>
      <c r="C2760" t="s">
        <v>535</v>
      </c>
      <c r="D2760" t="s">
        <v>536</v>
      </c>
      <c r="E2760">
        <v>10</v>
      </c>
      <c r="F2760">
        <v>8</v>
      </c>
      <c r="G2760" s="8">
        <f>Lektionen[[#This Row],[Bearbeitungsdauer_real]]/Lektionen[[#This Row],[Bearbeitungsdauer_geschätzt]]-1</f>
        <v>-0.19999999999999996</v>
      </c>
      <c r="H2760" s="8" t="str" cm="1">
        <f t="array" ref="H2760">_xlfn.IFS(Lektionen[[#This Row],[Bearbeitungsdauer_abgewichen]]&gt;0.6,"viel länger",Lektionen[[#This Row],[Bearbeitungsdauer_abgewichen]]&gt;0.3,"länger",Lektionen[[#This Row],[Bearbeitungsdauer_abgewichen]]&lt;-0.3,"kürzer",TRUE,"keine Abweichung")</f>
        <v>keine Abweichung</v>
      </c>
      <c r="I2760">
        <v>4</v>
      </c>
    </row>
    <row r="2761" spans="1:9" hidden="1" x14ac:dyDescent="0.3">
      <c r="A2761" s="13">
        <v>433</v>
      </c>
      <c r="B2761" s="4">
        <v>8</v>
      </c>
      <c r="C2761" t="s">
        <v>537</v>
      </c>
      <c r="D2761" t="s">
        <v>527</v>
      </c>
      <c r="E2761">
        <v>5</v>
      </c>
      <c r="F2761">
        <v>5</v>
      </c>
      <c r="G2761" s="8">
        <f>Lektionen[[#This Row],[Bearbeitungsdauer_real]]/Lektionen[[#This Row],[Bearbeitungsdauer_geschätzt]]-1</f>
        <v>0</v>
      </c>
      <c r="H2761" s="8" t="str" cm="1">
        <f t="array" ref="H2761">_xlfn.IFS(Lektionen[[#This Row],[Bearbeitungsdauer_abgewichen]]&gt;0.6,"viel länger",Lektionen[[#This Row],[Bearbeitungsdauer_abgewichen]]&gt;0.3,"länger",Lektionen[[#This Row],[Bearbeitungsdauer_abgewichen]]&lt;-0.3,"kürzer",TRUE,"keine Abweichung")</f>
        <v>keine Abweichung</v>
      </c>
      <c r="I2761">
        <v>1</v>
      </c>
    </row>
    <row r="2762" spans="1:9" hidden="1" x14ac:dyDescent="0.3">
      <c r="A2762" s="13">
        <v>434</v>
      </c>
      <c r="B2762" s="4">
        <v>1</v>
      </c>
      <c r="C2762" t="s">
        <v>526</v>
      </c>
      <c r="D2762" t="s">
        <v>527</v>
      </c>
      <c r="E2762">
        <v>4</v>
      </c>
      <c r="F2762">
        <v>4</v>
      </c>
      <c r="G2762" s="8">
        <f>Lektionen[[#This Row],[Bearbeitungsdauer_real]]/Lektionen[[#This Row],[Bearbeitungsdauer_geschätzt]]-1</f>
        <v>0</v>
      </c>
      <c r="H2762" s="8" t="str" cm="1">
        <f t="array" ref="H2762">_xlfn.IFS(Lektionen[[#This Row],[Bearbeitungsdauer_abgewichen]]&gt;0.6,"viel länger",Lektionen[[#This Row],[Bearbeitungsdauer_abgewichen]]&gt;0.3,"länger",Lektionen[[#This Row],[Bearbeitungsdauer_abgewichen]]&lt;-0.3,"kürzer",TRUE,"keine Abweichung")</f>
        <v>keine Abweichung</v>
      </c>
      <c r="I2762">
        <v>1</v>
      </c>
    </row>
    <row r="2763" spans="1:9" hidden="1" x14ac:dyDescent="0.3">
      <c r="A2763" s="13">
        <v>434</v>
      </c>
      <c r="B2763" s="4">
        <v>2</v>
      </c>
      <c r="C2763" t="s">
        <v>528</v>
      </c>
      <c r="D2763" t="s">
        <v>529</v>
      </c>
      <c r="E2763">
        <v>15</v>
      </c>
      <c r="F2763">
        <v>17</v>
      </c>
      <c r="G2763" s="8">
        <f>Lektionen[[#This Row],[Bearbeitungsdauer_real]]/Lektionen[[#This Row],[Bearbeitungsdauer_geschätzt]]-1</f>
        <v>0.1333333333333333</v>
      </c>
      <c r="H2763" s="8" t="str" cm="1">
        <f t="array" ref="H2763">_xlfn.IFS(Lektionen[[#This Row],[Bearbeitungsdauer_abgewichen]]&gt;0.6,"viel länger",Lektionen[[#This Row],[Bearbeitungsdauer_abgewichen]]&gt;0.3,"länger",Lektionen[[#This Row],[Bearbeitungsdauer_abgewichen]]&lt;-0.3,"kürzer",TRUE,"keine Abweichung")</f>
        <v>keine Abweichung</v>
      </c>
      <c r="I2763">
        <v>1</v>
      </c>
    </row>
    <row r="2764" spans="1:9" hidden="1" x14ac:dyDescent="0.3">
      <c r="A2764" s="13">
        <v>434</v>
      </c>
      <c r="B2764" s="4">
        <v>3</v>
      </c>
      <c r="C2764" t="s">
        <v>552</v>
      </c>
      <c r="D2764" t="s">
        <v>530</v>
      </c>
      <c r="E2764">
        <v>30</v>
      </c>
      <c r="F2764">
        <v>27</v>
      </c>
      <c r="G2764" s="8">
        <f>Lektionen[[#This Row],[Bearbeitungsdauer_real]]/Lektionen[[#This Row],[Bearbeitungsdauer_geschätzt]]-1</f>
        <v>-9.9999999999999978E-2</v>
      </c>
      <c r="H2764" s="8" t="str" cm="1">
        <f t="array" ref="H2764">_xlfn.IFS(Lektionen[[#This Row],[Bearbeitungsdauer_abgewichen]]&gt;0.6,"viel länger",Lektionen[[#This Row],[Bearbeitungsdauer_abgewichen]]&gt;0.3,"länger",Lektionen[[#This Row],[Bearbeitungsdauer_abgewichen]]&lt;-0.3,"kürzer",TRUE,"keine Abweichung")</f>
        <v>keine Abweichung</v>
      </c>
      <c r="I2764">
        <v>2</v>
      </c>
    </row>
    <row r="2765" spans="1:9" hidden="1" x14ac:dyDescent="0.3">
      <c r="A2765" s="13">
        <v>434</v>
      </c>
      <c r="B2765" s="4">
        <v>4</v>
      </c>
      <c r="C2765" t="s">
        <v>531</v>
      </c>
      <c r="D2765" t="s">
        <v>530</v>
      </c>
      <c r="E2765">
        <v>30</v>
      </c>
      <c r="F2765">
        <v>21</v>
      </c>
      <c r="G2765" s="8">
        <f>Lektionen[[#This Row],[Bearbeitungsdauer_real]]/Lektionen[[#This Row],[Bearbeitungsdauer_geschätzt]]-1</f>
        <v>-0.30000000000000004</v>
      </c>
      <c r="H2765" s="8" t="str" cm="1">
        <f t="array" ref="H2765">_xlfn.IFS(Lektionen[[#This Row],[Bearbeitungsdauer_abgewichen]]&gt;0.6,"viel länger",Lektionen[[#This Row],[Bearbeitungsdauer_abgewichen]]&gt;0.3,"länger",Lektionen[[#This Row],[Bearbeitungsdauer_abgewichen]]&lt;-0.3,"kürzer",TRUE,"keine Abweichung")</f>
        <v>keine Abweichung</v>
      </c>
      <c r="I2765">
        <v>3</v>
      </c>
    </row>
    <row r="2766" spans="1:9" x14ac:dyDescent="0.3">
      <c r="A2766" s="13">
        <v>434</v>
      </c>
      <c r="B2766" s="4">
        <v>5</v>
      </c>
      <c r="C2766" t="s">
        <v>532</v>
      </c>
      <c r="D2766" t="s">
        <v>530</v>
      </c>
      <c r="E2766">
        <v>30</v>
      </c>
      <c r="F2766">
        <v>41</v>
      </c>
      <c r="G2766" s="8">
        <f>Lektionen[[#This Row],[Bearbeitungsdauer_real]]/Lektionen[[#This Row],[Bearbeitungsdauer_geschätzt]]-1</f>
        <v>0.3666666666666667</v>
      </c>
      <c r="H2766" s="8" t="str" cm="1">
        <f t="array" ref="H2766">_xlfn.IFS(Lektionen[[#This Row],[Bearbeitungsdauer_abgewichen]]&gt;0.6,"viel länger",Lektionen[[#This Row],[Bearbeitungsdauer_abgewichen]]&gt;0.3,"länger",Lektionen[[#This Row],[Bearbeitungsdauer_abgewichen]]&lt;-0.3,"kürzer",TRUE,"keine Abweichung")</f>
        <v>länger</v>
      </c>
      <c r="I2766">
        <v>5</v>
      </c>
    </row>
    <row r="2767" spans="1:9" hidden="1" x14ac:dyDescent="0.3">
      <c r="A2767" s="13">
        <v>434</v>
      </c>
      <c r="B2767" s="4">
        <v>6</v>
      </c>
      <c r="C2767" t="s">
        <v>533</v>
      </c>
      <c r="D2767" t="s">
        <v>534</v>
      </c>
      <c r="E2767">
        <v>5</v>
      </c>
      <c r="F2767">
        <v>3</v>
      </c>
      <c r="G2767" s="8">
        <f>Lektionen[[#This Row],[Bearbeitungsdauer_real]]/Lektionen[[#This Row],[Bearbeitungsdauer_geschätzt]]-1</f>
        <v>-0.4</v>
      </c>
      <c r="H2767" s="8" t="str" cm="1">
        <f t="array" ref="H2767">_xlfn.IFS(Lektionen[[#This Row],[Bearbeitungsdauer_abgewichen]]&gt;0.6,"viel länger",Lektionen[[#This Row],[Bearbeitungsdauer_abgewichen]]&gt;0.3,"länger",Lektionen[[#This Row],[Bearbeitungsdauer_abgewichen]]&lt;-0.3,"kürzer",TRUE,"keine Abweichung")</f>
        <v>kürzer</v>
      </c>
      <c r="I2767">
        <v>3</v>
      </c>
    </row>
    <row r="2768" spans="1:9" hidden="1" x14ac:dyDescent="0.3">
      <c r="A2768" s="13">
        <v>434</v>
      </c>
      <c r="B2768" s="4">
        <v>7</v>
      </c>
      <c r="C2768" t="s">
        <v>535</v>
      </c>
      <c r="D2768" t="s">
        <v>536</v>
      </c>
      <c r="E2768">
        <v>10</v>
      </c>
      <c r="F2768">
        <v>11</v>
      </c>
      <c r="G2768" s="8">
        <f>Lektionen[[#This Row],[Bearbeitungsdauer_real]]/Lektionen[[#This Row],[Bearbeitungsdauer_geschätzt]]-1</f>
        <v>0.10000000000000009</v>
      </c>
      <c r="H2768" s="8" t="str" cm="1">
        <f t="array" ref="H2768">_xlfn.IFS(Lektionen[[#This Row],[Bearbeitungsdauer_abgewichen]]&gt;0.6,"viel länger",Lektionen[[#This Row],[Bearbeitungsdauer_abgewichen]]&gt;0.3,"länger",Lektionen[[#This Row],[Bearbeitungsdauer_abgewichen]]&lt;-0.3,"kürzer",TRUE,"keine Abweichung")</f>
        <v>keine Abweichung</v>
      </c>
      <c r="I2768">
        <v>3</v>
      </c>
    </row>
    <row r="2769" spans="1:9" hidden="1" x14ac:dyDescent="0.3">
      <c r="A2769" s="13">
        <v>434</v>
      </c>
      <c r="B2769" s="4">
        <v>8</v>
      </c>
      <c r="C2769" t="s">
        <v>537</v>
      </c>
      <c r="D2769" t="s">
        <v>527</v>
      </c>
      <c r="E2769">
        <v>5</v>
      </c>
      <c r="F2769">
        <v>5</v>
      </c>
      <c r="G2769" s="8">
        <f>Lektionen[[#This Row],[Bearbeitungsdauer_real]]/Lektionen[[#This Row],[Bearbeitungsdauer_geschätzt]]-1</f>
        <v>0</v>
      </c>
      <c r="H2769" s="8" t="str" cm="1">
        <f t="array" ref="H2769">_xlfn.IFS(Lektionen[[#This Row],[Bearbeitungsdauer_abgewichen]]&gt;0.6,"viel länger",Lektionen[[#This Row],[Bearbeitungsdauer_abgewichen]]&gt;0.3,"länger",Lektionen[[#This Row],[Bearbeitungsdauer_abgewichen]]&lt;-0.3,"kürzer",TRUE,"keine Abweichung")</f>
        <v>keine Abweichung</v>
      </c>
      <c r="I2769">
        <v>1</v>
      </c>
    </row>
    <row r="2770" spans="1:9" hidden="1" x14ac:dyDescent="0.3">
      <c r="A2770" s="13">
        <v>436</v>
      </c>
      <c r="B2770" s="4">
        <v>1</v>
      </c>
      <c r="C2770" t="s">
        <v>526</v>
      </c>
      <c r="D2770" t="s">
        <v>527</v>
      </c>
      <c r="E2770">
        <v>4</v>
      </c>
      <c r="F2770">
        <v>4</v>
      </c>
      <c r="G2770" s="8">
        <f>Lektionen[[#This Row],[Bearbeitungsdauer_real]]/Lektionen[[#This Row],[Bearbeitungsdauer_geschätzt]]-1</f>
        <v>0</v>
      </c>
      <c r="H2770" s="8" t="str" cm="1">
        <f t="array" ref="H2770">_xlfn.IFS(Lektionen[[#This Row],[Bearbeitungsdauer_abgewichen]]&gt;0.6,"viel länger",Lektionen[[#This Row],[Bearbeitungsdauer_abgewichen]]&gt;0.3,"länger",Lektionen[[#This Row],[Bearbeitungsdauer_abgewichen]]&lt;-0.3,"kürzer",TRUE,"keine Abweichung")</f>
        <v>keine Abweichung</v>
      </c>
      <c r="I2770">
        <v>1</v>
      </c>
    </row>
    <row r="2771" spans="1:9" hidden="1" x14ac:dyDescent="0.3">
      <c r="A2771" s="13">
        <v>436</v>
      </c>
      <c r="B2771" s="4">
        <v>2</v>
      </c>
      <c r="C2771" t="s">
        <v>528</v>
      </c>
      <c r="D2771" t="s">
        <v>529</v>
      </c>
      <c r="E2771">
        <v>15</v>
      </c>
      <c r="F2771">
        <v>20</v>
      </c>
      <c r="G2771" s="8">
        <f>Lektionen[[#This Row],[Bearbeitungsdauer_real]]/Lektionen[[#This Row],[Bearbeitungsdauer_geschätzt]]-1</f>
        <v>0.33333333333333326</v>
      </c>
      <c r="H2771" s="8" t="str" cm="1">
        <f t="array" ref="H2771">_xlfn.IFS(Lektionen[[#This Row],[Bearbeitungsdauer_abgewichen]]&gt;0.6,"viel länger",Lektionen[[#This Row],[Bearbeitungsdauer_abgewichen]]&gt;0.3,"länger",Lektionen[[#This Row],[Bearbeitungsdauer_abgewichen]]&lt;-0.3,"kürzer",TRUE,"keine Abweichung")</f>
        <v>länger</v>
      </c>
      <c r="I2771">
        <v>1</v>
      </c>
    </row>
    <row r="2772" spans="1:9" hidden="1" x14ac:dyDescent="0.3">
      <c r="A2772" s="13">
        <v>436</v>
      </c>
      <c r="B2772" s="4">
        <v>3</v>
      </c>
      <c r="C2772" t="s">
        <v>552</v>
      </c>
      <c r="D2772" t="s">
        <v>530</v>
      </c>
      <c r="E2772">
        <v>30</v>
      </c>
      <c r="F2772">
        <v>28</v>
      </c>
      <c r="G2772" s="8">
        <f>Lektionen[[#This Row],[Bearbeitungsdauer_real]]/Lektionen[[#This Row],[Bearbeitungsdauer_geschätzt]]-1</f>
        <v>-6.6666666666666652E-2</v>
      </c>
      <c r="H2772" s="8" t="str" cm="1">
        <f t="array" ref="H2772">_xlfn.IFS(Lektionen[[#This Row],[Bearbeitungsdauer_abgewichen]]&gt;0.6,"viel länger",Lektionen[[#This Row],[Bearbeitungsdauer_abgewichen]]&gt;0.3,"länger",Lektionen[[#This Row],[Bearbeitungsdauer_abgewichen]]&lt;-0.3,"kürzer",TRUE,"keine Abweichung")</f>
        <v>keine Abweichung</v>
      </c>
      <c r="I2772">
        <v>2</v>
      </c>
    </row>
    <row r="2773" spans="1:9" hidden="1" x14ac:dyDescent="0.3">
      <c r="A2773" s="13">
        <v>436</v>
      </c>
      <c r="B2773" s="4">
        <v>4</v>
      </c>
      <c r="C2773" t="s">
        <v>531</v>
      </c>
      <c r="D2773" t="s">
        <v>530</v>
      </c>
      <c r="E2773">
        <v>30</v>
      </c>
      <c r="F2773">
        <v>22</v>
      </c>
      <c r="G2773" s="8">
        <f>Lektionen[[#This Row],[Bearbeitungsdauer_real]]/Lektionen[[#This Row],[Bearbeitungsdauer_geschätzt]]-1</f>
        <v>-0.26666666666666672</v>
      </c>
      <c r="H2773" s="8" t="str" cm="1">
        <f t="array" ref="H2773">_xlfn.IFS(Lektionen[[#This Row],[Bearbeitungsdauer_abgewichen]]&gt;0.6,"viel länger",Lektionen[[#This Row],[Bearbeitungsdauer_abgewichen]]&gt;0.3,"länger",Lektionen[[#This Row],[Bearbeitungsdauer_abgewichen]]&lt;-0.3,"kürzer",TRUE,"keine Abweichung")</f>
        <v>keine Abweichung</v>
      </c>
      <c r="I2773">
        <v>3</v>
      </c>
    </row>
    <row r="2774" spans="1:9" x14ac:dyDescent="0.3">
      <c r="A2774" s="13">
        <v>436</v>
      </c>
      <c r="B2774" s="4">
        <v>5</v>
      </c>
      <c r="C2774" t="s">
        <v>532</v>
      </c>
      <c r="D2774" t="s">
        <v>530</v>
      </c>
      <c r="E2774">
        <v>30</v>
      </c>
      <c r="F2774">
        <v>41</v>
      </c>
      <c r="G2774" s="8">
        <f>Lektionen[[#This Row],[Bearbeitungsdauer_real]]/Lektionen[[#This Row],[Bearbeitungsdauer_geschätzt]]-1</f>
        <v>0.3666666666666667</v>
      </c>
      <c r="H2774" s="8" t="str" cm="1">
        <f t="array" ref="H2774">_xlfn.IFS(Lektionen[[#This Row],[Bearbeitungsdauer_abgewichen]]&gt;0.6,"viel länger",Lektionen[[#This Row],[Bearbeitungsdauer_abgewichen]]&gt;0.3,"länger",Lektionen[[#This Row],[Bearbeitungsdauer_abgewichen]]&lt;-0.3,"kürzer",TRUE,"keine Abweichung")</f>
        <v>länger</v>
      </c>
      <c r="I2774">
        <v>4</v>
      </c>
    </row>
    <row r="2775" spans="1:9" hidden="1" x14ac:dyDescent="0.3">
      <c r="A2775" s="13">
        <v>436</v>
      </c>
      <c r="B2775" s="4">
        <v>6</v>
      </c>
      <c r="C2775" t="s">
        <v>533</v>
      </c>
      <c r="D2775" t="s">
        <v>534</v>
      </c>
      <c r="E2775">
        <v>5</v>
      </c>
      <c r="F2775">
        <v>1</v>
      </c>
      <c r="G2775" s="8">
        <f>Lektionen[[#This Row],[Bearbeitungsdauer_real]]/Lektionen[[#This Row],[Bearbeitungsdauer_geschätzt]]-1</f>
        <v>-0.8</v>
      </c>
      <c r="H2775" s="8" t="str" cm="1">
        <f t="array" ref="H2775">_xlfn.IFS(Lektionen[[#This Row],[Bearbeitungsdauer_abgewichen]]&gt;0.6,"viel länger",Lektionen[[#This Row],[Bearbeitungsdauer_abgewichen]]&gt;0.3,"länger",Lektionen[[#This Row],[Bearbeitungsdauer_abgewichen]]&lt;-0.3,"kürzer",TRUE,"keine Abweichung")</f>
        <v>kürzer</v>
      </c>
      <c r="I2775">
        <v>2</v>
      </c>
    </row>
    <row r="2776" spans="1:9" hidden="1" x14ac:dyDescent="0.3">
      <c r="A2776" s="13">
        <v>436</v>
      </c>
      <c r="B2776" s="4">
        <v>7</v>
      </c>
      <c r="C2776" t="s">
        <v>535</v>
      </c>
      <c r="D2776" t="s">
        <v>536</v>
      </c>
      <c r="E2776">
        <v>10</v>
      </c>
      <c r="F2776">
        <v>11</v>
      </c>
      <c r="G2776" s="8">
        <f>Lektionen[[#This Row],[Bearbeitungsdauer_real]]/Lektionen[[#This Row],[Bearbeitungsdauer_geschätzt]]-1</f>
        <v>0.10000000000000009</v>
      </c>
      <c r="H2776" s="8" t="str" cm="1">
        <f t="array" ref="H2776">_xlfn.IFS(Lektionen[[#This Row],[Bearbeitungsdauer_abgewichen]]&gt;0.6,"viel länger",Lektionen[[#This Row],[Bearbeitungsdauer_abgewichen]]&gt;0.3,"länger",Lektionen[[#This Row],[Bearbeitungsdauer_abgewichen]]&lt;-0.3,"kürzer",TRUE,"keine Abweichung")</f>
        <v>keine Abweichung</v>
      </c>
      <c r="I2776">
        <v>3</v>
      </c>
    </row>
    <row r="2777" spans="1:9" hidden="1" x14ac:dyDescent="0.3">
      <c r="A2777" s="13">
        <v>436</v>
      </c>
      <c r="B2777" s="4">
        <v>8</v>
      </c>
      <c r="C2777" t="s">
        <v>537</v>
      </c>
      <c r="D2777" t="s">
        <v>527</v>
      </c>
      <c r="E2777">
        <v>5</v>
      </c>
      <c r="F2777">
        <v>5</v>
      </c>
      <c r="G2777" s="8">
        <f>Lektionen[[#This Row],[Bearbeitungsdauer_real]]/Lektionen[[#This Row],[Bearbeitungsdauer_geschätzt]]-1</f>
        <v>0</v>
      </c>
      <c r="H2777" s="8" t="str" cm="1">
        <f t="array" ref="H2777">_xlfn.IFS(Lektionen[[#This Row],[Bearbeitungsdauer_abgewichen]]&gt;0.6,"viel länger",Lektionen[[#This Row],[Bearbeitungsdauer_abgewichen]]&gt;0.3,"länger",Lektionen[[#This Row],[Bearbeitungsdauer_abgewichen]]&lt;-0.3,"kürzer",TRUE,"keine Abweichung")</f>
        <v>keine Abweichung</v>
      </c>
      <c r="I2777">
        <v>1</v>
      </c>
    </row>
    <row r="2778" spans="1:9" hidden="1" x14ac:dyDescent="0.3">
      <c r="A2778" s="13">
        <v>438</v>
      </c>
      <c r="B2778" s="4">
        <v>1</v>
      </c>
      <c r="C2778" t="s">
        <v>526</v>
      </c>
      <c r="D2778" t="s">
        <v>527</v>
      </c>
      <c r="E2778">
        <v>4</v>
      </c>
      <c r="F2778">
        <v>4</v>
      </c>
      <c r="G2778" s="8">
        <f>Lektionen[[#This Row],[Bearbeitungsdauer_real]]/Lektionen[[#This Row],[Bearbeitungsdauer_geschätzt]]-1</f>
        <v>0</v>
      </c>
      <c r="H2778" s="8" t="str" cm="1">
        <f t="array" ref="H2778">_xlfn.IFS(Lektionen[[#This Row],[Bearbeitungsdauer_abgewichen]]&gt;0.6,"viel länger",Lektionen[[#This Row],[Bearbeitungsdauer_abgewichen]]&gt;0.3,"länger",Lektionen[[#This Row],[Bearbeitungsdauer_abgewichen]]&lt;-0.3,"kürzer",TRUE,"keine Abweichung")</f>
        <v>keine Abweichung</v>
      </c>
      <c r="I2778">
        <v>1</v>
      </c>
    </row>
    <row r="2779" spans="1:9" hidden="1" x14ac:dyDescent="0.3">
      <c r="A2779" s="13">
        <v>438</v>
      </c>
      <c r="B2779" s="4">
        <v>2</v>
      </c>
      <c r="C2779" t="s">
        <v>528</v>
      </c>
      <c r="D2779" t="s">
        <v>529</v>
      </c>
      <c r="E2779">
        <v>15</v>
      </c>
      <c r="F2779">
        <v>17</v>
      </c>
      <c r="G2779" s="8">
        <f>Lektionen[[#This Row],[Bearbeitungsdauer_real]]/Lektionen[[#This Row],[Bearbeitungsdauer_geschätzt]]-1</f>
        <v>0.1333333333333333</v>
      </c>
      <c r="H2779" s="8" t="str" cm="1">
        <f t="array" ref="H2779">_xlfn.IFS(Lektionen[[#This Row],[Bearbeitungsdauer_abgewichen]]&gt;0.6,"viel länger",Lektionen[[#This Row],[Bearbeitungsdauer_abgewichen]]&gt;0.3,"länger",Lektionen[[#This Row],[Bearbeitungsdauer_abgewichen]]&lt;-0.3,"kürzer",TRUE,"keine Abweichung")</f>
        <v>keine Abweichung</v>
      </c>
      <c r="I2779">
        <v>2</v>
      </c>
    </row>
    <row r="2780" spans="1:9" hidden="1" x14ac:dyDescent="0.3">
      <c r="A2780" s="13">
        <v>438</v>
      </c>
      <c r="B2780" s="4">
        <v>3</v>
      </c>
      <c r="C2780" t="s">
        <v>552</v>
      </c>
      <c r="D2780" t="s">
        <v>530</v>
      </c>
      <c r="E2780">
        <v>30</v>
      </c>
      <c r="F2780">
        <v>29</v>
      </c>
      <c r="G2780" s="8">
        <f>Lektionen[[#This Row],[Bearbeitungsdauer_real]]/Lektionen[[#This Row],[Bearbeitungsdauer_geschätzt]]-1</f>
        <v>-3.3333333333333326E-2</v>
      </c>
      <c r="H2780" s="8" t="str" cm="1">
        <f t="array" ref="H2780">_xlfn.IFS(Lektionen[[#This Row],[Bearbeitungsdauer_abgewichen]]&gt;0.6,"viel länger",Lektionen[[#This Row],[Bearbeitungsdauer_abgewichen]]&gt;0.3,"länger",Lektionen[[#This Row],[Bearbeitungsdauer_abgewichen]]&lt;-0.3,"kürzer",TRUE,"keine Abweichung")</f>
        <v>keine Abweichung</v>
      </c>
      <c r="I2780">
        <v>3</v>
      </c>
    </row>
    <row r="2781" spans="1:9" hidden="1" x14ac:dyDescent="0.3">
      <c r="A2781" s="13">
        <v>438</v>
      </c>
      <c r="B2781" s="4">
        <v>4</v>
      </c>
      <c r="C2781" t="s">
        <v>531</v>
      </c>
      <c r="D2781" t="s">
        <v>530</v>
      </c>
      <c r="E2781">
        <v>30</v>
      </c>
      <c r="F2781">
        <v>22</v>
      </c>
      <c r="G2781" s="8">
        <f>Lektionen[[#This Row],[Bearbeitungsdauer_real]]/Lektionen[[#This Row],[Bearbeitungsdauer_geschätzt]]-1</f>
        <v>-0.26666666666666672</v>
      </c>
      <c r="H2781" s="8" t="str" cm="1">
        <f t="array" ref="H2781">_xlfn.IFS(Lektionen[[#This Row],[Bearbeitungsdauer_abgewichen]]&gt;0.6,"viel länger",Lektionen[[#This Row],[Bearbeitungsdauer_abgewichen]]&gt;0.3,"länger",Lektionen[[#This Row],[Bearbeitungsdauer_abgewichen]]&lt;-0.3,"kürzer",TRUE,"keine Abweichung")</f>
        <v>keine Abweichung</v>
      </c>
      <c r="I2781">
        <v>3</v>
      </c>
    </row>
    <row r="2782" spans="1:9" x14ac:dyDescent="0.3">
      <c r="A2782" s="13">
        <v>438</v>
      </c>
      <c r="B2782" s="4">
        <v>5</v>
      </c>
      <c r="C2782" t="s">
        <v>532</v>
      </c>
      <c r="D2782" t="s">
        <v>530</v>
      </c>
      <c r="E2782">
        <v>30</v>
      </c>
      <c r="F2782">
        <v>43</v>
      </c>
      <c r="G2782" s="8">
        <f>Lektionen[[#This Row],[Bearbeitungsdauer_real]]/Lektionen[[#This Row],[Bearbeitungsdauer_geschätzt]]-1</f>
        <v>0.43333333333333335</v>
      </c>
      <c r="H2782" s="8" t="str" cm="1">
        <f t="array" ref="H2782">_xlfn.IFS(Lektionen[[#This Row],[Bearbeitungsdauer_abgewichen]]&gt;0.6,"viel länger",Lektionen[[#This Row],[Bearbeitungsdauer_abgewichen]]&gt;0.3,"länger",Lektionen[[#This Row],[Bearbeitungsdauer_abgewichen]]&lt;-0.3,"kürzer",TRUE,"keine Abweichung")</f>
        <v>länger</v>
      </c>
      <c r="I2782">
        <v>5</v>
      </c>
    </row>
    <row r="2783" spans="1:9" hidden="1" x14ac:dyDescent="0.3">
      <c r="A2783" s="13">
        <v>438</v>
      </c>
      <c r="B2783" s="4">
        <v>6</v>
      </c>
      <c r="C2783" t="s">
        <v>533</v>
      </c>
      <c r="D2783" t="s">
        <v>534</v>
      </c>
      <c r="E2783">
        <v>5</v>
      </c>
      <c r="F2783">
        <v>2</v>
      </c>
      <c r="G2783" s="8">
        <f>Lektionen[[#This Row],[Bearbeitungsdauer_real]]/Lektionen[[#This Row],[Bearbeitungsdauer_geschätzt]]-1</f>
        <v>-0.6</v>
      </c>
      <c r="H2783" s="8" t="str" cm="1">
        <f t="array" ref="H2783">_xlfn.IFS(Lektionen[[#This Row],[Bearbeitungsdauer_abgewichen]]&gt;0.6,"viel länger",Lektionen[[#This Row],[Bearbeitungsdauer_abgewichen]]&gt;0.3,"länger",Lektionen[[#This Row],[Bearbeitungsdauer_abgewichen]]&lt;-0.3,"kürzer",TRUE,"keine Abweichung")</f>
        <v>kürzer</v>
      </c>
      <c r="I2783">
        <v>2</v>
      </c>
    </row>
    <row r="2784" spans="1:9" hidden="1" x14ac:dyDescent="0.3">
      <c r="A2784" s="13">
        <v>438</v>
      </c>
      <c r="B2784" s="4">
        <v>7</v>
      </c>
      <c r="C2784" t="s">
        <v>535</v>
      </c>
      <c r="D2784" t="s">
        <v>536</v>
      </c>
      <c r="E2784">
        <v>10</v>
      </c>
      <c r="F2784">
        <v>10</v>
      </c>
      <c r="G2784" s="8">
        <f>Lektionen[[#This Row],[Bearbeitungsdauer_real]]/Lektionen[[#This Row],[Bearbeitungsdauer_geschätzt]]-1</f>
        <v>0</v>
      </c>
      <c r="H2784" s="8" t="str" cm="1">
        <f t="array" ref="H2784">_xlfn.IFS(Lektionen[[#This Row],[Bearbeitungsdauer_abgewichen]]&gt;0.6,"viel länger",Lektionen[[#This Row],[Bearbeitungsdauer_abgewichen]]&gt;0.3,"länger",Lektionen[[#This Row],[Bearbeitungsdauer_abgewichen]]&lt;-0.3,"kürzer",TRUE,"keine Abweichung")</f>
        <v>keine Abweichung</v>
      </c>
      <c r="I2784">
        <v>4</v>
      </c>
    </row>
    <row r="2785" spans="1:9" hidden="1" x14ac:dyDescent="0.3">
      <c r="A2785" s="13">
        <v>438</v>
      </c>
      <c r="B2785" s="4">
        <v>8</v>
      </c>
      <c r="C2785" t="s">
        <v>537</v>
      </c>
      <c r="D2785" t="s">
        <v>527</v>
      </c>
      <c r="E2785">
        <v>5</v>
      </c>
      <c r="F2785">
        <v>5</v>
      </c>
      <c r="G2785" s="8">
        <f>Lektionen[[#This Row],[Bearbeitungsdauer_real]]/Lektionen[[#This Row],[Bearbeitungsdauer_geschätzt]]-1</f>
        <v>0</v>
      </c>
      <c r="H2785" s="8" t="str" cm="1">
        <f t="array" ref="H2785">_xlfn.IFS(Lektionen[[#This Row],[Bearbeitungsdauer_abgewichen]]&gt;0.6,"viel länger",Lektionen[[#This Row],[Bearbeitungsdauer_abgewichen]]&gt;0.3,"länger",Lektionen[[#This Row],[Bearbeitungsdauer_abgewichen]]&lt;-0.3,"kürzer",TRUE,"keine Abweichung")</f>
        <v>keine Abweichung</v>
      </c>
      <c r="I2785">
        <v>2</v>
      </c>
    </row>
    <row r="2786" spans="1:9" hidden="1" x14ac:dyDescent="0.3">
      <c r="A2786" s="13">
        <v>439</v>
      </c>
      <c r="B2786" s="4">
        <v>1</v>
      </c>
      <c r="C2786" t="s">
        <v>526</v>
      </c>
      <c r="D2786" t="s">
        <v>527</v>
      </c>
      <c r="E2786">
        <v>4</v>
      </c>
      <c r="F2786">
        <v>4</v>
      </c>
      <c r="G2786" s="8">
        <f>Lektionen[[#This Row],[Bearbeitungsdauer_real]]/Lektionen[[#This Row],[Bearbeitungsdauer_geschätzt]]-1</f>
        <v>0</v>
      </c>
      <c r="H2786" s="8" t="str" cm="1">
        <f t="array" ref="H2786">_xlfn.IFS(Lektionen[[#This Row],[Bearbeitungsdauer_abgewichen]]&gt;0.6,"viel länger",Lektionen[[#This Row],[Bearbeitungsdauer_abgewichen]]&gt;0.3,"länger",Lektionen[[#This Row],[Bearbeitungsdauer_abgewichen]]&lt;-0.3,"kürzer",TRUE,"keine Abweichung")</f>
        <v>keine Abweichung</v>
      </c>
      <c r="I2786">
        <v>1</v>
      </c>
    </row>
    <row r="2787" spans="1:9" hidden="1" x14ac:dyDescent="0.3">
      <c r="A2787" s="13">
        <v>439</v>
      </c>
      <c r="B2787" s="4">
        <v>2</v>
      </c>
      <c r="C2787" t="s">
        <v>528</v>
      </c>
      <c r="D2787" t="s">
        <v>529</v>
      </c>
      <c r="E2787">
        <v>15</v>
      </c>
      <c r="F2787">
        <v>18</v>
      </c>
      <c r="G2787" s="8">
        <f>Lektionen[[#This Row],[Bearbeitungsdauer_real]]/Lektionen[[#This Row],[Bearbeitungsdauer_geschätzt]]-1</f>
        <v>0.19999999999999996</v>
      </c>
      <c r="H2787" s="8" t="str" cm="1">
        <f t="array" ref="H2787">_xlfn.IFS(Lektionen[[#This Row],[Bearbeitungsdauer_abgewichen]]&gt;0.6,"viel länger",Lektionen[[#This Row],[Bearbeitungsdauer_abgewichen]]&gt;0.3,"länger",Lektionen[[#This Row],[Bearbeitungsdauer_abgewichen]]&lt;-0.3,"kürzer",TRUE,"keine Abweichung")</f>
        <v>keine Abweichung</v>
      </c>
      <c r="I2787">
        <v>2</v>
      </c>
    </row>
    <row r="2788" spans="1:9" hidden="1" x14ac:dyDescent="0.3">
      <c r="A2788" s="13">
        <v>439</v>
      </c>
      <c r="B2788" s="4">
        <v>3</v>
      </c>
      <c r="C2788" t="s">
        <v>552</v>
      </c>
      <c r="D2788" t="s">
        <v>530</v>
      </c>
      <c r="E2788">
        <v>30</v>
      </c>
      <c r="F2788">
        <v>29</v>
      </c>
      <c r="G2788" s="8">
        <f>Lektionen[[#This Row],[Bearbeitungsdauer_real]]/Lektionen[[#This Row],[Bearbeitungsdauer_geschätzt]]-1</f>
        <v>-3.3333333333333326E-2</v>
      </c>
      <c r="H2788" s="8" t="str" cm="1">
        <f t="array" ref="H2788">_xlfn.IFS(Lektionen[[#This Row],[Bearbeitungsdauer_abgewichen]]&gt;0.6,"viel länger",Lektionen[[#This Row],[Bearbeitungsdauer_abgewichen]]&gt;0.3,"länger",Lektionen[[#This Row],[Bearbeitungsdauer_abgewichen]]&lt;-0.3,"kürzer",TRUE,"keine Abweichung")</f>
        <v>keine Abweichung</v>
      </c>
      <c r="I2788">
        <v>2</v>
      </c>
    </row>
    <row r="2789" spans="1:9" hidden="1" x14ac:dyDescent="0.3">
      <c r="A2789" s="13">
        <v>439</v>
      </c>
      <c r="B2789" s="4">
        <v>4</v>
      </c>
      <c r="C2789" t="s">
        <v>531</v>
      </c>
      <c r="D2789" t="s">
        <v>530</v>
      </c>
      <c r="E2789">
        <v>30</v>
      </c>
      <c r="F2789">
        <v>27</v>
      </c>
      <c r="G2789" s="8">
        <f>Lektionen[[#This Row],[Bearbeitungsdauer_real]]/Lektionen[[#This Row],[Bearbeitungsdauer_geschätzt]]-1</f>
        <v>-9.9999999999999978E-2</v>
      </c>
      <c r="H2789" s="8" t="str" cm="1">
        <f t="array" ref="H2789">_xlfn.IFS(Lektionen[[#This Row],[Bearbeitungsdauer_abgewichen]]&gt;0.6,"viel länger",Lektionen[[#This Row],[Bearbeitungsdauer_abgewichen]]&gt;0.3,"länger",Lektionen[[#This Row],[Bearbeitungsdauer_abgewichen]]&lt;-0.3,"kürzer",TRUE,"keine Abweichung")</f>
        <v>keine Abweichung</v>
      </c>
      <c r="I2789">
        <v>3</v>
      </c>
    </row>
    <row r="2790" spans="1:9" x14ac:dyDescent="0.3">
      <c r="A2790" s="13">
        <v>439</v>
      </c>
      <c r="B2790" s="4">
        <v>5</v>
      </c>
      <c r="C2790" t="s">
        <v>532</v>
      </c>
      <c r="D2790" t="s">
        <v>530</v>
      </c>
      <c r="E2790">
        <v>30</v>
      </c>
      <c r="F2790">
        <v>42</v>
      </c>
      <c r="G2790" s="8">
        <f>Lektionen[[#This Row],[Bearbeitungsdauer_real]]/Lektionen[[#This Row],[Bearbeitungsdauer_geschätzt]]-1</f>
        <v>0.39999999999999991</v>
      </c>
      <c r="H2790" s="8" t="str" cm="1">
        <f t="array" ref="H2790">_xlfn.IFS(Lektionen[[#This Row],[Bearbeitungsdauer_abgewichen]]&gt;0.6,"viel länger",Lektionen[[#This Row],[Bearbeitungsdauer_abgewichen]]&gt;0.3,"länger",Lektionen[[#This Row],[Bearbeitungsdauer_abgewichen]]&lt;-0.3,"kürzer",TRUE,"keine Abweichung")</f>
        <v>länger</v>
      </c>
      <c r="I2790">
        <v>3</v>
      </c>
    </row>
    <row r="2791" spans="1:9" hidden="1" x14ac:dyDescent="0.3">
      <c r="A2791" s="13">
        <v>439</v>
      </c>
      <c r="B2791" s="4">
        <v>6</v>
      </c>
      <c r="C2791" t="s">
        <v>533</v>
      </c>
      <c r="D2791" t="s">
        <v>534</v>
      </c>
      <c r="E2791">
        <v>5</v>
      </c>
      <c r="F2791">
        <v>1</v>
      </c>
      <c r="G2791" s="8">
        <f>Lektionen[[#This Row],[Bearbeitungsdauer_real]]/Lektionen[[#This Row],[Bearbeitungsdauer_geschätzt]]-1</f>
        <v>-0.8</v>
      </c>
      <c r="H2791" s="8" t="str" cm="1">
        <f t="array" ref="H2791">_xlfn.IFS(Lektionen[[#This Row],[Bearbeitungsdauer_abgewichen]]&gt;0.6,"viel länger",Lektionen[[#This Row],[Bearbeitungsdauer_abgewichen]]&gt;0.3,"länger",Lektionen[[#This Row],[Bearbeitungsdauer_abgewichen]]&lt;-0.3,"kürzer",TRUE,"keine Abweichung")</f>
        <v>kürzer</v>
      </c>
      <c r="I2791">
        <v>2</v>
      </c>
    </row>
    <row r="2792" spans="1:9" hidden="1" x14ac:dyDescent="0.3">
      <c r="A2792" s="13">
        <v>439</v>
      </c>
      <c r="B2792" s="4">
        <v>7</v>
      </c>
      <c r="C2792" t="s">
        <v>535</v>
      </c>
      <c r="D2792" t="s">
        <v>536</v>
      </c>
      <c r="E2792">
        <v>10</v>
      </c>
      <c r="F2792">
        <v>8</v>
      </c>
      <c r="G2792" s="8">
        <f>Lektionen[[#This Row],[Bearbeitungsdauer_real]]/Lektionen[[#This Row],[Bearbeitungsdauer_geschätzt]]-1</f>
        <v>-0.19999999999999996</v>
      </c>
      <c r="H2792" s="8" t="str" cm="1">
        <f t="array" ref="H2792">_xlfn.IFS(Lektionen[[#This Row],[Bearbeitungsdauer_abgewichen]]&gt;0.6,"viel länger",Lektionen[[#This Row],[Bearbeitungsdauer_abgewichen]]&gt;0.3,"länger",Lektionen[[#This Row],[Bearbeitungsdauer_abgewichen]]&lt;-0.3,"kürzer",TRUE,"keine Abweichung")</f>
        <v>keine Abweichung</v>
      </c>
      <c r="I2792">
        <v>3</v>
      </c>
    </row>
    <row r="2793" spans="1:9" hidden="1" x14ac:dyDescent="0.3">
      <c r="A2793" s="13">
        <v>439</v>
      </c>
      <c r="B2793" s="4">
        <v>8</v>
      </c>
      <c r="C2793" t="s">
        <v>537</v>
      </c>
      <c r="D2793" t="s">
        <v>527</v>
      </c>
      <c r="E2793">
        <v>5</v>
      </c>
      <c r="F2793">
        <v>5</v>
      </c>
      <c r="G2793" s="8">
        <f>Lektionen[[#This Row],[Bearbeitungsdauer_real]]/Lektionen[[#This Row],[Bearbeitungsdauer_geschätzt]]-1</f>
        <v>0</v>
      </c>
      <c r="H2793" s="8" t="str" cm="1">
        <f t="array" ref="H2793">_xlfn.IFS(Lektionen[[#This Row],[Bearbeitungsdauer_abgewichen]]&gt;0.6,"viel länger",Lektionen[[#This Row],[Bearbeitungsdauer_abgewichen]]&gt;0.3,"länger",Lektionen[[#This Row],[Bearbeitungsdauer_abgewichen]]&lt;-0.3,"kürzer",TRUE,"keine Abweichung")</f>
        <v>keine Abweichung</v>
      </c>
      <c r="I2793">
        <v>1</v>
      </c>
    </row>
    <row r="2794" spans="1:9" hidden="1" x14ac:dyDescent="0.3">
      <c r="A2794" s="13">
        <v>440</v>
      </c>
      <c r="B2794" s="4">
        <v>1</v>
      </c>
      <c r="C2794" t="s">
        <v>526</v>
      </c>
      <c r="D2794" t="s">
        <v>527</v>
      </c>
      <c r="E2794">
        <v>4</v>
      </c>
      <c r="F2794">
        <v>4</v>
      </c>
      <c r="G2794" s="8">
        <f>Lektionen[[#This Row],[Bearbeitungsdauer_real]]/Lektionen[[#This Row],[Bearbeitungsdauer_geschätzt]]-1</f>
        <v>0</v>
      </c>
      <c r="H2794" s="8" t="str" cm="1">
        <f t="array" ref="H2794">_xlfn.IFS(Lektionen[[#This Row],[Bearbeitungsdauer_abgewichen]]&gt;0.6,"viel länger",Lektionen[[#This Row],[Bearbeitungsdauer_abgewichen]]&gt;0.3,"länger",Lektionen[[#This Row],[Bearbeitungsdauer_abgewichen]]&lt;-0.3,"kürzer",TRUE,"keine Abweichung")</f>
        <v>keine Abweichung</v>
      </c>
      <c r="I2794">
        <v>1</v>
      </c>
    </row>
    <row r="2795" spans="1:9" hidden="1" x14ac:dyDescent="0.3">
      <c r="A2795" s="13">
        <v>440</v>
      </c>
      <c r="B2795" s="4">
        <v>2</v>
      </c>
      <c r="C2795" t="s">
        <v>528</v>
      </c>
      <c r="D2795" t="s">
        <v>529</v>
      </c>
      <c r="E2795">
        <v>15</v>
      </c>
      <c r="F2795">
        <v>18</v>
      </c>
      <c r="G2795" s="8">
        <f>Lektionen[[#This Row],[Bearbeitungsdauer_real]]/Lektionen[[#This Row],[Bearbeitungsdauer_geschätzt]]-1</f>
        <v>0.19999999999999996</v>
      </c>
      <c r="H2795" s="8" t="str" cm="1">
        <f t="array" ref="H2795">_xlfn.IFS(Lektionen[[#This Row],[Bearbeitungsdauer_abgewichen]]&gt;0.6,"viel länger",Lektionen[[#This Row],[Bearbeitungsdauer_abgewichen]]&gt;0.3,"länger",Lektionen[[#This Row],[Bearbeitungsdauer_abgewichen]]&lt;-0.3,"kürzer",TRUE,"keine Abweichung")</f>
        <v>keine Abweichung</v>
      </c>
      <c r="I2795">
        <v>2</v>
      </c>
    </row>
    <row r="2796" spans="1:9" hidden="1" x14ac:dyDescent="0.3">
      <c r="A2796" s="13">
        <v>440</v>
      </c>
      <c r="B2796" s="4">
        <v>3</v>
      </c>
      <c r="C2796" t="s">
        <v>552</v>
      </c>
      <c r="D2796" t="s">
        <v>530</v>
      </c>
      <c r="E2796">
        <v>30</v>
      </c>
      <c r="F2796">
        <v>29</v>
      </c>
      <c r="G2796" s="8">
        <f>Lektionen[[#This Row],[Bearbeitungsdauer_real]]/Lektionen[[#This Row],[Bearbeitungsdauer_geschätzt]]-1</f>
        <v>-3.3333333333333326E-2</v>
      </c>
      <c r="H2796" s="8" t="str" cm="1">
        <f t="array" ref="H2796">_xlfn.IFS(Lektionen[[#This Row],[Bearbeitungsdauer_abgewichen]]&gt;0.6,"viel länger",Lektionen[[#This Row],[Bearbeitungsdauer_abgewichen]]&gt;0.3,"länger",Lektionen[[#This Row],[Bearbeitungsdauer_abgewichen]]&lt;-0.3,"kürzer",TRUE,"keine Abweichung")</f>
        <v>keine Abweichung</v>
      </c>
      <c r="I2796">
        <v>2</v>
      </c>
    </row>
    <row r="2797" spans="1:9" hidden="1" x14ac:dyDescent="0.3">
      <c r="A2797" s="13">
        <v>440</v>
      </c>
      <c r="B2797" s="4">
        <v>4</v>
      </c>
      <c r="C2797" t="s">
        <v>531</v>
      </c>
      <c r="D2797" t="s">
        <v>530</v>
      </c>
      <c r="E2797">
        <v>30</v>
      </c>
      <c r="F2797">
        <v>20</v>
      </c>
      <c r="G2797" s="8">
        <f>Lektionen[[#This Row],[Bearbeitungsdauer_real]]/Lektionen[[#This Row],[Bearbeitungsdauer_geschätzt]]-1</f>
        <v>-0.33333333333333337</v>
      </c>
      <c r="H2797" s="8" t="str" cm="1">
        <f t="array" ref="H2797">_xlfn.IFS(Lektionen[[#This Row],[Bearbeitungsdauer_abgewichen]]&gt;0.6,"viel länger",Lektionen[[#This Row],[Bearbeitungsdauer_abgewichen]]&gt;0.3,"länger",Lektionen[[#This Row],[Bearbeitungsdauer_abgewichen]]&lt;-0.3,"kürzer",TRUE,"keine Abweichung")</f>
        <v>kürzer</v>
      </c>
      <c r="I2797">
        <v>2</v>
      </c>
    </row>
    <row r="2798" spans="1:9" x14ac:dyDescent="0.3">
      <c r="A2798" s="13">
        <v>440</v>
      </c>
      <c r="B2798" s="4">
        <v>5</v>
      </c>
      <c r="C2798" t="s">
        <v>532</v>
      </c>
      <c r="D2798" t="s">
        <v>530</v>
      </c>
      <c r="E2798">
        <v>30</v>
      </c>
      <c r="F2798">
        <v>48</v>
      </c>
      <c r="G2798" s="8">
        <f>Lektionen[[#This Row],[Bearbeitungsdauer_real]]/Lektionen[[#This Row],[Bearbeitungsdauer_geschätzt]]-1</f>
        <v>0.60000000000000009</v>
      </c>
      <c r="H2798" s="8" t="str" cm="1">
        <f t="array" ref="H2798">_xlfn.IFS(Lektionen[[#This Row],[Bearbeitungsdauer_abgewichen]]&gt;0.6,"viel länger",Lektionen[[#This Row],[Bearbeitungsdauer_abgewichen]]&gt;0.3,"länger",Lektionen[[#This Row],[Bearbeitungsdauer_abgewichen]]&lt;-0.3,"kürzer",TRUE,"keine Abweichung")</f>
        <v>länger</v>
      </c>
      <c r="I2798">
        <v>4</v>
      </c>
    </row>
    <row r="2799" spans="1:9" hidden="1" x14ac:dyDescent="0.3">
      <c r="A2799" s="13">
        <v>440</v>
      </c>
      <c r="B2799" s="4">
        <v>6</v>
      </c>
      <c r="C2799" t="s">
        <v>533</v>
      </c>
      <c r="D2799" t="s">
        <v>534</v>
      </c>
      <c r="E2799">
        <v>5</v>
      </c>
      <c r="F2799">
        <v>2</v>
      </c>
      <c r="G2799" s="8">
        <f>Lektionen[[#This Row],[Bearbeitungsdauer_real]]/Lektionen[[#This Row],[Bearbeitungsdauer_geschätzt]]-1</f>
        <v>-0.6</v>
      </c>
      <c r="H2799" s="8" t="str" cm="1">
        <f t="array" ref="H2799">_xlfn.IFS(Lektionen[[#This Row],[Bearbeitungsdauer_abgewichen]]&gt;0.6,"viel länger",Lektionen[[#This Row],[Bearbeitungsdauer_abgewichen]]&gt;0.3,"länger",Lektionen[[#This Row],[Bearbeitungsdauer_abgewichen]]&lt;-0.3,"kürzer",TRUE,"keine Abweichung")</f>
        <v>kürzer</v>
      </c>
      <c r="I2799">
        <v>2</v>
      </c>
    </row>
    <row r="2800" spans="1:9" hidden="1" x14ac:dyDescent="0.3">
      <c r="A2800" s="13">
        <v>440</v>
      </c>
      <c r="B2800" s="4">
        <v>7</v>
      </c>
      <c r="C2800" t="s">
        <v>535</v>
      </c>
      <c r="D2800" t="s">
        <v>536</v>
      </c>
      <c r="E2800">
        <v>10</v>
      </c>
      <c r="F2800">
        <v>8</v>
      </c>
      <c r="G2800" s="8">
        <f>Lektionen[[#This Row],[Bearbeitungsdauer_real]]/Lektionen[[#This Row],[Bearbeitungsdauer_geschätzt]]-1</f>
        <v>-0.19999999999999996</v>
      </c>
      <c r="H2800" s="8" t="str" cm="1">
        <f t="array" ref="H2800">_xlfn.IFS(Lektionen[[#This Row],[Bearbeitungsdauer_abgewichen]]&gt;0.6,"viel länger",Lektionen[[#This Row],[Bearbeitungsdauer_abgewichen]]&gt;0.3,"länger",Lektionen[[#This Row],[Bearbeitungsdauer_abgewichen]]&lt;-0.3,"kürzer",TRUE,"keine Abweichung")</f>
        <v>keine Abweichung</v>
      </c>
      <c r="I2800">
        <v>3</v>
      </c>
    </row>
    <row r="2801" spans="1:9" hidden="1" x14ac:dyDescent="0.3">
      <c r="A2801" s="13">
        <v>440</v>
      </c>
      <c r="B2801" s="4">
        <v>8</v>
      </c>
      <c r="C2801" t="s">
        <v>537</v>
      </c>
      <c r="D2801" t="s">
        <v>527</v>
      </c>
      <c r="E2801">
        <v>5</v>
      </c>
      <c r="F2801">
        <v>9</v>
      </c>
      <c r="G2801" s="8">
        <f>Lektionen[[#This Row],[Bearbeitungsdauer_real]]/Lektionen[[#This Row],[Bearbeitungsdauer_geschätzt]]-1</f>
        <v>0.8</v>
      </c>
      <c r="H2801" s="8" t="str" cm="1">
        <f t="array" ref="H2801">_xlfn.IFS(Lektionen[[#This Row],[Bearbeitungsdauer_abgewichen]]&gt;0.6,"viel länger",Lektionen[[#This Row],[Bearbeitungsdauer_abgewichen]]&gt;0.3,"länger",Lektionen[[#This Row],[Bearbeitungsdauer_abgewichen]]&lt;-0.3,"kürzer",TRUE,"keine Abweichung")</f>
        <v>viel länger</v>
      </c>
      <c r="I2801">
        <v>1</v>
      </c>
    </row>
    <row r="2802" spans="1:9" hidden="1" x14ac:dyDescent="0.3">
      <c r="A2802" s="13">
        <v>441</v>
      </c>
      <c r="B2802" s="4">
        <v>1</v>
      </c>
      <c r="C2802" t="s">
        <v>526</v>
      </c>
      <c r="D2802" t="s">
        <v>527</v>
      </c>
      <c r="E2802">
        <v>4</v>
      </c>
      <c r="F2802">
        <v>4</v>
      </c>
      <c r="G2802" s="8">
        <f>Lektionen[[#This Row],[Bearbeitungsdauer_real]]/Lektionen[[#This Row],[Bearbeitungsdauer_geschätzt]]-1</f>
        <v>0</v>
      </c>
      <c r="H2802" s="8" t="str" cm="1">
        <f t="array" ref="H2802">_xlfn.IFS(Lektionen[[#This Row],[Bearbeitungsdauer_abgewichen]]&gt;0.6,"viel länger",Lektionen[[#This Row],[Bearbeitungsdauer_abgewichen]]&gt;0.3,"länger",Lektionen[[#This Row],[Bearbeitungsdauer_abgewichen]]&lt;-0.3,"kürzer",TRUE,"keine Abweichung")</f>
        <v>keine Abweichung</v>
      </c>
      <c r="I2802">
        <v>1</v>
      </c>
    </row>
    <row r="2803" spans="1:9" hidden="1" x14ac:dyDescent="0.3">
      <c r="A2803" s="13">
        <v>441</v>
      </c>
      <c r="B2803" s="4">
        <v>2</v>
      </c>
      <c r="C2803" t="s">
        <v>528</v>
      </c>
      <c r="D2803" t="s">
        <v>529</v>
      </c>
      <c r="E2803">
        <v>15</v>
      </c>
      <c r="F2803">
        <v>19</v>
      </c>
      <c r="G2803" s="8">
        <f>Lektionen[[#This Row],[Bearbeitungsdauer_real]]/Lektionen[[#This Row],[Bearbeitungsdauer_geschätzt]]-1</f>
        <v>0.26666666666666661</v>
      </c>
      <c r="H2803" s="8" t="str" cm="1">
        <f t="array" ref="H2803">_xlfn.IFS(Lektionen[[#This Row],[Bearbeitungsdauer_abgewichen]]&gt;0.6,"viel länger",Lektionen[[#This Row],[Bearbeitungsdauer_abgewichen]]&gt;0.3,"länger",Lektionen[[#This Row],[Bearbeitungsdauer_abgewichen]]&lt;-0.3,"kürzer",TRUE,"keine Abweichung")</f>
        <v>keine Abweichung</v>
      </c>
      <c r="I2803">
        <v>1</v>
      </c>
    </row>
    <row r="2804" spans="1:9" hidden="1" x14ac:dyDescent="0.3">
      <c r="A2804" s="13">
        <v>441</v>
      </c>
      <c r="B2804" s="4">
        <v>3</v>
      </c>
      <c r="C2804" t="s">
        <v>552</v>
      </c>
      <c r="D2804" t="s">
        <v>530</v>
      </c>
      <c r="E2804">
        <v>30</v>
      </c>
      <c r="F2804">
        <v>29</v>
      </c>
      <c r="G2804" s="8">
        <f>Lektionen[[#This Row],[Bearbeitungsdauer_real]]/Lektionen[[#This Row],[Bearbeitungsdauer_geschätzt]]-1</f>
        <v>-3.3333333333333326E-2</v>
      </c>
      <c r="H2804" s="8" t="str" cm="1">
        <f t="array" ref="H2804">_xlfn.IFS(Lektionen[[#This Row],[Bearbeitungsdauer_abgewichen]]&gt;0.6,"viel länger",Lektionen[[#This Row],[Bearbeitungsdauer_abgewichen]]&gt;0.3,"länger",Lektionen[[#This Row],[Bearbeitungsdauer_abgewichen]]&lt;-0.3,"kürzer",TRUE,"keine Abweichung")</f>
        <v>keine Abweichung</v>
      </c>
      <c r="I2804">
        <v>2</v>
      </c>
    </row>
    <row r="2805" spans="1:9" hidden="1" x14ac:dyDescent="0.3">
      <c r="A2805" s="13">
        <v>441</v>
      </c>
      <c r="B2805" s="4">
        <v>4</v>
      </c>
      <c r="C2805" t="s">
        <v>531</v>
      </c>
      <c r="D2805" t="s">
        <v>530</v>
      </c>
      <c r="E2805">
        <v>30</v>
      </c>
      <c r="F2805">
        <v>21</v>
      </c>
      <c r="G2805" s="8">
        <f>Lektionen[[#This Row],[Bearbeitungsdauer_real]]/Lektionen[[#This Row],[Bearbeitungsdauer_geschätzt]]-1</f>
        <v>-0.30000000000000004</v>
      </c>
      <c r="H2805" s="8" t="str" cm="1">
        <f t="array" ref="H2805">_xlfn.IFS(Lektionen[[#This Row],[Bearbeitungsdauer_abgewichen]]&gt;0.6,"viel länger",Lektionen[[#This Row],[Bearbeitungsdauer_abgewichen]]&gt;0.3,"länger",Lektionen[[#This Row],[Bearbeitungsdauer_abgewichen]]&lt;-0.3,"kürzer",TRUE,"keine Abweichung")</f>
        <v>keine Abweichung</v>
      </c>
      <c r="I2805">
        <v>4</v>
      </c>
    </row>
    <row r="2806" spans="1:9" x14ac:dyDescent="0.3">
      <c r="A2806" s="13">
        <v>441</v>
      </c>
      <c r="B2806" s="4">
        <v>5</v>
      </c>
      <c r="C2806" t="s">
        <v>532</v>
      </c>
      <c r="D2806" t="s">
        <v>530</v>
      </c>
      <c r="E2806">
        <v>30</v>
      </c>
      <c r="F2806">
        <v>47</v>
      </c>
      <c r="G2806" s="8">
        <f>Lektionen[[#This Row],[Bearbeitungsdauer_real]]/Lektionen[[#This Row],[Bearbeitungsdauer_geschätzt]]-1</f>
        <v>0.56666666666666665</v>
      </c>
      <c r="H2806" s="8" t="str" cm="1">
        <f t="array" ref="H2806">_xlfn.IFS(Lektionen[[#This Row],[Bearbeitungsdauer_abgewichen]]&gt;0.6,"viel länger",Lektionen[[#This Row],[Bearbeitungsdauer_abgewichen]]&gt;0.3,"länger",Lektionen[[#This Row],[Bearbeitungsdauer_abgewichen]]&lt;-0.3,"kürzer",TRUE,"keine Abweichung")</f>
        <v>länger</v>
      </c>
      <c r="I2806">
        <v>4</v>
      </c>
    </row>
    <row r="2807" spans="1:9" hidden="1" x14ac:dyDescent="0.3">
      <c r="A2807" s="13">
        <v>441</v>
      </c>
      <c r="B2807" s="4">
        <v>6</v>
      </c>
      <c r="C2807" t="s">
        <v>533</v>
      </c>
      <c r="D2807" t="s">
        <v>534</v>
      </c>
      <c r="E2807">
        <v>5</v>
      </c>
      <c r="F2807">
        <v>1</v>
      </c>
      <c r="G2807" s="8">
        <f>Lektionen[[#This Row],[Bearbeitungsdauer_real]]/Lektionen[[#This Row],[Bearbeitungsdauer_geschätzt]]-1</f>
        <v>-0.8</v>
      </c>
      <c r="H2807" s="8" t="str" cm="1">
        <f t="array" ref="H2807">_xlfn.IFS(Lektionen[[#This Row],[Bearbeitungsdauer_abgewichen]]&gt;0.6,"viel länger",Lektionen[[#This Row],[Bearbeitungsdauer_abgewichen]]&gt;0.3,"länger",Lektionen[[#This Row],[Bearbeitungsdauer_abgewichen]]&lt;-0.3,"kürzer",TRUE,"keine Abweichung")</f>
        <v>kürzer</v>
      </c>
      <c r="I2807">
        <v>3</v>
      </c>
    </row>
    <row r="2808" spans="1:9" hidden="1" x14ac:dyDescent="0.3">
      <c r="A2808" s="13">
        <v>441</v>
      </c>
      <c r="B2808" s="4">
        <v>7</v>
      </c>
      <c r="C2808" t="s">
        <v>535</v>
      </c>
      <c r="D2808" t="s">
        <v>536</v>
      </c>
      <c r="E2808">
        <v>10</v>
      </c>
      <c r="F2808">
        <v>11</v>
      </c>
      <c r="G2808" s="8">
        <f>Lektionen[[#This Row],[Bearbeitungsdauer_real]]/Lektionen[[#This Row],[Bearbeitungsdauer_geschätzt]]-1</f>
        <v>0.10000000000000009</v>
      </c>
      <c r="H2808" s="8" t="str" cm="1">
        <f t="array" ref="H2808">_xlfn.IFS(Lektionen[[#This Row],[Bearbeitungsdauer_abgewichen]]&gt;0.6,"viel länger",Lektionen[[#This Row],[Bearbeitungsdauer_abgewichen]]&gt;0.3,"länger",Lektionen[[#This Row],[Bearbeitungsdauer_abgewichen]]&lt;-0.3,"kürzer",TRUE,"keine Abweichung")</f>
        <v>keine Abweichung</v>
      </c>
      <c r="I2808">
        <v>4</v>
      </c>
    </row>
    <row r="2809" spans="1:9" hidden="1" x14ac:dyDescent="0.3">
      <c r="A2809" s="13">
        <v>441</v>
      </c>
      <c r="B2809" s="4">
        <v>8</v>
      </c>
      <c r="C2809" t="s">
        <v>537</v>
      </c>
      <c r="D2809" t="s">
        <v>527</v>
      </c>
      <c r="E2809">
        <v>5</v>
      </c>
      <c r="F2809">
        <v>5</v>
      </c>
      <c r="G2809" s="8">
        <f>Lektionen[[#This Row],[Bearbeitungsdauer_real]]/Lektionen[[#This Row],[Bearbeitungsdauer_geschätzt]]-1</f>
        <v>0</v>
      </c>
      <c r="H2809" s="8" t="str" cm="1">
        <f t="array" ref="H2809">_xlfn.IFS(Lektionen[[#This Row],[Bearbeitungsdauer_abgewichen]]&gt;0.6,"viel länger",Lektionen[[#This Row],[Bearbeitungsdauer_abgewichen]]&gt;0.3,"länger",Lektionen[[#This Row],[Bearbeitungsdauer_abgewichen]]&lt;-0.3,"kürzer",TRUE,"keine Abweichung")</f>
        <v>keine Abweichung</v>
      </c>
      <c r="I2809">
        <v>1</v>
      </c>
    </row>
    <row r="2810" spans="1:9" hidden="1" x14ac:dyDescent="0.3">
      <c r="A2810" s="13">
        <v>442</v>
      </c>
      <c r="B2810" s="4">
        <v>1</v>
      </c>
      <c r="C2810" t="s">
        <v>526</v>
      </c>
      <c r="D2810" t="s">
        <v>527</v>
      </c>
      <c r="E2810">
        <v>4</v>
      </c>
      <c r="F2810">
        <v>6</v>
      </c>
      <c r="G2810" s="8">
        <f>Lektionen[[#This Row],[Bearbeitungsdauer_real]]/Lektionen[[#This Row],[Bearbeitungsdauer_geschätzt]]-1</f>
        <v>0.5</v>
      </c>
      <c r="H2810" s="8" t="str" cm="1">
        <f t="array" ref="H2810">_xlfn.IFS(Lektionen[[#This Row],[Bearbeitungsdauer_abgewichen]]&gt;0.6,"viel länger",Lektionen[[#This Row],[Bearbeitungsdauer_abgewichen]]&gt;0.3,"länger",Lektionen[[#This Row],[Bearbeitungsdauer_abgewichen]]&lt;-0.3,"kürzer",TRUE,"keine Abweichung")</f>
        <v>länger</v>
      </c>
      <c r="I2810">
        <v>1</v>
      </c>
    </row>
    <row r="2811" spans="1:9" hidden="1" x14ac:dyDescent="0.3">
      <c r="A2811" s="13">
        <v>442</v>
      </c>
      <c r="B2811" s="4">
        <v>2</v>
      </c>
      <c r="C2811" t="s">
        <v>528</v>
      </c>
      <c r="D2811" t="s">
        <v>529</v>
      </c>
      <c r="E2811">
        <v>15</v>
      </c>
      <c r="F2811">
        <v>16</v>
      </c>
      <c r="G2811" s="8">
        <f>Lektionen[[#This Row],[Bearbeitungsdauer_real]]/Lektionen[[#This Row],[Bearbeitungsdauer_geschätzt]]-1</f>
        <v>6.6666666666666652E-2</v>
      </c>
      <c r="H2811" s="8" t="str" cm="1">
        <f t="array" ref="H2811">_xlfn.IFS(Lektionen[[#This Row],[Bearbeitungsdauer_abgewichen]]&gt;0.6,"viel länger",Lektionen[[#This Row],[Bearbeitungsdauer_abgewichen]]&gt;0.3,"länger",Lektionen[[#This Row],[Bearbeitungsdauer_abgewichen]]&lt;-0.3,"kürzer",TRUE,"keine Abweichung")</f>
        <v>keine Abweichung</v>
      </c>
      <c r="I2811">
        <v>2</v>
      </c>
    </row>
    <row r="2812" spans="1:9" hidden="1" x14ac:dyDescent="0.3">
      <c r="A2812" s="13">
        <v>442</v>
      </c>
      <c r="B2812" s="4">
        <v>3</v>
      </c>
      <c r="C2812" t="s">
        <v>552</v>
      </c>
      <c r="D2812" t="s">
        <v>530</v>
      </c>
      <c r="E2812">
        <v>30</v>
      </c>
      <c r="F2812">
        <v>30</v>
      </c>
      <c r="G2812" s="8">
        <f>Lektionen[[#This Row],[Bearbeitungsdauer_real]]/Lektionen[[#This Row],[Bearbeitungsdauer_geschätzt]]-1</f>
        <v>0</v>
      </c>
      <c r="H2812" s="8" t="str" cm="1">
        <f t="array" ref="H2812">_xlfn.IFS(Lektionen[[#This Row],[Bearbeitungsdauer_abgewichen]]&gt;0.6,"viel länger",Lektionen[[#This Row],[Bearbeitungsdauer_abgewichen]]&gt;0.3,"länger",Lektionen[[#This Row],[Bearbeitungsdauer_abgewichen]]&lt;-0.3,"kürzer",TRUE,"keine Abweichung")</f>
        <v>keine Abweichung</v>
      </c>
      <c r="I2812">
        <v>2</v>
      </c>
    </row>
    <row r="2813" spans="1:9" hidden="1" x14ac:dyDescent="0.3">
      <c r="A2813" s="13">
        <v>442</v>
      </c>
      <c r="B2813" s="4">
        <v>4</v>
      </c>
      <c r="C2813" t="s">
        <v>531</v>
      </c>
      <c r="D2813" t="s">
        <v>530</v>
      </c>
      <c r="E2813">
        <v>30</v>
      </c>
      <c r="F2813">
        <v>31</v>
      </c>
      <c r="G2813" s="8">
        <f>Lektionen[[#This Row],[Bearbeitungsdauer_real]]/Lektionen[[#This Row],[Bearbeitungsdauer_geschätzt]]-1</f>
        <v>3.3333333333333437E-2</v>
      </c>
      <c r="H2813" s="8" t="str" cm="1">
        <f t="array" ref="H2813">_xlfn.IFS(Lektionen[[#This Row],[Bearbeitungsdauer_abgewichen]]&gt;0.6,"viel länger",Lektionen[[#This Row],[Bearbeitungsdauer_abgewichen]]&gt;0.3,"länger",Lektionen[[#This Row],[Bearbeitungsdauer_abgewichen]]&lt;-0.3,"kürzer",TRUE,"keine Abweichung")</f>
        <v>keine Abweichung</v>
      </c>
      <c r="I2813">
        <v>3</v>
      </c>
    </row>
    <row r="2814" spans="1:9" x14ac:dyDescent="0.3">
      <c r="A2814" s="13">
        <v>442</v>
      </c>
      <c r="B2814" s="4">
        <v>5</v>
      </c>
      <c r="C2814" t="s">
        <v>532</v>
      </c>
      <c r="D2814" t="s">
        <v>530</v>
      </c>
      <c r="E2814">
        <v>30</v>
      </c>
      <c r="F2814">
        <v>42</v>
      </c>
      <c r="G2814" s="8">
        <f>Lektionen[[#This Row],[Bearbeitungsdauer_real]]/Lektionen[[#This Row],[Bearbeitungsdauer_geschätzt]]-1</f>
        <v>0.39999999999999991</v>
      </c>
      <c r="H2814" s="8" t="str" cm="1">
        <f t="array" ref="H2814">_xlfn.IFS(Lektionen[[#This Row],[Bearbeitungsdauer_abgewichen]]&gt;0.6,"viel länger",Lektionen[[#This Row],[Bearbeitungsdauer_abgewichen]]&gt;0.3,"länger",Lektionen[[#This Row],[Bearbeitungsdauer_abgewichen]]&lt;-0.3,"kürzer",TRUE,"keine Abweichung")</f>
        <v>länger</v>
      </c>
      <c r="I2814">
        <v>4</v>
      </c>
    </row>
    <row r="2815" spans="1:9" hidden="1" x14ac:dyDescent="0.3">
      <c r="A2815" s="13">
        <v>442</v>
      </c>
      <c r="B2815" s="4">
        <v>6</v>
      </c>
      <c r="C2815" t="s">
        <v>533</v>
      </c>
      <c r="D2815" t="s">
        <v>534</v>
      </c>
      <c r="E2815">
        <v>5</v>
      </c>
      <c r="F2815">
        <v>2</v>
      </c>
      <c r="G2815" s="8">
        <f>Lektionen[[#This Row],[Bearbeitungsdauer_real]]/Lektionen[[#This Row],[Bearbeitungsdauer_geschätzt]]-1</f>
        <v>-0.6</v>
      </c>
      <c r="H2815" s="8" t="str" cm="1">
        <f t="array" ref="H2815">_xlfn.IFS(Lektionen[[#This Row],[Bearbeitungsdauer_abgewichen]]&gt;0.6,"viel länger",Lektionen[[#This Row],[Bearbeitungsdauer_abgewichen]]&gt;0.3,"länger",Lektionen[[#This Row],[Bearbeitungsdauer_abgewichen]]&lt;-0.3,"kürzer",TRUE,"keine Abweichung")</f>
        <v>kürzer</v>
      </c>
      <c r="I2815">
        <v>3</v>
      </c>
    </row>
    <row r="2816" spans="1:9" hidden="1" x14ac:dyDescent="0.3">
      <c r="A2816" s="13">
        <v>442</v>
      </c>
      <c r="B2816" s="4">
        <v>7</v>
      </c>
      <c r="C2816" t="s">
        <v>535</v>
      </c>
      <c r="D2816" t="s">
        <v>536</v>
      </c>
      <c r="E2816">
        <v>10</v>
      </c>
      <c r="F2816">
        <v>9</v>
      </c>
      <c r="G2816" s="8">
        <f>Lektionen[[#This Row],[Bearbeitungsdauer_real]]/Lektionen[[#This Row],[Bearbeitungsdauer_geschätzt]]-1</f>
        <v>-9.9999999999999978E-2</v>
      </c>
      <c r="H2816" s="8" t="str" cm="1">
        <f t="array" ref="H2816">_xlfn.IFS(Lektionen[[#This Row],[Bearbeitungsdauer_abgewichen]]&gt;0.6,"viel länger",Lektionen[[#This Row],[Bearbeitungsdauer_abgewichen]]&gt;0.3,"länger",Lektionen[[#This Row],[Bearbeitungsdauer_abgewichen]]&lt;-0.3,"kürzer",TRUE,"keine Abweichung")</f>
        <v>keine Abweichung</v>
      </c>
      <c r="I2816">
        <v>3</v>
      </c>
    </row>
    <row r="2817" spans="1:9" hidden="1" x14ac:dyDescent="0.3">
      <c r="A2817" s="13">
        <v>442</v>
      </c>
      <c r="B2817" s="4">
        <v>8</v>
      </c>
      <c r="C2817" t="s">
        <v>537</v>
      </c>
      <c r="D2817" t="s">
        <v>527</v>
      </c>
      <c r="E2817">
        <v>5</v>
      </c>
      <c r="F2817">
        <v>5</v>
      </c>
      <c r="G2817" s="8">
        <f>Lektionen[[#This Row],[Bearbeitungsdauer_real]]/Lektionen[[#This Row],[Bearbeitungsdauer_geschätzt]]-1</f>
        <v>0</v>
      </c>
      <c r="H2817" s="8" t="str" cm="1">
        <f t="array" ref="H2817">_xlfn.IFS(Lektionen[[#This Row],[Bearbeitungsdauer_abgewichen]]&gt;0.6,"viel länger",Lektionen[[#This Row],[Bearbeitungsdauer_abgewichen]]&gt;0.3,"länger",Lektionen[[#This Row],[Bearbeitungsdauer_abgewichen]]&lt;-0.3,"kürzer",TRUE,"keine Abweichung")</f>
        <v>keine Abweichung</v>
      </c>
      <c r="I2817">
        <v>1</v>
      </c>
    </row>
    <row r="2818" spans="1:9" hidden="1" x14ac:dyDescent="0.3">
      <c r="A2818" s="13">
        <v>443</v>
      </c>
      <c r="B2818" s="4">
        <v>1</v>
      </c>
      <c r="C2818" t="s">
        <v>526</v>
      </c>
      <c r="D2818" t="s">
        <v>527</v>
      </c>
      <c r="E2818">
        <v>4</v>
      </c>
      <c r="F2818">
        <v>4</v>
      </c>
      <c r="G2818" s="8">
        <f>Lektionen[[#This Row],[Bearbeitungsdauer_real]]/Lektionen[[#This Row],[Bearbeitungsdauer_geschätzt]]-1</f>
        <v>0</v>
      </c>
      <c r="H2818" s="8" t="str" cm="1">
        <f t="array" ref="H2818">_xlfn.IFS(Lektionen[[#This Row],[Bearbeitungsdauer_abgewichen]]&gt;0.6,"viel länger",Lektionen[[#This Row],[Bearbeitungsdauer_abgewichen]]&gt;0.3,"länger",Lektionen[[#This Row],[Bearbeitungsdauer_abgewichen]]&lt;-0.3,"kürzer",TRUE,"keine Abweichung")</f>
        <v>keine Abweichung</v>
      </c>
      <c r="I2818">
        <v>1</v>
      </c>
    </row>
    <row r="2819" spans="1:9" hidden="1" x14ac:dyDescent="0.3">
      <c r="A2819" s="13">
        <v>443</v>
      </c>
      <c r="B2819" s="4">
        <v>2</v>
      </c>
      <c r="C2819" t="s">
        <v>528</v>
      </c>
      <c r="D2819" t="s">
        <v>529</v>
      </c>
      <c r="E2819">
        <v>15</v>
      </c>
      <c r="F2819">
        <v>16</v>
      </c>
      <c r="G2819" s="8">
        <f>Lektionen[[#This Row],[Bearbeitungsdauer_real]]/Lektionen[[#This Row],[Bearbeitungsdauer_geschätzt]]-1</f>
        <v>6.6666666666666652E-2</v>
      </c>
      <c r="H2819" s="8" t="str" cm="1">
        <f t="array" ref="H2819">_xlfn.IFS(Lektionen[[#This Row],[Bearbeitungsdauer_abgewichen]]&gt;0.6,"viel länger",Lektionen[[#This Row],[Bearbeitungsdauer_abgewichen]]&gt;0.3,"länger",Lektionen[[#This Row],[Bearbeitungsdauer_abgewichen]]&lt;-0.3,"kürzer",TRUE,"keine Abweichung")</f>
        <v>keine Abweichung</v>
      </c>
      <c r="I2819">
        <v>1</v>
      </c>
    </row>
    <row r="2820" spans="1:9" hidden="1" x14ac:dyDescent="0.3">
      <c r="A2820" s="13">
        <v>443</v>
      </c>
      <c r="B2820" s="4">
        <v>3</v>
      </c>
      <c r="C2820" t="s">
        <v>552</v>
      </c>
      <c r="D2820" t="s">
        <v>530</v>
      </c>
      <c r="E2820">
        <v>30</v>
      </c>
      <c r="F2820">
        <v>27</v>
      </c>
      <c r="G2820" s="8">
        <f>Lektionen[[#This Row],[Bearbeitungsdauer_real]]/Lektionen[[#This Row],[Bearbeitungsdauer_geschätzt]]-1</f>
        <v>-9.9999999999999978E-2</v>
      </c>
      <c r="H2820" s="8" t="str" cm="1">
        <f t="array" ref="H2820">_xlfn.IFS(Lektionen[[#This Row],[Bearbeitungsdauer_abgewichen]]&gt;0.6,"viel länger",Lektionen[[#This Row],[Bearbeitungsdauer_abgewichen]]&gt;0.3,"länger",Lektionen[[#This Row],[Bearbeitungsdauer_abgewichen]]&lt;-0.3,"kürzer",TRUE,"keine Abweichung")</f>
        <v>keine Abweichung</v>
      </c>
      <c r="I2820">
        <v>2</v>
      </c>
    </row>
    <row r="2821" spans="1:9" hidden="1" x14ac:dyDescent="0.3">
      <c r="A2821" s="13">
        <v>443</v>
      </c>
      <c r="B2821" s="4">
        <v>4</v>
      </c>
      <c r="C2821" t="s">
        <v>531</v>
      </c>
      <c r="D2821" t="s">
        <v>530</v>
      </c>
      <c r="E2821">
        <v>30</v>
      </c>
      <c r="F2821">
        <v>24</v>
      </c>
      <c r="G2821" s="8">
        <f>Lektionen[[#This Row],[Bearbeitungsdauer_real]]/Lektionen[[#This Row],[Bearbeitungsdauer_geschätzt]]-1</f>
        <v>-0.19999999999999996</v>
      </c>
      <c r="H2821" s="8" t="str" cm="1">
        <f t="array" ref="H2821">_xlfn.IFS(Lektionen[[#This Row],[Bearbeitungsdauer_abgewichen]]&gt;0.6,"viel länger",Lektionen[[#This Row],[Bearbeitungsdauer_abgewichen]]&gt;0.3,"länger",Lektionen[[#This Row],[Bearbeitungsdauer_abgewichen]]&lt;-0.3,"kürzer",TRUE,"keine Abweichung")</f>
        <v>keine Abweichung</v>
      </c>
      <c r="I2821">
        <v>3</v>
      </c>
    </row>
    <row r="2822" spans="1:9" x14ac:dyDescent="0.3">
      <c r="A2822" s="13">
        <v>443</v>
      </c>
      <c r="B2822" s="4">
        <v>5</v>
      </c>
      <c r="C2822" t="s">
        <v>532</v>
      </c>
      <c r="D2822" t="s">
        <v>530</v>
      </c>
      <c r="E2822">
        <v>30</v>
      </c>
      <c r="F2822">
        <v>45</v>
      </c>
      <c r="G2822" s="8">
        <f>Lektionen[[#This Row],[Bearbeitungsdauer_real]]/Lektionen[[#This Row],[Bearbeitungsdauer_geschätzt]]-1</f>
        <v>0.5</v>
      </c>
      <c r="H2822" s="8" t="str" cm="1">
        <f t="array" ref="H2822">_xlfn.IFS(Lektionen[[#This Row],[Bearbeitungsdauer_abgewichen]]&gt;0.6,"viel länger",Lektionen[[#This Row],[Bearbeitungsdauer_abgewichen]]&gt;0.3,"länger",Lektionen[[#This Row],[Bearbeitungsdauer_abgewichen]]&lt;-0.3,"kürzer",TRUE,"keine Abweichung")</f>
        <v>länger</v>
      </c>
      <c r="I2822">
        <v>4</v>
      </c>
    </row>
    <row r="2823" spans="1:9" hidden="1" x14ac:dyDescent="0.3">
      <c r="A2823" s="13">
        <v>443</v>
      </c>
      <c r="B2823" s="4">
        <v>6</v>
      </c>
      <c r="C2823" t="s">
        <v>533</v>
      </c>
      <c r="D2823" t="s">
        <v>534</v>
      </c>
      <c r="E2823">
        <v>5</v>
      </c>
      <c r="F2823">
        <v>2</v>
      </c>
      <c r="G2823" s="8">
        <f>Lektionen[[#This Row],[Bearbeitungsdauer_real]]/Lektionen[[#This Row],[Bearbeitungsdauer_geschätzt]]-1</f>
        <v>-0.6</v>
      </c>
      <c r="H2823" s="8" t="str" cm="1">
        <f t="array" ref="H2823">_xlfn.IFS(Lektionen[[#This Row],[Bearbeitungsdauer_abgewichen]]&gt;0.6,"viel länger",Lektionen[[#This Row],[Bearbeitungsdauer_abgewichen]]&gt;0.3,"länger",Lektionen[[#This Row],[Bearbeitungsdauer_abgewichen]]&lt;-0.3,"kürzer",TRUE,"keine Abweichung")</f>
        <v>kürzer</v>
      </c>
      <c r="I2823">
        <v>1</v>
      </c>
    </row>
    <row r="2824" spans="1:9" hidden="1" x14ac:dyDescent="0.3">
      <c r="A2824" s="13">
        <v>443</v>
      </c>
      <c r="B2824" s="4">
        <v>7</v>
      </c>
      <c r="C2824" t="s">
        <v>535</v>
      </c>
      <c r="D2824" t="s">
        <v>536</v>
      </c>
      <c r="E2824">
        <v>10</v>
      </c>
      <c r="F2824">
        <v>10</v>
      </c>
      <c r="G2824" s="8">
        <f>Lektionen[[#This Row],[Bearbeitungsdauer_real]]/Lektionen[[#This Row],[Bearbeitungsdauer_geschätzt]]-1</f>
        <v>0</v>
      </c>
      <c r="H2824" s="8" t="str" cm="1">
        <f t="array" ref="H2824">_xlfn.IFS(Lektionen[[#This Row],[Bearbeitungsdauer_abgewichen]]&gt;0.6,"viel länger",Lektionen[[#This Row],[Bearbeitungsdauer_abgewichen]]&gt;0.3,"länger",Lektionen[[#This Row],[Bearbeitungsdauer_abgewichen]]&lt;-0.3,"kürzer",TRUE,"keine Abweichung")</f>
        <v>keine Abweichung</v>
      </c>
      <c r="I2824">
        <v>3</v>
      </c>
    </row>
    <row r="2825" spans="1:9" hidden="1" x14ac:dyDescent="0.3">
      <c r="A2825" s="13">
        <v>443</v>
      </c>
      <c r="B2825" s="4">
        <v>8</v>
      </c>
      <c r="C2825" t="s">
        <v>537</v>
      </c>
      <c r="D2825" t="s">
        <v>527</v>
      </c>
      <c r="E2825">
        <v>5</v>
      </c>
      <c r="F2825">
        <v>9</v>
      </c>
      <c r="G2825" s="8">
        <f>Lektionen[[#This Row],[Bearbeitungsdauer_real]]/Lektionen[[#This Row],[Bearbeitungsdauer_geschätzt]]-1</f>
        <v>0.8</v>
      </c>
      <c r="H2825" s="8" t="str" cm="1">
        <f t="array" ref="H2825">_xlfn.IFS(Lektionen[[#This Row],[Bearbeitungsdauer_abgewichen]]&gt;0.6,"viel länger",Lektionen[[#This Row],[Bearbeitungsdauer_abgewichen]]&gt;0.3,"länger",Lektionen[[#This Row],[Bearbeitungsdauer_abgewichen]]&lt;-0.3,"kürzer",TRUE,"keine Abweichung")</f>
        <v>viel länger</v>
      </c>
      <c r="I2825">
        <v>1</v>
      </c>
    </row>
    <row r="2826" spans="1:9" hidden="1" x14ac:dyDescent="0.3">
      <c r="A2826" s="13">
        <v>444</v>
      </c>
      <c r="B2826" s="4">
        <v>1</v>
      </c>
      <c r="C2826" t="s">
        <v>526</v>
      </c>
      <c r="D2826" t="s">
        <v>527</v>
      </c>
      <c r="E2826">
        <v>4</v>
      </c>
      <c r="F2826">
        <v>4</v>
      </c>
      <c r="G2826" s="8">
        <f>Lektionen[[#This Row],[Bearbeitungsdauer_real]]/Lektionen[[#This Row],[Bearbeitungsdauer_geschätzt]]-1</f>
        <v>0</v>
      </c>
      <c r="H2826" s="8" t="str" cm="1">
        <f t="array" ref="H2826">_xlfn.IFS(Lektionen[[#This Row],[Bearbeitungsdauer_abgewichen]]&gt;0.6,"viel länger",Lektionen[[#This Row],[Bearbeitungsdauer_abgewichen]]&gt;0.3,"länger",Lektionen[[#This Row],[Bearbeitungsdauer_abgewichen]]&lt;-0.3,"kürzer",TRUE,"keine Abweichung")</f>
        <v>keine Abweichung</v>
      </c>
      <c r="I2826">
        <v>1</v>
      </c>
    </row>
    <row r="2827" spans="1:9" hidden="1" x14ac:dyDescent="0.3">
      <c r="A2827" s="13">
        <v>444</v>
      </c>
      <c r="B2827" s="4">
        <v>2</v>
      </c>
      <c r="C2827" t="s">
        <v>528</v>
      </c>
      <c r="D2827" t="s">
        <v>529</v>
      </c>
      <c r="E2827">
        <v>15</v>
      </c>
      <c r="F2827">
        <v>15</v>
      </c>
      <c r="G2827" s="8">
        <f>Lektionen[[#This Row],[Bearbeitungsdauer_real]]/Lektionen[[#This Row],[Bearbeitungsdauer_geschätzt]]-1</f>
        <v>0</v>
      </c>
      <c r="H2827" s="8" t="str" cm="1">
        <f t="array" ref="H2827">_xlfn.IFS(Lektionen[[#This Row],[Bearbeitungsdauer_abgewichen]]&gt;0.6,"viel länger",Lektionen[[#This Row],[Bearbeitungsdauer_abgewichen]]&gt;0.3,"länger",Lektionen[[#This Row],[Bearbeitungsdauer_abgewichen]]&lt;-0.3,"kürzer",TRUE,"keine Abweichung")</f>
        <v>keine Abweichung</v>
      </c>
      <c r="I2827">
        <v>2</v>
      </c>
    </row>
    <row r="2828" spans="1:9" hidden="1" x14ac:dyDescent="0.3">
      <c r="A2828" s="13">
        <v>444</v>
      </c>
      <c r="B2828" s="4">
        <v>3</v>
      </c>
      <c r="C2828" t="s">
        <v>552</v>
      </c>
      <c r="D2828" t="s">
        <v>530</v>
      </c>
      <c r="E2828">
        <v>30</v>
      </c>
      <c r="F2828">
        <v>27</v>
      </c>
      <c r="G2828" s="8">
        <f>Lektionen[[#This Row],[Bearbeitungsdauer_real]]/Lektionen[[#This Row],[Bearbeitungsdauer_geschätzt]]-1</f>
        <v>-9.9999999999999978E-2</v>
      </c>
      <c r="H2828" s="8" t="str" cm="1">
        <f t="array" ref="H2828">_xlfn.IFS(Lektionen[[#This Row],[Bearbeitungsdauer_abgewichen]]&gt;0.6,"viel länger",Lektionen[[#This Row],[Bearbeitungsdauer_abgewichen]]&gt;0.3,"länger",Lektionen[[#This Row],[Bearbeitungsdauer_abgewichen]]&lt;-0.3,"kürzer",TRUE,"keine Abweichung")</f>
        <v>keine Abweichung</v>
      </c>
      <c r="I2828">
        <v>3</v>
      </c>
    </row>
    <row r="2829" spans="1:9" hidden="1" x14ac:dyDescent="0.3">
      <c r="A2829" s="13">
        <v>444</v>
      </c>
      <c r="B2829" s="4">
        <v>4</v>
      </c>
      <c r="C2829" t="s">
        <v>531</v>
      </c>
      <c r="D2829" t="s">
        <v>530</v>
      </c>
      <c r="E2829">
        <v>30</v>
      </c>
      <c r="F2829">
        <v>26</v>
      </c>
      <c r="G2829" s="8">
        <f>Lektionen[[#This Row],[Bearbeitungsdauer_real]]/Lektionen[[#This Row],[Bearbeitungsdauer_geschätzt]]-1</f>
        <v>-0.1333333333333333</v>
      </c>
      <c r="H2829" s="8" t="str" cm="1">
        <f t="array" ref="H2829">_xlfn.IFS(Lektionen[[#This Row],[Bearbeitungsdauer_abgewichen]]&gt;0.6,"viel länger",Lektionen[[#This Row],[Bearbeitungsdauer_abgewichen]]&gt;0.3,"länger",Lektionen[[#This Row],[Bearbeitungsdauer_abgewichen]]&lt;-0.3,"kürzer",TRUE,"keine Abweichung")</f>
        <v>keine Abweichung</v>
      </c>
      <c r="I2829">
        <v>2</v>
      </c>
    </row>
    <row r="2830" spans="1:9" x14ac:dyDescent="0.3">
      <c r="A2830" s="13">
        <v>444</v>
      </c>
      <c r="B2830" s="4">
        <v>5</v>
      </c>
      <c r="C2830" t="s">
        <v>532</v>
      </c>
      <c r="D2830" t="s">
        <v>530</v>
      </c>
      <c r="E2830">
        <v>30</v>
      </c>
      <c r="F2830">
        <v>35</v>
      </c>
      <c r="G2830" s="8">
        <f>Lektionen[[#This Row],[Bearbeitungsdauer_real]]/Lektionen[[#This Row],[Bearbeitungsdauer_geschätzt]]-1</f>
        <v>0.16666666666666674</v>
      </c>
      <c r="H2830" s="8" t="str" cm="1">
        <f t="array" ref="H2830">_xlfn.IFS(Lektionen[[#This Row],[Bearbeitungsdauer_abgewichen]]&gt;0.6,"viel länger",Lektionen[[#This Row],[Bearbeitungsdauer_abgewichen]]&gt;0.3,"länger",Lektionen[[#This Row],[Bearbeitungsdauer_abgewichen]]&lt;-0.3,"kürzer",TRUE,"keine Abweichung")</f>
        <v>keine Abweichung</v>
      </c>
      <c r="I2830">
        <v>4</v>
      </c>
    </row>
    <row r="2831" spans="1:9" hidden="1" x14ac:dyDescent="0.3">
      <c r="A2831" s="13">
        <v>444</v>
      </c>
      <c r="B2831" s="4">
        <v>6</v>
      </c>
      <c r="C2831" t="s">
        <v>533</v>
      </c>
      <c r="D2831" t="s">
        <v>534</v>
      </c>
      <c r="E2831">
        <v>5</v>
      </c>
      <c r="F2831">
        <v>4</v>
      </c>
      <c r="G2831" s="8">
        <f>Lektionen[[#This Row],[Bearbeitungsdauer_real]]/Lektionen[[#This Row],[Bearbeitungsdauer_geschätzt]]-1</f>
        <v>-0.19999999999999996</v>
      </c>
      <c r="H2831" s="8" t="str" cm="1">
        <f t="array" ref="H2831">_xlfn.IFS(Lektionen[[#This Row],[Bearbeitungsdauer_abgewichen]]&gt;0.6,"viel länger",Lektionen[[#This Row],[Bearbeitungsdauer_abgewichen]]&gt;0.3,"länger",Lektionen[[#This Row],[Bearbeitungsdauer_abgewichen]]&lt;-0.3,"kürzer",TRUE,"keine Abweichung")</f>
        <v>keine Abweichung</v>
      </c>
      <c r="I2831">
        <v>2</v>
      </c>
    </row>
    <row r="2832" spans="1:9" hidden="1" x14ac:dyDescent="0.3">
      <c r="A2832" s="13">
        <v>444</v>
      </c>
      <c r="B2832" s="4">
        <v>7</v>
      </c>
      <c r="C2832" t="s">
        <v>535</v>
      </c>
      <c r="D2832" t="s">
        <v>536</v>
      </c>
      <c r="E2832">
        <v>10</v>
      </c>
      <c r="F2832">
        <v>9</v>
      </c>
      <c r="G2832" s="8">
        <f>Lektionen[[#This Row],[Bearbeitungsdauer_real]]/Lektionen[[#This Row],[Bearbeitungsdauer_geschätzt]]-1</f>
        <v>-9.9999999999999978E-2</v>
      </c>
      <c r="H2832" s="8" t="str" cm="1">
        <f t="array" ref="H2832">_xlfn.IFS(Lektionen[[#This Row],[Bearbeitungsdauer_abgewichen]]&gt;0.6,"viel länger",Lektionen[[#This Row],[Bearbeitungsdauer_abgewichen]]&gt;0.3,"länger",Lektionen[[#This Row],[Bearbeitungsdauer_abgewichen]]&lt;-0.3,"kürzer",TRUE,"keine Abweichung")</f>
        <v>keine Abweichung</v>
      </c>
      <c r="I2832">
        <v>4</v>
      </c>
    </row>
    <row r="2833" spans="1:9" hidden="1" x14ac:dyDescent="0.3">
      <c r="A2833" s="13">
        <v>444</v>
      </c>
      <c r="B2833" s="4">
        <v>8</v>
      </c>
      <c r="C2833" t="s">
        <v>537</v>
      </c>
      <c r="D2833" t="s">
        <v>527</v>
      </c>
      <c r="E2833">
        <v>5</v>
      </c>
      <c r="F2833">
        <v>5</v>
      </c>
      <c r="G2833" s="8">
        <f>Lektionen[[#This Row],[Bearbeitungsdauer_real]]/Lektionen[[#This Row],[Bearbeitungsdauer_geschätzt]]-1</f>
        <v>0</v>
      </c>
      <c r="H2833" s="8" t="str" cm="1">
        <f t="array" ref="H2833">_xlfn.IFS(Lektionen[[#This Row],[Bearbeitungsdauer_abgewichen]]&gt;0.6,"viel länger",Lektionen[[#This Row],[Bearbeitungsdauer_abgewichen]]&gt;0.3,"länger",Lektionen[[#This Row],[Bearbeitungsdauer_abgewichen]]&lt;-0.3,"kürzer",TRUE,"keine Abweichung")</f>
        <v>keine Abweichung</v>
      </c>
      <c r="I2833">
        <v>1</v>
      </c>
    </row>
    <row r="2834" spans="1:9" hidden="1" x14ac:dyDescent="0.3">
      <c r="A2834" s="13">
        <v>445</v>
      </c>
      <c r="B2834" s="4">
        <v>1</v>
      </c>
      <c r="C2834" t="s">
        <v>526</v>
      </c>
      <c r="D2834" t="s">
        <v>527</v>
      </c>
      <c r="E2834">
        <v>4</v>
      </c>
      <c r="F2834">
        <v>7</v>
      </c>
      <c r="G2834" s="8">
        <f>Lektionen[[#This Row],[Bearbeitungsdauer_real]]/Lektionen[[#This Row],[Bearbeitungsdauer_geschätzt]]-1</f>
        <v>0.75</v>
      </c>
      <c r="H2834" s="8" t="str" cm="1">
        <f t="array" ref="H2834">_xlfn.IFS(Lektionen[[#This Row],[Bearbeitungsdauer_abgewichen]]&gt;0.6,"viel länger",Lektionen[[#This Row],[Bearbeitungsdauer_abgewichen]]&gt;0.3,"länger",Lektionen[[#This Row],[Bearbeitungsdauer_abgewichen]]&lt;-0.3,"kürzer",TRUE,"keine Abweichung")</f>
        <v>viel länger</v>
      </c>
      <c r="I2834">
        <v>1</v>
      </c>
    </row>
    <row r="2835" spans="1:9" hidden="1" x14ac:dyDescent="0.3">
      <c r="A2835" s="13">
        <v>445</v>
      </c>
      <c r="B2835" s="4">
        <v>2</v>
      </c>
      <c r="C2835" t="s">
        <v>528</v>
      </c>
      <c r="D2835" t="s">
        <v>529</v>
      </c>
      <c r="E2835">
        <v>15</v>
      </c>
      <c r="F2835">
        <v>17</v>
      </c>
      <c r="G2835" s="8">
        <f>Lektionen[[#This Row],[Bearbeitungsdauer_real]]/Lektionen[[#This Row],[Bearbeitungsdauer_geschätzt]]-1</f>
        <v>0.1333333333333333</v>
      </c>
      <c r="H2835" s="8" t="str" cm="1">
        <f t="array" ref="H2835">_xlfn.IFS(Lektionen[[#This Row],[Bearbeitungsdauer_abgewichen]]&gt;0.6,"viel länger",Lektionen[[#This Row],[Bearbeitungsdauer_abgewichen]]&gt;0.3,"länger",Lektionen[[#This Row],[Bearbeitungsdauer_abgewichen]]&lt;-0.3,"kürzer",TRUE,"keine Abweichung")</f>
        <v>keine Abweichung</v>
      </c>
      <c r="I2835">
        <v>2</v>
      </c>
    </row>
    <row r="2836" spans="1:9" hidden="1" x14ac:dyDescent="0.3">
      <c r="A2836" s="13">
        <v>445</v>
      </c>
      <c r="B2836" s="4">
        <v>3</v>
      </c>
      <c r="C2836" t="s">
        <v>552</v>
      </c>
      <c r="D2836" t="s">
        <v>530</v>
      </c>
      <c r="E2836">
        <v>30</v>
      </c>
      <c r="F2836">
        <v>27</v>
      </c>
      <c r="G2836" s="8">
        <f>Lektionen[[#This Row],[Bearbeitungsdauer_real]]/Lektionen[[#This Row],[Bearbeitungsdauer_geschätzt]]-1</f>
        <v>-9.9999999999999978E-2</v>
      </c>
      <c r="H2836" s="8" t="str" cm="1">
        <f t="array" ref="H2836">_xlfn.IFS(Lektionen[[#This Row],[Bearbeitungsdauer_abgewichen]]&gt;0.6,"viel länger",Lektionen[[#This Row],[Bearbeitungsdauer_abgewichen]]&gt;0.3,"länger",Lektionen[[#This Row],[Bearbeitungsdauer_abgewichen]]&lt;-0.3,"kürzer",TRUE,"keine Abweichung")</f>
        <v>keine Abweichung</v>
      </c>
      <c r="I2836">
        <v>2</v>
      </c>
    </row>
    <row r="2837" spans="1:9" hidden="1" x14ac:dyDescent="0.3">
      <c r="A2837" s="13">
        <v>445</v>
      </c>
      <c r="B2837" s="4">
        <v>4</v>
      </c>
      <c r="C2837" t="s">
        <v>531</v>
      </c>
      <c r="D2837" t="s">
        <v>530</v>
      </c>
      <c r="E2837">
        <v>30</v>
      </c>
      <c r="F2837">
        <v>26</v>
      </c>
      <c r="G2837" s="8">
        <f>Lektionen[[#This Row],[Bearbeitungsdauer_real]]/Lektionen[[#This Row],[Bearbeitungsdauer_geschätzt]]-1</f>
        <v>-0.1333333333333333</v>
      </c>
      <c r="H2837" s="8" t="str" cm="1">
        <f t="array" ref="H2837">_xlfn.IFS(Lektionen[[#This Row],[Bearbeitungsdauer_abgewichen]]&gt;0.6,"viel länger",Lektionen[[#This Row],[Bearbeitungsdauer_abgewichen]]&gt;0.3,"länger",Lektionen[[#This Row],[Bearbeitungsdauer_abgewichen]]&lt;-0.3,"kürzer",TRUE,"keine Abweichung")</f>
        <v>keine Abweichung</v>
      </c>
      <c r="I2837">
        <v>4</v>
      </c>
    </row>
    <row r="2838" spans="1:9" x14ac:dyDescent="0.3">
      <c r="A2838" s="13">
        <v>445</v>
      </c>
      <c r="B2838" s="4">
        <v>5</v>
      </c>
      <c r="C2838" t="s">
        <v>532</v>
      </c>
      <c r="D2838" t="s">
        <v>530</v>
      </c>
      <c r="E2838">
        <v>30</v>
      </c>
      <c r="F2838">
        <v>53</v>
      </c>
      <c r="G2838" s="8">
        <f>Lektionen[[#This Row],[Bearbeitungsdauer_real]]/Lektionen[[#This Row],[Bearbeitungsdauer_geschätzt]]-1</f>
        <v>0.76666666666666661</v>
      </c>
      <c r="H2838" s="8" t="str" cm="1">
        <f t="array" ref="H2838">_xlfn.IFS(Lektionen[[#This Row],[Bearbeitungsdauer_abgewichen]]&gt;0.6,"viel länger",Lektionen[[#This Row],[Bearbeitungsdauer_abgewichen]]&gt;0.3,"länger",Lektionen[[#This Row],[Bearbeitungsdauer_abgewichen]]&lt;-0.3,"kürzer",TRUE,"keine Abweichung")</f>
        <v>viel länger</v>
      </c>
      <c r="I2838">
        <v>4</v>
      </c>
    </row>
    <row r="2839" spans="1:9" hidden="1" x14ac:dyDescent="0.3">
      <c r="A2839" s="13">
        <v>445</v>
      </c>
      <c r="B2839" s="4">
        <v>6</v>
      </c>
      <c r="C2839" t="s">
        <v>533</v>
      </c>
      <c r="D2839" t="s">
        <v>534</v>
      </c>
      <c r="E2839">
        <v>5</v>
      </c>
      <c r="F2839">
        <v>1</v>
      </c>
      <c r="G2839" s="8">
        <f>Lektionen[[#This Row],[Bearbeitungsdauer_real]]/Lektionen[[#This Row],[Bearbeitungsdauer_geschätzt]]-1</f>
        <v>-0.8</v>
      </c>
      <c r="H2839" s="8" t="str" cm="1">
        <f t="array" ref="H2839">_xlfn.IFS(Lektionen[[#This Row],[Bearbeitungsdauer_abgewichen]]&gt;0.6,"viel länger",Lektionen[[#This Row],[Bearbeitungsdauer_abgewichen]]&gt;0.3,"länger",Lektionen[[#This Row],[Bearbeitungsdauer_abgewichen]]&lt;-0.3,"kürzer",TRUE,"keine Abweichung")</f>
        <v>kürzer</v>
      </c>
      <c r="I2839">
        <v>2</v>
      </c>
    </row>
    <row r="2840" spans="1:9" hidden="1" x14ac:dyDescent="0.3">
      <c r="A2840" s="13">
        <v>445</v>
      </c>
      <c r="B2840" s="4">
        <v>7</v>
      </c>
      <c r="C2840" t="s">
        <v>535</v>
      </c>
      <c r="D2840" t="s">
        <v>536</v>
      </c>
      <c r="E2840">
        <v>10</v>
      </c>
      <c r="F2840">
        <v>10</v>
      </c>
      <c r="G2840" s="8">
        <f>Lektionen[[#This Row],[Bearbeitungsdauer_real]]/Lektionen[[#This Row],[Bearbeitungsdauer_geschätzt]]-1</f>
        <v>0</v>
      </c>
      <c r="H2840" s="8" t="str" cm="1">
        <f t="array" ref="H2840">_xlfn.IFS(Lektionen[[#This Row],[Bearbeitungsdauer_abgewichen]]&gt;0.6,"viel länger",Lektionen[[#This Row],[Bearbeitungsdauer_abgewichen]]&gt;0.3,"länger",Lektionen[[#This Row],[Bearbeitungsdauer_abgewichen]]&lt;-0.3,"kürzer",TRUE,"keine Abweichung")</f>
        <v>keine Abweichung</v>
      </c>
      <c r="I2840">
        <v>3</v>
      </c>
    </row>
    <row r="2841" spans="1:9" hidden="1" x14ac:dyDescent="0.3">
      <c r="A2841" s="13">
        <v>445</v>
      </c>
      <c r="B2841" s="4">
        <v>8</v>
      </c>
      <c r="C2841" t="s">
        <v>537</v>
      </c>
      <c r="D2841" t="s">
        <v>527</v>
      </c>
      <c r="E2841">
        <v>5</v>
      </c>
      <c r="F2841">
        <v>5</v>
      </c>
      <c r="G2841" s="8">
        <f>Lektionen[[#This Row],[Bearbeitungsdauer_real]]/Lektionen[[#This Row],[Bearbeitungsdauer_geschätzt]]-1</f>
        <v>0</v>
      </c>
      <c r="H2841" s="8" t="str" cm="1">
        <f t="array" ref="H2841">_xlfn.IFS(Lektionen[[#This Row],[Bearbeitungsdauer_abgewichen]]&gt;0.6,"viel länger",Lektionen[[#This Row],[Bearbeitungsdauer_abgewichen]]&gt;0.3,"länger",Lektionen[[#This Row],[Bearbeitungsdauer_abgewichen]]&lt;-0.3,"kürzer",TRUE,"keine Abweichung")</f>
        <v>keine Abweichung</v>
      </c>
      <c r="I2841">
        <v>1</v>
      </c>
    </row>
    <row r="2842" spans="1:9" hidden="1" x14ac:dyDescent="0.3">
      <c r="A2842" s="13">
        <v>446</v>
      </c>
      <c r="B2842" s="4">
        <v>1</v>
      </c>
      <c r="C2842" t="s">
        <v>526</v>
      </c>
      <c r="D2842" t="s">
        <v>527</v>
      </c>
      <c r="E2842">
        <v>4</v>
      </c>
      <c r="F2842">
        <v>4</v>
      </c>
      <c r="G2842" s="8">
        <f>Lektionen[[#This Row],[Bearbeitungsdauer_real]]/Lektionen[[#This Row],[Bearbeitungsdauer_geschätzt]]-1</f>
        <v>0</v>
      </c>
      <c r="H2842" s="8" t="str" cm="1">
        <f t="array" ref="H2842">_xlfn.IFS(Lektionen[[#This Row],[Bearbeitungsdauer_abgewichen]]&gt;0.6,"viel länger",Lektionen[[#This Row],[Bearbeitungsdauer_abgewichen]]&gt;0.3,"länger",Lektionen[[#This Row],[Bearbeitungsdauer_abgewichen]]&lt;-0.3,"kürzer",TRUE,"keine Abweichung")</f>
        <v>keine Abweichung</v>
      </c>
      <c r="I2842">
        <v>1</v>
      </c>
    </row>
    <row r="2843" spans="1:9" hidden="1" x14ac:dyDescent="0.3">
      <c r="A2843" s="13">
        <v>446</v>
      </c>
      <c r="B2843" s="4">
        <v>2</v>
      </c>
      <c r="C2843" t="s">
        <v>528</v>
      </c>
      <c r="D2843" t="s">
        <v>529</v>
      </c>
      <c r="E2843">
        <v>15</v>
      </c>
      <c r="F2843">
        <v>20</v>
      </c>
      <c r="G2843" s="8">
        <f>Lektionen[[#This Row],[Bearbeitungsdauer_real]]/Lektionen[[#This Row],[Bearbeitungsdauer_geschätzt]]-1</f>
        <v>0.33333333333333326</v>
      </c>
      <c r="H2843" s="8" t="str" cm="1">
        <f t="array" ref="H2843">_xlfn.IFS(Lektionen[[#This Row],[Bearbeitungsdauer_abgewichen]]&gt;0.6,"viel länger",Lektionen[[#This Row],[Bearbeitungsdauer_abgewichen]]&gt;0.3,"länger",Lektionen[[#This Row],[Bearbeitungsdauer_abgewichen]]&lt;-0.3,"kürzer",TRUE,"keine Abweichung")</f>
        <v>länger</v>
      </c>
      <c r="I2843">
        <v>2</v>
      </c>
    </row>
    <row r="2844" spans="1:9" hidden="1" x14ac:dyDescent="0.3">
      <c r="A2844" s="13">
        <v>446</v>
      </c>
      <c r="B2844" s="4">
        <v>3</v>
      </c>
      <c r="C2844" t="s">
        <v>552</v>
      </c>
      <c r="D2844" t="s">
        <v>530</v>
      </c>
      <c r="E2844">
        <v>30</v>
      </c>
      <c r="F2844">
        <v>30</v>
      </c>
      <c r="G2844" s="8">
        <f>Lektionen[[#This Row],[Bearbeitungsdauer_real]]/Lektionen[[#This Row],[Bearbeitungsdauer_geschätzt]]-1</f>
        <v>0</v>
      </c>
      <c r="H2844" s="8" t="str" cm="1">
        <f t="array" ref="H2844">_xlfn.IFS(Lektionen[[#This Row],[Bearbeitungsdauer_abgewichen]]&gt;0.6,"viel länger",Lektionen[[#This Row],[Bearbeitungsdauer_abgewichen]]&gt;0.3,"länger",Lektionen[[#This Row],[Bearbeitungsdauer_abgewichen]]&lt;-0.3,"kürzer",TRUE,"keine Abweichung")</f>
        <v>keine Abweichung</v>
      </c>
      <c r="I2844">
        <v>3</v>
      </c>
    </row>
    <row r="2845" spans="1:9" hidden="1" x14ac:dyDescent="0.3">
      <c r="A2845" s="13">
        <v>446</v>
      </c>
      <c r="B2845" s="4">
        <v>4</v>
      </c>
      <c r="C2845" t="s">
        <v>531</v>
      </c>
      <c r="D2845" t="s">
        <v>530</v>
      </c>
      <c r="E2845">
        <v>30</v>
      </c>
      <c r="F2845">
        <v>24</v>
      </c>
      <c r="G2845" s="8">
        <f>Lektionen[[#This Row],[Bearbeitungsdauer_real]]/Lektionen[[#This Row],[Bearbeitungsdauer_geschätzt]]-1</f>
        <v>-0.19999999999999996</v>
      </c>
      <c r="H2845" s="8" t="str" cm="1">
        <f t="array" ref="H2845">_xlfn.IFS(Lektionen[[#This Row],[Bearbeitungsdauer_abgewichen]]&gt;0.6,"viel länger",Lektionen[[#This Row],[Bearbeitungsdauer_abgewichen]]&gt;0.3,"länger",Lektionen[[#This Row],[Bearbeitungsdauer_abgewichen]]&lt;-0.3,"kürzer",TRUE,"keine Abweichung")</f>
        <v>keine Abweichung</v>
      </c>
      <c r="I2845">
        <v>3</v>
      </c>
    </row>
    <row r="2846" spans="1:9" x14ac:dyDescent="0.3">
      <c r="A2846" s="13">
        <v>446</v>
      </c>
      <c r="B2846" s="4">
        <v>5</v>
      </c>
      <c r="C2846" t="s">
        <v>532</v>
      </c>
      <c r="D2846" t="s">
        <v>530</v>
      </c>
      <c r="E2846">
        <v>30</v>
      </c>
      <c r="F2846">
        <v>53</v>
      </c>
      <c r="G2846" s="8">
        <f>Lektionen[[#This Row],[Bearbeitungsdauer_real]]/Lektionen[[#This Row],[Bearbeitungsdauer_geschätzt]]-1</f>
        <v>0.76666666666666661</v>
      </c>
      <c r="H2846" s="8" t="str" cm="1">
        <f t="array" ref="H2846">_xlfn.IFS(Lektionen[[#This Row],[Bearbeitungsdauer_abgewichen]]&gt;0.6,"viel länger",Lektionen[[#This Row],[Bearbeitungsdauer_abgewichen]]&gt;0.3,"länger",Lektionen[[#This Row],[Bearbeitungsdauer_abgewichen]]&lt;-0.3,"kürzer",TRUE,"keine Abweichung")</f>
        <v>viel länger</v>
      </c>
      <c r="I2846">
        <v>4</v>
      </c>
    </row>
    <row r="2847" spans="1:9" hidden="1" x14ac:dyDescent="0.3">
      <c r="A2847" s="13">
        <v>446</v>
      </c>
      <c r="B2847" s="4">
        <v>6</v>
      </c>
      <c r="C2847" t="s">
        <v>533</v>
      </c>
      <c r="D2847" t="s">
        <v>534</v>
      </c>
      <c r="E2847">
        <v>5</v>
      </c>
      <c r="F2847">
        <v>2</v>
      </c>
      <c r="G2847" s="8">
        <f>Lektionen[[#This Row],[Bearbeitungsdauer_real]]/Lektionen[[#This Row],[Bearbeitungsdauer_geschätzt]]-1</f>
        <v>-0.6</v>
      </c>
      <c r="H2847" s="8" t="str" cm="1">
        <f t="array" ref="H2847">_xlfn.IFS(Lektionen[[#This Row],[Bearbeitungsdauer_abgewichen]]&gt;0.6,"viel länger",Lektionen[[#This Row],[Bearbeitungsdauer_abgewichen]]&gt;0.3,"länger",Lektionen[[#This Row],[Bearbeitungsdauer_abgewichen]]&lt;-0.3,"kürzer",TRUE,"keine Abweichung")</f>
        <v>kürzer</v>
      </c>
      <c r="I2847">
        <v>2</v>
      </c>
    </row>
    <row r="2848" spans="1:9" hidden="1" x14ac:dyDescent="0.3">
      <c r="A2848" s="13">
        <v>446</v>
      </c>
      <c r="B2848" s="4">
        <v>7</v>
      </c>
      <c r="C2848" t="s">
        <v>535</v>
      </c>
      <c r="D2848" t="s">
        <v>536</v>
      </c>
      <c r="E2848">
        <v>10</v>
      </c>
      <c r="F2848">
        <v>9</v>
      </c>
      <c r="G2848" s="8">
        <f>Lektionen[[#This Row],[Bearbeitungsdauer_real]]/Lektionen[[#This Row],[Bearbeitungsdauer_geschätzt]]-1</f>
        <v>-9.9999999999999978E-2</v>
      </c>
      <c r="H2848" s="8" t="str" cm="1">
        <f t="array" ref="H2848">_xlfn.IFS(Lektionen[[#This Row],[Bearbeitungsdauer_abgewichen]]&gt;0.6,"viel länger",Lektionen[[#This Row],[Bearbeitungsdauer_abgewichen]]&gt;0.3,"länger",Lektionen[[#This Row],[Bearbeitungsdauer_abgewichen]]&lt;-0.3,"kürzer",TRUE,"keine Abweichung")</f>
        <v>keine Abweichung</v>
      </c>
      <c r="I2848">
        <v>3</v>
      </c>
    </row>
    <row r="2849" spans="1:9" hidden="1" x14ac:dyDescent="0.3">
      <c r="A2849" s="13">
        <v>446</v>
      </c>
      <c r="B2849" s="4">
        <v>8</v>
      </c>
      <c r="C2849" t="s">
        <v>537</v>
      </c>
      <c r="D2849" t="s">
        <v>527</v>
      </c>
      <c r="E2849">
        <v>5</v>
      </c>
      <c r="F2849">
        <v>5</v>
      </c>
      <c r="G2849" s="8">
        <f>Lektionen[[#This Row],[Bearbeitungsdauer_real]]/Lektionen[[#This Row],[Bearbeitungsdauer_geschätzt]]-1</f>
        <v>0</v>
      </c>
      <c r="H2849" s="8" t="str" cm="1">
        <f t="array" ref="H2849">_xlfn.IFS(Lektionen[[#This Row],[Bearbeitungsdauer_abgewichen]]&gt;0.6,"viel länger",Lektionen[[#This Row],[Bearbeitungsdauer_abgewichen]]&gt;0.3,"länger",Lektionen[[#This Row],[Bearbeitungsdauer_abgewichen]]&lt;-0.3,"kürzer",TRUE,"keine Abweichung")</f>
        <v>keine Abweichung</v>
      </c>
      <c r="I2849">
        <v>1</v>
      </c>
    </row>
    <row r="2850" spans="1:9" hidden="1" x14ac:dyDescent="0.3">
      <c r="A2850" s="13">
        <v>447</v>
      </c>
      <c r="B2850" s="4">
        <v>1</v>
      </c>
      <c r="C2850" t="s">
        <v>526</v>
      </c>
      <c r="D2850" t="s">
        <v>527</v>
      </c>
      <c r="E2850">
        <v>4</v>
      </c>
      <c r="F2850">
        <v>4</v>
      </c>
      <c r="G2850" s="8">
        <f>Lektionen[[#This Row],[Bearbeitungsdauer_real]]/Lektionen[[#This Row],[Bearbeitungsdauer_geschätzt]]-1</f>
        <v>0</v>
      </c>
      <c r="H2850" s="8" t="str" cm="1">
        <f t="array" ref="H2850">_xlfn.IFS(Lektionen[[#This Row],[Bearbeitungsdauer_abgewichen]]&gt;0.6,"viel länger",Lektionen[[#This Row],[Bearbeitungsdauer_abgewichen]]&gt;0.3,"länger",Lektionen[[#This Row],[Bearbeitungsdauer_abgewichen]]&lt;-0.3,"kürzer",TRUE,"keine Abweichung")</f>
        <v>keine Abweichung</v>
      </c>
      <c r="I2850">
        <v>1</v>
      </c>
    </row>
    <row r="2851" spans="1:9" hidden="1" x14ac:dyDescent="0.3">
      <c r="A2851" s="13">
        <v>447</v>
      </c>
      <c r="B2851" s="4">
        <v>2</v>
      </c>
      <c r="C2851" t="s">
        <v>528</v>
      </c>
      <c r="D2851" t="s">
        <v>529</v>
      </c>
      <c r="E2851">
        <v>15</v>
      </c>
      <c r="F2851">
        <v>18</v>
      </c>
      <c r="G2851" s="8">
        <f>Lektionen[[#This Row],[Bearbeitungsdauer_real]]/Lektionen[[#This Row],[Bearbeitungsdauer_geschätzt]]-1</f>
        <v>0.19999999999999996</v>
      </c>
      <c r="H2851" s="8" t="str" cm="1">
        <f t="array" ref="H2851">_xlfn.IFS(Lektionen[[#This Row],[Bearbeitungsdauer_abgewichen]]&gt;0.6,"viel länger",Lektionen[[#This Row],[Bearbeitungsdauer_abgewichen]]&gt;0.3,"länger",Lektionen[[#This Row],[Bearbeitungsdauer_abgewichen]]&lt;-0.3,"kürzer",TRUE,"keine Abweichung")</f>
        <v>keine Abweichung</v>
      </c>
      <c r="I2851">
        <v>2</v>
      </c>
    </row>
    <row r="2852" spans="1:9" hidden="1" x14ac:dyDescent="0.3">
      <c r="A2852" s="13">
        <v>447</v>
      </c>
      <c r="B2852" s="4">
        <v>3</v>
      </c>
      <c r="C2852" t="s">
        <v>552</v>
      </c>
      <c r="D2852" t="s">
        <v>530</v>
      </c>
      <c r="E2852">
        <v>30</v>
      </c>
      <c r="F2852">
        <v>28</v>
      </c>
      <c r="G2852" s="8">
        <f>Lektionen[[#This Row],[Bearbeitungsdauer_real]]/Lektionen[[#This Row],[Bearbeitungsdauer_geschätzt]]-1</f>
        <v>-6.6666666666666652E-2</v>
      </c>
      <c r="H2852" s="8" t="str" cm="1">
        <f t="array" ref="H2852">_xlfn.IFS(Lektionen[[#This Row],[Bearbeitungsdauer_abgewichen]]&gt;0.6,"viel länger",Lektionen[[#This Row],[Bearbeitungsdauer_abgewichen]]&gt;0.3,"länger",Lektionen[[#This Row],[Bearbeitungsdauer_abgewichen]]&lt;-0.3,"kürzer",TRUE,"keine Abweichung")</f>
        <v>keine Abweichung</v>
      </c>
      <c r="I2852">
        <v>4</v>
      </c>
    </row>
    <row r="2853" spans="1:9" hidden="1" x14ac:dyDescent="0.3">
      <c r="A2853" s="13">
        <v>447</v>
      </c>
      <c r="B2853" s="4">
        <v>4</v>
      </c>
      <c r="C2853" t="s">
        <v>531</v>
      </c>
      <c r="D2853" t="s">
        <v>530</v>
      </c>
      <c r="E2853">
        <v>30</v>
      </c>
      <c r="F2853">
        <v>22</v>
      </c>
      <c r="G2853" s="8">
        <f>Lektionen[[#This Row],[Bearbeitungsdauer_real]]/Lektionen[[#This Row],[Bearbeitungsdauer_geschätzt]]-1</f>
        <v>-0.26666666666666672</v>
      </c>
      <c r="H2853" s="8" t="str" cm="1">
        <f t="array" ref="H2853">_xlfn.IFS(Lektionen[[#This Row],[Bearbeitungsdauer_abgewichen]]&gt;0.6,"viel länger",Lektionen[[#This Row],[Bearbeitungsdauer_abgewichen]]&gt;0.3,"länger",Lektionen[[#This Row],[Bearbeitungsdauer_abgewichen]]&lt;-0.3,"kürzer",TRUE,"keine Abweichung")</f>
        <v>keine Abweichung</v>
      </c>
      <c r="I2853">
        <v>3</v>
      </c>
    </row>
    <row r="2854" spans="1:9" x14ac:dyDescent="0.3">
      <c r="A2854" s="13">
        <v>447</v>
      </c>
      <c r="B2854" s="4">
        <v>5</v>
      </c>
      <c r="C2854" t="s">
        <v>532</v>
      </c>
      <c r="D2854" t="s">
        <v>530</v>
      </c>
      <c r="E2854">
        <v>30</v>
      </c>
      <c r="F2854">
        <v>48</v>
      </c>
      <c r="G2854" s="8">
        <f>Lektionen[[#This Row],[Bearbeitungsdauer_real]]/Lektionen[[#This Row],[Bearbeitungsdauer_geschätzt]]-1</f>
        <v>0.60000000000000009</v>
      </c>
      <c r="H2854" s="8" t="str" cm="1">
        <f t="array" ref="H2854">_xlfn.IFS(Lektionen[[#This Row],[Bearbeitungsdauer_abgewichen]]&gt;0.6,"viel länger",Lektionen[[#This Row],[Bearbeitungsdauer_abgewichen]]&gt;0.3,"länger",Lektionen[[#This Row],[Bearbeitungsdauer_abgewichen]]&lt;-0.3,"kürzer",TRUE,"keine Abweichung")</f>
        <v>länger</v>
      </c>
      <c r="I2854">
        <v>3</v>
      </c>
    </row>
    <row r="2855" spans="1:9" hidden="1" x14ac:dyDescent="0.3">
      <c r="A2855" s="13">
        <v>447</v>
      </c>
      <c r="B2855" s="4">
        <v>6</v>
      </c>
      <c r="C2855" t="s">
        <v>533</v>
      </c>
      <c r="D2855" t="s">
        <v>534</v>
      </c>
      <c r="E2855">
        <v>5</v>
      </c>
      <c r="F2855">
        <v>2</v>
      </c>
      <c r="G2855" s="8">
        <f>Lektionen[[#This Row],[Bearbeitungsdauer_real]]/Lektionen[[#This Row],[Bearbeitungsdauer_geschätzt]]-1</f>
        <v>-0.6</v>
      </c>
      <c r="H2855" s="8" t="str" cm="1">
        <f t="array" ref="H2855">_xlfn.IFS(Lektionen[[#This Row],[Bearbeitungsdauer_abgewichen]]&gt;0.6,"viel länger",Lektionen[[#This Row],[Bearbeitungsdauer_abgewichen]]&gt;0.3,"länger",Lektionen[[#This Row],[Bearbeitungsdauer_abgewichen]]&lt;-0.3,"kürzer",TRUE,"keine Abweichung")</f>
        <v>kürzer</v>
      </c>
      <c r="I2855">
        <v>2</v>
      </c>
    </row>
    <row r="2856" spans="1:9" hidden="1" x14ac:dyDescent="0.3">
      <c r="A2856" s="13">
        <v>447</v>
      </c>
      <c r="B2856" s="4">
        <v>7</v>
      </c>
      <c r="C2856" t="s">
        <v>535</v>
      </c>
      <c r="D2856" t="s">
        <v>536</v>
      </c>
      <c r="E2856">
        <v>10</v>
      </c>
      <c r="F2856">
        <v>10</v>
      </c>
      <c r="G2856" s="8">
        <f>Lektionen[[#This Row],[Bearbeitungsdauer_real]]/Lektionen[[#This Row],[Bearbeitungsdauer_geschätzt]]-1</f>
        <v>0</v>
      </c>
      <c r="H2856" s="8" t="str" cm="1">
        <f t="array" ref="H2856">_xlfn.IFS(Lektionen[[#This Row],[Bearbeitungsdauer_abgewichen]]&gt;0.6,"viel länger",Lektionen[[#This Row],[Bearbeitungsdauer_abgewichen]]&gt;0.3,"länger",Lektionen[[#This Row],[Bearbeitungsdauer_abgewichen]]&lt;-0.3,"kürzer",TRUE,"keine Abweichung")</f>
        <v>keine Abweichung</v>
      </c>
      <c r="I2856">
        <v>4</v>
      </c>
    </row>
    <row r="2857" spans="1:9" hidden="1" x14ac:dyDescent="0.3">
      <c r="A2857" s="13">
        <v>447</v>
      </c>
      <c r="B2857" s="4">
        <v>8</v>
      </c>
      <c r="C2857" t="s">
        <v>537</v>
      </c>
      <c r="D2857" t="s">
        <v>527</v>
      </c>
      <c r="E2857">
        <v>5</v>
      </c>
      <c r="F2857">
        <v>5</v>
      </c>
      <c r="G2857" s="8">
        <f>Lektionen[[#This Row],[Bearbeitungsdauer_real]]/Lektionen[[#This Row],[Bearbeitungsdauer_geschätzt]]-1</f>
        <v>0</v>
      </c>
      <c r="H2857" s="8" t="str" cm="1">
        <f t="array" ref="H2857">_xlfn.IFS(Lektionen[[#This Row],[Bearbeitungsdauer_abgewichen]]&gt;0.6,"viel länger",Lektionen[[#This Row],[Bearbeitungsdauer_abgewichen]]&gt;0.3,"länger",Lektionen[[#This Row],[Bearbeitungsdauer_abgewichen]]&lt;-0.3,"kürzer",TRUE,"keine Abweichung")</f>
        <v>keine Abweichung</v>
      </c>
      <c r="I2857">
        <v>1</v>
      </c>
    </row>
    <row r="2858" spans="1:9" hidden="1" x14ac:dyDescent="0.3">
      <c r="A2858" s="13">
        <v>448</v>
      </c>
      <c r="B2858" s="4">
        <v>1</v>
      </c>
      <c r="C2858" t="s">
        <v>526</v>
      </c>
      <c r="D2858" t="s">
        <v>527</v>
      </c>
      <c r="E2858">
        <v>4</v>
      </c>
      <c r="F2858">
        <v>4</v>
      </c>
      <c r="G2858" s="8">
        <f>Lektionen[[#This Row],[Bearbeitungsdauer_real]]/Lektionen[[#This Row],[Bearbeitungsdauer_geschätzt]]-1</f>
        <v>0</v>
      </c>
      <c r="H2858" s="8" t="str" cm="1">
        <f t="array" ref="H2858">_xlfn.IFS(Lektionen[[#This Row],[Bearbeitungsdauer_abgewichen]]&gt;0.6,"viel länger",Lektionen[[#This Row],[Bearbeitungsdauer_abgewichen]]&gt;0.3,"länger",Lektionen[[#This Row],[Bearbeitungsdauer_abgewichen]]&lt;-0.3,"kürzer",TRUE,"keine Abweichung")</f>
        <v>keine Abweichung</v>
      </c>
      <c r="I2858">
        <v>1</v>
      </c>
    </row>
    <row r="2859" spans="1:9" hidden="1" x14ac:dyDescent="0.3">
      <c r="A2859" s="13">
        <v>448</v>
      </c>
      <c r="B2859" s="4">
        <v>2</v>
      </c>
      <c r="C2859" t="s">
        <v>528</v>
      </c>
      <c r="D2859" t="s">
        <v>529</v>
      </c>
      <c r="E2859">
        <v>15</v>
      </c>
      <c r="F2859">
        <v>16</v>
      </c>
      <c r="G2859" s="8">
        <f>Lektionen[[#This Row],[Bearbeitungsdauer_real]]/Lektionen[[#This Row],[Bearbeitungsdauer_geschätzt]]-1</f>
        <v>6.6666666666666652E-2</v>
      </c>
      <c r="H2859" s="8" t="str" cm="1">
        <f t="array" ref="H2859">_xlfn.IFS(Lektionen[[#This Row],[Bearbeitungsdauer_abgewichen]]&gt;0.6,"viel länger",Lektionen[[#This Row],[Bearbeitungsdauer_abgewichen]]&gt;0.3,"länger",Lektionen[[#This Row],[Bearbeitungsdauer_abgewichen]]&lt;-0.3,"kürzer",TRUE,"keine Abweichung")</f>
        <v>keine Abweichung</v>
      </c>
      <c r="I2859">
        <v>2</v>
      </c>
    </row>
    <row r="2860" spans="1:9" hidden="1" x14ac:dyDescent="0.3">
      <c r="A2860" s="13">
        <v>448</v>
      </c>
      <c r="B2860" s="4">
        <v>3</v>
      </c>
      <c r="C2860" t="s">
        <v>552</v>
      </c>
      <c r="D2860" t="s">
        <v>530</v>
      </c>
      <c r="E2860">
        <v>30</v>
      </c>
      <c r="F2860">
        <v>29</v>
      </c>
      <c r="G2860" s="8">
        <f>Lektionen[[#This Row],[Bearbeitungsdauer_real]]/Lektionen[[#This Row],[Bearbeitungsdauer_geschätzt]]-1</f>
        <v>-3.3333333333333326E-2</v>
      </c>
      <c r="H2860" s="8" t="str" cm="1">
        <f t="array" ref="H2860">_xlfn.IFS(Lektionen[[#This Row],[Bearbeitungsdauer_abgewichen]]&gt;0.6,"viel länger",Lektionen[[#This Row],[Bearbeitungsdauer_abgewichen]]&gt;0.3,"länger",Lektionen[[#This Row],[Bearbeitungsdauer_abgewichen]]&lt;-0.3,"kürzer",TRUE,"keine Abweichung")</f>
        <v>keine Abweichung</v>
      </c>
      <c r="I2860">
        <v>2</v>
      </c>
    </row>
    <row r="2861" spans="1:9" hidden="1" x14ac:dyDescent="0.3">
      <c r="A2861" s="13">
        <v>448</v>
      </c>
      <c r="B2861" s="4">
        <v>4</v>
      </c>
      <c r="C2861" t="s">
        <v>531</v>
      </c>
      <c r="D2861" t="s">
        <v>530</v>
      </c>
      <c r="E2861">
        <v>30</v>
      </c>
      <c r="F2861">
        <v>20</v>
      </c>
      <c r="G2861" s="8">
        <f>Lektionen[[#This Row],[Bearbeitungsdauer_real]]/Lektionen[[#This Row],[Bearbeitungsdauer_geschätzt]]-1</f>
        <v>-0.33333333333333337</v>
      </c>
      <c r="H2861" s="8" t="str" cm="1">
        <f t="array" ref="H2861">_xlfn.IFS(Lektionen[[#This Row],[Bearbeitungsdauer_abgewichen]]&gt;0.6,"viel länger",Lektionen[[#This Row],[Bearbeitungsdauer_abgewichen]]&gt;0.3,"länger",Lektionen[[#This Row],[Bearbeitungsdauer_abgewichen]]&lt;-0.3,"kürzer",TRUE,"keine Abweichung")</f>
        <v>kürzer</v>
      </c>
      <c r="I2861">
        <v>4</v>
      </c>
    </row>
    <row r="2862" spans="1:9" x14ac:dyDescent="0.3">
      <c r="A2862" s="13">
        <v>448</v>
      </c>
      <c r="B2862" s="4">
        <v>5</v>
      </c>
      <c r="C2862" t="s">
        <v>532</v>
      </c>
      <c r="D2862" t="s">
        <v>530</v>
      </c>
      <c r="E2862">
        <v>30</v>
      </c>
      <c r="F2862">
        <v>46</v>
      </c>
      <c r="G2862" s="8">
        <f>Lektionen[[#This Row],[Bearbeitungsdauer_real]]/Lektionen[[#This Row],[Bearbeitungsdauer_geschätzt]]-1</f>
        <v>0.53333333333333344</v>
      </c>
      <c r="H2862" s="8" t="str" cm="1">
        <f t="array" ref="H2862">_xlfn.IFS(Lektionen[[#This Row],[Bearbeitungsdauer_abgewichen]]&gt;0.6,"viel länger",Lektionen[[#This Row],[Bearbeitungsdauer_abgewichen]]&gt;0.3,"länger",Lektionen[[#This Row],[Bearbeitungsdauer_abgewichen]]&lt;-0.3,"kürzer",TRUE,"keine Abweichung")</f>
        <v>länger</v>
      </c>
      <c r="I2862">
        <v>3</v>
      </c>
    </row>
    <row r="2863" spans="1:9" hidden="1" x14ac:dyDescent="0.3">
      <c r="A2863" s="13">
        <v>448</v>
      </c>
      <c r="B2863" s="4">
        <v>6</v>
      </c>
      <c r="C2863" t="s">
        <v>533</v>
      </c>
      <c r="D2863" t="s">
        <v>534</v>
      </c>
      <c r="E2863">
        <v>5</v>
      </c>
      <c r="F2863">
        <v>3</v>
      </c>
      <c r="G2863" s="8">
        <f>Lektionen[[#This Row],[Bearbeitungsdauer_real]]/Lektionen[[#This Row],[Bearbeitungsdauer_geschätzt]]-1</f>
        <v>-0.4</v>
      </c>
      <c r="H2863" s="8" t="str" cm="1">
        <f t="array" ref="H2863">_xlfn.IFS(Lektionen[[#This Row],[Bearbeitungsdauer_abgewichen]]&gt;0.6,"viel länger",Lektionen[[#This Row],[Bearbeitungsdauer_abgewichen]]&gt;0.3,"länger",Lektionen[[#This Row],[Bearbeitungsdauer_abgewichen]]&lt;-0.3,"kürzer",TRUE,"keine Abweichung")</f>
        <v>kürzer</v>
      </c>
      <c r="I2863">
        <v>2</v>
      </c>
    </row>
    <row r="2864" spans="1:9" hidden="1" x14ac:dyDescent="0.3">
      <c r="A2864" s="13">
        <v>448</v>
      </c>
      <c r="B2864" s="4">
        <v>7</v>
      </c>
      <c r="C2864" t="s">
        <v>535</v>
      </c>
      <c r="D2864" t="s">
        <v>536</v>
      </c>
      <c r="E2864">
        <v>10</v>
      </c>
      <c r="F2864">
        <v>10</v>
      </c>
      <c r="G2864" s="8">
        <f>Lektionen[[#This Row],[Bearbeitungsdauer_real]]/Lektionen[[#This Row],[Bearbeitungsdauer_geschätzt]]-1</f>
        <v>0</v>
      </c>
      <c r="H2864" s="8" t="str" cm="1">
        <f t="array" ref="H2864">_xlfn.IFS(Lektionen[[#This Row],[Bearbeitungsdauer_abgewichen]]&gt;0.6,"viel länger",Lektionen[[#This Row],[Bearbeitungsdauer_abgewichen]]&gt;0.3,"länger",Lektionen[[#This Row],[Bearbeitungsdauer_abgewichen]]&lt;-0.3,"kürzer",TRUE,"keine Abweichung")</f>
        <v>keine Abweichung</v>
      </c>
      <c r="I2864">
        <v>4</v>
      </c>
    </row>
    <row r="2865" spans="1:9" hidden="1" x14ac:dyDescent="0.3">
      <c r="A2865" s="13">
        <v>448</v>
      </c>
      <c r="B2865" s="4">
        <v>8</v>
      </c>
      <c r="C2865" t="s">
        <v>537</v>
      </c>
      <c r="D2865" t="s">
        <v>527</v>
      </c>
      <c r="E2865">
        <v>5</v>
      </c>
      <c r="F2865">
        <v>5</v>
      </c>
      <c r="G2865" s="8">
        <f>Lektionen[[#This Row],[Bearbeitungsdauer_real]]/Lektionen[[#This Row],[Bearbeitungsdauer_geschätzt]]-1</f>
        <v>0</v>
      </c>
      <c r="H2865" s="8" t="str" cm="1">
        <f t="array" ref="H2865">_xlfn.IFS(Lektionen[[#This Row],[Bearbeitungsdauer_abgewichen]]&gt;0.6,"viel länger",Lektionen[[#This Row],[Bearbeitungsdauer_abgewichen]]&gt;0.3,"länger",Lektionen[[#This Row],[Bearbeitungsdauer_abgewichen]]&lt;-0.3,"kürzer",TRUE,"keine Abweichung")</f>
        <v>keine Abweichung</v>
      </c>
      <c r="I2865">
        <v>1</v>
      </c>
    </row>
    <row r="2866" spans="1:9" hidden="1" x14ac:dyDescent="0.3">
      <c r="A2866" s="13">
        <v>449</v>
      </c>
      <c r="B2866" s="4">
        <v>1</v>
      </c>
      <c r="C2866" t="s">
        <v>526</v>
      </c>
      <c r="D2866" t="s">
        <v>527</v>
      </c>
      <c r="E2866">
        <v>4</v>
      </c>
      <c r="F2866">
        <v>4</v>
      </c>
      <c r="G2866" s="8">
        <f>Lektionen[[#This Row],[Bearbeitungsdauer_real]]/Lektionen[[#This Row],[Bearbeitungsdauer_geschätzt]]-1</f>
        <v>0</v>
      </c>
      <c r="H2866" s="8" t="str" cm="1">
        <f t="array" ref="H2866">_xlfn.IFS(Lektionen[[#This Row],[Bearbeitungsdauer_abgewichen]]&gt;0.6,"viel länger",Lektionen[[#This Row],[Bearbeitungsdauer_abgewichen]]&gt;0.3,"länger",Lektionen[[#This Row],[Bearbeitungsdauer_abgewichen]]&lt;-0.3,"kürzer",TRUE,"keine Abweichung")</f>
        <v>keine Abweichung</v>
      </c>
      <c r="I2866">
        <v>1</v>
      </c>
    </row>
    <row r="2867" spans="1:9" hidden="1" x14ac:dyDescent="0.3">
      <c r="A2867" s="13">
        <v>449</v>
      </c>
      <c r="B2867" s="4">
        <v>2</v>
      </c>
      <c r="C2867" t="s">
        <v>528</v>
      </c>
      <c r="D2867" t="s">
        <v>529</v>
      </c>
      <c r="E2867">
        <v>15</v>
      </c>
      <c r="F2867">
        <v>19</v>
      </c>
      <c r="G2867" s="8">
        <f>Lektionen[[#This Row],[Bearbeitungsdauer_real]]/Lektionen[[#This Row],[Bearbeitungsdauer_geschätzt]]-1</f>
        <v>0.26666666666666661</v>
      </c>
      <c r="H2867" s="8" t="str" cm="1">
        <f t="array" ref="H2867">_xlfn.IFS(Lektionen[[#This Row],[Bearbeitungsdauer_abgewichen]]&gt;0.6,"viel länger",Lektionen[[#This Row],[Bearbeitungsdauer_abgewichen]]&gt;0.3,"länger",Lektionen[[#This Row],[Bearbeitungsdauer_abgewichen]]&lt;-0.3,"kürzer",TRUE,"keine Abweichung")</f>
        <v>keine Abweichung</v>
      </c>
      <c r="I2867">
        <v>1</v>
      </c>
    </row>
    <row r="2868" spans="1:9" hidden="1" x14ac:dyDescent="0.3">
      <c r="A2868" s="13">
        <v>449</v>
      </c>
      <c r="B2868" s="4">
        <v>3</v>
      </c>
      <c r="C2868" t="s">
        <v>552</v>
      </c>
      <c r="D2868" t="s">
        <v>530</v>
      </c>
      <c r="E2868">
        <v>30</v>
      </c>
      <c r="F2868">
        <v>28</v>
      </c>
      <c r="G2868" s="8">
        <f>Lektionen[[#This Row],[Bearbeitungsdauer_real]]/Lektionen[[#This Row],[Bearbeitungsdauer_geschätzt]]-1</f>
        <v>-6.6666666666666652E-2</v>
      </c>
      <c r="H2868" s="8" t="str" cm="1">
        <f t="array" ref="H2868">_xlfn.IFS(Lektionen[[#This Row],[Bearbeitungsdauer_abgewichen]]&gt;0.6,"viel länger",Lektionen[[#This Row],[Bearbeitungsdauer_abgewichen]]&gt;0.3,"länger",Lektionen[[#This Row],[Bearbeitungsdauer_abgewichen]]&lt;-0.3,"kürzer",TRUE,"keine Abweichung")</f>
        <v>keine Abweichung</v>
      </c>
      <c r="I2868">
        <v>2</v>
      </c>
    </row>
    <row r="2869" spans="1:9" hidden="1" x14ac:dyDescent="0.3">
      <c r="A2869" s="13">
        <v>449</v>
      </c>
      <c r="B2869" s="4">
        <v>4</v>
      </c>
      <c r="C2869" t="s">
        <v>531</v>
      </c>
      <c r="D2869" t="s">
        <v>530</v>
      </c>
      <c r="E2869">
        <v>30</v>
      </c>
      <c r="F2869">
        <v>16</v>
      </c>
      <c r="G2869" s="8">
        <f>Lektionen[[#This Row],[Bearbeitungsdauer_real]]/Lektionen[[#This Row],[Bearbeitungsdauer_geschätzt]]-1</f>
        <v>-0.46666666666666667</v>
      </c>
      <c r="H2869" s="8" t="str" cm="1">
        <f t="array" ref="H2869">_xlfn.IFS(Lektionen[[#This Row],[Bearbeitungsdauer_abgewichen]]&gt;0.6,"viel länger",Lektionen[[#This Row],[Bearbeitungsdauer_abgewichen]]&gt;0.3,"länger",Lektionen[[#This Row],[Bearbeitungsdauer_abgewichen]]&lt;-0.3,"kürzer",TRUE,"keine Abweichung")</f>
        <v>kürzer</v>
      </c>
      <c r="I2869">
        <v>3</v>
      </c>
    </row>
    <row r="2870" spans="1:9" x14ac:dyDescent="0.3">
      <c r="A2870" s="13">
        <v>449</v>
      </c>
      <c r="B2870" s="4">
        <v>5</v>
      </c>
      <c r="C2870" t="s">
        <v>532</v>
      </c>
      <c r="D2870" t="s">
        <v>530</v>
      </c>
      <c r="E2870">
        <v>30</v>
      </c>
      <c r="F2870">
        <v>43</v>
      </c>
      <c r="G2870" s="8">
        <f>Lektionen[[#This Row],[Bearbeitungsdauer_real]]/Lektionen[[#This Row],[Bearbeitungsdauer_geschätzt]]-1</f>
        <v>0.43333333333333335</v>
      </c>
      <c r="H2870" s="8" t="str" cm="1">
        <f t="array" ref="H2870">_xlfn.IFS(Lektionen[[#This Row],[Bearbeitungsdauer_abgewichen]]&gt;0.6,"viel länger",Lektionen[[#This Row],[Bearbeitungsdauer_abgewichen]]&gt;0.3,"länger",Lektionen[[#This Row],[Bearbeitungsdauer_abgewichen]]&lt;-0.3,"kürzer",TRUE,"keine Abweichung")</f>
        <v>länger</v>
      </c>
      <c r="I2870">
        <v>4</v>
      </c>
    </row>
    <row r="2871" spans="1:9" hidden="1" x14ac:dyDescent="0.3">
      <c r="A2871" s="13">
        <v>449</v>
      </c>
      <c r="B2871" s="4">
        <v>6</v>
      </c>
      <c r="C2871" t="s">
        <v>533</v>
      </c>
      <c r="D2871" t="s">
        <v>534</v>
      </c>
      <c r="E2871">
        <v>5</v>
      </c>
      <c r="F2871">
        <v>2</v>
      </c>
      <c r="G2871" s="8">
        <f>Lektionen[[#This Row],[Bearbeitungsdauer_real]]/Lektionen[[#This Row],[Bearbeitungsdauer_geschätzt]]-1</f>
        <v>-0.6</v>
      </c>
      <c r="H2871" s="8" t="str" cm="1">
        <f t="array" ref="H2871">_xlfn.IFS(Lektionen[[#This Row],[Bearbeitungsdauer_abgewichen]]&gt;0.6,"viel länger",Lektionen[[#This Row],[Bearbeitungsdauer_abgewichen]]&gt;0.3,"länger",Lektionen[[#This Row],[Bearbeitungsdauer_abgewichen]]&lt;-0.3,"kürzer",TRUE,"keine Abweichung")</f>
        <v>kürzer</v>
      </c>
      <c r="I2871">
        <v>2</v>
      </c>
    </row>
    <row r="2872" spans="1:9" hidden="1" x14ac:dyDescent="0.3">
      <c r="A2872" s="13">
        <v>449</v>
      </c>
      <c r="B2872" s="4">
        <v>7</v>
      </c>
      <c r="C2872" t="s">
        <v>535</v>
      </c>
      <c r="D2872" t="s">
        <v>536</v>
      </c>
      <c r="E2872">
        <v>10</v>
      </c>
      <c r="F2872">
        <v>10</v>
      </c>
      <c r="G2872" s="8">
        <f>Lektionen[[#This Row],[Bearbeitungsdauer_real]]/Lektionen[[#This Row],[Bearbeitungsdauer_geschätzt]]-1</f>
        <v>0</v>
      </c>
      <c r="H2872" s="8" t="str" cm="1">
        <f t="array" ref="H2872">_xlfn.IFS(Lektionen[[#This Row],[Bearbeitungsdauer_abgewichen]]&gt;0.6,"viel länger",Lektionen[[#This Row],[Bearbeitungsdauer_abgewichen]]&gt;0.3,"länger",Lektionen[[#This Row],[Bearbeitungsdauer_abgewichen]]&lt;-0.3,"kürzer",TRUE,"keine Abweichung")</f>
        <v>keine Abweichung</v>
      </c>
      <c r="I2872">
        <v>3</v>
      </c>
    </row>
    <row r="2873" spans="1:9" hidden="1" x14ac:dyDescent="0.3">
      <c r="A2873" s="13">
        <v>449</v>
      </c>
      <c r="B2873" s="4">
        <v>8</v>
      </c>
      <c r="C2873" t="s">
        <v>537</v>
      </c>
      <c r="D2873" t="s">
        <v>527</v>
      </c>
      <c r="E2873">
        <v>5</v>
      </c>
      <c r="F2873">
        <v>5</v>
      </c>
      <c r="G2873" s="8">
        <f>Lektionen[[#This Row],[Bearbeitungsdauer_real]]/Lektionen[[#This Row],[Bearbeitungsdauer_geschätzt]]-1</f>
        <v>0</v>
      </c>
      <c r="H2873" s="8" t="str" cm="1">
        <f t="array" ref="H2873">_xlfn.IFS(Lektionen[[#This Row],[Bearbeitungsdauer_abgewichen]]&gt;0.6,"viel länger",Lektionen[[#This Row],[Bearbeitungsdauer_abgewichen]]&gt;0.3,"länger",Lektionen[[#This Row],[Bearbeitungsdauer_abgewichen]]&lt;-0.3,"kürzer",TRUE,"keine Abweichung")</f>
        <v>keine Abweichung</v>
      </c>
      <c r="I2873">
        <v>1</v>
      </c>
    </row>
    <row r="2874" spans="1:9" hidden="1" x14ac:dyDescent="0.3">
      <c r="A2874" s="13">
        <v>450</v>
      </c>
      <c r="B2874" s="4">
        <v>1</v>
      </c>
      <c r="C2874" t="s">
        <v>526</v>
      </c>
      <c r="D2874" t="s">
        <v>527</v>
      </c>
      <c r="E2874">
        <v>4</v>
      </c>
      <c r="F2874">
        <v>4</v>
      </c>
      <c r="G2874" s="8">
        <f>Lektionen[[#This Row],[Bearbeitungsdauer_real]]/Lektionen[[#This Row],[Bearbeitungsdauer_geschätzt]]-1</f>
        <v>0</v>
      </c>
      <c r="H2874" s="8" t="str" cm="1">
        <f t="array" ref="H2874">_xlfn.IFS(Lektionen[[#This Row],[Bearbeitungsdauer_abgewichen]]&gt;0.6,"viel länger",Lektionen[[#This Row],[Bearbeitungsdauer_abgewichen]]&gt;0.3,"länger",Lektionen[[#This Row],[Bearbeitungsdauer_abgewichen]]&lt;-0.3,"kürzer",TRUE,"keine Abweichung")</f>
        <v>keine Abweichung</v>
      </c>
      <c r="I2874">
        <v>1</v>
      </c>
    </row>
    <row r="2875" spans="1:9" hidden="1" x14ac:dyDescent="0.3">
      <c r="A2875" s="13">
        <v>450</v>
      </c>
      <c r="B2875" s="4">
        <v>2</v>
      </c>
      <c r="C2875" t="s">
        <v>528</v>
      </c>
      <c r="D2875" t="s">
        <v>529</v>
      </c>
      <c r="E2875">
        <v>15</v>
      </c>
      <c r="F2875">
        <v>18</v>
      </c>
      <c r="G2875" s="8">
        <f>Lektionen[[#This Row],[Bearbeitungsdauer_real]]/Lektionen[[#This Row],[Bearbeitungsdauer_geschätzt]]-1</f>
        <v>0.19999999999999996</v>
      </c>
      <c r="H2875" s="8" t="str" cm="1">
        <f t="array" ref="H2875">_xlfn.IFS(Lektionen[[#This Row],[Bearbeitungsdauer_abgewichen]]&gt;0.6,"viel länger",Lektionen[[#This Row],[Bearbeitungsdauer_abgewichen]]&gt;0.3,"länger",Lektionen[[#This Row],[Bearbeitungsdauer_abgewichen]]&lt;-0.3,"kürzer",TRUE,"keine Abweichung")</f>
        <v>keine Abweichung</v>
      </c>
      <c r="I2875">
        <v>1</v>
      </c>
    </row>
    <row r="2876" spans="1:9" hidden="1" x14ac:dyDescent="0.3">
      <c r="A2876" s="13">
        <v>450</v>
      </c>
      <c r="B2876" s="4">
        <v>3</v>
      </c>
      <c r="C2876" t="s">
        <v>552</v>
      </c>
      <c r="D2876" t="s">
        <v>530</v>
      </c>
      <c r="E2876">
        <v>30</v>
      </c>
      <c r="F2876">
        <v>27</v>
      </c>
      <c r="G2876" s="8">
        <f>Lektionen[[#This Row],[Bearbeitungsdauer_real]]/Lektionen[[#This Row],[Bearbeitungsdauer_geschätzt]]-1</f>
        <v>-9.9999999999999978E-2</v>
      </c>
      <c r="H2876" s="8" t="str" cm="1">
        <f t="array" ref="H2876">_xlfn.IFS(Lektionen[[#This Row],[Bearbeitungsdauer_abgewichen]]&gt;0.6,"viel länger",Lektionen[[#This Row],[Bearbeitungsdauer_abgewichen]]&gt;0.3,"länger",Lektionen[[#This Row],[Bearbeitungsdauer_abgewichen]]&lt;-0.3,"kürzer",TRUE,"keine Abweichung")</f>
        <v>keine Abweichung</v>
      </c>
      <c r="I2876">
        <v>4</v>
      </c>
    </row>
    <row r="2877" spans="1:9" hidden="1" x14ac:dyDescent="0.3">
      <c r="A2877" s="13">
        <v>450</v>
      </c>
      <c r="B2877" s="4">
        <v>4</v>
      </c>
      <c r="C2877" t="s">
        <v>531</v>
      </c>
      <c r="D2877" t="s">
        <v>530</v>
      </c>
      <c r="E2877">
        <v>30</v>
      </c>
      <c r="F2877">
        <v>26</v>
      </c>
      <c r="G2877" s="8">
        <f>Lektionen[[#This Row],[Bearbeitungsdauer_real]]/Lektionen[[#This Row],[Bearbeitungsdauer_geschätzt]]-1</f>
        <v>-0.1333333333333333</v>
      </c>
      <c r="H2877" s="8" t="str" cm="1">
        <f t="array" ref="H2877">_xlfn.IFS(Lektionen[[#This Row],[Bearbeitungsdauer_abgewichen]]&gt;0.6,"viel länger",Lektionen[[#This Row],[Bearbeitungsdauer_abgewichen]]&gt;0.3,"länger",Lektionen[[#This Row],[Bearbeitungsdauer_abgewichen]]&lt;-0.3,"kürzer",TRUE,"keine Abweichung")</f>
        <v>keine Abweichung</v>
      </c>
      <c r="I2877">
        <v>3</v>
      </c>
    </row>
    <row r="2878" spans="1:9" x14ac:dyDescent="0.3">
      <c r="A2878" s="13">
        <v>450</v>
      </c>
      <c r="B2878" s="4">
        <v>5</v>
      </c>
      <c r="C2878" t="s">
        <v>532</v>
      </c>
      <c r="D2878" t="s">
        <v>530</v>
      </c>
      <c r="E2878">
        <v>30</v>
      </c>
      <c r="F2878">
        <v>51</v>
      </c>
      <c r="G2878" s="8">
        <f>Lektionen[[#This Row],[Bearbeitungsdauer_real]]/Lektionen[[#This Row],[Bearbeitungsdauer_geschätzt]]-1</f>
        <v>0.7</v>
      </c>
      <c r="H2878" s="8" t="str" cm="1">
        <f t="array" ref="H2878">_xlfn.IFS(Lektionen[[#This Row],[Bearbeitungsdauer_abgewichen]]&gt;0.6,"viel länger",Lektionen[[#This Row],[Bearbeitungsdauer_abgewichen]]&gt;0.3,"länger",Lektionen[[#This Row],[Bearbeitungsdauer_abgewichen]]&lt;-0.3,"kürzer",TRUE,"keine Abweichung")</f>
        <v>viel länger</v>
      </c>
      <c r="I2878">
        <v>4</v>
      </c>
    </row>
    <row r="2879" spans="1:9" hidden="1" x14ac:dyDescent="0.3">
      <c r="A2879" s="13">
        <v>450</v>
      </c>
      <c r="B2879" s="4">
        <v>6</v>
      </c>
      <c r="C2879" t="s">
        <v>533</v>
      </c>
      <c r="D2879" t="s">
        <v>534</v>
      </c>
      <c r="E2879">
        <v>5</v>
      </c>
      <c r="F2879">
        <v>2</v>
      </c>
      <c r="G2879" s="8">
        <f>Lektionen[[#This Row],[Bearbeitungsdauer_real]]/Lektionen[[#This Row],[Bearbeitungsdauer_geschätzt]]-1</f>
        <v>-0.6</v>
      </c>
      <c r="H2879" s="8" t="str" cm="1">
        <f t="array" ref="H2879">_xlfn.IFS(Lektionen[[#This Row],[Bearbeitungsdauer_abgewichen]]&gt;0.6,"viel länger",Lektionen[[#This Row],[Bearbeitungsdauer_abgewichen]]&gt;0.3,"länger",Lektionen[[#This Row],[Bearbeitungsdauer_abgewichen]]&lt;-0.3,"kürzer",TRUE,"keine Abweichung")</f>
        <v>kürzer</v>
      </c>
      <c r="I2879">
        <v>2</v>
      </c>
    </row>
    <row r="2880" spans="1:9" hidden="1" x14ac:dyDescent="0.3">
      <c r="A2880" s="13">
        <v>450</v>
      </c>
      <c r="B2880" s="4">
        <v>7</v>
      </c>
      <c r="C2880" t="s">
        <v>535</v>
      </c>
      <c r="D2880" t="s">
        <v>536</v>
      </c>
      <c r="E2880">
        <v>10</v>
      </c>
      <c r="F2880">
        <v>12</v>
      </c>
      <c r="G2880" s="8">
        <f>Lektionen[[#This Row],[Bearbeitungsdauer_real]]/Lektionen[[#This Row],[Bearbeitungsdauer_geschätzt]]-1</f>
        <v>0.19999999999999996</v>
      </c>
      <c r="H2880" s="8" t="str" cm="1">
        <f t="array" ref="H2880">_xlfn.IFS(Lektionen[[#This Row],[Bearbeitungsdauer_abgewichen]]&gt;0.6,"viel länger",Lektionen[[#This Row],[Bearbeitungsdauer_abgewichen]]&gt;0.3,"länger",Lektionen[[#This Row],[Bearbeitungsdauer_abgewichen]]&lt;-0.3,"kürzer",TRUE,"keine Abweichung")</f>
        <v>keine Abweichung</v>
      </c>
      <c r="I2880">
        <v>3</v>
      </c>
    </row>
    <row r="2881" spans="1:9" hidden="1" x14ac:dyDescent="0.3">
      <c r="A2881" s="13">
        <v>450</v>
      </c>
      <c r="B2881" s="4">
        <v>8</v>
      </c>
      <c r="C2881" t="s">
        <v>537</v>
      </c>
      <c r="D2881" t="s">
        <v>527</v>
      </c>
      <c r="E2881">
        <v>5</v>
      </c>
      <c r="F2881">
        <v>5</v>
      </c>
      <c r="G2881" s="8">
        <f>Lektionen[[#This Row],[Bearbeitungsdauer_real]]/Lektionen[[#This Row],[Bearbeitungsdauer_geschätzt]]-1</f>
        <v>0</v>
      </c>
      <c r="H2881" s="8" t="str" cm="1">
        <f t="array" ref="H2881">_xlfn.IFS(Lektionen[[#This Row],[Bearbeitungsdauer_abgewichen]]&gt;0.6,"viel länger",Lektionen[[#This Row],[Bearbeitungsdauer_abgewichen]]&gt;0.3,"länger",Lektionen[[#This Row],[Bearbeitungsdauer_abgewichen]]&lt;-0.3,"kürzer",TRUE,"keine Abweichung")</f>
        <v>keine Abweichung</v>
      </c>
      <c r="I2881">
        <v>1</v>
      </c>
    </row>
    <row r="2882" spans="1:9" hidden="1" x14ac:dyDescent="0.3">
      <c r="A2882" s="13">
        <v>452</v>
      </c>
      <c r="B2882" s="4">
        <v>1</v>
      </c>
      <c r="C2882" t="s">
        <v>526</v>
      </c>
      <c r="D2882" t="s">
        <v>527</v>
      </c>
      <c r="E2882">
        <v>4</v>
      </c>
      <c r="F2882">
        <v>4</v>
      </c>
      <c r="G2882" s="8">
        <f>Lektionen[[#This Row],[Bearbeitungsdauer_real]]/Lektionen[[#This Row],[Bearbeitungsdauer_geschätzt]]-1</f>
        <v>0</v>
      </c>
      <c r="H2882" s="8" t="str" cm="1">
        <f t="array" ref="H2882">_xlfn.IFS(Lektionen[[#This Row],[Bearbeitungsdauer_abgewichen]]&gt;0.6,"viel länger",Lektionen[[#This Row],[Bearbeitungsdauer_abgewichen]]&gt;0.3,"länger",Lektionen[[#This Row],[Bearbeitungsdauer_abgewichen]]&lt;-0.3,"kürzer",TRUE,"keine Abweichung")</f>
        <v>keine Abweichung</v>
      </c>
      <c r="I2882">
        <v>1</v>
      </c>
    </row>
    <row r="2883" spans="1:9" hidden="1" x14ac:dyDescent="0.3">
      <c r="A2883" s="13">
        <v>452</v>
      </c>
      <c r="B2883" s="4">
        <v>2</v>
      </c>
      <c r="C2883" t="s">
        <v>528</v>
      </c>
      <c r="D2883" t="s">
        <v>529</v>
      </c>
      <c r="E2883">
        <v>15</v>
      </c>
      <c r="F2883">
        <v>19</v>
      </c>
      <c r="G2883" s="8">
        <f>Lektionen[[#This Row],[Bearbeitungsdauer_real]]/Lektionen[[#This Row],[Bearbeitungsdauer_geschätzt]]-1</f>
        <v>0.26666666666666661</v>
      </c>
      <c r="H2883" s="8" t="str" cm="1">
        <f t="array" ref="H2883">_xlfn.IFS(Lektionen[[#This Row],[Bearbeitungsdauer_abgewichen]]&gt;0.6,"viel länger",Lektionen[[#This Row],[Bearbeitungsdauer_abgewichen]]&gt;0.3,"länger",Lektionen[[#This Row],[Bearbeitungsdauer_abgewichen]]&lt;-0.3,"kürzer",TRUE,"keine Abweichung")</f>
        <v>keine Abweichung</v>
      </c>
      <c r="I2883">
        <v>2</v>
      </c>
    </row>
    <row r="2884" spans="1:9" hidden="1" x14ac:dyDescent="0.3">
      <c r="A2884" s="13">
        <v>452</v>
      </c>
      <c r="B2884" s="4">
        <v>3</v>
      </c>
      <c r="C2884" t="s">
        <v>552</v>
      </c>
      <c r="D2884" t="s">
        <v>530</v>
      </c>
      <c r="E2884">
        <v>30</v>
      </c>
      <c r="F2884">
        <v>28</v>
      </c>
      <c r="G2884" s="8">
        <f>Lektionen[[#This Row],[Bearbeitungsdauer_real]]/Lektionen[[#This Row],[Bearbeitungsdauer_geschätzt]]-1</f>
        <v>-6.6666666666666652E-2</v>
      </c>
      <c r="H2884" s="8" t="str" cm="1">
        <f t="array" ref="H2884">_xlfn.IFS(Lektionen[[#This Row],[Bearbeitungsdauer_abgewichen]]&gt;0.6,"viel länger",Lektionen[[#This Row],[Bearbeitungsdauer_abgewichen]]&gt;0.3,"länger",Lektionen[[#This Row],[Bearbeitungsdauer_abgewichen]]&lt;-0.3,"kürzer",TRUE,"keine Abweichung")</f>
        <v>keine Abweichung</v>
      </c>
      <c r="I2884">
        <v>2</v>
      </c>
    </row>
    <row r="2885" spans="1:9" hidden="1" x14ac:dyDescent="0.3">
      <c r="A2885" s="13">
        <v>452</v>
      </c>
      <c r="B2885" s="4">
        <v>4</v>
      </c>
      <c r="C2885" t="s">
        <v>531</v>
      </c>
      <c r="D2885" t="s">
        <v>530</v>
      </c>
      <c r="E2885">
        <v>30</v>
      </c>
      <c r="F2885">
        <v>27</v>
      </c>
      <c r="G2885" s="8">
        <f>Lektionen[[#This Row],[Bearbeitungsdauer_real]]/Lektionen[[#This Row],[Bearbeitungsdauer_geschätzt]]-1</f>
        <v>-9.9999999999999978E-2</v>
      </c>
      <c r="H2885" s="8" t="str" cm="1">
        <f t="array" ref="H2885">_xlfn.IFS(Lektionen[[#This Row],[Bearbeitungsdauer_abgewichen]]&gt;0.6,"viel länger",Lektionen[[#This Row],[Bearbeitungsdauer_abgewichen]]&gt;0.3,"länger",Lektionen[[#This Row],[Bearbeitungsdauer_abgewichen]]&lt;-0.3,"kürzer",TRUE,"keine Abweichung")</f>
        <v>keine Abweichung</v>
      </c>
      <c r="I2885">
        <v>3</v>
      </c>
    </row>
    <row r="2886" spans="1:9" x14ac:dyDescent="0.3">
      <c r="A2886" s="13">
        <v>452</v>
      </c>
      <c r="B2886" s="4">
        <v>5</v>
      </c>
      <c r="C2886" t="s">
        <v>532</v>
      </c>
      <c r="D2886" t="s">
        <v>530</v>
      </c>
      <c r="E2886">
        <v>30</v>
      </c>
      <c r="F2886">
        <v>48</v>
      </c>
      <c r="G2886" s="8">
        <f>Lektionen[[#This Row],[Bearbeitungsdauer_real]]/Lektionen[[#This Row],[Bearbeitungsdauer_geschätzt]]-1</f>
        <v>0.60000000000000009</v>
      </c>
      <c r="H2886" s="8" t="str" cm="1">
        <f t="array" ref="H2886">_xlfn.IFS(Lektionen[[#This Row],[Bearbeitungsdauer_abgewichen]]&gt;0.6,"viel länger",Lektionen[[#This Row],[Bearbeitungsdauer_abgewichen]]&gt;0.3,"länger",Lektionen[[#This Row],[Bearbeitungsdauer_abgewichen]]&lt;-0.3,"kürzer",TRUE,"keine Abweichung")</f>
        <v>länger</v>
      </c>
      <c r="I2886">
        <v>4</v>
      </c>
    </row>
    <row r="2887" spans="1:9" hidden="1" x14ac:dyDescent="0.3">
      <c r="A2887" s="13">
        <v>452</v>
      </c>
      <c r="B2887" s="4">
        <v>6</v>
      </c>
      <c r="C2887" t="s">
        <v>533</v>
      </c>
      <c r="D2887" t="s">
        <v>534</v>
      </c>
      <c r="E2887">
        <v>5</v>
      </c>
      <c r="F2887">
        <v>1</v>
      </c>
      <c r="G2887" s="8">
        <f>Lektionen[[#This Row],[Bearbeitungsdauer_real]]/Lektionen[[#This Row],[Bearbeitungsdauer_geschätzt]]-1</f>
        <v>-0.8</v>
      </c>
      <c r="H2887" s="8" t="str" cm="1">
        <f t="array" ref="H2887">_xlfn.IFS(Lektionen[[#This Row],[Bearbeitungsdauer_abgewichen]]&gt;0.6,"viel länger",Lektionen[[#This Row],[Bearbeitungsdauer_abgewichen]]&gt;0.3,"länger",Lektionen[[#This Row],[Bearbeitungsdauer_abgewichen]]&lt;-0.3,"kürzer",TRUE,"keine Abweichung")</f>
        <v>kürzer</v>
      </c>
      <c r="I2887">
        <v>1</v>
      </c>
    </row>
    <row r="2888" spans="1:9" hidden="1" x14ac:dyDescent="0.3">
      <c r="A2888" s="13">
        <v>452</v>
      </c>
      <c r="B2888" s="4">
        <v>7</v>
      </c>
      <c r="C2888" t="s">
        <v>535</v>
      </c>
      <c r="D2888" t="s">
        <v>536</v>
      </c>
      <c r="E2888">
        <v>10</v>
      </c>
      <c r="F2888">
        <v>9</v>
      </c>
      <c r="G2888" s="8">
        <f>Lektionen[[#This Row],[Bearbeitungsdauer_real]]/Lektionen[[#This Row],[Bearbeitungsdauer_geschätzt]]-1</f>
        <v>-9.9999999999999978E-2</v>
      </c>
      <c r="H2888" s="8" t="str" cm="1">
        <f t="array" ref="H2888">_xlfn.IFS(Lektionen[[#This Row],[Bearbeitungsdauer_abgewichen]]&gt;0.6,"viel länger",Lektionen[[#This Row],[Bearbeitungsdauer_abgewichen]]&gt;0.3,"länger",Lektionen[[#This Row],[Bearbeitungsdauer_abgewichen]]&lt;-0.3,"kürzer",TRUE,"keine Abweichung")</f>
        <v>keine Abweichung</v>
      </c>
      <c r="I2888">
        <v>4</v>
      </c>
    </row>
    <row r="2889" spans="1:9" hidden="1" x14ac:dyDescent="0.3">
      <c r="A2889" s="13">
        <v>452</v>
      </c>
      <c r="B2889" s="4">
        <v>8</v>
      </c>
      <c r="C2889" t="s">
        <v>537</v>
      </c>
      <c r="D2889" t="s">
        <v>527</v>
      </c>
      <c r="E2889">
        <v>5</v>
      </c>
      <c r="F2889">
        <v>5</v>
      </c>
      <c r="G2889" s="8">
        <f>Lektionen[[#This Row],[Bearbeitungsdauer_real]]/Lektionen[[#This Row],[Bearbeitungsdauer_geschätzt]]-1</f>
        <v>0</v>
      </c>
      <c r="H2889" s="8" t="str" cm="1">
        <f t="array" ref="H2889">_xlfn.IFS(Lektionen[[#This Row],[Bearbeitungsdauer_abgewichen]]&gt;0.6,"viel länger",Lektionen[[#This Row],[Bearbeitungsdauer_abgewichen]]&gt;0.3,"länger",Lektionen[[#This Row],[Bearbeitungsdauer_abgewichen]]&lt;-0.3,"kürzer",TRUE,"keine Abweichung")</f>
        <v>keine Abweichung</v>
      </c>
      <c r="I2889">
        <v>1</v>
      </c>
    </row>
    <row r="2890" spans="1:9" hidden="1" x14ac:dyDescent="0.3">
      <c r="A2890" s="13">
        <v>453</v>
      </c>
      <c r="B2890" s="4">
        <v>1</v>
      </c>
      <c r="C2890" t="s">
        <v>526</v>
      </c>
      <c r="D2890" t="s">
        <v>527</v>
      </c>
      <c r="E2890">
        <v>4</v>
      </c>
      <c r="F2890">
        <v>4</v>
      </c>
      <c r="G2890" s="8">
        <f>Lektionen[[#This Row],[Bearbeitungsdauer_real]]/Lektionen[[#This Row],[Bearbeitungsdauer_geschätzt]]-1</f>
        <v>0</v>
      </c>
      <c r="H2890" s="8" t="str" cm="1">
        <f t="array" ref="H2890">_xlfn.IFS(Lektionen[[#This Row],[Bearbeitungsdauer_abgewichen]]&gt;0.6,"viel länger",Lektionen[[#This Row],[Bearbeitungsdauer_abgewichen]]&gt;0.3,"länger",Lektionen[[#This Row],[Bearbeitungsdauer_abgewichen]]&lt;-0.3,"kürzer",TRUE,"keine Abweichung")</f>
        <v>keine Abweichung</v>
      </c>
      <c r="I2890">
        <v>1</v>
      </c>
    </row>
    <row r="2891" spans="1:9" hidden="1" x14ac:dyDescent="0.3">
      <c r="A2891" s="13">
        <v>453</v>
      </c>
      <c r="B2891" s="4">
        <v>2</v>
      </c>
      <c r="C2891" t="s">
        <v>528</v>
      </c>
      <c r="D2891" t="s">
        <v>529</v>
      </c>
      <c r="E2891">
        <v>15</v>
      </c>
      <c r="F2891">
        <v>17</v>
      </c>
      <c r="G2891" s="8">
        <f>Lektionen[[#This Row],[Bearbeitungsdauer_real]]/Lektionen[[#This Row],[Bearbeitungsdauer_geschätzt]]-1</f>
        <v>0.1333333333333333</v>
      </c>
      <c r="H2891" s="8" t="str" cm="1">
        <f t="array" ref="H2891">_xlfn.IFS(Lektionen[[#This Row],[Bearbeitungsdauer_abgewichen]]&gt;0.6,"viel länger",Lektionen[[#This Row],[Bearbeitungsdauer_abgewichen]]&gt;0.3,"länger",Lektionen[[#This Row],[Bearbeitungsdauer_abgewichen]]&lt;-0.3,"kürzer",TRUE,"keine Abweichung")</f>
        <v>keine Abweichung</v>
      </c>
      <c r="I2891">
        <v>1</v>
      </c>
    </row>
    <row r="2892" spans="1:9" hidden="1" x14ac:dyDescent="0.3">
      <c r="A2892" s="13">
        <v>453</v>
      </c>
      <c r="B2892" s="4">
        <v>3</v>
      </c>
      <c r="C2892" t="s">
        <v>552</v>
      </c>
      <c r="D2892" t="s">
        <v>530</v>
      </c>
      <c r="E2892">
        <v>30</v>
      </c>
      <c r="F2892">
        <v>27</v>
      </c>
      <c r="G2892" s="8">
        <f>Lektionen[[#This Row],[Bearbeitungsdauer_real]]/Lektionen[[#This Row],[Bearbeitungsdauer_geschätzt]]-1</f>
        <v>-9.9999999999999978E-2</v>
      </c>
      <c r="H2892" s="8" t="str" cm="1">
        <f t="array" ref="H2892">_xlfn.IFS(Lektionen[[#This Row],[Bearbeitungsdauer_abgewichen]]&gt;0.6,"viel länger",Lektionen[[#This Row],[Bearbeitungsdauer_abgewichen]]&gt;0.3,"länger",Lektionen[[#This Row],[Bearbeitungsdauer_abgewichen]]&lt;-0.3,"kürzer",TRUE,"keine Abweichung")</f>
        <v>keine Abweichung</v>
      </c>
      <c r="I2892">
        <v>2</v>
      </c>
    </row>
    <row r="2893" spans="1:9" hidden="1" x14ac:dyDescent="0.3">
      <c r="A2893" s="13">
        <v>453</v>
      </c>
      <c r="B2893" s="4">
        <v>4</v>
      </c>
      <c r="C2893" t="s">
        <v>531</v>
      </c>
      <c r="D2893" t="s">
        <v>530</v>
      </c>
      <c r="E2893">
        <v>30</v>
      </c>
      <c r="F2893">
        <v>22</v>
      </c>
      <c r="G2893" s="8">
        <f>Lektionen[[#This Row],[Bearbeitungsdauer_real]]/Lektionen[[#This Row],[Bearbeitungsdauer_geschätzt]]-1</f>
        <v>-0.26666666666666672</v>
      </c>
      <c r="H2893" s="8" t="str" cm="1">
        <f t="array" ref="H2893">_xlfn.IFS(Lektionen[[#This Row],[Bearbeitungsdauer_abgewichen]]&gt;0.6,"viel länger",Lektionen[[#This Row],[Bearbeitungsdauer_abgewichen]]&gt;0.3,"länger",Lektionen[[#This Row],[Bearbeitungsdauer_abgewichen]]&lt;-0.3,"kürzer",TRUE,"keine Abweichung")</f>
        <v>keine Abweichung</v>
      </c>
      <c r="I2893">
        <v>4</v>
      </c>
    </row>
    <row r="2894" spans="1:9" x14ac:dyDescent="0.3">
      <c r="A2894" s="13">
        <v>453</v>
      </c>
      <c r="B2894" s="4">
        <v>5</v>
      </c>
      <c r="C2894" t="s">
        <v>532</v>
      </c>
      <c r="D2894" t="s">
        <v>530</v>
      </c>
      <c r="E2894">
        <v>30</v>
      </c>
      <c r="F2894">
        <v>51</v>
      </c>
      <c r="G2894" s="8">
        <f>Lektionen[[#This Row],[Bearbeitungsdauer_real]]/Lektionen[[#This Row],[Bearbeitungsdauer_geschätzt]]-1</f>
        <v>0.7</v>
      </c>
      <c r="H2894" s="8" t="str" cm="1">
        <f t="array" ref="H2894">_xlfn.IFS(Lektionen[[#This Row],[Bearbeitungsdauer_abgewichen]]&gt;0.6,"viel länger",Lektionen[[#This Row],[Bearbeitungsdauer_abgewichen]]&gt;0.3,"länger",Lektionen[[#This Row],[Bearbeitungsdauer_abgewichen]]&lt;-0.3,"kürzer",TRUE,"keine Abweichung")</f>
        <v>viel länger</v>
      </c>
      <c r="I2894">
        <v>3</v>
      </c>
    </row>
    <row r="2895" spans="1:9" hidden="1" x14ac:dyDescent="0.3">
      <c r="A2895" s="13">
        <v>453</v>
      </c>
      <c r="B2895" s="4">
        <v>6</v>
      </c>
      <c r="C2895" t="s">
        <v>533</v>
      </c>
      <c r="D2895" t="s">
        <v>534</v>
      </c>
      <c r="E2895">
        <v>5</v>
      </c>
      <c r="F2895">
        <v>1</v>
      </c>
      <c r="G2895" s="8">
        <f>Lektionen[[#This Row],[Bearbeitungsdauer_real]]/Lektionen[[#This Row],[Bearbeitungsdauer_geschätzt]]-1</f>
        <v>-0.8</v>
      </c>
      <c r="H2895" s="8" t="str" cm="1">
        <f t="array" ref="H2895">_xlfn.IFS(Lektionen[[#This Row],[Bearbeitungsdauer_abgewichen]]&gt;0.6,"viel länger",Lektionen[[#This Row],[Bearbeitungsdauer_abgewichen]]&gt;0.3,"länger",Lektionen[[#This Row],[Bearbeitungsdauer_abgewichen]]&lt;-0.3,"kürzer",TRUE,"keine Abweichung")</f>
        <v>kürzer</v>
      </c>
      <c r="I2895">
        <v>2</v>
      </c>
    </row>
    <row r="2896" spans="1:9" hidden="1" x14ac:dyDescent="0.3">
      <c r="A2896" s="13">
        <v>453</v>
      </c>
      <c r="B2896" s="4">
        <v>7</v>
      </c>
      <c r="C2896" t="s">
        <v>535</v>
      </c>
      <c r="D2896" t="s">
        <v>536</v>
      </c>
      <c r="E2896">
        <v>10</v>
      </c>
      <c r="F2896">
        <v>10</v>
      </c>
      <c r="G2896" s="8">
        <f>Lektionen[[#This Row],[Bearbeitungsdauer_real]]/Lektionen[[#This Row],[Bearbeitungsdauer_geschätzt]]-1</f>
        <v>0</v>
      </c>
      <c r="H2896" s="8" t="str" cm="1">
        <f t="array" ref="H2896">_xlfn.IFS(Lektionen[[#This Row],[Bearbeitungsdauer_abgewichen]]&gt;0.6,"viel länger",Lektionen[[#This Row],[Bearbeitungsdauer_abgewichen]]&gt;0.3,"länger",Lektionen[[#This Row],[Bearbeitungsdauer_abgewichen]]&lt;-0.3,"kürzer",TRUE,"keine Abweichung")</f>
        <v>keine Abweichung</v>
      </c>
      <c r="I2896">
        <v>3</v>
      </c>
    </row>
    <row r="2897" spans="1:9" hidden="1" x14ac:dyDescent="0.3">
      <c r="A2897" s="13">
        <v>453</v>
      </c>
      <c r="B2897" s="4">
        <v>8</v>
      </c>
      <c r="C2897" t="s">
        <v>537</v>
      </c>
      <c r="D2897" t="s">
        <v>527</v>
      </c>
      <c r="E2897">
        <v>5</v>
      </c>
      <c r="F2897">
        <v>8</v>
      </c>
      <c r="G2897" s="8">
        <f>Lektionen[[#This Row],[Bearbeitungsdauer_real]]/Lektionen[[#This Row],[Bearbeitungsdauer_geschätzt]]-1</f>
        <v>0.60000000000000009</v>
      </c>
      <c r="H2897" s="8" t="str" cm="1">
        <f t="array" ref="H2897">_xlfn.IFS(Lektionen[[#This Row],[Bearbeitungsdauer_abgewichen]]&gt;0.6,"viel länger",Lektionen[[#This Row],[Bearbeitungsdauer_abgewichen]]&gt;0.3,"länger",Lektionen[[#This Row],[Bearbeitungsdauer_abgewichen]]&lt;-0.3,"kürzer",TRUE,"keine Abweichung")</f>
        <v>länger</v>
      </c>
      <c r="I2897">
        <v>1</v>
      </c>
    </row>
    <row r="2898" spans="1:9" hidden="1" x14ac:dyDescent="0.3">
      <c r="A2898" s="13">
        <v>454</v>
      </c>
      <c r="B2898" s="4">
        <v>1</v>
      </c>
      <c r="C2898" t="s">
        <v>526</v>
      </c>
      <c r="D2898" t="s">
        <v>527</v>
      </c>
      <c r="E2898">
        <v>4</v>
      </c>
      <c r="F2898">
        <v>4</v>
      </c>
      <c r="G2898" s="8">
        <f>Lektionen[[#This Row],[Bearbeitungsdauer_real]]/Lektionen[[#This Row],[Bearbeitungsdauer_geschätzt]]-1</f>
        <v>0</v>
      </c>
      <c r="H2898" s="8" t="str" cm="1">
        <f t="array" ref="H2898">_xlfn.IFS(Lektionen[[#This Row],[Bearbeitungsdauer_abgewichen]]&gt;0.6,"viel länger",Lektionen[[#This Row],[Bearbeitungsdauer_abgewichen]]&gt;0.3,"länger",Lektionen[[#This Row],[Bearbeitungsdauer_abgewichen]]&lt;-0.3,"kürzer",TRUE,"keine Abweichung")</f>
        <v>keine Abweichung</v>
      </c>
      <c r="I2898">
        <v>1</v>
      </c>
    </row>
    <row r="2899" spans="1:9" hidden="1" x14ac:dyDescent="0.3">
      <c r="A2899" s="13">
        <v>454</v>
      </c>
      <c r="B2899" s="4">
        <v>2</v>
      </c>
      <c r="C2899" t="s">
        <v>528</v>
      </c>
      <c r="D2899" t="s">
        <v>529</v>
      </c>
      <c r="E2899">
        <v>15</v>
      </c>
      <c r="F2899">
        <v>16</v>
      </c>
      <c r="G2899" s="8">
        <f>Lektionen[[#This Row],[Bearbeitungsdauer_real]]/Lektionen[[#This Row],[Bearbeitungsdauer_geschätzt]]-1</f>
        <v>6.6666666666666652E-2</v>
      </c>
      <c r="H2899" s="8" t="str" cm="1">
        <f t="array" ref="H2899">_xlfn.IFS(Lektionen[[#This Row],[Bearbeitungsdauer_abgewichen]]&gt;0.6,"viel länger",Lektionen[[#This Row],[Bearbeitungsdauer_abgewichen]]&gt;0.3,"länger",Lektionen[[#This Row],[Bearbeitungsdauer_abgewichen]]&lt;-0.3,"kürzer",TRUE,"keine Abweichung")</f>
        <v>keine Abweichung</v>
      </c>
      <c r="I2899">
        <v>1</v>
      </c>
    </row>
    <row r="2900" spans="1:9" hidden="1" x14ac:dyDescent="0.3">
      <c r="A2900" s="13">
        <v>454</v>
      </c>
      <c r="B2900" s="4">
        <v>3</v>
      </c>
      <c r="C2900" t="s">
        <v>552</v>
      </c>
      <c r="D2900" t="s">
        <v>530</v>
      </c>
      <c r="E2900">
        <v>30</v>
      </c>
      <c r="F2900">
        <v>48</v>
      </c>
      <c r="G2900" s="8">
        <f>Lektionen[[#This Row],[Bearbeitungsdauer_real]]/Lektionen[[#This Row],[Bearbeitungsdauer_geschätzt]]-1</f>
        <v>0.60000000000000009</v>
      </c>
      <c r="H2900" s="8" t="str" cm="1">
        <f t="array" ref="H2900">_xlfn.IFS(Lektionen[[#This Row],[Bearbeitungsdauer_abgewichen]]&gt;0.6,"viel länger",Lektionen[[#This Row],[Bearbeitungsdauer_abgewichen]]&gt;0.3,"länger",Lektionen[[#This Row],[Bearbeitungsdauer_abgewichen]]&lt;-0.3,"kürzer",TRUE,"keine Abweichung")</f>
        <v>länger</v>
      </c>
      <c r="I2900">
        <v>3</v>
      </c>
    </row>
    <row r="2901" spans="1:9" hidden="1" x14ac:dyDescent="0.3">
      <c r="A2901" s="13">
        <v>454</v>
      </c>
      <c r="B2901" s="4">
        <v>4</v>
      </c>
      <c r="C2901" t="s">
        <v>531</v>
      </c>
      <c r="D2901" t="s">
        <v>530</v>
      </c>
      <c r="E2901">
        <v>30</v>
      </c>
      <c r="F2901">
        <v>25</v>
      </c>
      <c r="G2901" s="8">
        <f>Lektionen[[#This Row],[Bearbeitungsdauer_real]]/Lektionen[[#This Row],[Bearbeitungsdauer_geschätzt]]-1</f>
        <v>-0.16666666666666663</v>
      </c>
      <c r="H2901" s="8" t="str" cm="1">
        <f t="array" ref="H2901">_xlfn.IFS(Lektionen[[#This Row],[Bearbeitungsdauer_abgewichen]]&gt;0.6,"viel länger",Lektionen[[#This Row],[Bearbeitungsdauer_abgewichen]]&gt;0.3,"länger",Lektionen[[#This Row],[Bearbeitungsdauer_abgewichen]]&lt;-0.3,"kürzer",TRUE,"keine Abweichung")</f>
        <v>keine Abweichung</v>
      </c>
      <c r="I2901">
        <v>3</v>
      </c>
    </row>
    <row r="2902" spans="1:9" x14ac:dyDescent="0.3">
      <c r="A2902" s="13">
        <v>454</v>
      </c>
      <c r="B2902" s="4">
        <v>5</v>
      </c>
      <c r="C2902" t="s">
        <v>532</v>
      </c>
      <c r="D2902" t="s">
        <v>530</v>
      </c>
      <c r="E2902">
        <v>30</v>
      </c>
      <c r="F2902">
        <v>42</v>
      </c>
      <c r="G2902" s="8">
        <f>Lektionen[[#This Row],[Bearbeitungsdauer_real]]/Lektionen[[#This Row],[Bearbeitungsdauer_geschätzt]]-1</f>
        <v>0.39999999999999991</v>
      </c>
      <c r="H2902" s="8" t="str" cm="1">
        <f t="array" ref="H2902">_xlfn.IFS(Lektionen[[#This Row],[Bearbeitungsdauer_abgewichen]]&gt;0.6,"viel länger",Lektionen[[#This Row],[Bearbeitungsdauer_abgewichen]]&gt;0.3,"länger",Lektionen[[#This Row],[Bearbeitungsdauer_abgewichen]]&lt;-0.3,"kürzer",TRUE,"keine Abweichung")</f>
        <v>länger</v>
      </c>
      <c r="I2902">
        <v>3</v>
      </c>
    </row>
    <row r="2903" spans="1:9" hidden="1" x14ac:dyDescent="0.3">
      <c r="A2903" s="13">
        <v>454</v>
      </c>
      <c r="B2903" s="4">
        <v>6</v>
      </c>
      <c r="C2903" t="s">
        <v>533</v>
      </c>
      <c r="D2903" t="s">
        <v>534</v>
      </c>
      <c r="E2903">
        <v>5</v>
      </c>
      <c r="F2903">
        <v>2</v>
      </c>
      <c r="G2903" s="8">
        <f>Lektionen[[#This Row],[Bearbeitungsdauer_real]]/Lektionen[[#This Row],[Bearbeitungsdauer_geschätzt]]-1</f>
        <v>-0.6</v>
      </c>
      <c r="H2903" s="8" t="str" cm="1">
        <f t="array" ref="H2903">_xlfn.IFS(Lektionen[[#This Row],[Bearbeitungsdauer_abgewichen]]&gt;0.6,"viel länger",Lektionen[[#This Row],[Bearbeitungsdauer_abgewichen]]&gt;0.3,"länger",Lektionen[[#This Row],[Bearbeitungsdauer_abgewichen]]&lt;-0.3,"kürzer",TRUE,"keine Abweichung")</f>
        <v>kürzer</v>
      </c>
      <c r="I2903">
        <v>3</v>
      </c>
    </row>
    <row r="2904" spans="1:9" hidden="1" x14ac:dyDescent="0.3">
      <c r="A2904" s="13">
        <v>454</v>
      </c>
      <c r="B2904" s="4">
        <v>7</v>
      </c>
      <c r="C2904" t="s">
        <v>535</v>
      </c>
      <c r="D2904" t="s">
        <v>536</v>
      </c>
      <c r="E2904">
        <v>10</v>
      </c>
      <c r="F2904">
        <v>9</v>
      </c>
      <c r="G2904" s="8">
        <f>Lektionen[[#This Row],[Bearbeitungsdauer_real]]/Lektionen[[#This Row],[Bearbeitungsdauer_geschätzt]]-1</f>
        <v>-9.9999999999999978E-2</v>
      </c>
      <c r="H2904" s="8" t="str" cm="1">
        <f t="array" ref="H2904">_xlfn.IFS(Lektionen[[#This Row],[Bearbeitungsdauer_abgewichen]]&gt;0.6,"viel länger",Lektionen[[#This Row],[Bearbeitungsdauer_abgewichen]]&gt;0.3,"länger",Lektionen[[#This Row],[Bearbeitungsdauer_abgewichen]]&lt;-0.3,"kürzer",TRUE,"keine Abweichung")</f>
        <v>keine Abweichung</v>
      </c>
      <c r="I2904">
        <v>4</v>
      </c>
    </row>
    <row r="2905" spans="1:9" hidden="1" x14ac:dyDescent="0.3">
      <c r="A2905" s="13">
        <v>454</v>
      </c>
      <c r="B2905" s="4">
        <v>8</v>
      </c>
      <c r="C2905" t="s">
        <v>537</v>
      </c>
      <c r="D2905" t="s">
        <v>527</v>
      </c>
      <c r="E2905">
        <v>5</v>
      </c>
      <c r="F2905">
        <v>5</v>
      </c>
      <c r="G2905" s="8">
        <f>Lektionen[[#This Row],[Bearbeitungsdauer_real]]/Lektionen[[#This Row],[Bearbeitungsdauer_geschätzt]]-1</f>
        <v>0</v>
      </c>
      <c r="H2905" s="8" t="str" cm="1">
        <f t="array" ref="H2905">_xlfn.IFS(Lektionen[[#This Row],[Bearbeitungsdauer_abgewichen]]&gt;0.6,"viel länger",Lektionen[[#This Row],[Bearbeitungsdauer_abgewichen]]&gt;0.3,"länger",Lektionen[[#This Row],[Bearbeitungsdauer_abgewichen]]&lt;-0.3,"kürzer",TRUE,"keine Abweichung")</f>
        <v>keine Abweichung</v>
      </c>
      <c r="I2905">
        <v>1</v>
      </c>
    </row>
    <row r="2906" spans="1:9" hidden="1" x14ac:dyDescent="0.3">
      <c r="A2906" s="13">
        <v>455</v>
      </c>
      <c r="B2906" s="4">
        <v>1</v>
      </c>
      <c r="C2906" t="s">
        <v>526</v>
      </c>
      <c r="D2906" t="s">
        <v>527</v>
      </c>
      <c r="E2906">
        <v>4</v>
      </c>
      <c r="F2906">
        <v>4</v>
      </c>
      <c r="G2906" s="8">
        <f>Lektionen[[#This Row],[Bearbeitungsdauer_real]]/Lektionen[[#This Row],[Bearbeitungsdauer_geschätzt]]-1</f>
        <v>0</v>
      </c>
      <c r="H2906" s="8" t="str" cm="1">
        <f t="array" ref="H2906">_xlfn.IFS(Lektionen[[#This Row],[Bearbeitungsdauer_abgewichen]]&gt;0.6,"viel länger",Lektionen[[#This Row],[Bearbeitungsdauer_abgewichen]]&gt;0.3,"länger",Lektionen[[#This Row],[Bearbeitungsdauer_abgewichen]]&lt;-0.3,"kürzer",TRUE,"keine Abweichung")</f>
        <v>keine Abweichung</v>
      </c>
      <c r="I2906">
        <v>1</v>
      </c>
    </row>
    <row r="2907" spans="1:9" hidden="1" x14ac:dyDescent="0.3">
      <c r="A2907" s="13">
        <v>455</v>
      </c>
      <c r="B2907" s="4">
        <v>2</v>
      </c>
      <c r="C2907" t="s">
        <v>528</v>
      </c>
      <c r="D2907" t="s">
        <v>529</v>
      </c>
      <c r="E2907">
        <v>15</v>
      </c>
      <c r="F2907">
        <v>19</v>
      </c>
      <c r="G2907" s="8">
        <f>Lektionen[[#This Row],[Bearbeitungsdauer_real]]/Lektionen[[#This Row],[Bearbeitungsdauer_geschätzt]]-1</f>
        <v>0.26666666666666661</v>
      </c>
      <c r="H2907" s="8" t="str" cm="1">
        <f t="array" ref="H2907">_xlfn.IFS(Lektionen[[#This Row],[Bearbeitungsdauer_abgewichen]]&gt;0.6,"viel länger",Lektionen[[#This Row],[Bearbeitungsdauer_abgewichen]]&gt;0.3,"länger",Lektionen[[#This Row],[Bearbeitungsdauer_abgewichen]]&lt;-0.3,"kürzer",TRUE,"keine Abweichung")</f>
        <v>keine Abweichung</v>
      </c>
      <c r="I2907">
        <v>1</v>
      </c>
    </row>
    <row r="2908" spans="1:9" hidden="1" x14ac:dyDescent="0.3">
      <c r="A2908" s="13">
        <v>455</v>
      </c>
      <c r="B2908" s="4">
        <v>3</v>
      </c>
      <c r="C2908" t="s">
        <v>552</v>
      </c>
      <c r="D2908" t="s">
        <v>530</v>
      </c>
      <c r="E2908">
        <v>30</v>
      </c>
      <c r="F2908">
        <v>28</v>
      </c>
      <c r="G2908" s="8">
        <f>Lektionen[[#This Row],[Bearbeitungsdauer_real]]/Lektionen[[#This Row],[Bearbeitungsdauer_geschätzt]]-1</f>
        <v>-6.6666666666666652E-2</v>
      </c>
      <c r="H2908" s="8" t="str" cm="1">
        <f t="array" ref="H2908">_xlfn.IFS(Lektionen[[#This Row],[Bearbeitungsdauer_abgewichen]]&gt;0.6,"viel länger",Lektionen[[#This Row],[Bearbeitungsdauer_abgewichen]]&gt;0.3,"länger",Lektionen[[#This Row],[Bearbeitungsdauer_abgewichen]]&lt;-0.3,"kürzer",TRUE,"keine Abweichung")</f>
        <v>keine Abweichung</v>
      </c>
      <c r="I2908">
        <v>3</v>
      </c>
    </row>
    <row r="2909" spans="1:9" hidden="1" x14ac:dyDescent="0.3">
      <c r="A2909" s="13">
        <v>455</v>
      </c>
      <c r="B2909" s="4">
        <v>4</v>
      </c>
      <c r="C2909" t="s">
        <v>531</v>
      </c>
      <c r="D2909" t="s">
        <v>530</v>
      </c>
      <c r="E2909">
        <v>30</v>
      </c>
      <c r="F2909">
        <v>22</v>
      </c>
      <c r="G2909" s="8">
        <f>Lektionen[[#This Row],[Bearbeitungsdauer_real]]/Lektionen[[#This Row],[Bearbeitungsdauer_geschätzt]]-1</f>
        <v>-0.26666666666666672</v>
      </c>
      <c r="H2909" s="8" t="str" cm="1">
        <f t="array" ref="H2909">_xlfn.IFS(Lektionen[[#This Row],[Bearbeitungsdauer_abgewichen]]&gt;0.6,"viel länger",Lektionen[[#This Row],[Bearbeitungsdauer_abgewichen]]&gt;0.3,"länger",Lektionen[[#This Row],[Bearbeitungsdauer_abgewichen]]&lt;-0.3,"kürzer",TRUE,"keine Abweichung")</f>
        <v>keine Abweichung</v>
      </c>
      <c r="I2909">
        <v>3</v>
      </c>
    </row>
    <row r="2910" spans="1:9" x14ac:dyDescent="0.3">
      <c r="A2910" s="13">
        <v>455</v>
      </c>
      <c r="B2910" s="4">
        <v>5</v>
      </c>
      <c r="C2910" t="s">
        <v>532</v>
      </c>
      <c r="D2910" t="s">
        <v>530</v>
      </c>
      <c r="E2910">
        <v>30</v>
      </c>
      <c r="F2910">
        <v>46</v>
      </c>
      <c r="G2910" s="8">
        <f>Lektionen[[#This Row],[Bearbeitungsdauer_real]]/Lektionen[[#This Row],[Bearbeitungsdauer_geschätzt]]-1</f>
        <v>0.53333333333333344</v>
      </c>
      <c r="H2910" s="8" t="str" cm="1">
        <f t="array" ref="H2910">_xlfn.IFS(Lektionen[[#This Row],[Bearbeitungsdauer_abgewichen]]&gt;0.6,"viel länger",Lektionen[[#This Row],[Bearbeitungsdauer_abgewichen]]&gt;0.3,"länger",Lektionen[[#This Row],[Bearbeitungsdauer_abgewichen]]&lt;-0.3,"kürzer",TRUE,"keine Abweichung")</f>
        <v>länger</v>
      </c>
      <c r="I2910">
        <v>4</v>
      </c>
    </row>
    <row r="2911" spans="1:9" hidden="1" x14ac:dyDescent="0.3">
      <c r="A2911" s="13">
        <v>455</v>
      </c>
      <c r="B2911" s="4">
        <v>6</v>
      </c>
      <c r="C2911" t="s">
        <v>533</v>
      </c>
      <c r="D2911" t="s">
        <v>534</v>
      </c>
      <c r="E2911">
        <v>5</v>
      </c>
      <c r="F2911">
        <v>1</v>
      </c>
      <c r="G2911" s="8">
        <f>Lektionen[[#This Row],[Bearbeitungsdauer_real]]/Lektionen[[#This Row],[Bearbeitungsdauer_geschätzt]]-1</f>
        <v>-0.8</v>
      </c>
      <c r="H2911" s="8" t="str" cm="1">
        <f t="array" ref="H2911">_xlfn.IFS(Lektionen[[#This Row],[Bearbeitungsdauer_abgewichen]]&gt;0.6,"viel länger",Lektionen[[#This Row],[Bearbeitungsdauer_abgewichen]]&gt;0.3,"länger",Lektionen[[#This Row],[Bearbeitungsdauer_abgewichen]]&lt;-0.3,"kürzer",TRUE,"keine Abweichung")</f>
        <v>kürzer</v>
      </c>
      <c r="I2911">
        <v>3</v>
      </c>
    </row>
    <row r="2912" spans="1:9" hidden="1" x14ac:dyDescent="0.3">
      <c r="A2912" s="13">
        <v>455</v>
      </c>
      <c r="B2912" s="4">
        <v>7</v>
      </c>
      <c r="C2912" t="s">
        <v>535</v>
      </c>
      <c r="D2912" t="s">
        <v>536</v>
      </c>
      <c r="E2912">
        <v>10</v>
      </c>
      <c r="F2912">
        <v>11</v>
      </c>
      <c r="G2912" s="8">
        <f>Lektionen[[#This Row],[Bearbeitungsdauer_real]]/Lektionen[[#This Row],[Bearbeitungsdauer_geschätzt]]-1</f>
        <v>0.10000000000000009</v>
      </c>
      <c r="H2912" s="8" t="str" cm="1">
        <f t="array" ref="H2912">_xlfn.IFS(Lektionen[[#This Row],[Bearbeitungsdauer_abgewichen]]&gt;0.6,"viel länger",Lektionen[[#This Row],[Bearbeitungsdauer_abgewichen]]&gt;0.3,"länger",Lektionen[[#This Row],[Bearbeitungsdauer_abgewichen]]&lt;-0.3,"kürzer",TRUE,"keine Abweichung")</f>
        <v>keine Abweichung</v>
      </c>
      <c r="I2912">
        <v>3</v>
      </c>
    </row>
    <row r="2913" spans="1:9" hidden="1" x14ac:dyDescent="0.3">
      <c r="A2913" s="13">
        <v>455</v>
      </c>
      <c r="B2913" s="4">
        <v>8</v>
      </c>
      <c r="C2913" t="s">
        <v>537</v>
      </c>
      <c r="D2913" t="s">
        <v>527</v>
      </c>
      <c r="E2913">
        <v>5</v>
      </c>
      <c r="F2913">
        <v>5</v>
      </c>
      <c r="G2913" s="8">
        <f>Lektionen[[#This Row],[Bearbeitungsdauer_real]]/Lektionen[[#This Row],[Bearbeitungsdauer_geschätzt]]-1</f>
        <v>0</v>
      </c>
      <c r="H2913" s="8" t="str" cm="1">
        <f t="array" ref="H2913">_xlfn.IFS(Lektionen[[#This Row],[Bearbeitungsdauer_abgewichen]]&gt;0.6,"viel länger",Lektionen[[#This Row],[Bearbeitungsdauer_abgewichen]]&gt;0.3,"länger",Lektionen[[#This Row],[Bearbeitungsdauer_abgewichen]]&lt;-0.3,"kürzer",TRUE,"keine Abweichung")</f>
        <v>keine Abweichung</v>
      </c>
      <c r="I2913">
        <v>1</v>
      </c>
    </row>
    <row r="2914" spans="1:9" hidden="1" x14ac:dyDescent="0.3">
      <c r="A2914" s="13">
        <v>458</v>
      </c>
      <c r="B2914" s="4">
        <v>1</v>
      </c>
      <c r="C2914" t="s">
        <v>526</v>
      </c>
      <c r="D2914" t="s">
        <v>527</v>
      </c>
      <c r="E2914">
        <v>4</v>
      </c>
      <c r="F2914">
        <v>4</v>
      </c>
      <c r="G2914" s="8">
        <f>Lektionen[[#This Row],[Bearbeitungsdauer_real]]/Lektionen[[#This Row],[Bearbeitungsdauer_geschätzt]]-1</f>
        <v>0</v>
      </c>
      <c r="H2914" s="8" t="str" cm="1">
        <f t="array" ref="H2914">_xlfn.IFS(Lektionen[[#This Row],[Bearbeitungsdauer_abgewichen]]&gt;0.6,"viel länger",Lektionen[[#This Row],[Bearbeitungsdauer_abgewichen]]&gt;0.3,"länger",Lektionen[[#This Row],[Bearbeitungsdauer_abgewichen]]&lt;-0.3,"kürzer",TRUE,"keine Abweichung")</f>
        <v>keine Abweichung</v>
      </c>
      <c r="I2914">
        <v>1</v>
      </c>
    </row>
    <row r="2915" spans="1:9" hidden="1" x14ac:dyDescent="0.3">
      <c r="A2915" s="13">
        <v>458</v>
      </c>
      <c r="B2915" s="4">
        <v>2</v>
      </c>
      <c r="C2915" t="s">
        <v>528</v>
      </c>
      <c r="D2915" t="s">
        <v>529</v>
      </c>
      <c r="E2915">
        <v>15</v>
      </c>
      <c r="F2915">
        <v>19</v>
      </c>
      <c r="G2915" s="8">
        <f>Lektionen[[#This Row],[Bearbeitungsdauer_real]]/Lektionen[[#This Row],[Bearbeitungsdauer_geschätzt]]-1</f>
        <v>0.26666666666666661</v>
      </c>
      <c r="H2915" s="8" t="str" cm="1">
        <f t="array" ref="H2915">_xlfn.IFS(Lektionen[[#This Row],[Bearbeitungsdauer_abgewichen]]&gt;0.6,"viel länger",Lektionen[[#This Row],[Bearbeitungsdauer_abgewichen]]&gt;0.3,"länger",Lektionen[[#This Row],[Bearbeitungsdauer_abgewichen]]&lt;-0.3,"kürzer",TRUE,"keine Abweichung")</f>
        <v>keine Abweichung</v>
      </c>
      <c r="I2915">
        <v>2</v>
      </c>
    </row>
    <row r="2916" spans="1:9" hidden="1" x14ac:dyDescent="0.3">
      <c r="A2916" s="13">
        <v>458</v>
      </c>
      <c r="B2916" s="4">
        <v>3</v>
      </c>
      <c r="C2916" t="s">
        <v>552</v>
      </c>
      <c r="D2916" t="s">
        <v>530</v>
      </c>
      <c r="E2916">
        <v>30</v>
      </c>
      <c r="F2916">
        <v>27</v>
      </c>
      <c r="G2916" s="8">
        <f>Lektionen[[#This Row],[Bearbeitungsdauer_real]]/Lektionen[[#This Row],[Bearbeitungsdauer_geschätzt]]-1</f>
        <v>-9.9999999999999978E-2</v>
      </c>
      <c r="H2916" s="8" t="str" cm="1">
        <f t="array" ref="H2916">_xlfn.IFS(Lektionen[[#This Row],[Bearbeitungsdauer_abgewichen]]&gt;0.6,"viel länger",Lektionen[[#This Row],[Bearbeitungsdauer_abgewichen]]&gt;0.3,"länger",Lektionen[[#This Row],[Bearbeitungsdauer_abgewichen]]&lt;-0.3,"kürzer",TRUE,"keine Abweichung")</f>
        <v>keine Abweichung</v>
      </c>
      <c r="I2916">
        <v>2</v>
      </c>
    </row>
    <row r="2917" spans="1:9" hidden="1" x14ac:dyDescent="0.3">
      <c r="A2917" s="13">
        <v>458</v>
      </c>
      <c r="B2917" s="4">
        <v>4</v>
      </c>
      <c r="C2917" t="s">
        <v>531</v>
      </c>
      <c r="D2917" t="s">
        <v>530</v>
      </c>
      <c r="E2917">
        <v>30</v>
      </c>
      <c r="F2917">
        <v>22</v>
      </c>
      <c r="G2917" s="8">
        <f>Lektionen[[#This Row],[Bearbeitungsdauer_real]]/Lektionen[[#This Row],[Bearbeitungsdauer_geschätzt]]-1</f>
        <v>-0.26666666666666672</v>
      </c>
      <c r="H2917" s="8" t="str" cm="1">
        <f t="array" ref="H2917">_xlfn.IFS(Lektionen[[#This Row],[Bearbeitungsdauer_abgewichen]]&gt;0.6,"viel länger",Lektionen[[#This Row],[Bearbeitungsdauer_abgewichen]]&gt;0.3,"länger",Lektionen[[#This Row],[Bearbeitungsdauer_abgewichen]]&lt;-0.3,"kürzer",TRUE,"keine Abweichung")</f>
        <v>keine Abweichung</v>
      </c>
      <c r="I2917">
        <v>3</v>
      </c>
    </row>
    <row r="2918" spans="1:9" x14ac:dyDescent="0.3">
      <c r="A2918" s="13">
        <v>458</v>
      </c>
      <c r="B2918" s="4">
        <v>5</v>
      </c>
      <c r="C2918" t="s">
        <v>532</v>
      </c>
      <c r="D2918" t="s">
        <v>530</v>
      </c>
      <c r="E2918">
        <v>30</v>
      </c>
      <c r="F2918">
        <v>41</v>
      </c>
      <c r="G2918" s="8">
        <f>Lektionen[[#This Row],[Bearbeitungsdauer_real]]/Lektionen[[#This Row],[Bearbeitungsdauer_geschätzt]]-1</f>
        <v>0.3666666666666667</v>
      </c>
      <c r="H2918" s="8" t="str" cm="1">
        <f t="array" ref="H2918">_xlfn.IFS(Lektionen[[#This Row],[Bearbeitungsdauer_abgewichen]]&gt;0.6,"viel länger",Lektionen[[#This Row],[Bearbeitungsdauer_abgewichen]]&gt;0.3,"länger",Lektionen[[#This Row],[Bearbeitungsdauer_abgewichen]]&lt;-0.3,"kürzer",TRUE,"keine Abweichung")</f>
        <v>länger</v>
      </c>
      <c r="I2918">
        <v>4</v>
      </c>
    </row>
    <row r="2919" spans="1:9" hidden="1" x14ac:dyDescent="0.3">
      <c r="A2919" s="13">
        <v>458</v>
      </c>
      <c r="B2919" s="4">
        <v>6</v>
      </c>
      <c r="C2919" t="s">
        <v>533</v>
      </c>
      <c r="D2919" t="s">
        <v>534</v>
      </c>
      <c r="E2919">
        <v>5</v>
      </c>
      <c r="F2919">
        <v>1</v>
      </c>
      <c r="G2919" s="8">
        <f>Lektionen[[#This Row],[Bearbeitungsdauer_real]]/Lektionen[[#This Row],[Bearbeitungsdauer_geschätzt]]-1</f>
        <v>-0.8</v>
      </c>
      <c r="H2919" s="8" t="str" cm="1">
        <f t="array" ref="H2919">_xlfn.IFS(Lektionen[[#This Row],[Bearbeitungsdauer_abgewichen]]&gt;0.6,"viel länger",Lektionen[[#This Row],[Bearbeitungsdauer_abgewichen]]&gt;0.3,"länger",Lektionen[[#This Row],[Bearbeitungsdauer_abgewichen]]&lt;-0.3,"kürzer",TRUE,"keine Abweichung")</f>
        <v>kürzer</v>
      </c>
      <c r="I2919">
        <v>3</v>
      </c>
    </row>
    <row r="2920" spans="1:9" hidden="1" x14ac:dyDescent="0.3">
      <c r="A2920" s="13">
        <v>458</v>
      </c>
      <c r="B2920" s="4">
        <v>7</v>
      </c>
      <c r="C2920" t="s">
        <v>535</v>
      </c>
      <c r="D2920" t="s">
        <v>536</v>
      </c>
      <c r="E2920">
        <v>10</v>
      </c>
      <c r="F2920">
        <v>11</v>
      </c>
      <c r="G2920" s="8">
        <f>Lektionen[[#This Row],[Bearbeitungsdauer_real]]/Lektionen[[#This Row],[Bearbeitungsdauer_geschätzt]]-1</f>
        <v>0.10000000000000009</v>
      </c>
      <c r="H2920" s="8" t="str" cm="1">
        <f t="array" ref="H2920">_xlfn.IFS(Lektionen[[#This Row],[Bearbeitungsdauer_abgewichen]]&gt;0.6,"viel länger",Lektionen[[#This Row],[Bearbeitungsdauer_abgewichen]]&gt;0.3,"länger",Lektionen[[#This Row],[Bearbeitungsdauer_abgewichen]]&lt;-0.3,"kürzer",TRUE,"keine Abweichung")</f>
        <v>keine Abweichung</v>
      </c>
      <c r="I2920">
        <v>4</v>
      </c>
    </row>
    <row r="2921" spans="1:9" hidden="1" x14ac:dyDescent="0.3">
      <c r="A2921" s="13">
        <v>458</v>
      </c>
      <c r="B2921" s="4">
        <v>8</v>
      </c>
      <c r="C2921" t="s">
        <v>537</v>
      </c>
      <c r="D2921" t="s">
        <v>527</v>
      </c>
      <c r="E2921">
        <v>5</v>
      </c>
      <c r="F2921">
        <v>5</v>
      </c>
      <c r="G2921" s="8">
        <f>Lektionen[[#This Row],[Bearbeitungsdauer_real]]/Lektionen[[#This Row],[Bearbeitungsdauer_geschätzt]]-1</f>
        <v>0</v>
      </c>
      <c r="H2921" s="8" t="str" cm="1">
        <f t="array" ref="H2921">_xlfn.IFS(Lektionen[[#This Row],[Bearbeitungsdauer_abgewichen]]&gt;0.6,"viel länger",Lektionen[[#This Row],[Bearbeitungsdauer_abgewichen]]&gt;0.3,"länger",Lektionen[[#This Row],[Bearbeitungsdauer_abgewichen]]&lt;-0.3,"kürzer",TRUE,"keine Abweichung")</f>
        <v>keine Abweichung</v>
      </c>
      <c r="I2921">
        <v>1</v>
      </c>
    </row>
    <row r="2922" spans="1:9" hidden="1" x14ac:dyDescent="0.3">
      <c r="A2922" s="13">
        <v>459</v>
      </c>
      <c r="B2922" s="4">
        <v>1</v>
      </c>
      <c r="C2922" t="s">
        <v>526</v>
      </c>
      <c r="D2922" t="s">
        <v>527</v>
      </c>
      <c r="E2922">
        <v>4</v>
      </c>
      <c r="F2922">
        <v>6</v>
      </c>
      <c r="G2922" s="8">
        <f>Lektionen[[#This Row],[Bearbeitungsdauer_real]]/Lektionen[[#This Row],[Bearbeitungsdauer_geschätzt]]-1</f>
        <v>0.5</v>
      </c>
      <c r="H2922" s="8" t="str" cm="1">
        <f t="array" ref="H2922">_xlfn.IFS(Lektionen[[#This Row],[Bearbeitungsdauer_abgewichen]]&gt;0.6,"viel länger",Lektionen[[#This Row],[Bearbeitungsdauer_abgewichen]]&gt;0.3,"länger",Lektionen[[#This Row],[Bearbeitungsdauer_abgewichen]]&lt;-0.3,"kürzer",TRUE,"keine Abweichung")</f>
        <v>länger</v>
      </c>
      <c r="I2922">
        <v>1</v>
      </c>
    </row>
    <row r="2923" spans="1:9" hidden="1" x14ac:dyDescent="0.3">
      <c r="A2923" s="13">
        <v>459</v>
      </c>
      <c r="B2923" s="4">
        <v>2</v>
      </c>
      <c r="C2923" t="s">
        <v>528</v>
      </c>
      <c r="D2923" t="s">
        <v>529</v>
      </c>
      <c r="E2923">
        <v>15</v>
      </c>
      <c r="F2923">
        <v>17</v>
      </c>
      <c r="G2923" s="8">
        <f>Lektionen[[#This Row],[Bearbeitungsdauer_real]]/Lektionen[[#This Row],[Bearbeitungsdauer_geschätzt]]-1</f>
        <v>0.1333333333333333</v>
      </c>
      <c r="H2923" s="8" t="str" cm="1">
        <f t="array" ref="H2923">_xlfn.IFS(Lektionen[[#This Row],[Bearbeitungsdauer_abgewichen]]&gt;0.6,"viel länger",Lektionen[[#This Row],[Bearbeitungsdauer_abgewichen]]&gt;0.3,"länger",Lektionen[[#This Row],[Bearbeitungsdauer_abgewichen]]&lt;-0.3,"kürzer",TRUE,"keine Abweichung")</f>
        <v>keine Abweichung</v>
      </c>
      <c r="I2923">
        <v>2</v>
      </c>
    </row>
    <row r="2924" spans="1:9" hidden="1" x14ac:dyDescent="0.3">
      <c r="A2924" s="13">
        <v>459</v>
      </c>
      <c r="B2924" s="4">
        <v>3</v>
      </c>
      <c r="C2924" t="s">
        <v>552</v>
      </c>
      <c r="D2924" t="s">
        <v>530</v>
      </c>
      <c r="E2924">
        <v>30</v>
      </c>
      <c r="F2924">
        <v>29</v>
      </c>
      <c r="G2924" s="8">
        <f>Lektionen[[#This Row],[Bearbeitungsdauer_real]]/Lektionen[[#This Row],[Bearbeitungsdauer_geschätzt]]-1</f>
        <v>-3.3333333333333326E-2</v>
      </c>
      <c r="H2924" s="8" t="str" cm="1">
        <f t="array" ref="H2924">_xlfn.IFS(Lektionen[[#This Row],[Bearbeitungsdauer_abgewichen]]&gt;0.6,"viel länger",Lektionen[[#This Row],[Bearbeitungsdauer_abgewichen]]&gt;0.3,"länger",Lektionen[[#This Row],[Bearbeitungsdauer_abgewichen]]&lt;-0.3,"kürzer",TRUE,"keine Abweichung")</f>
        <v>keine Abweichung</v>
      </c>
      <c r="I2924">
        <v>2</v>
      </c>
    </row>
    <row r="2925" spans="1:9" hidden="1" x14ac:dyDescent="0.3">
      <c r="A2925" s="13">
        <v>459</v>
      </c>
      <c r="B2925" s="4">
        <v>4</v>
      </c>
      <c r="C2925" t="s">
        <v>531</v>
      </c>
      <c r="D2925" t="s">
        <v>530</v>
      </c>
      <c r="E2925">
        <v>30</v>
      </c>
      <c r="F2925">
        <v>30</v>
      </c>
      <c r="G2925" s="8">
        <f>Lektionen[[#This Row],[Bearbeitungsdauer_real]]/Lektionen[[#This Row],[Bearbeitungsdauer_geschätzt]]-1</f>
        <v>0</v>
      </c>
      <c r="H2925" s="8" t="str" cm="1">
        <f t="array" ref="H2925">_xlfn.IFS(Lektionen[[#This Row],[Bearbeitungsdauer_abgewichen]]&gt;0.6,"viel länger",Lektionen[[#This Row],[Bearbeitungsdauer_abgewichen]]&gt;0.3,"länger",Lektionen[[#This Row],[Bearbeitungsdauer_abgewichen]]&lt;-0.3,"kürzer",TRUE,"keine Abweichung")</f>
        <v>keine Abweichung</v>
      </c>
      <c r="I2925">
        <v>4</v>
      </c>
    </row>
    <row r="2926" spans="1:9" x14ac:dyDescent="0.3">
      <c r="A2926" s="13">
        <v>459</v>
      </c>
      <c r="B2926" s="4">
        <v>5</v>
      </c>
      <c r="C2926" t="s">
        <v>532</v>
      </c>
      <c r="D2926" t="s">
        <v>530</v>
      </c>
      <c r="E2926">
        <v>30</v>
      </c>
      <c r="F2926">
        <v>48</v>
      </c>
      <c r="G2926" s="8">
        <f>Lektionen[[#This Row],[Bearbeitungsdauer_real]]/Lektionen[[#This Row],[Bearbeitungsdauer_geschätzt]]-1</f>
        <v>0.60000000000000009</v>
      </c>
      <c r="H2926" s="8" t="str" cm="1">
        <f t="array" ref="H2926">_xlfn.IFS(Lektionen[[#This Row],[Bearbeitungsdauer_abgewichen]]&gt;0.6,"viel länger",Lektionen[[#This Row],[Bearbeitungsdauer_abgewichen]]&gt;0.3,"länger",Lektionen[[#This Row],[Bearbeitungsdauer_abgewichen]]&lt;-0.3,"kürzer",TRUE,"keine Abweichung")</f>
        <v>länger</v>
      </c>
      <c r="I2926">
        <v>4</v>
      </c>
    </row>
    <row r="2927" spans="1:9" hidden="1" x14ac:dyDescent="0.3">
      <c r="A2927" s="13">
        <v>459</v>
      </c>
      <c r="B2927" s="4">
        <v>6</v>
      </c>
      <c r="C2927" t="s">
        <v>533</v>
      </c>
      <c r="D2927" t="s">
        <v>534</v>
      </c>
      <c r="E2927">
        <v>5</v>
      </c>
      <c r="F2927">
        <v>1</v>
      </c>
      <c r="G2927" s="8">
        <f>Lektionen[[#This Row],[Bearbeitungsdauer_real]]/Lektionen[[#This Row],[Bearbeitungsdauer_geschätzt]]-1</f>
        <v>-0.8</v>
      </c>
      <c r="H2927" s="8" t="str" cm="1">
        <f t="array" ref="H2927">_xlfn.IFS(Lektionen[[#This Row],[Bearbeitungsdauer_abgewichen]]&gt;0.6,"viel länger",Lektionen[[#This Row],[Bearbeitungsdauer_abgewichen]]&gt;0.3,"länger",Lektionen[[#This Row],[Bearbeitungsdauer_abgewichen]]&lt;-0.3,"kürzer",TRUE,"keine Abweichung")</f>
        <v>kürzer</v>
      </c>
      <c r="I2927">
        <v>3</v>
      </c>
    </row>
    <row r="2928" spans="1:9" hidden="1" x14ac:dyDescent="0.3">
      <c r="A2928" s="13">
        <v>459</v>
      </c>
      <c r="B2928" s="4">
        <v>7</v>
      </c>
      <c r="C2928" t="s">
        <v>535</v>
      </c>
      <c r="D2928" t="s">
        <v>536</v>
      </c>
      <c r="E2928">
        <v>10</v>
      </c>
      <c r="F2928">
        <v>9</v>
      </c>
      <c r="G2928" s="8">
        <f>Lektionen[[#This Row],[Bearbeitungsdauer_real]]/Lektionen[[#This Row],[Bearbeitungsdauer_geschätzt]]-1</f>
        <v>-9.9999999999999978E-2</v>
      </c>
      <c r="H2928" s="8" t="str" cm="1">
        <f t="array" ref="H2928">_xlfn.IFS(Lektionen[[#This Row],[Bearbeitungsdauer_abgewichen]]&gt;0.6,"viel länger",Lektionen[[#This Row],[Bearbeitungsdauer_abgewichen]]&gt;0.3,"länger",Lektionen[[#This Row],[Bearbeitungsdauer_abgewichen]]&lt;-0.3,"kürzer",TRUE,"keine Abweichung")</f>
        <v>keine Abweichung</v>
      </c>
      <c r="I2928">
        <v>4</v>
      </c>
    </row>
    <row r="2929" spans="1:9" hidden="1" x14ac:dyDescent="0.3">
      <c r="A2929" s="13">
        <v>459</v>
      </c>
      <c r="B2929" s="4">
        <v>8</v>
      </c>
      <c r="C2929" t="s">
        <v>537</v>
      </c>
      <c r="D2929" t="s">
        <v>527</v>
      </c>
      <c r="E2929">
        <v>5</v>
      </c>
      <c r="F2929">
        <v>5</v>
      </c>
      <c r="G2929" s="8">
        <f>Lektionen[[#This Row],[Bearbeitungsdauer_real]]/Lektionen[[#This Row],[Bearbeitungsdauer_geschätzt]]-1</f>
        <v>0</v>
      </c>
      <c r="H2929" s="8" t="str" cm="1">
        <f t="array" ref="H2929">_xlfn.IFS(Lektionen[[#This Row],[Bearbeitungsdauer_abgewichen]]&gt;0.6,"viel länger",Lektionen[[#This Row],[Bearbeitungsdauer_abgewichen]]&gt;0.3,"länger",Lektionen[[#This Row],[Bearbeitungsdauer_abgewichen]]&lt;-0.3,"kürzer",TRUE,"keine Abweichung")</f>
        <v>keine Abweichung</v>
      </c>
      <c r="I2929">
        <v>1</v>
      </c>
    </row>
    <row r="2930" spans="1:9" hidden="1" x14ac:dyDescent="0.3">
      <c r="A2930" s="13">
        <v>460</v>
      </c>
      <c r="B2930" s="4">
        <v>1</v>
      </c>
      <c r="C2930" t="s">
        <v>526</v>
      </c>
      <c r="D2930" t="s">
        <v>527</v>
      </c>
      <c r="E2930">
        <v>4</v>
      </c>
      <c r="F2930">
        <v>4</v>
      </c>
      <c r="G2930" s="8">
        <f>Lektionen[[#This Row],[Bearbeitungsdauer_real]]/Lektionen[[#This Row],[Bearbeitungsdauer_geschätzt]]-1</f>
        <v>0</v>
      </c>
      <c r="H2930" s="8" t="str" cm="1">
        <f t="array" ref="H2930">_xlfn.IFS(Lektionen[[#This Row],[Bearbeitungsdauer_abgewichen]]&gt;0.6,"viel länger",Lektionen[[#This Row],[Bearbeitungsdauer_abgewichen]]&gt;0.3,"länger",Lektionen[[#This Row],[Bearbeitungsdauer_abgewichen]]&lt;-0.3,"kürzer",TRUE,"keine Abweichung")</f>
        <v>keine Abweichung</v>
      </c>
      <c r="I2930">
        <v>1</v>
      </c>
    </row>
    <row r="2931" spans="1:9" hidden="1" x14ac:dyDescent="0.3">
      <c r="A2931" s="13">
        <v>460</v>
      </c>
      <c r="B2931" s="4">
        <v>2</v>
      </c>
      <c r="C2931" t="s">
        <v>528</v>
      </c>
      <c r="D2931" t="s">
        <v>529</v>
      </c>
      <c r="E2931">
        <v>15</v>
      </c>
      <c r="F2931">
        <v>18</v>
      </c>
      <c r="G2931" s="8">
        <f>Lektionen[[#This Row],[Bearbeitungsdauer_real]]/Lektionen[[#This Row],[Bearbeitungsdauer_geschätzt]]-1</f>
        <v>0.19999999999999996</v>
      </c>
      <c r="H2931" s="8" t="str" cm="1">
        <f t="array" ref="H2931">_xlfn.IFS(Lektionen[[#This Row],[Bearbeitungsdauer_abgewichen]]&gt;0.6,"viel länger",Lektionen[[#This Row],[Bearbeitungsdauer_abgewichen]]&gt;0.3,"länger",Lektionen[[#This Row],[Bearbeitungsdauer_abgewichen]]&lt;-0.3,"kürzer",TRUE,"keine Abweichung")</f>
        <v>keine Abweichung</v>
      </c>
      <c r="I2931">
        <v>1</v>
      </c>
    </row>
    <row r="2932" spans="1:9" hidden="1" x14ac:dyDescent="0.3">
      <c r="A2932" s="13">
        <v>460</v>
      </c>
      <c r="B2932" s="4">
        <v>3</v>
      </c>
      <c r="C2932" t="s">
        <v>552</v>
      </c>
      <c r="D2932" t="s">
        <v>530</v>
      </c>
      <c r="E2932">
        <v>30</v>
      </c>
      <c r="F2932">
        <v>26</v>
      </c>
      <c r="G2932" s="8">
        <f>Lektionen[[#This Row],[Bearbeitungsdauer_real]]/Lektionen[[#This Row],[Bearbeitungsdauer_geschätzt]]-1</f>
        <v>-0.1333333333333333</v>
      </c>
      <c r="H2932" s="8" t="str" cm="1">
        <f t="array" ref="H2932">_xlfn.IFS(Lektionen[[#This Row],[Bearbeitungsdauer_abgewichen]]&gt;0.6,"viel länger",Lektionen[[#This Row],[Bearbeitungsdauer_abgewichen]]&gt;0.3,"länger",Lektionen[[#This Row],[Bearbeitungsdauer_abgewichen]]&lt;-0.3,"kürzer",TRUE,"keine Abweichung")</f>
        <v>keine Abweichung</v>
      </c>
      <c r="I2932">
        <v>3</v>
      </c>
    </row>
    <row r="2933" spans="1:9" hidden="1" x14ac:dyDescent="0.3">
      <c r="A2933" s="13">
        <v>460</v>
      </c>
      <c r="B2933" s="4">
        <v>4</v>
      </c>
      <c r="C2933" t="s">
        <v>531</v>
      </c>
      <c r="D2933" t="s">
        <v>530</v>
      </c>
      <c r="E2933">
        <v>30</v>
      </c>
      <c r="F2933">
        <v>19</v>
      </c>
      <c r="G2933" s="8">
        <f>Lektionen[[#This Row],[Bearbeitungsdauer_real]]/Lektionen[[#This Row],[Bearbeitungsdauer_geschätzt]]-1</f>
        <v>-0.3666666666666667</v>
      </c>
      <c r="H2933" s="8" t="str" cm="1">
        <f t="array" ref="H2933">_xlfn.IFS(Lektionen[[#This Row],[Bearbeitungsdauer_abgewichen]]&gt;0.6,"viel länger",Lektionen[[#This Row],[Bearbeitungsdauer_abgewichen]]&gt;0.3,"länger",Lektionen[[#This Row],[Bearbeitungsdauer_abgewichen]]&lt;-0.3,"kürzer",TRUE,"keine Abweichung")</f>
        <v>kürzer</v>
      </c>
      <c r="I2933">
        <v>3</v>
      </c>
    </row>
    <row r="2934" spans="1:9" x14ac:dyDescent="0.3">
      <c r="A2934" s="13">
        <v>460</v>
      </c>
      <c r="B2934" s="4">
        <v>5</v>
      </c>
      <c r="C2934" t="s">
        <v>532</v>
      </c>
      <c r="D2934" t="s">
        <v>530</v>
      </c>
      <c r="E2934">
        <v>30</v>
      </c>
      <c r="F2934">
        <v>41</v>
      </c>
      <c r="G2934" s="8">
        <f>Lektionen[[#This Row],[Bearbeitungsdauer_real]]/Lektionen[[#This Row],[Bearbeitungsdauer_geschätzt]]-1</f>
        <v>0.3666666666666667</v>
      </c>
      <c r="H2934" s="8" t="str" cm="1">
        <f t="array" ref="H2934">_xlfn.IFS(Lektionen[[#This Row],[Bearbeitungsdauer_abgewichen]]&gt;0.6,"viel länger",Lektionen[[#This Row],[Bearbeitungsdauer_abgewichen]]&gt;0.3,"länger",Lektionen[[#This Row],[Bearbeitungsdauer_abgewichen]]&lt;-0.3,"kürzer",TRUE,"keine Abweichung")</f>
        <v>länger</v>
      </c>
      <c r="I2934">
        <v>4</v>
      </c>
    </row>
    <row r="2935" spans="1:9" hidden="1" x14ac:dyDescent="0.3">
      <c r="A2935" s="13">
        <v>460</v>
      </c>
      <c r="B2935" s="4">
        <v>6</v>
      </c>
      <c r="C2935" t="s">
        <v>533</v>
      </c>
      <c r="D2935" t="s">
        <v>534</v>
      </c>
      <c r="E2935">
        <v>5</v>
      </c>
      <c r="F2935">
        <v>3</v>
      </c>
      <c r="G2935" s="8">
        <f>Lektionen[[#This Row],[Bearbeitungsdauer_real]]/Lektionen[[#This Row],[Bearbeitungsdauer_geschätzt]]-1</f>
        <v>-0.4</v>
      </c>
      <c r="H2935" s="8" t="str" cm="1">
        <f t="array" ref="H2935">_xlfn.IFS(Lektionen[[#This Row],[Bearbeitungsdauer_abgewichen]]&gt;0.6,"viel länger",Lektionen[[#This Row],[Bearbeitungsdauer_abgewichen]]&gt;0.3,"länger",Lektionen[[#This Row],[Bearbeitungsdauer_abgewichen]]&lt;-0.3,"kürzer",TRUE,"keine Abweichung")</f>
        <v>kürzer</v>
      </c>
      <c r="I2935">
        <v>3</v>
      </c>
    </row>
    <row r="2936" spans="1:9" hidden="1" x14ac:dyDescent="0.3">
      <c r="A2936" s="13">
        <v>460</v>
      </c>
      <c r="B2936" s="4">
        <v>7</v>
      </c>
      <c r="C2936" t="s">
        <v>535</v>
      </c>
      <c r="D2936" t="s">
        <v>536</v>
      </c>
      <c r="E2936">
        <v>10</v>
      </c>
      <c r="F2936">
        <v>9</v>
      </c>
      <c r="G2936" s="8">
        <f>Lektionen[[#This Row],[Bearbeitungsdauer_real]]/Lektionen[[#This Row],[Bearbeitungsdauer_geschätzt]]-1</f>
        <v>-9.9999999999999978E-2</v>
      </c>
      <c r="H2936" s="8" t="str" cm="1">
        <f t="array" ref="H2936">_xlfn.IFS(Lektionen[[#This Row],[Bearbeitungsdauer_abgewichen]]&gt;0.6,"viel länger",Lektionen[[#This Row],[Bearbeitungsdauer_abgewichen]]&gt;0.3,"länger",Lektionen[[#This Row],[Bearbeitungsdauer_abgewichen]]&lt;-0.3,"kürzer",TRUE,"keine Abweichung")</f>
        <v>keine Abweichung</v>
      </c>
      <c r="I2936">
        <v>3</v>
      </c>
    </row>
    <row r="2937" spans="1:9" hidden="1" x14ac:dyDescent="0.3">
      <c r="A2937" s="13">
        <v>460</v>
      </c>
      <c r="B2937" s="4">
        <v>8</v>
      </c>
      <c r="C2937" t="s">
        <v>537</v>
      </c>
      <c r="D2937" t="s">
        <v>527</v>
      </c>
      <c r="E2937">
        <v>5</v>
      </c>
      <c r="F2937">
        <v>5</v>
      </c>
      <c r="G2937" s="8">
        <f>Lektionen[[#This Row],[Bearbeitungsdauer_real]]/Lektionen[[#This Row],[Bearbeitungsdauer_geschätzt]]-1</f>
        <v>0</v>
      </c>
      <c r="H2937" s="8" t="str" cm="1">
        <f t="array" ref="H2937">_xlfn.IFS(Lektionen[[#This Row],[Bearbeitungsdauer_abgewichen]]&gt;0.6,"viel länger",Lektionen[[#This Row],[Bearbeitungsdauer_abgewichen]]&gt;0.3,"länger",Lektionen[[#This Row],[Bearbeitungsdauer_abgewichen]]&lt;-0.3,"kürzer",TRUE,"keine Abweichung")</f>
        <v>keine Abweichung</v>
      </c>
      <c r="I2937">
        <v>1</v>
      </c>
    </row>
    <row r="2938" spans="1:9" hidden="1" x14ac:dyDescent="0.3">
      <c r="A2938" s="13">
        <v>461</v>
      </c>
      <c r="B2938" s="4">
        <v>1</v>
      </c>
      <c r="C2938" t="s">
        <v>526</v>
      </c>
      <c r="D2938" t="s">
        <v>527</v>
      </c>
      <c r="E2938">
        <v>4</v>
      </c>
      <c r="F2938">
        <v>7</v>
      </c>
      <c r="G2938" s="8">
        <f>Lektionen[[#This Row],[Bearbeitungsdauer_real]]/Lektionen[[#This Row],[Bearbeitungsdauer_geschätzt]]-1</f>
        <v>0.75</v>
      </c>
      <c r="H2938" s="8" t="str" cm="1">
        <f t="array" ref="H2938">_xlfn.IFS(Lektionen[[#This Row],[Bearbeitungsdauer_abgewichen]]&gt;0.6,"viel länger",Lektionen[[#This Row],[Bearbeitungsdauer_abgewichen]]&gt;0.3,"länger",Lektionen[[#This Row],[Bearbeitungsdauer_abgewichen]]&lt;-0.3,"kürzer",TRUE,"keine Abweichung")</f>
        <v>viel länger</v>
      </c>
      <c r="I2938">
        <v>1</v>
      </c>
    </row>
    <row r="2939" spans="1:9" hidden="1" x14ac:dyDescent="0.3">
      <c r="A2939" s="13">
        <v>461</v>
      </c>
      <c r="B2939" s="4">
        <v>2</v>
      </c>
      <c r="C2939" t="s">
        <v>528</v>
      </c>
      <c r="D2939" t="s">
        <v>529</v>
      </c>
      <c r="E2939">
        <v>15</v>
      </c>
      <c r="F2939">
        <v>20</v>
      </c>
      <c r="G2939" s="8">
        <f>Lektionen[[#This Row],[Bearbeitungsdauer_real]]/Lektionen[[#This Row],[Bearbeitungsdauer_geschätzt]]-1</f>
        <v>0.33333333333333326</v>
      </c>
      <c r="H2939" s="8" t="str" cm="1">
        <f t="array" ref="H2939">_xlfn.IFS(Lektionen[[#This Row],[Bearbeitungsdauer_abgewichen]]&gt;0.6,"viel länger",Lektionen[[#This Row],[Bearbeitungsdauer_abgewichen]]&gt;0.3,"länger",Lektionen[[#This Row],[Bearbeitungsdauer_abgewichen]]&lt;-0.3,"kürzer",TRUE,"keine Abweichung")</f>
        <v>länger</v>
      </c>
      <c r="I2939">
        <v>2</v>
      </c>
    </row>
    <row r="2940" spans="1:9" hidden="1" x14ac:dyDescent="0.3">
      <c r="A2940" s="13">
        <v>461</v>
      </c>
      <c r="B2940" s="4">
        <v>3</v>
      </c>
      <c r="C2940" t="s">
        <v>552</v>
      </c>
      <c r="D2940" t="s">
        <v>530</v>
      </c>
      <c r="E2940">
        <v>30</v>
      </c>
      <c r="F2940">
        <v>29</v>
      </c>
      <c r="G2940" s="8">
        <f>Lektionen[[#This Row],[Bearbeitungsdauer_real]]/Lektionen[[#This Row],[Bearbeitungsdauer_geschätzt]]-1</f>
        <v>-3.3333333333333326E-2</v>
      </c>
      <c r="H2940" s="8" t="str" cm="1">
        <f t="array" ref="H2940">_xlfn.IFS(Lektionen[[#This Row],[Bearbeitungsdauer_abgewichen]]&gt;0.6,"viel länger",Lektionen[[#This Row],[Bearbeitungsdauer_abgewichen]]&gt;0.3,"länger",Lektionen[[#This Row],[Bearbeitungsdauer_abgewichen]]&lt;-0.3,"kürzer",TRUE,"keine Abweichung")</f>
        <v>keine Abweichung</v>
      </c>
      <c r="I2940">
        <v>2</v>
      </c>
    </row>
    <row r="2941" spans="1:9" hidden="1" x14ac:dyDescent="0.3">
      <c r="A2941" s="13">
        <v>461</v>
      </c>
      <c r="B2941" s="4">
        <v>4</v>
      </c>
      <c r="C2941" t="s">
        <v>531</v>
      </c>
      <c r="D2941" t="s">
        <v>530</v>
      </c>
      <c r="E2941">
        <v>30</v>
      </c>
      <c r="F2941">
        <v>35</v>
      </c>
      <c r="G2941" s="8">
        <f>Lektionen[[#This Row],[Bearbeitungsdauer_real]]/Lektionen[[#This Row],[Bearbeitungsdauer_geschätzt]]-1</f>
        <v>0.16666666666666674</v>
      </c>
      <c r="H2941" s="8" t="str" cm="1">
        <f t="array" ref="H2941">_xlfn.IFS(Lektionen[[#This Row],[Bearbeitungsdauer_abgewichen]]&gt;0.6,"viel länger",Lektionen[[#This Row],[Bearbeitungsdauer_abgewichen]]&gt;0.3,"länger",Lektionen[[#This Row],[Bearbeitungsdauer_abgewichen]]&lt;-0.3,"kürzer",TRUE,"keine Abweichung")</f>
        <v>keine Abweichung</v>
      </c>
      <c r="I2941">
        <v>3</v>
      </c>
    </row>
    <row r="2942" spans="1:9" x14ac:dyDescent="0.3">
      <c r="A2942" s="13">
        <v>461</v>
      </c>
      <c r="B2942" s="4">
        <v>5</v>
      </c>
      <c r="C2942" t="s">
        <v>532</v>
      </c>
      <c r="D2942" t="s">
        <v>530</v>
      </c>
      <c r="E2942">
        <v>30</v>
      </c>
      <c r="F2942">
        <v>50</v>
      </c>
      <c r="G2942" s="8">
        <f>Lektionen[[#This Row],[Bearbeitungsdauer_real]]/Lektionen[[#This Row],[Bearbeitungsdauer_geschätzt]]-1</f>
        <v>0.66666666666666674</v>
      </c>
      <c r="H2942" s="8" t="str" cm="1">
        <f t="array" ref="H2942">_xlfn.IFS(Lektionen[[#This Row],[Bearbeitungsdauer_abgewichen]]&gt;0.6,"viel länger",Lektionen[[#This Row],[Bearbeitungsdauer_abgewichen]]&gt;0.3,"länger",Lektionen[[#This Row],[Bearbeitungsdauer_abgewichen]]&lt;-0.3,"kürzer",TRUE,"keine Abweichung")</f>
        <v>viel länger</v>
      </c>
      <c r="I2942">
        <v>4</v>
      </c>
    </row>
    <row r="2943" spans="1:9" hidden="1" x14ac:dyDescent="0.3">
      <c r="A2943" s="13">
        <v>461</v>
      </c>
      <c r="B2943" s="4">
        <v>6</v>
      </c>
      <c r="C2943" t="s">
        <v>533</v>
      </c>
      <c r="D2943" t="s">
        <v>534</v>
      </c>
      <c r="E2943">
        <v>5</v>
      </c>
      <c r="F2943">
        <v>1</v>
      </c>
      <c r="G2943" s="8">
        <f>Lektionen[[#This Row],[Bearbeitungsdauer_real]]/Lektionen[[#This Row],[Bearbeitungsdauer_geschätzt]]-1</f>
        <v>-0.8</v>
      </c>
      <c r="H2943" s="8" t="str" cm="1">
        <f t="array" ref="H2943">_xlfn.IFS(Lektionen[[#This Row],[Bearbeitungsdauer_abgewichen]]&gt;0.6,"viel länger",Lektionen[[#This Row],[Bearbeitungsdauer_abgewichen]]&gt;0.3,"länger",Lektionen[[#This Row],[Bearbeitungsdauer_abgewichen]]&lt;-0.3,"kürzer",TRUE,"keine Abweichung")</f>
        <v>kürzer</v>
      </c>
      <c r="I2943">
        <v>3</v>
      </c>
    </row>
    <row r="2944" spans="1:9" hidden="1" x14ac:dyDescent="0.3">
      <c r="A2944" s="13">
        <v>461</v>
      </c>
      <c r="B2944" s="4">
        <v>7</v>
      </c>
      <c r="C2944" t="s">
        <v>535</v>
      </c>
      <c r="D2944" t="s">
        <v>536</v>
      </c>
      <c r="E2944">
        <v>10</v>
      </c>
      <c r="F2944">
        <v>10</v>
      </c>
      <c r="G2944" s="8">
        <f>Lektionen[[#This Row],[Bearbeitungsdauer_real]]/Lektionen[[#This Row],[Bearbeitungsdauer_geschätzt]]-1</f>
        <v>0</v>
      </c>
      <c r="H2944" s="8" t="str" cm="1">
        <f t="array" ref="H2944">_xlfn.IFS(Lektionen[[#This Row],[Bearbeitungsdauer_abgewichen]]&gt;0.6,"viel länger",Lektionen[[#This Row],[Bearbeitungsdauer_abgewichen]]&gt;0.3,"länger",Lektionen[[#This Row],[Bearbeitungsdauer_abgewichen]]&lt;-0.3,"kürzer",TRUE,"keine Abweichung")</f>
        <v>keine Abweichung</v>
      </c>
      <c r="I2944">
        <v>3</v>
      </c>
    </row>
    <row r="2945" spans="1:9" hidden="1" x14ac:dyDescent="0.3">
      <c r="A2945" s="13">
        <v>461</v>
      </c>
      <c r="B2945" s="4">
        <v>8</v>
      </c>
      <c r="C2945" t="s">
        <v>537</v>
      </c>
      <c r="D2945" t="s">
        <v>527</v>
      </c>
      <c r="E2945">
        <v>5</v>
      </c>
      <c r="F2945">
        <v>5</v>
      </c>
      <c r="G2945" s="8">
        <f>Lektionen[[#This Row],[Bearbeitungsdauer_real]]/Lektionen[[#This Row],[Bearbeitungsdauer_geschätzt]]-1</f>
        <v>0</v>
      </c>
      <c r="H2945" s="8" t="str" cm="1">
        <f t="array" ref="H2945">_xlfn.IFS(Lektionen[[#This Row],[Bearbeitungsdauer_abgewichen]]&gt;0.6,"viel länger",Lektionen[[#This Row],[Bearbeitungsdauer_abgewichen]]&gt;0.3,"länger",Lektionen[[#This Row],[Bearbeitungsdauer_abgewichen]]&lt;-0.3,"kürzer",TRUE,"keine Abweichung")</f>
        <v>keine Abweichung</v>
      </c>
      <c r="I2945">
        <v>1</v>
      </c>
    </row>
    <row r="2946" spans="1:9" hidden="1" x14ac:dyDescent="0.3">
      <c r="A2946" s="13">
        <v>463</v>
      </c>
      <c r="B2946" s="4">
        <v>1</v>
      </c>
      <c r="C2946" t="s">
        <v>526</v>
      </c>
      <c r="D2946" t="s">
        <v>527</v>
      </c>
      <c r="E2946">
        <v>4</v>
      </c>
      <c r="F2946">
        <v>4</v>
      </c>
      <c r="G2946" s="8">
        <f>Lektionen[[#This Row],[Bearbeitungsdauer_real]]/Lektionen[[#This Row],[Bearbeitungsdauer_geschätzt]]-1</f>
        <v>0</v>
      </c>
      <c r="H2946" s="8" t="str" cm="1">
        <f t="array" ref="H2946">_xlfn.IFS(Lektionen[[#This Row],[Bearbeitungsdauer_abgewichen]]&gt;0.6,"viel länger",Lektionen[[#This Row],[Bearbeitungsdauer_abgewichen]]&gt;0.3,"länger",Lektionen[[#This Row],[Bearbeitungsdauer_abgewichen]]&lt;-0.3,"kürzer",TRUE,"keine Abweichung")</f>
        <v>keine Abweichung</v>
      </c>
      <c r="I2946">
        <v>2</v>
      </c>
    </row>
    <row r="2947" spans="1:9" hidden="1" x14ac:dyDescent="0.3">
      <c r="A2947" s="13">
        <v>463</v>
      </c>
      <c r="B2947" s="4">
        <v>2</v>
      </c>
      <c r="C2947" t="s">
        <v>528</v>
      </c>
      <c r="D2947" t="s">
        <v>529</v>
      </c>
      <c r="E2947">
        <v>15</v>
      </c>
      <c r="F2947">
        <v>16</v>
      </c>
      <c r="G2947" s="8">
        <f>Lektionen[[#This Row],[Bearbeitungsdauer_real]]/Lektionen[[#This Row],[Bearbeitungsdauer_geschätzt]]-1</f>
        <v>6.6666666666666652E-2</v>
      </c>
      <c r="H2947" s="8" t="str" cm="1">
        <f t="array" ref="H2947">_xlfn.IFS(Lektionen[[#This Row],[Bearbeitungsdauer_abgewichen]]&gt;0.6,"viel länger",Lektionen[[#This Row],[Bearbeitungsdauer_abgewichen]]&gt;0.3,"länger",Lektionen[[#This Row],[Bearbeitungsdauer_abgewichen]]&lt;-0.3,"kürzer",TRUE,"keine Abweichung")</f>
        <v>keine Abweichung</v>
      </c>
      <c r="I2947">
        <v>1</v>
      </c>
    </row>
    <row r="2948" spans="1:9" hidden="1" x14ac:dyDescent="0.3">
      <c r="A2948" s="13">
        <v>463</v>
      </c>
      <c r="B2948" s="4">
        <v>3</v>
      </c>
      <c r="C2948" t="s">
        <v>552</v>
      </c>
      <c r="D2948" t="s">
        <v>530</v>
      </c>
      <c r="E2948">
        <v>30</v>
      </c>
      <c r="F2948">
        <v>30</v>
      </c>
      <c r="G2948" s="8">
        <f>Lektionen[[#This Row],[Bearbeitungsdauer_real]]/Lektionen[[#This Row],[Bearbeitungsdauer_geschätzt]]-1</f>
        <v>0</v>
      </c>
      <c r="H2948" s="8" t="str" cm="1">
        <f t="array" ref="H2948">_xlfn.IFS(Lektionen[[#This Row],[Bearbeitungsdauer_abgewichen]]&gt;0.6,"viel länger",Lektionen[[#This Row],[Bearbeitungsdauer_abgewichen]]&gt;0.3,"länger",Lektionen[[#This Row],[Bearbeitungsdauer_abgewichen]]&lt;-0.3,"kürzer",TRUE,"keine Abweichung")</f>
        <v>keine Abweichung</v>
      </c>
      <c r="I2948">
        <v>3</v>
      </c>
    </row>
    <row r="2949" spans="1:9" hidden="1" x14ac:dyDescent="0.3">
      <c r="A2949" s="13">
        <v>463</v>
      </c>
      <c r="B2949" s="4">
        <v>4</v>
      </c>
      <c r="C2949" t="s">
        <v>531</v>
      </c>
      <c r="D2949" t="s">
        <v>530</v>
      </c>
      <c r="E2949">
        <v>30</v>
      </c>
      <c r="F2949">
        <v>30</v>
      </c>
      <c r="G2949" s="8">
        <f>Lektionen[[#This Row],[Bearbeitungsdauer_real]]/Lektionen[[#This Row],[Bearbeitungsdauer_geschätzt]]-1</f>
        <v>0</v>
      </c>
      <c r="H2949" s="8" t="str" cm="1">
        <f t="array" ref="H2949">_xlfn.IFS(Lektionen[[#This Row],[Bearbeitungsdauer_abgewichen]]&gt;0.6,"viel länger",Lektionen[[#This Row],[Bearbeitungsdauer_abgewichen]]&gt;0.3,"länger",Lektionen[[#This Row],[Bearbeitungsdauer_abgewichen]]&lt;-0.3,"kürzer",TRUE,"keine Abweichung")</f>
        <v>keine Abweichung</v>
      </c>
      <c r="I2949">
        <v>3</v>
      </c>
    </row>
    <row r="2950" spans="1:9" x14ac:dyDescent="0.3">
      <c r="A2950" s="13">
        <v>463</v>
      </c>
      <c r="B2950" s="4">
        <v>5</v>
      </c>
      <c r="C2950" t="s">
        <v>532</v>
      </c>
      <c r="D2950" t="s">
        <v>530</v>
      </c>
      <c r="E2950">
        <v>30</v>
      </c>
      <c r="F2950">
        <v>48</v>
      </c>
      <c r="G2950" s="8">
        <f>Lektionen[[#This Row],[Bearbeitungsdauer_real]]/Lektionen[[#This Row],[Bearbeitungsdauer_geschätzt]]-1</f>
        <v>0.60000000000000009</v>
      </c>
      <c r="H2950" s="8" t="str" cm="1">
        <f t="array" ref="H2950">_xlfn.IFS(Lektionen[[#This Row],[Bearbeitungsdauer_abgewichen]]&gt;0.6,"viel länger",Lektionen[[#This Row],[Bearbeitungsdauer_abgewichen]]&gt;0.3,"länger",Lektionen[[#This Row],[Bearbeitungsdauer_abgewichen]]&lt;-0.3,"kürzer",TRUE,"keine Abweichung")</f>
        <v>länger</v>
      </c>
      <c r="I2950">
        <v>4</v>
      </c>
    </row>
    <row r="2951" spans="1:9" hidden="1" x14ac:dyDescent="0.3">
      <c r="A2951" s="13">
        <v>463</v>
      </c>
      <c r="B2951" s="4">
        <v>6</v>
      </c>
      <c r="C2951" t="s">
        <v>533</v>
      </c>
      <c r="D2951" t="s">
        <v>534</v>
      </c>
      <c r="E2951">
        <v>5</v>
      </c>
      <c r="F2951">
        <v>1</v>
      </c>
      <c r="G2951" s="8">
        <f>Lektionen[[#This Row],[Bearbeitungsdauer_real]]/Lektionen[[#This Row],[Bearbeitungsdauer_geschätzt]]-1</f>
        <v>-0.8</v>
      </c>
      <c r="H2951" s="8" t="str" cm="1">
        <f t="array" ref="H2951">_xlfn.IFS(Lektionen[[#This Row],[Bearbeitungsdauer_abgewichen]]&gt;0.6,"viel länger",Lektionen[[#This Row],[Bearbeitungsdauer_abgewichen]]&gt;0.3,"länger",Lektionen[[#This Row],[Bearbeitungsdauer_abgewichen]]&lt;-0.3,"kürzer",TRUE,"keine Abweichung")</f>
        <v>kürzer</v>
      </c>
      <c r="I2951">
        <v>2</v>
      </c>
    </row>
    <row r="2952" spans="1:9" hidden="1" x14ac:dyDescent="0.3">
      <c r="A2952" s="13">
        <v>463</v>
      </c>
      <c r="B2952" s="4">
        <v>7</v>
      </c>
      <c r="C2952" t="s">
        <v>535</v>
      </c>
      <c r="D2952" t="s">
        <v>536</v>
      </c>
      <c r="E2952">
        <v>10</v>
      </c>
      <c r="F2952">
        <v>9</v>
      </c>
      <c r="G2952" s="8">
        <f>Lektionen[[#This Row],[Bearbeitungsdauer_real]]/Lektionen[[#This Row],[Bearbeitungsdauer_geschätzt]]-1</f>
        <v>-9.9999999999999978E-2</v>
      </c>
      <c r="H2952" s="8" t="str" cm="1">
        <f t="array" ref="H2952">_xlfn.IFS(Lektionen[[#This Row],[Bearbeitungsdauer_abgewichen]]&gt;0.6,"viel länger",Lektionen[[#This Row],[Bearbeitungsdauer_abgewichen]]&gt;0.3,"länger",Lektionen[[#This Row],[Bearbeitungsdauer_abgewichen]]&lt;-0.3,"kürzer",TRUE,"keine Abweichung")</f>
        <v>keine Abweichung</v>
      </c>
      <c r="I2952">
        <v>4</v>
      </c>
    </row>
    <row r="2953" spans="1:9" hidden="1" x14ac:dyDescent="0.3">
      <c r="A2953" s="13">
        <v>463</v>
      </c>
      <c r="B2953" s="4">
        <v>8</v>
      </c>
      <c r="C2953" t="s">
        <v>537</v>
      </c>
      <c r="D2953" t="s">
        <v>527</v>
      </c>
      <c r="E2953">
        <v>5</v>
      </c>
      <c r="F2953">
        <v>5</v>
      </c>
      <c r="G2953" s="8">
        <f>Lektionen[[#This Row],[Bearbeitungsdauer_real]]/Lektionen[[#This Row],[Bearbeitungsdauer_geschätzt]]-1</f>
        <v>0</v>
      </c>
      <c r="H2953" s="8" t="str" cm="1">
        <f t="array" ref="H2953">_xlfn.IFS(Lektionen[[#This Row],[Bearbeitungsdauer_abgewichen]]&gt;0.6,"viel länger",Lektionen[[#This Row],[Bearbeitungsdauer_abgewichen]]&gt;0.3,"länger",Lektionen[[#This Row],[Bearbeitungsdauer_abgewichen]]&lt;-0.3,"kürzer",TRUE,"keine Abweichung")</f>
        <v>keine Abweichung</v>
      </c>
      <c r="I2953">
        <v>1</v>
      </c>
    </row>
    <row r="2954" spans="1:9" hidden="1" x14ac:dyDescent="0.3">
      <c r="A2954" s="13">
        <v>464</v>
      </c>
      <c r="B2954" s="4">
        <v>1</v>
      </c>
      <c r="C2954" t="s">
        <v>526</v>
      </c>
      <c r="D2954" t="s">
        <v>527</v>
      </c>
      <c r="E2954">
        <v>4</v>
      </c>
      <c r="F2954">
        <v>4</v>
      </c>
      <c r="G2954" s="8">
        <f>Lektionen[[#This Row],[Bearbeitungsdauer_real]]/Lektionen[[#This Row],[Bearbeitungsdauer_geschätzt]]-1</f>
        <v>0</v>
      </c>
      <c r="H2954" s="8" t="str" cm="1">
        <f t="array" ref="H2954">_xlfn.IFS(Lektionen[[#This Row],[Bearbeitungsdauer_abgewichen]]&gt;0.6,"viel länger",Lektionen[[#This Row],[Bearbeitungsdauer_abgewichen]]&gt;0.3,"länger",Lektionen[[#This Row],[Bearbeitungsdauer_abgewichen]]&lt;-0.3,"kürzer",TRUE,"keine Abweichung")</f>
        <v>keine Abweichung</v>
      </c>
      <c r="I2954">
        <v>1</v>
      </c>
    </row>
    <row r="2955" spans="1:9" hidden="1" x14ac:dyDescent="0.3">
      <c r="A2955" s="13">
        <v>464</v>
      </c>
      <c r="B2955" s="4">
        <v>2</v>
      </c>
      <c r="C2955" t="s">
        <v>528</v>
      </c>
      <c r="D2955" t="s">
        <v>529</v>
      </c>
      <c r="E2955">
        <v>15</v>
      </c>
      <c r="F2955">
        <v>20</v>
      </c>
      <c r="G2955" s="8">
        <f>Lektionen[[#This Row],[Bearbeitungsdauer_real]]/Lektionen[[#This Row],[Bearbeitungsdauer_geschätzt]]-1</f>
        <v>0.33333333333333326</v>
      </c>
      <c r="H2955" s="8" t="str" cm="1">
        <f t="array" ref="H2955">_xlfn.IFS(Lektionen[[#This Row],[Bearbeitungsdauer_abgewichen]]&gt;0.6,"viel länger",Lektionen[[#This Row],[Bearbeitungsdauer_abgewichen]]&gt;0.3,"länger",Lektionen[[#This Row],[Bearbeitungsdauer_abgewichen]]&lt;-0.3,"kürzer",TRUE,"keine Abweichung")</f>
        <v>länger</v>
      </c>
      <c r="I2955">
        <v>1</v>
      </c>
    </row>
    <row r="2956" spans="1:9" hidden="1" x14ac:dyDescent="0.3">
      <c r="A2956" s="13">
        <v>464</v>
      </c>
      <c r="B2956" s="4">
        <v>3</v>
      </c>
      <c r="C2956" t="s">
        <v>552</v>
      </c>
      <c r="D2956" t="s">
        <v>530</v>
      </c>
      <c r="E2956">
        <v>30</v>
      </c>
      <c r="F2956">
        <v>29</v>
      </c>
      <c r="G2956" s="8">
        <f>Lektionen[[#This Row],[Bearbeitungsdauer_real]]/Lektionen[[#This Row],[Bearbeitungsdauer_geschätzt]]-1</f>
        <v>-3.3333333333333326E-2</v>
      </c>
      <c r="H2956" s="8" t="str" cm="1">
        <f t="array" ref="H2956">_xlfn.IFS(Lektionen[[#This Row],[Bearbeitungsdauer_abgewichen]]&gt;0.6,"viel länger",Lektionen[[#This Row],[Bearbeitungsdauer_abgewichen]]&gt;0.3,"länger",Lektionen[[#This Row],[Bearbeitungsdauer_abgewichen]]&lt;-0.3,"kürzer",TRUE,"keine Abweichung")</f>
        <v>keine Abweichung</v>
      </c>
      <c r="I2956">
        <v>3</v>
      </c>
    </row>
    <row r="2957" spans="1:9" hidden="1" x14ac:dyDescent="0.3">
      <c r="A2957" s="13">
        <v>464</v>
      </c>
      <c r="B2957" s="4">
        <v>4</v>
      </c>
      <c r="C2957" t="s">
        <v>531</v>
      </c>
      <c r="D2957" t="s">
        <v>530</v>
      </c>
      <c r="E2957">
        <v>30</v>
      </c>
      <c r="F2957">
        <v>21</v>
      </c>
      <c r="G2957" s="8">
        <f>Lektionen[[#This Row],[Bearbeitungsdauer_real]]/Lektionen[[#This Row],[Bearbeitungsdauer_geschätzt]]-1</f>
        <v>-0.30000000000000004</v>
      </c>
      <c r="H2957" s="8" t="str" cm="1">
        <f t="array" ref="H2957">_xlfn.IFS(Lektionen[[#This Row],[Bearbeitungsdauer_abgewichen]]&gt;0.6,"viel länger",Lektionen[[#This Row],[Bearbeitungsdauer_abgewichen]]&gt;0.3,"länger",Lektionen[[#This Row],[Bearbeitungsdauer_abgewichen]]&lt;-0.3,"kürzer",TRUE,"keine Abweichung")</f>
        <v>keine Abweichung</v>
      </c>
      <c r="I2957">
        <v>2</v>
      </c>
    </row>
    <row r="2958" spans="1:9" x14ac:dyDescent="0.3">
      <c r="A2958" s="13">
        <v>464</v>
      </c>
      <c r="B2958" s="4">
        <v>5</v>
      </c>
      <c r="C2958" t="s">
        <v>532</v>
      </c>
      <c r="D2958" t="s">
        <v>530</v>
      </c>
      <c r="E2958">
        <v>30</v>
      </c>
      <c r="F2958">
        <v>52</v>
      </c>
      <c r="G2958" s="8">
        <f>Lektionen[[#This Row],[Bearbeitungsdauer_real]]/Lektionen[[#This Row],[Bearbeitungsdauer_geschätzt]]-1</f>
        <v>0.73333333333333339</v>
      </c>
      <c r="H2958" s="8" t="str" cm="1">
        <f t="array" ref="H2958">_xlfn.IFS(Lektionen[[#This Row],[Bearbeitungsdauer_abgewichen]]&gt;0.6,"viel länger",Lektionen[[#This Row],[Bearbeitungsdauer_abgewichen]]&gt;0.3,"länger",Lektionen[[#This Row],[Bearbeitungsdauer_abgewichen]]&lt;-0.3,"kürzer",TRUE,"keine Abweichung")</f>
        <v>viel länger</v>
      </c>
      <c r="I2958">
        <v>4</v>
      </c>
    </row>
    <row r="2959" spans="1:9" hidden="1" x14ac:dyDescent="0.3">
      <c r="A2959" s="13">
        <v>464</v>
      </c>
      <c r="B2959" s="4">
        <v>6</v>
      </c>
      <c r="C2959" t="s">
        <v>533</v>
      </c>
      <c r="D2959" t="s">
        <v>534</v>
      </c>
      <c r="E2959">
        <v>5</v>
      </c>
      <c r="F2959">
        <v>1</v>
      </c>
      <c r="G2959" s="8">
        <f>Lektionen[[#This Row],[Bearbeitungsdauer_real]]/Lektionen[[#This Row],[Bearbeitungsdauer_geschätzt]]-1</f>
        <v>-0.8</v>
      </c>
      <c r="H2959" s="8" t="str" cm="1">
        <f t="array" ref="H2959">_xlfn.IFS(Lektionen[[#This Row],[Bearbeitungsdauer_abgewichen]]&gt;0.6,"viel länger",Lektionen[[#This Row],[Bearbeitungsdauer_abgewichen]]&gt;0.3,"länger",Lektionen[[#This Row],[Bearbeitungsdauer_abgewichen]]&lt;-0.3,"kürzer",TRUE,"keine Abweichung")</f>
        <v>kürzer</v>
      </c>
      <c r="I2959">
        <v>2</v>
      </c>
    </row>
    <row r="2960" spans="1:9" hidden="1" x14ac:dyDescent="0.3">
      <c r="A2960" s="13">
        <v>464</v>
      </c>
      <c r="B2960" s="4">
        <v>7</v>
      </c>
      <c r="C2960" t="s">
        <v>535</v>
      </c>
      <c r="D2960" t="s">
        <v>536</v>
      </c>
      <c r="E2960">
        <v>10</v>
      </c>
      <c r="F2960">
        <v>8</v>
      </c>
      <c r="G2960" s="8">
        <f>Lektionen[[#This Row],[Bearbeitungsdauer_real]]/Lektionen[[#This Row],[Bearbeitungsdauer_geschätzt]]-1</f>
        <v>-0.19999999999999996</v>
      </c>
      <c r="H2960" s="8" t="str" cm="1">
        <f t="array" ref="H2960">_xlfn.IFS(Lektionen[[#This Row],[Bearbeitungsdauer_abgewichen]]&gt;0.6,"viel länger",Lektionen[[#This Row],[Bearbeitungsdauer_abgewichen]]&gt;0.3,"länger",Lektionen[[#This Row],[Bearbeitungsdauer_abgewichen]]&lt;-0.3,"kürzer",TRUE,"keine Abweichung")</f>
        <v>keine Abweichung</v>
      </c>
      <c r="I2960">
        <v>3</v>
      </c>
    </row>
    <row r="2961" spans="1:9" hidden="1" x14ac:dyDescent="0.3">
      <c r="A2961" s="13">
        <v>464</v>
      </c>
      <c r="B2961" s="4">
        <v>8</v>
      </c>
      <c r="C2961" t="s">
        <v>537</v>
      </c>
      <c r="D2961" t="s">
        <v>527</v>
      </c>
      <c r="E2961">
        <v>5</v>
      </c>
      <c r="F2961">
        <v>5</v>
      </c>
      <c r="G2961" s="8">
        <f>Lektionen[[#This Row],[Bearbeitungsdauer_real]]/Lektionen[[#This Row],[Bearbeitungsdauer_geschätzt]]-1</f>
        <v>0</v>
      </c>
      <c r="H2961" s="8" t="str" cm="1">
        <f t="array" ref="H2961">_xlfn.IFS(Lektionen[[#This Row],[Bearbeitungsdauer_abgewichen]]&gt;0.6,"viel länger",Lektionen[[#This Row],[Bearbeitungsdauer_abgewichen]]&gt;0.3,"länger",Lektionen[[#This Row],[Bearbeitungsdauer_abgewichen]]&lt;-0.3,"kürzer",TRUE,"keine Abweichung")</f>
        <v>keine Abweichung</v>
      </c>
      <c r="I2961">
        <v>1</v>
      </c>
    </row>
    <row r="2962" spans="1:9" hidden="1" x14ac:dyDescent="0.3">
      <c r="A2962" s="13">
        <v>465</v>
      </c>
      <c r="B2962" s="4">
        <v>1</v>
      </c>
      <c r="C2962" t="s">
        <v>526</v>
      </c>
      <c r="D2962" t="s">
        <v>527</v>
      </c>
      <c r="E2962">
        <v>4</v>
      </c>
      <c r="F2962">
        <v>4</v>
      </c>
      <c r="G2962" s="8">
        <f>Lektionen[[#This Row],[Bearbeitungsdauer_real]]/Lektionen[[#This Row],[Bearbeitungsdauer_geschätzt]]-1</f>
        <v>0</v>
      </c>
      <c r="H2962" s="8" t="str" cm="1">
        <f t="array" ref="H2962">_xlfn.IFS(Lektionen[[#This Row],[Bearbeitungsdauer_abgewichen]]&gt;0.6,"viel länger",Lektionen[[#This Row],[Bearbeitungsdauer_abgewichen]]&gt;0.3,"länger",Lektionen[[#This Row],[Bearbeitungsdauer_abgewichen]]&lt;-0.3,"kürzer",TRUE,"keine Abweichung")</f>
        <v>keine Abweichung</v>
      </c>
      <c r="I2962">
        <v>1</v>
      </c>
    </row>
    <row r="2963" spans="1:9" hidden="1" x14ac:dyDescent="0.3">
      <c r="A2963" s="13">
        <v>465</v>
      </c>
      <c r="B2963" s="4">
        <v>2</v>
      </c>
      <c r="C2963" t="s">
        <v>528</v>
      </c>
      <c r="D2963" t="s">
        <v>529</v>
      </c>
      <c r="E2963">
        <v>15</v>
      </c>
      <c r="F2963">
        <v>20</v>
      </c>
      <c r="G2963" s="8">
        <f>Lektionen[[#This Row],[Bearbeitungsdauer_real]]/Lektionen[[#This Row],[Bearbeitungsdauer_geschätzt]]-1</f>
        <v>0.33333333333333326</v>
      </c>
      <c r="H2963" s="8" t="str" cm="1">
        <f t="array" ref="H2963">_xlfn.IFS(Lektionen[[#This Row],[Bearbeitungsdauer_abgewichen]]&gt;0.6,"viel länger",Lektionen[[#This Row],[Bearbeitungsdauer_abgewichen]]&gt;0.3,"länger",Lektionen[[#This Row],[Bearbeitungsdauer_abgewichen]]&lt;-0.3,"kürzer",TRUE,"keine Abweichung")</f>
        <v>länger</v>
      </c>
      <c r="I2963">
        <v>1</v>
      </c>
    </row>
    <row r="2964" spans="1:9" hidden="1" x14ac:dyDescent="0.3">
      <c r="A2964" s="13">
        <v>465</v>
      </c>
      <c r="B2964" s="4">
        <v>3</v>
      </c>
      <c r="C2964" t="s">
        <v>552</v>
      </c>
      <c r="D2964" t="s">
        <v>530</v>
      </c>
      <c r="E2964">
        <v>30</v>
      </c>
      <c r="F2964">
        <v>30</v>
      </c>
      <c r="G2964" s="8">
        <f>Lektionen[[#This Row],[Bearbeitungsdauer_real]]/Lektionen[[#This Row],[Bearbeitungsdauer_geschätzt]]-1</f>
        <v>0</v>
      </c>
      <c r="H2964" s="8" t="str" cm="1">
        <f t="array" ref="H2964">_xlfn.IFS(Lektionen[[#This Row],[Bearbeitungsdauer_abgewichen]]&gt;0.6,"viel länger",Lektionen[[#This Row],[Bearbeitungsdauer_abgewichen]]&gt;0.3,"länger",Lektionen[[#This Row],[Bearbeitungsdauer_abgewichen]]&lt;-0.3,"kürzer",TRUE,"keine Abweichung")</f>
        <v>keine Abweichung</v>
      </c>
      <c r="I2964">
        <v>2</v>
      </c>
    </row>
    <row r="2965" spans="1:9" hidden="1" x14ac:dyDescent="0.3">
      <c r="A2965" s="13">
        <v>465</v>
      </c>
      <c r="B2965" s="4">
        <v>4</v>
      </c>
      <c r="C2965" t="s">
        <v>531</v>
      </c>
      <c r="D2965" t="s">
        <v>530</v>
      </c>
      <c r="E2965">
        <v>30</v>
      </c>
      <c r="F2965">
        <v>18</v>
      </c>
      <c r="G2965" s="8">
        <f>Lektionen[[#This Row],[Bearbeitungsdauer_real]]/Lektionen[[#This Row],[Bearbeitungsdauer_geschätzt]]-1</f>
        <v>-0.4</v>
      </c>
      <c r="H2965" s="8" t="str" cm="1">
        <f t="array" ref="H2965">_xlfn.IFS(Lektionen[[#This Row],[Bearbeitungsdauer_abgewichen]]&gt;0.6,"viel länger",Lektionen[[#This Row],[Bearbeitungsdauer_abgewichen]]&gt;0.3,"länger",Lektionen[[#This Row],[Bearbeitungsdauer_abgewichen]]&lt;-0.3,"kürzer",TRUE,"keine Abweichung")</f>
        <v>kürzer</v>
      </c>
      <c r="I2965">
        <v>3</v>
      </c>
    </row>
    <row r="2966" spans="1:9" x14ac:dyDescent="0.3">
      <c r="A2966" s="13">
        <v>465</v>
      </c>
      <c r="B2966" s="4">
        <v>5</v>
      </c>
      <c r="C2966" t="s">
        <v>532</v>
      </c>
      <c r="D2966" t="s">
        <v>530</v>
      </c>
      <c r="E2966">
        <v>30</v>
      </c>
      <c r="F2966">
        <v>50</v>
      </c>
      <c r="G2966" s="8">
        <f>Lektionen[[#This Row],[Bearbeitungsdauer_real]]/Lektionen[[#This Row],[Bearbeitungsdauer_geschätzt]]-1</f>
        <v>0.66666666666666674</v>
      </c>
      <c r="H2966" s="8" t="str" cm="1">
        <f t="array" ref="H2966">_xlfn.IFS(Lektionen[[#This Row],[Bearbeitungsdauer_abgewichen]]&gt;0.6,"viel länger",Lektionen[[#This Row],[Bearbeitungsdauer_abgewichen]]&gt;0.3,"länger",Lektionen[[#This Row],[Bearbeitungsdauer_abgewichen]]&lt;-0.3,"kürzer",TRUE,"keine Abweichung")</f>
        <v>viel länger</v>
      </c>
      <c r="I2966">
        <v>4</v>
      </c>
    </row>
    <row r="2967" spans="1:9" hidden="1" x14ac:dyDescent="0.3">
      <c r="A2967" s="13">
        <v>465</v>
      </c>
      <c r="B2967" s="4">
        <v>6</v>
      </c>
      <c r="C2967" t="s">
        <v>533</v>
      </c>
      <c r="D2967" t="s">
        <v>534</v>
      </c>
      <c r="E2967">
        <v>5</v>
      </c>
      <c r="F2967">
        <v>4</v>
      </c>
      <c r="G2967" s="8">
        <f>Lektionen[[#This Row],[Bearbeitungsdauer_real]]/Lektionen[[#This Row],[Bearbeitungsdauer_geschätzt]]-1</f>
        <v>-0.19999999999999996</v>
      </c>
      <c r="H2967" s="8" t="str" cm="1">
        <f t="array" ref="H2967">_xlfn.IFS(Lektionen[[#This Row],[Bearbeitungsdauer_abgewichen]]&gt;0.6,"viel länger",Lektionen[[#This Row],[Bearbeitungsdauer_abgewichen]]&gt;0.3,"länger",Lektionen[[#This Row],[Bearbeitungsdauer_abgewichen]]&lt;-0.3,"kürzer",TRUE,"keine Abweichung")</f>
        <v>keine Abweichung</v>
      </c>
      <c r="I2967">
        <v>1</v>
      </c>
    </row>
    <row r="2968" spans="1:9" hidden="1" x14ac:dyDescent="0.3">
      <c r="A2968" s="13">
        <v>465</v>
      </c>
      <c r="B2968" s="4">
        <v>7</v>
      </c>
      <c r="C2968" t="s">
        <v>535</v>
      </c>
      <c r="D2968" t="s">
        <v>536</v>
      </c>
      <c r="E2968">
        <v>10</v>
      </c>
      <c r="F2968">
        <v>9</v>
      </c>
      <c r="G2968" s="8">
        <f>Lektionen[[#This Row],[Bearbeitungsdauer_real]]/Lektionen[[#This Row],[Bearbeitungsdauer_geschätzt]]-1</f>
        <v>-9.9999999999999978E-2</v>
      </c>
      <c r="H2968" s="8" t="str" cm="1">
        <f t="array" ref="H2968">_xlfn.IFS(Lektionen[[#This Row],[Bearbeitungsdauer_abgewichen]]&gt;0.6,"viel länger",Lektionen[[#This Row],[Bearbeitungsdauer_abgewichen]]&gt;0.3,"länger",Lektionen[[#This Row],[Bearbeitungsdauer_abgewichen]]&lt;-0.3,"kürzer",TRUE,"keine Abweichung")</f>
        <v>keine Abweichung</v>
      </c>
      <c r="I2968">
        <v>3</v>
      </c>
    </row>
    <row r="2969" spans="1:9" hidden="1" x14ac:dyDescent="0.3">
      <c r="A2969" s="13">
        <v>465</v>
      </c>
      <c r="B2969" s="4">
        <v>8</v>
      </c>
      <c r="C2969" t="s">
        <v>537</v>
      </c>
      <c r="D2969" t="s">
        <v>527</v>
      </c>
      <c r="E2969">
        <v>5</v>
      </c>
      <c r="F2969">
        <v>5</v>
      </c>
      <c r="G2969" s="8">
        <f>Lektionen[[#This Row],[Bearbeitungsdauer_real]]/Lektionen[[#This Row],[Bearbeitungsdauer_geschätzt]]-1</f>
        <v>0</v>
      </c>
      <c r="H2969" s="8" t="str" cm="1">
        <f t="array" ref="H2969">_xlfn.IFS(Lektionen[[#This Row],[Bearbeitungsdauer_abgewichen]]&gt;0.6,"viel länger",Lektionen[[#This Row],[Bearbeitungsdauer_abgewichen]]&gt;0.3,"länger",Lektionen[[#This Row],[Bearbeitungsdauer_abgewichen]]&lt;-0.3,"kürzer",TRUE,"keine Abweichung")</f>
        <v>keine Abweichung</v>
      </c>
      <c r="I2969">
        <v>1</v>
      </c>
    </row>
    <row r="2970" spans="1:9" hidden="1" x14ac:dyDescent="0.3">
      <c r="A2970" s="13">
        <v>466</v>
      </c>
      <c r="B2970" s="4">
        <v>1</v>
      </c>
      <c r="C2970" t="s">
        <v>526</v>
      </c>
      <c r="D2970" t="s">
        <v>527</v>
      </c>
      <c r="E2970">
        <v>4</v>
      </c>
      <c r="F2970">
        <v>4</v>
      </c>
      <c r="G2970" s="8">
        <f>Lektionen[[#This Row],[Bearbeitungsdauer_real]]/Lektionen[[#This Row],[Bearbeitungsdauer_geschätzt]]-1</f>
        <v>0</v>
      </c>
      <c r="H2970" s="8" t="str" cm="1">
        <f t="array" ref="H2970">_xlfn.IFS(Lektionen[[#This Row],[Bearbeitungsdauer_abgewichen]]&gt;0.6,"viel länger",Lektionen[[#This Row],[Bearbeitungsdauer_abgewichen]]&gt;0.3,"länger",Lektionen[[#This Row],[Bearbeitungsdauer_abgewichen]]&lt;-0.3,"kürzer",TRUE,"keine Abweichung")</f>
        <v>keine Abweichung</v>
      </c>
      <c r="I2970">
        <v>1</v>
      </c>
    </row>
    <row r="2971" spans="1:9" hidden="1" x14ac:dyDescent="0.3">
      <c r="A2971" s="13">
        <v>466</v>
      </c>
      <c r="B2971" s="4">
        <v>2</v>
      </c>
      <c r="C2971" t="s">
        <v>528</v>
      </c>
      <c r="D2971" t="s">
        <v>529</v>
      </c>
      <c r="E2971">
        <v>15</v>
      </c>
      <c r="F2971">
        <v>16</v>
      </c>
      <c r="G2971" s="8">
        <f>Lektionen[[#This Row],[Bearbeitungsdauer_real]]/Lektionen[[#This Row],[Bearbeitungsdauer_geschätzt]]-1</f>
        <v>6.6666666666666652E-2</v>
      </c>
      <c r="H2971" s="8" t="str" cm="1">
        <f t="array" ref="H2971">_xlfn.IFS(Lektionen[[#This Row],[Bearbeitungsdauer_abgewichen]]&gt;0.6,"viel länger",Lektionen[[#This Row],[Bearbeitungsdauer_abgewichen]]&gt;0.3,"länger",Lektionen[[#This Row],[Bearbeitungsdauer_abgewichen]]&lt;-0.3,"kürzer",TRUE,"keine Abweichung")</f>
        <v>keine Abweichung</v>
      </c>
      <c r="I2971">
        <v>1</v>
      </c>
    </row>
    <row r="2972" spans="1:9" hidden="1" x14ac:dyDescent="0.3">
      <c r="A2972" s="13">
        <v>466</v>
      </c>
      <c r="B2972" s="4">
        <v>3</v>
      </c>
      <c r="C2972" t="s">
        <v>552</v>
      </c>
      <c r="D2972" t="s">
        <v>530</v>
      </c>
      <c r="E2972">
        <v>30</v>
      </c>
      <c r="F2972">
        <v>29</v>
      </c>
      <c r="G2972" s="8">
        <f>Lektionen[[#This Row],[Bearbeitungsdauer_real]]/Lektionen[[#This Row],[Bearbeitungsdauer_geschätzt]]-1</f>
        <v>-3.3333333333333326E-2</v>
      </c>
      <c r="H2972" s="8" t="str" cm="1">
        <f t="array" ref="H2972">_xlfn.IFS(Lektionen[[#This Row],[Bearbeitungsdauer_abgewichen]]&gt;0.6,"viel länger",Lektionen[[#This Row],[Bearbeitungsdauer_abgewichen]]&gt;0.3,"länger",Lektionen[[#This Row],[Bearbeitungsdauer_abgewichen]]&lt;-0.3,"kürzer",TRUE,"keine Abweichung")</f>
        <v>keine Abweichung</v>
      </c>
      <c r="I2972">
        <v>2</v>
      </c>
    </row>
    <row r="2973" spans="1:9" hidden="1" x14ac:dyDescent="0.3">
      <c r="A2973" s="13">
        <v>466</v>
      </c>
      <c r="B2973" s="4">
        <v>4</v>
      </c>
      <c r="C2973" t="s">
        <v>531</v>
      </c>
      <c r="D2973" t="s">
        <v>530</v>
      </c>
      <c r="E2973">
        <v>30</v>
      </c>
      <c r="F2973">
        <v>32</v>
      </c>
      <c r="G2973" s="8">
        <f>Lektionen[[#This Row],[Bearbeitungsdauer_real]]/Lektionen[[#This Row],[Bearbeitungsdauer_geschätzt]]-1</f>
        <v>6.6666666666666652E-2</v>
      </c>
      <c r="H2973" s="8" t="str" cm="1">
        <f t="array" ref="H2973">_xlfn.IFS(Lektionen[[#This Row],[Bearbeitungsdauer_abgewichen]]&gt;0.6,"viel länger",Lektionen[[#This Row],[Bearbeitungsdauer_abgewichen]]&gt;0.3,"länger",Lektionen[[#This Row],[Bearbeitungsdauer_abgewichen]]&lt;-0.3,"kürzer",TRUE,"keine Abweichung")</f>
        <v>keine Abweichung</v>
      </c>
      <c r="I2973">
        <v>2</v>
      </c>
    </row>
    <row r="2974" spans="1:9" x14ac:dyDescent="0.3">
      <c r="A2974" s="13">
        <v>466</v>
      </c>
      <c r="B2974" s="4">
        <v>5</v>
      </c>
      <c r="C2974" t="s">
        <v>532</v>
      </c>
      <c r="D2974" t="s">
        <v>530</v>
      </c>
      <c r="E2974">
        <v>30</v>
      </c>
      <c r="F2974">
        <v>46</v>
      </c>
      <c r="G2974" s="8">
        <f>Lektionen[[#This Row],[Bearbeitungsdauer_real]]/Lektionen[[#This Row],[Bearbeitungsdauer_geschätzt]]-1</f>
        <v>0.53333333333333344</v>
      </c>
      <c r="H2974" s="8" t="str" cm="1">
        <f t="array" ref="H2974">_xlfn.IFS(Lektionen[[#This Row],[Bearbeitungsdauer_abgewichen]]&gt;0.6,"viel länger",Lektionen[[#This Row],[Bearbeitungsdauer_abgewichen]]&gt;0.3,"länger",Lektionen[[#This Row],[Bearbeitungsdauer_abgewichen]]&lt;-0.3,"kürzer",TRUE,"keine Abweichung")</f>
        <v>länger</v>
      </c>
      <c r="I2974">
        <v>4</v>
      </c>
    </row>
    <row r="2975" spans="1:9" hidden="1" x14ac:dyDescent="0.3">
      <c r="A2975" s="13">
        <v>466</v>
      </c>
      <c r="B2975" s="4">
        <v>6</v>
      </c>
      <c r="C2975" t="s">
        <v>533</v>
      </c>
      <c r="D2975" t="s">
        <v>534</v>
      </c>
      <c r="E2975">
        <v>5</v>
      </c>
      <c r="F2975">
        <v>1</v>
      </c>
      <c r="G2975" s="8">
        <f>Lektionen[[#This Row],[Bearbeitungsdauer_real]]/Lektionen[[#This Row],[Bearbeitungsdauer_geschätzt]]-1</f>
        <v>-0.8</v>
      </c>
      <c r="H2975" s="8" t="str" cm="1">
        <f t="array" ref="H2975">_xlfn.IFS(Lektionen[[#This Row],[Bearbeitungsdauer_abgewichen]]&gt;0.6,"viel länger",Lektionen[[#This Row],[Bearbeitungsdauer_abgewichen]]&gt;0.3,"länger",Lektionen[[#This Row],[Bearbeitungsdauer_abgewichen]]&lt;-0.3,"kürzer",TRUE,"keine Abweichung")</f>
        <v>kürzer</v>
      </c>
      <c r="I2975">
        <v>2</v>
      </c>
    </row>
    <row r="2976" spans="1:9" hidden="1" x14ac:dyDescent="0.3">
      <c r="A2976" s="13">
        <v>466</v>
      </c>
      <c r="B2976" s="4">
        <v>7</v>
      </c>
      <c r="C2976" t="s">
        <v>535</v>
      </c>
      <c r="D2976" t="s">
        <v>536</v>
      </c>
      <c r="E2976">
        <v>10</v>
      </c>
      <c r="F2976">
        <v>9</v>
      </c>
      <c r="G2976" s="8">
        <f>Lektionen[[#This Row],[Bearbeitungsdauer_real]]/Lektionen[[#This Row],[Bearbeitungsdauer_geschätzt]]-1</f>
        <v>-9.9999999999999978E-2</v>
      </c>
      <c r="H2976" s="8" t="str" cm="1">
        <f t="array" ref="H2976">_xlfn.IFS(Lektionen[[#This Row],[Bearbeitungsdauer_abgewichen]]&gt;0.6,"viel länger",Lektionen[[#This Row],[Bearbeitungsdauer_abgewichen]]&gt;0.3,"länger",Lektionen[[#This Row],[Bearbeitungsdauer_abgewichen]]&lt;-0.3,"kürzer",TRUE,"keine Abweichung")</f>
        <v>keine Abweichung</v>
      </c>
      <c r="I2976">
        <v>3</v>
      </c>
    </row>
    <row r="2977" spans="1:9" hidden="1" x14ac:dyDescent="0.3">
      <c r="A2977" s="13">
        <v>466</v>
      </c>
      <c r="B2977" s="4">
        <v>8</v>
      </c>
      <c r="C2977" t="s">
        <v>537</v>
      </c>
      <c r="D2977" t="s">
        <v>527</v>
      </c>
      <c r="E2977">
        <v>5</v>
      </c>
      <c r="F2977">
        <v>5</v>
      </c>
      <c r="G2977" s="8">
        <f>Lektionen[[#This Row],[Bearbeitungsdauer_real]]/Lektionen[[#This Row],[Bearbeitungsdauer_geschätzt]]-1</f>
        <v>0</v>
      </c>
      <c r="H2977" s="8" t="str" cm="1">
        <f t="array" ref="H2977">_xlfn.IFS(Lektionen[[#This Row],[Bearbeitungsdauer_abgewichen]]&gt;0.6,"viel länger",Lektionen[[#This Row],[Bearbeitungsdauer_abgewichen]]&gt;0.3,"länger",Lektionen[[#This Row],[Bearbeitungsdauer_abgewichen]]&lt;-0.3,"kürzer",TRUE,"keine Abweichung")</f>
        <v>keine Abweichung</v>
      </c>
      <c r="I2977">
        <v>1</v>
      </c>
    </row>
    <row r="2978" spans="1:9" hidden="1" x14ac:dyDescent="0.3">
      <c r="A2978" s="13">
        <v>467</v>
      </c>
      <c r="B2978" s="4">
        <v>1</v>
      </c>
      <c r="C2978" t="s">
        <v>526</v>
      </c>
      <c r="D2978" t="s">
        <v>527</v>
      </c>
      <c r="E2978">
        <v>4</v>
      </c>
      <c r="F2978">
        <v>4</v>
      </c>
      <c r="G2978" s="8">
        <f>Lektionen[[#This Row],[Bearbeitungsdauer_real]]/Lektionen[[#This Row],[Bearbeitungsdauer_geschätzt]]-1</f>
        <v>0</v>
      </c>
      <c r="H2978" s="8" t="str" cm="1">
        <f t="array" ref="H2978">_xlfn.IFS(Lektionen[[#This Row],[Bearbeitungsdauer_abgewichen]]&gt;0.6,"viel länger",Lektionen[[#This Row],[Bearbeitungsdauer_abgewichen]]&gt;0.3,"länger",Lektionen[[#This Row],[Bearbeitungsdauer_abgewichen]]&lt;-0.3,"kürzer",TRUE,"keine Abweichung")</f>
        <v>keine Abweichung</v>
      </c>
      <c r="I2978">
        <v>1</v>
      </c>
    </row>
    <row r="2979" spans="1:9" hidden="1" x14ac:dyDescent="0.3">
      <c r="A2979" s="13">
        <v>467</v>
      </c>
      <c r="B2979" s="4">
        <v>2</v>
      </c>
      <c r="C2979" t="s">
        <v>528</v>
      </c>
      <c r="D2979" t="s">
        <v>529</v>
      </c>
      <c r="E2979">
        <v>15</v>
      </c>
      <c r="F2979">
        <v>16</v>
      </c>
      <c r="G2979" s="8">
        <f>Lektionen[[#This Row],[Bearbeitungsdauer_real]]/Lektionen[[#This Row],[Bearbeitungsdauer_geschätzt]]-1</f>
        <v>6.6666666666666652E-2</v>
      </c>
      <c r="H2979" s="8" t="str" cm="1">
        <f t="array" ref="H2979">_xlfn.IFS(Lektionen[[#This Row],[Bearbeitungsdauer_abgewichen]]&gt;0.6,"viel länger",Lektionen[[#This Row],[Bearbeitungsdauer_abgewichen]]&gt;0.3,"länger",Lektionen[[#This Row],[Bearbeitungsdauer_abgewichen]]&lt;-0.3,"kürzer",TRUE,"keine Abweichung")</f>
        <v>keine Abweichung</v>
      </c>
      <c r="I2979">
        <v>2</v>
      </c>
    </row>
    <row r="2980" spans="1:9" hidden="1" x14ac:dyDescent="0.3">
      <c r="A2980" s="13">
        <v>467</v>
      </c>
      <c r="B2980" s="4">
        <v>3</v>
      </c>
      <c r="C2980" t="s">
        <v>552</v>
      </c>
      <c r="D2980" t="s">
        <v>530</v>
      </c>
      <c r="E2980">
        <v>30</v>
      </c>
      <c r="F2980">
        <v>29</v>
      </c>
      <c r="G2980" s="8">
        <f>Lektionen[[#This Row],[Bearbeitungsdauer_real]]/Lektionen[[#This Row],[Bearbeitungsdauer_geschätzt]]-1</f>
        <v>-3.3333333333333326E-2</v>
      </c>
      <c r="H2980" s="8" t="str" cm="1">
        <f t="array" ref="H2980">_xlfn.IFS(Lektionen[[#This Row],[Bearbeitungsdauer_abgewichen]]&gt;0.6,"viel länger",Lektionen[[#This Row],[Bearbeitungsdauer_abgewichen]]&gt;0.3,"länger",Lektionen[[#This Row],[Bearbeitungsdauer_abgewichen]]&lt;-0.3,"kürzer",TRUE,"keine Abweichung")</f>
        <v>keine Abweichung</v>
      </c>
      <c r="I2980">
        <v>2</v>
      </c>
    </row>
    <row r="2981" spans="1:9" hidden="1" x14ac:dyDescent="0.3">
      <c r="A2981" s="13">
        <v>467</v>
      </c>
      <c r="B2981" s="4">
        <v>4</v>
      </c>
      <c r="C2981" t="s">
        <v>531</v>
      </c>
      <c r="D2981" t="s">
        <v>530</v>
      </c>
      <c r="E2981">
        <v>30</v>
      </c>
      <c r="F2981">
        <v>19</v>
      </c>
      <c r="G2981" s="8">
        <f>Lektionen[[#This Row],[Bearbeitungsdauer_real]]/Lektionen[[#This Row],[Bearbeitungsdauer_geschätzt]]-1</f>
        <v>-0.3666666666666667</v>
      </c>
      <c r="H2981" s="8" t="str" cm="1">
        <f t="array" ref="H2981">_xlfn.IFS(Lektionen[[#This Row],[Bearbeitungsdauer_abgewichen]]&gt;0.6,"viel länger",Lektionen[[#This Row],[Bearbeitungsdauer_abgewichen]]&gt;0.3,"länger",Lektionen[[#This Row],[Bearbeitungsdauer_abgewichen]]&lt;-0.3,"kürzer",TRUE,"keine Abweichung")</f>
        <v>kürzer</v>
      </c>
      <c r="I2981">
        <v>4</v>
      </c>
    </row>
    <row r="2982" spans="1:9" x14ac:dyDescent="0.3">
      <c r="A2982" s="13">
        <v>467</v>
      </c>
      <c r="B2982" s="4">
        <v>5</v>
      </c>
      <c r="C2982" t="s">
        <v>532</v>
      </c>
      <c r="D2982" t="s">
        <v>530</v>
      </c>
      <c r="E2982">
        <v>30</v>
      </c>
      <c r="F2982">
        <v>46</v>
      </c>
      <c r="G2982" s="8">
        <f>Lektionen[[#This Row],[Bearbeitungsdauer_real]]/Lektionen[[#This Row],[Bearbeitungsdauer_geschätzt]]-1</f>
        <v>0.53333333333333344</v>
      </c>
      <c r="H2982" s="8" t="str" cm="1">
        <f t="array" ref="H2982">_xlfn.IFS(Lektionen[[#This Row],[Bearbeitungsdauer_abgewichen]]&gt;0.6,"viel länger",Lektionen[[#This Row],[Bearbeitungsdauer_abgewichen]]&gt;0.3,"länger",Lektionen[[#This Row],[Bearbeitungsdauer_abgewichen]]&lt;-0.3,"kürzer",TRUE,"keine Abweichung")</f>
        <v>länger</v>
      </c>
      <c r="I2982">
        <v>4</v>
      </c>
    </row>
    <row r="2983" spans="1:9" hidden="1" x14ac:dyDescent="0.3">
      <c r="A2983" s="13">
        <v>467</v>
      </c>
      <c r="B2983" s="4">
        <v>6</v>
      </c>
      <c r="C2983" t="s">
        <v>533</v>
      </c>
      <c r="D2983" t="s">
        <v>534</v>
      </c>
      <c r="E2983">
        <v>5</v>
      </c>
      <c r="F2983">
        <v>4</v>
      </c>
      <c r="G2983" s="8">
        <f>Lektionen[[#This Row],[Bearbeitungsdauer_real]]/Lektionen[[#This Row],[Bearbeitungsdauer_geschätzt]]-1</f>
        <v>-0.19999999999999996</v>
      </c>
      <c r="H2983" s="8" t="str" cm="1">
        <f t="array" ref="H2983">_xlfn.IFS(Lektionen[[#This Row],[Bearbeitungsdauer_abgewichen]]&gt;0.6,"viel länger",Lektionen[[#This Row],[Bearbeitungsdauer_abgewichen]]&gt;0.3,"länger",Lektionen[[#This Row],[Bearbeitungsdauer_abgewichen]]&lt;-0.3,"kürzer",TRUE,"keine Abweichung")</f>
        <v>keine Abweichung</v>
      </c>
      <c r="I2983">
        <v>2</v>
      </c>
    </row>
    <row r="2984" spans="1:9" hidden="1" x14ac:dyDescent="0.3">
      <c r="A2984" s="13">
        <v>467</v>
      </c>
      <c r="B2984" s="4">
        <v>7</v>
      </c>
      <c r="C2984" t="s">
        <v>535</v>
      </c>
      <c r="D2984" t="s">
        <v>536</v>
      </c>
      <c r="E2984">
        <v>10</v>
      </c>
      <c r="F2984">
        <v>9</v>
      </c>
      <c r="G2984" s="8">
        <f>Lektionen[[#This Row],[Bearbeitungsdauer_real]]/Lektionen[[#This Row],[Bearbeitungsdauer_geschätzt]]-1</f>
        <v>-9.9999999999999978E-2</v>
      </c>
      <c r="H2984" s="8" t="str" cm="1">
        <f t="array" ref="H2984">_xlfn.IFS(Lektionen[[#This Row],[Bearbeitungsdauer_abgewichen]]&gt;0.6,"viel länger",Lektionen[[#This Row],[Bearbeitungsdauer_abgewichen]]&gt;0.3,"länger",Lektionen[[#This Row],[Bearbeitungsdauer_abgewichen]]&lt;-0.3,"kürzer",TRUE,"keine Abweichung")</f>
        <v>keine Abweichung</v>
      </c>
      <c r="I2984">
        <v>4</v>
      </c>
    </row>
    <row r="2985" spans="1:9" hidden="1" x14ac:dyDescent="0.3">
      <c r="A2985" s="13">
        <v>467</v>
      </c>
      <c r="B2985" s="4">
        <v>8</v>
      </c>
      <c r="C2985" t="s">
        <v>537</v>
      </c>
      <c r="D2985" t="s">
        <v>527</v>
      </c>
      <c r="E2985">
        <v>5</v>
      </c>
      <c r="F2985">
        <v>5</v>
      </c>
      <c r="G2985" s="8">
        <f>Lektionen[[#This Row],[Bearbeitungsdauer_real]]/Lektionen[[#This Row],[Bearbeitungsdauer_geschätzt]]-1</f>
        <v>0</v>
      </c>
      <c r="H2985" s="8" t="str" cm="1">
        <f t="array" ref="H2985">_xlfn.IFS(Lektionen[[#This Row],[Bearbeitungsdauer_abgewichen]]&gt;0.6,"viel länger",Lektionen[[#This Row],[Bearbeitungsdauer_abgewichen]]&gt;0.3,"länger",Lektionen[[#This Row],[Bearbeitungsdauer_abgewichen]]&lt;-0.3,"kürzer",TRUE,"keine Abweichung")</f>
        <v>keine Abweichung</v>
      </c>
      <c r="I2985">
        <v>1</v>
      </c>
    </row>
    <row r="2986" spans="1:9" hidden="1" x14ac:dyDescent="0.3">
      <c r="A2986" s="13">
        <v>469</v>
      </c>
      <c r="B2986" s="4">
        <v>1</v>
      </c>
      <c r="C2986" t="s">
        <v>526</v>
      </c>
      <c r="D2986" t="s">
        <v>527</v>
      </c>
      <c r="E2986">
        <v>4</v>
      </c>
      <c r="F2986">
        <v>4</v>
      </c>
      <c r="G2986" s="8">
        <f>Lektionen[[#This Row],[Bearbeitungsdauer_real]]/Lektionen[[#This Row],[Bearbeitungsdauer_geschätzt]]-1</f>
        <v>0</v>
      </c>
      <c r="H2986" s="8" t="str" cm="1">
        <f t="array" ref="H2986">_xlfn.IFS(Lektionen[[#This Row],[Bearbeitungsdauer_abgewichen]]&gt;0.6,"viel länger",Lektionen[[#This Row],[Bearbeitungsdauer_abgewichen]]&gt;0.3,"länger",Lektionen[[#This Row],[Bearbeitungsdauer_abgewichen]]&lt;-0.3,"kürzer",TRUE,"keine Abweichung")</f>
        <v>keine Abweichung</v>
      </c>
      <c r="I2986">
        <v>1</v>
      </c>
    </row>
    <row r="2987" spans="1:9" hidden="1" x14ac:dyDescent="0.3">
      <c r="A2987" s="13">
        <v>469</v>
      </c>
      <c r="B2987" s="4">
        <v>2</v>
      </c>
      <c r="C2987" t="s">
        <v>528</v>
      </c>
      <c r="D2987" t="s">
        <v>529</v>
      </c>
      <c r="E2987">
        <v>15</v>
      </c>
      <c r="F2987">
        <v>15</v>
      </c>
      <c r="G2987" s="8">
        <f>Lektionen[[#This Row],[Bearbeitungsdauer_real]]/Lektionen[[#This Row],[Bearbeitungsdauer_geschätzt]]-1</f>
        <v>0</v>
      </c>
      <c r="H2987" s="8" t="str" cm="1">
        <f t="array" ref="H2987">_xlfn.IFS(Lektionen[[#This Row],[Bearbeitungsdauer_abgewichen]]&gt;0.6,"viel länger",Lektionen[[#This Row],[Bearbeitungsdauer_abgewichen]]&gt;0.3,"länger",Lektionen[[#This Row],[Bearbeitungsdauer_abgewichen]]&lt;-0.3,"kürzer",TRUE,"keine Abweichung")</f>
        <v>keine Abweichung</v>
      </c>
      <c r="I2987">
        <v>1</v>
      </c>
    </row>
    <row r="2988" spans="1:9" hidden="1" x14ac:dyDescent="0.3">
      <c r="A2988" s="13">
        <v>469</v>
      </c>
      <c r="B2988" s="4">
        <v>3</v>
      </c>
      <c r="C2988" t="s">
        <v>552</v>
      </c>
      <c r="D2988" t="s">
        <v>530</v>
      </c>
      <c r="E2988">
        <v>30</v>
      </c>
      <c r="F2988">
        <v>30</v>
      </c>
      <c r="G2988" s="8">
        <f>Lektionen[[#This Row],[Bearbeitungsdauer_real]]/Lektionen[[#This Row],[Bearbeitungsdauer_geschätzt]]-1</f>
        <v>0</v>
      </c>
      <c r="H2988" s="8" t="str" cm="1">
        <f t="array" ref="H2988">_xlfn.IFS(Lektionen[[#This Row],[Bearbeitungsdauer_abgewichen]]&gt;0.6,"viel länger",Lektionen[[#This Row],[Bearbeitungsdauer_abgewichen]]&gt;0.3,"länger",Lektionen[[#This Row],[Bearbeitungsdauer_abgewichen]]&lt;-0.3,"kürzer",TRUE,"keine Abweichung")</f>
        <v>keine Abweichung</v>
      </c>
      <c r="I2988">
        <v>2</v>
      </c>
    </row>
    <row r="2989" spans="1:9" hidden="1" x14ac:dyDescent="0.3">
      <c r="A2989" s="13">
        <v>469</v>
      </c>
      <c r="B2989" s="4">
        <v>4</v>
      </c>
      <c r="C2989" t="s">
        <v>531</v>
      </c>
      <c r="D2989" t="s">
        <v>530</v>
      </c>
      <c r="E2989">
        <v>30</v>
      </c>
      <c r="F2989">
        <v>27</v>
      </c>
      <c r="G2989" s="8">
        <f>Lektionen[[#This Row],[Bearbeitungsdauer_real]]/Lektionen[[#This Row],[Bearbeitungsdauer_geschätzt]]-1</f>
        <v>-9.9999999999999978E-2</v>
      </c>
      <c r="H2989" s="8" t="str" cm="1">
        <f t="array" ref="H2989">_xlfn.IFS(Lektionen[[#This Row],[Bearbeitungsdauer_abgewichen]]&gt;0.6,"viel länger",Lektionen[[#This Row],[Bearbeitungsdauer_abgewichen]]&gt;0.3,"länger",Lektionen[[#This Row],[Bearbeitungsdauer_abgewichen]]&lt;-0.3,"kürzer",TRUE,"keine Abweichung")</f>
        <v>keine Abweichung</v>
      </c>
      <c r="I2989">
        <v>3</v>
      </c>
    </row>
    <row r="2990" spans="1:9" x14ac:dyDescent="0.3">
      <c r="A2990" s="13">
        <v>469</v>
      </c>
      <c r="B2990" s="4">
        <v>5</v>
      </c>
      <c r="C2990" t="s">
        <v>532</v>
      </c>
      <c r="D2990" t="s">
        <v>530</v>
      </c>
      <c r="E2990">
        <v>30</v>
      </c>
      <c r="F2990">
        <v>51</v>
      </c>
      <c r="G2990" s="8">
        <f>Lektionen[[#This Row],[Bearbeitungsdauer_real]]/Lektionen[[#This Row],[Bearbeitungsdauer_geschätzt]]-1</f>
        <v>0.7</v>
      </c>
      <c r="H2990" s="8" t="str" cm="1">
        <f t="array" ref="H2990">_xlfn.IFS(Lektionen[[#This Row],[Bearbeitungsdauer_abgewichen]]&gt;0.6,"viel länger",Lektionen[[#This Row],[Bearbeitungsdauer_abgewichen]]&gt;0.3,"länger",Lektionen[[#This Row],[Bearbeitungsdauer_abgewichen]]&lt;-0.3,"kürzer",TRUE,"keine Abweichung")</f>
        <v>viel länger</v>
      </c>
      <c r="I2990">
        <v>4</v>
      </c>
    </row>
    <row r="2991" spans="1:9" hidden="1" x14ac:dyDescent="0.3">
      <c r="A2991" s="13">
        <v>469</v>
      </c>
      <c r="B2991" s="4">
        <v>6</v>
      </c>
      <c r="C2991" t="s">
        <v>533</v>
      </c>
      <c r="D2991" t="s">
        <v>534</v>
      </c>
      <c r="E2991">
        <v>5</v>
      </c>
      <c r="F2991">
        <v>3</v>
      </c>
      <c r="G2991" s="8">
        <f>Lektionen[[#This Row],[Bearbeitungsdauer_real]]/Lektionen[[#This Row],[Bearbeitungsdauer_geschätzt]]-1</f>
        <v>-0.4</v>
      </c>
      <c r="H2991" s="8" t="str" cm="1">
        <f t="array" ref="H2991">_xlfn.IFS(Lektionen[[#This Row],[Bearbeitungsdauer_abgewichen]]&gt;0.6,"viel länger",Lektionen[[#This Row],[Bearbeitungsdauer_abgewichen]]&gt;0.3,"länger",Lektionen[[#This Row],[Bearbeitungsdauer_abgewichen]]&lt;-0.3,"kürzer",TRUE,"keine Abweichung")</f>
        <v>kürzer</v>
      </c>
      <c r="I2991">
        <v>1</v>
      </c>
    </row>
    <row r="2992" spans="1:9" hidden="1" x14ac:dyDescent="0.3">
      <c r="A2992" s="13">
        <v>469</v>
      </c>
      <c r="B2992" s="4">
        <v>7</v>
      </c>
      <c r="C2992" t="s">
        <v>535</v>
      </c>
      <c r="D2992" t="s">
        <v>536</v>
      </c>
      <c r="E2992">
        <v>10</v>
      </c>
      <c r="F2992">
        <v>8</v>
      </c>
      <c r="G2992" s="8">
        <f>Lektionen[[#This Row],[Bearbeitungsdauer_real]]/Lektionen[[#This Row],[Bearbeitungsdauer_geschätzt]]-1</f>
        <v>-0.19999999999999996</v>
      </c>
      <c r="H2992" s="8" t="str" cm="1">
        <f t="array" ref="H2992">_xlfn.IFS(Lektionen[[#This Row],[Bearbeitungsdauer_abgewichen]]&gt;0.6,"viel länger",Lektionen[[#This Row],[Bearbeitungsdauer_abgewichen]]&gt;0.3,"länger",Lektionen[[#This Row],[Bearbeitungsdauer_abgewichen]]&lt;-0.3,"kürzer",TRUE,"keine Abweichung")</f>
        <v>keine Abweichung</v>
      </c>
      <c r="I2992">
        <v>4</v>
      </c>
    </row>
    <row r="2993" spans="1:9" hidden="1" x14ac:dyDescent="0.3">
      <c r="A2993" s="13">
        <v>469</v>
      </c>
      <c r="B2993" s="4">
        <v>8</v>
      </c>
      <c r="C2993" t="s">
        <v>537</v>
      </c>
      <c r="D2993" t="s">
        <v>527</v>
      </c>
      <c r="E2993">
        <v>5</v>
      </c>
      <c r="F2993">
        <v>5</v>
      </c>
      <c r="G2993" s="8">
        <f>Lektionen[[#This Row],[Bearbeitungsdauer_real]]/Lektionen[[#This Row],[Bearbeitungsdauer_geschätzt]]-1</f>
        <v>0</v>
      </c>
      <c r="H2993" s="8" t="str" cm="1">
        <f t="array" ref="H2993">_xlfn.IFS(Lektionen[[#This Row],[Bearbeitungsdauer_abgewichen]]&gt;0.6,"viel länger",Lektionen[[#This Row],[Bearbeitungsdauer_abgewichen]]&gt;0.3,"länger",Lektionen[[#This Row],[Bearbeitungsdauer_abgewichen]]&lt;-0.3,"kürzer",TRUE,"keine Abweichung")</f>
        <v>keine Abweichung</v>
      </c>
      <c r="I2993">
        <v>1</v>
      </c>
    </row>
    <row r="2994" spans="1:9" hidden="1" x14ac:dyDescent="0.3">
      <c r="A2994" s="13">
        <v>470</v>
      </c>
      <c r="B2994" s="4">
        <v>1</v>
      </c>
      <c r="C2994" t="s">
        <v>526</v>
      </c>
      <c r="D2994" t="s">
        <v>527</v>
      </c>
      <c r="E2994">
        <v>4</v>
      </c>
      <c r="F2994">
        <v>4</v>
      </c>
      <c r="G2994" s="8">
        <f>Lektionen[[#This Row],[Bearbeitungsdauer_real]]/Lektionen[[#This Row],[Bearbeitungsdauer_geschätzt]]-1</f>
        <v>0</v>
      </c>
      <c r="H2994" s="8" t="str" cm="1">
        <f t="array" ref="H2994">_xlfn.IFS(Lektionen[[#This Row],[Bearbeitungsdauer_abgewichen]]&gt;0.6,"viel länger",Lektionen[[#This Row],[Bearbeitungsdauer_abgewichen]]&gt;0.3,"länger",Lektionen[[#This Row],[Bearbeitungsdauer_abgewichen]]&lt;-0.3,"kürzer",TRUE,"keine Abweichung")</f>
        <v>keine Abweichung</v>
      </c>
      <c r="I2994">
        <v>1</v>
      </c>
    </row>
    <row r="2995" spans="1:9" hidden="1" x14ac:dyDescent="0.3">
      <c r="A2995" s="13">
        <v>470</v>
      </c>
      <c r="B2995" s="4">
        <v>2</v>
      </c>
      <c r="C2995" t="s">
        <v>528</v>
      </c>
      <c r="D2995" t="s">
        <v>529</v>
      </c>
      <c r="E2995">
        <v>15</v>
      </c>
      <c r="F2995">
        <v>19</v>
      </c>
      <c r="G2995" s="8">
        <f>Lektionen[[#This Row],[Bearbeitungsdauer_real]]/Lektionen[[#This Row],[Bearbeitungsdauer_geschätzt]]-1</f>
        <v>0.26666666666666661</v>
      </c>
      <c r="H2995" s="8" t="str" cm="1">
        <f t="array" ref="H2995">_xlfn.IFS(Lektionen[[#This Row],[Bearbeitungsdauer_abgewichen]]&gt;0.6,"viel länger",Lektionen[[#This Row],[Bearbeitungsdauer_abgewichen]]&gt;0.3,"länger",Lektionen[[#This Row],[Bearbeitungsdauer_abgewichen]]&lt;-0.3,"kürzer",TRUE,"keine Abweichung")</f>
        <v>keine Abweichung</v>
      </c>
      <c r="I2995">
        <v>1</v>
      </c>
    </row>
    <row r="2996" spans="1:9" hidden="1" x14ac:dyDescent="0.3">
      <c r="A2996" s="13">
        <v>470</v>
      </c>
      <c r="B2996" s="4">
        <v>3</v>
      </c>
      <c r="C2996" t="s">
        <v>552</v>
      </c>
      <c r="D2996" t="s">
        <v>530</v>
      </c>
      <c r="E2996">
        <v>30</v>
      </c>
      <c r="F2996">
        <v>29</v>
      </c>
      <c r="G2996" s="8">
        <f>Lektionen[[#This Row],[Bearbeitungsdauer_real]]/Lektionen[[#This Row],[Bearbeitungsdauer_geschätzt]]-1</f>
        <v>-3.3333333333333326E-2</v>
      </c>
      <c r="H2996" s="8" t="str" cm="1">
        <f t="array" ref="H2996">_xlfn.IFS(Lektionen[[#This Row],[Bearbeitungsdauer_abgewichen]]&gt;0.6,"viel länger",Lektionen[[#This Row],[Bearbeitungsdauer_abgewichen]]&gt;0.3,"länger",Lektionen[[#This Row],[Bearbeitungsdauer_abgewichen]]&lt;-0.3,"kürzer",TRUE,"keine Abweichung")</f>
        <v>keine Abweichung</v>
      </c>
      <c r="I2996">
        <v>3</v>
      </c>
    </row>
    <row r="2997" spans="1:9" hidden="1" x14ac:dyDescent="0.3">
      <c r="A2997" s="13">
        <v>470</v>
      </c>
      <c r="B2997" s="4">
        <v>4</v>
      </c>
      <c r="C2997" t="s">
        <v>531</v>
      </c>
      <c r="D2997" t="s">
        <v>530</v>
      </c>
      <c r="E2997">
        <v>30</v>
      </c>
      <c r="F2997">
        <v>24</v>
      </c>
      <c r="G2997" s="8">
        <f>Lektionen[[#This Row],[Bearbeitungsdauer_real]]/Lektionen[[#This Row],[Bearbeitungsdauer_geschätzt]]-1</f>
        <v>-0.19999999999999996</v>
      </c>
      <c r="H2997" s="8" t="str" cm="1">
        <f t="array" ref="H2997">_xlfn.IFS(Lektionen[[#This Row],[Bearbeitungsdauer_abgewichen]]&gt;0.6,"viel länger",Lektionen[[#This Row],[Bearbeitungsdauer_abgewichen]]&gt;0.3,"länger",Lektionen[[#This Row],[Bearbeitungsdauer_abgewichen]]&lt;-0.3,"kürzer",TRUE,"keine Abweichung")</f>
        <v>keine Abweichung</v>
      </c>
      <c r="I2997">
        <v>3</v>
      </c>
    </row>
    <row r="2998" spans="1:9" x14ac:dyDescent="0.3">
      <c r="A2998" s="13">
        <v>470</v>
      </c>
      <c r="B2998" s="4">
        <v>5</v>
      </c>
      <c r="C2998" t="s">
        <v>532</v>
      </c>
      <c r="D2998" t="s">
        <v>530</v>
      </c>
      <c r="E2998">
        <v>30</v>
      </c>
      <c r="F2998">
        <v>44</v>
      </c>
      <c r="G2998" s="8">
        <f>Lektionen[[#This Row],[Bearbeitungsdauer_real]]/Lektionen[[#This Row],[Bearbeitungsdauer_geschätzt]]-1</f>
        <v>0.46666666666666656</v>
      </c>
      <c r="H2998" s="8" t="str" cm="1">
        <f t="array" ref="H2998">_xlfn.IFS(Lektionen[[#This Row],[Bearbeitungsdauer_abgewichen]]&gt;0.6,"viel länger",Lektionen[[#This Row],[Bearbeitungsdauer_abgewichen]]&gt;0.3,"länger",Lektionen[[#This Row],[Bearbeitungsdauer_abgewichen]]&lt;-0.3,"kürzer",TRUE,"keine Abweichung")</f>
        <v>länger</v>
      </c>
      <c r="I2998">
        <v>4</v>
      </c>
    </row>
    <row r="2999" spans="1:9" hidden="1" x14ac:dyDescent="0.3">
      <c r="A2999" s="13">
        <v>470</v>
      </c>
      <c r="B2999" s="4">
        <v>6</v>
      </c>
      <c r="C2999" t="s">
        <v>533</v>
      </c>
      <c r="D2999" t="s">
        <v>534</v>
      </c>
      <c r="E2999">
        <v>5</v>
      </c>
      <c r="F2999">
        <v>1</v>
      </c>
      <c r="G2999" s="8">
        <f>Lektionen[[#This Row],[Bearbeitungsdauer_real]]/Lektionen[[#This Row],[Bearbeitungsdauer_geschätzt]]-1</f>
        <v>-0.8</v>
      </c>
      <c r="H2999" s="8" t="str" cm="1">
        <f t="array" ref="H2999">_xlfn.IFS(Lektionen[[#This Row],[Bearbeitungsdauer_abgewichen]]&gt;0.6,"viel länger",Lektionen[[#This Row],[Bearbeitungsdauer_abgewichen]]&gt;0.3,"länger",Lektionen[[#This Row],[Bearbeitungsdauer_abgewichen]]&lt;-0.3,"kürzer",TRUE,"keine Abweichung")</f>
        <v>kürzer</v>
      </c>
      <c r="I2999">
        <v>2</v>
      </c>
    </row>
    <row r="3000" spans="1:9" hidden="1" x14ac:dyDescent="0.3">
      <c r="A3000" s="13">
        <v>470</v>
      </c>
      <c r="B3000" s="4">
        <v>7</v>
      </c>
      <c r="C3000" t="s">
        <v>535</v>
      </c>
      <c r="D3000" t="s">
        <v>536</v>
      </c>
      <c r="E3000">
        <v>10</v>
      </c>
      <c r="F3000">
        <v>10</v>
      </c>
      <c r="G3000" s="8">
        <f>Lektionen[[#This Row],[Bearbeitungsdauer_real]]/Lektionen[[#This Row],[Bearbeitungsdauer_geschätzt]]-1</f>
        <v>0</v>
      </c>
      <c r="H3000" s="8" t="str" cm="1">
        <f t="array" ref="H3000">_xlfn.IFS(Lektionen[[#This Row],[Bearbeitungsdauer_abgewichen]]&gt;0.6,"viel länger",Lektionen[[#This Row],[Bearbeitungsdauer_abgewichen]]&gt;0.3,"länger",Lektionen[[#This Row],[Bearbeitungsdauer_abgewichen]]&lt;-0.3,"kürzer",TRUE,"keine Abweichung")</f>
        <v>keine Abweichung</v>
      </c>
      <c r="I3000">
        <v>3</v>
      </c>
    </row>
    <row r="3001" spans="1:9" hidden="1" x14ac:dyDescent="0.3">
      <c r="A3001" s="13">
        <v>470</v>
      </c>
      <c r="B3001" s="4">
        <v>8</v>
      </c>
      <c r="C3001" t="s">
        <v>537</v>
      </c>
      <c r="D3001" t="s">
        <v>527</v>
      </c>
      <c r="E3001">
        <v>5</v>
      </c>
      <c r="F3001">
        <v>5</v>
      </c>
      <c r="G3001" s="8">
        <f>Lektionen[[#This Row],[Bearbeitungsdauer_real]]/Lektionen[[#This Row],[Bearbeitungsdauer_geschätzt]]-1</f>
        <v>0</v>
      </c>
      <c r="H3001" s="8" t="str" cm="1">
        <f t="array" ref="H3001">_xlfn.IFS(Lektionen[[#This Row],[Bearbeitungsdauer_abgewichen]]&gt;0.6,"viel länger",Lektionen[[#This Row],[Bearbeitungsdauer_abgewichen]]&gt;0.3,"länger",Lektionen[[#This Row],[Bearbeitungsdauer_abgewichen]]&lt;-0.3,"kürzer",TRUE,"keine Abweichung")</f>
        <v>keine Abweichung</v>
      </c>
      <c r="I3001">
        <v>1</v>
      </c>
    </row>
    <row r="3002" spans="1:9" hidden="1" x14ac:dyDescent="0.3">
      <c r="A3002" s="13">
        <v>471</v>
      </c>
      <c r="B3002" s="4">
        <v>1</v>
      </c>
      <c r="C3002" t="s">
        <v>526</v>
      </c>
      <c r="D3002" t="s">
        <v>527</v>
      </c>
      <c r="E3002">
        <v>4</v>
      </c>
      <c r="F3002">
        <v>4</v>
      </c>
      <c r="G3002" s="8">
        <f>Lektionen[[#This Row],[Bearbeitungsdauer_real]]/Lektionen[[#This Row],[Bearbeitungsdauer_geschätzt]]-1</f>
        <v>0</v>
      </c>
      <c r="H3002" s="8" t="str" cm="1">
        <f t="array" ref="H3002">_xlfn.IFS(Lektionen[[#This Row],[Bearbeitungsdauer_abgewichen]]&gt;0.6,"viel länger",Lektionen[[#This Row],[Bearbeitungsdauer_abgewichen]]&gt;0.3,"länger",Lektionen[[#This Row],[Bearbeitungsdauer_abgewichen]]&lt;-0.3,"kürzer",TRUE,"keine Abweichung")</f>
        <v>keine Abweichung</v>
      </c>
      <c r="I3002">
        <v>1</v>
      </c>
    </row>
    <row r="3003" spans="1:9" hidden="1" x14ac:dyDescent="0.3">
      <c r="A3003" s="13">
        <v>471</v>
      </c>
      <c r="B3003" s="4">
        <v>2</v>
      </c>
      <c r="C3003" t="s">
        <v>528</v>
      </c>
      <c r="D3003" t="s">
        <v>529</v>
      </c>
      <c r="E3003">
        <v>15</v>
      </c>
      <c r="F3003">
        <v>16</v>
      </c>
      <c r="G3003" s="8">
        <f>Lektionen[[#This Row],[Bearbeitungsdauer_real]]/Lektionen[[#This Row],[Bearbeitungsdauer_geschätzt]]-1</f>
        <v>6.6666666666666652E-2</v>
      </c>
      <c r="H3003" s="8" t="str" cm="1">
        <f t="array" ref="H3003">_xlfn.IFS(Lektionen[[#This Row],[Bearbeitungsdauer_abgewichen]]&gt;0.6,"viel länger",Lektionen[[#This Row],[Bearbeitungsdauer_abgewichen]]&gt;0.3,"länger",Lektionen[[#This Row],[Bearbeitungsdauer_abgewichen]]&lt;-0.3,"kürzer",TRUE,"keine Abweichung")</f>
        <v>keine Abweichung</v>
      </c>
      <c r="I3003">
        <v>2</v>
      </c>
    </row>
    <row r="3004" spans="1:9" hidden="1" x14ac:dyDescent="0.3">
      <c r="A3004" s="13">
        <v>471</v>
      </c>
      <c r="B3004" s="4">
        <v>3</v>
      </c>
      <c r="C3004" t="s">
        <v>552</v>
      </c>
      <c r="D3004" t="s">
        <v>530</v>
      </c>
      <c r="E3004">
        <v>30</v>
      </c>
      <c r="F3004">
        <v>27</v>
      </c>
      <c r="G3004" s="8">
        <f>Lektionen[[#This Row],[Bearbeitungsdauer_real]]/Lektionen[[#This Row],[Bearbeitungsdauer_geschätzt]]-1</f>
        <v>-9.9999999999999978E-2</v>
      </c>
      <c r="H3004" s="8" t="str" cm="1">
        <f t="array" ref="H3004">_xlfn.IFS(Lektionen[[#This Row],[Bearbeitungsdauer_abgewichen]]&gt;0.6,"viel länger",Lektionen[[#This Row],[Bearbeitungsdauer_abgewichen]]&gt;0.3,"länger",Lektionen[[#This Row],[Bearbeitungsdauer_abgewichen]]&lt;-0.3,"kürzer",TRUE,"keine Abweichung")</f>
        <v>keine Abweichung</v>
      </c>
      <c r="I3004">
        <v>3</v>
      </c>
    </row>
    <row r="3005" spans="1:9" hidden="1" x14ac:dyDescent="0.3">
      <c r="A3005" s="13">
        <v>471</v>
      </c>
      <c r="B3005" s="4">
        <v>4</v>
      </c>
      <c r="C3005" t="s">
        <v>531</v>
      </c>
      <c r="D3005" t="s">
        <v>530</v>
      </c>
      <c r="E3005">
        <v>30</v>
      </c>
      <c r="F3005">
        <v>29</v>
      </c>
      <c r="G3005" s="8">
        <f>Lektionen[[#This Row],[Bearbeitungsdauer_real]]/Lektionen[[#This Row],[Bearbeitungsdauer_geschätzt]]-1</f>
        <v>-3.3333333333333326E-2</v>
      </c>
      <c r="H3005" s="8" t="str" cm="1">
        <f t="array" ref="H3005">_xlfn.IFS(Lektionen[[#This Row],[Bearbeitungsdauer_abgewichen]]&gt;0.6,"viel länger",Lektionen[[#This Row],[Bearbeitungsdauer_abgewichen]]&gt;0.3,"länger",Lektionen[[#This Row],[Bearbeitungsdauer_abgewichen]]&lt;-0.3,"kürzer",TRUE,"keine Abweichung")</f>
        <v>keine Abweichung</v>
      </c>
      <c r="I3005">
        <v>3</v>
      </c>
    </row>
    <row r="3006" spans="1:9" x14ac:dyDescent="0.3">
      <c r="A3006" s="13">
        <v>471</v>
      </c>
      <c r="B3006" s="4">
        <v>5</v>
      </c>
      <c r="C3006" t="s">
        <v>532</v>
      </c>
      <c r="D3006" t="s">
        <v>530</v>
      </c>
      <c r="E3006">
        <v>30</v>
      </c>
      <c r="F3006">
        <v>42</v>
      </c>
      <c r="G3006" s="8">
        <f>Lektionen[[#This Row],[Bearbeitungsdauer_real]]/Lektionen[[#This Row],[Bearbeitungsdauer_geschätzt]]-1</f>
        <v>0.39999999999999991</v>
      </c>
      <c r="H3006" s="8" t="str" cm="1">
        <f t="array" ref="H3006">_xlfn.IFS(Lektionen[[#This Row],[Bearbeitungsdauer_abgewichen]]&gt;0.6,"viel länger",Lektionen[[#This Row],[Bearbeitungsdauer_abgewichen]]&gt;0.3,"länger",Lektionen[[#This Row],[Bearbeitungsdauer_abgewichen]]&lt;-0.3,"kürzer",TRUE,"keine Abweichung")</f>
        <v>länger</v>
      </c>
      <c r="I3006">
        <v>4</v>
      </c>
    </row>
    <row r="3007" spans="1:9" hidden="1" x14ac:dyDescent="0.3">
      <c r="A3007" s="13">
        <v>471</v>
      </c>
      <c r="B3007" s="4">
        <v>6</v>
      </c>
      <c r="C3007" t="s">
        <v>533</v>
      </c>
      <c r="D3007" t="s">
        <v>534</v>
      </c>
      <c r="E3007">
        <v>5</v>
      </c>
      <c r="F3007">
        <v>1</v>
      </c>
      <c r="G3007" s="8">
        <f>Lektionen[[#This Row],[Bearbeitungsdauer_real]]/Lektionen[[#This Row],[Bearbeitungsdauer_geschätzt]]-1</f>
        <v>-0.8</v>
      </c>
      <c r="H3007" s="8" t="str" cm="1">
        <f t="array" ref="H3007">_xlfn.IFS(Lektionen[[#This Row],[Bearbeitungsdauer_abgewichen]]&gt;0.6,"viel länger",Lektionen[[#This Row],[Bearbeitungsdauer_abgewichen]]&gt;0.3,"länger",Lektionen[[#This Row],[Bearbeitungsdauer_abgewichen]]&lt;-0.3,"kürzer",TRUE,"keine Abweichung")</f>
        <v>kürzer</v>
      </c>
      <c r="I3007">
        <v>2</v>
      </c>
    </row>
    <row r="3008" spans="1:9" hidden="1" x14ac:dyDescent="0.3">
      <c r="A3008" s="13">
        <v>471</v>
      </c>
      <c r="B3008" s="4">
        <v>7</v>
      </c>
      <c r="C3008" t="s">
        <v>535</v>
      </c>
      <c r="D3008" t="s">
        <v>536</v>
      </c>
      <c r="E3008">
        <v>10</v>
      </c>
      <c r="F3008">
        <v>11</v>
      </c>
      <c r="G3008" s="8">
        <f>Lektionen[[#This Row],[Bearbeitungsdauer_real]]/Lektionen[[#This Row],[Bearbeitungsdauer_geschätzt]]-1</f>
        <v>0.10000000000000009</v>
      </c>
      <c r="H3008" s="8" t="str" cm="1">
        <f t="array" ref="H3008">_xlfn.IFS(Lektionen[[#This Row],[Bearbeitungsdauer_abgewichen]]&gt;0.6,"viel länger",Lektionen[[#This Row],[Bearbeitungsdauer_abgewichen]]&gt;0.3,"länger",Lektionen[[#This Row],[Bearbeitungsdauer_abgewichen]]&lt;-0.3,"kürzer",TRUE,"keine Abweichung")</f>
        <v>keine Abweichung</v>
      </c>
      <c r="I3008">
        <v>3</v>
      </c>
    </row>
    <row r="3009" spans="1:9" hidden="1" x14ac:dyDescent="0.3">
      <c r="A3009" s="13">
        <v>471</v>
      </c>
      <c r="B3009" s="4">
        <v>8</v>
      </c>
      <c r="C3009" t="s">
        <v>537</v>
      </c>
      <c r="D3009" t="s">
        <v>527</v>
      </c>
      <c r="E3009">
        <v>5</v>
      </c>
      <c r="F3009">
        <v>5</v>
      </c>
      <c r="G3009" s="8">
        <f>Lektionen[[#This Row],[Bearbeitungsdauer_real]]/Lektionen[[#This Row],[Bearbeitungsdauer_geschätzt]]-1</f>
        <v>0</v>
      </c>
      <c r="H3009" s="8" t="str" cm="1">
        <f t="array" ref="H3009">_xlfn.IFS(Lektionen[[#This Row],[Bearbeitungsdauer_abgewichen]]&gt;0.6,"viel länger",Lektionen[[#This Row],[Bearbeitungsdauer_abgewichen]]&gt;0.3,"länger",Lektionen[[#This Row],[Bearbeitungsdauer_abgewichen]]&lt;-0.3,"kürzer",TRUE,"keine Abweichung")</f>
        <v>keine Abweichung</v>
      </c>
      <c r="I3009">
        <v>1</v>
      </c>
    </row>
    <row r="3010" spans="1:9" hidden="1" x14ac:dyDescent="0.3">
      <c r="A3010" s="13">
        <v>472</v>
      </c>
      <c r="B3010" s="4">
        <v>1</v>
      </c>
      <c r="C3010" t="s">
        <v>526</v>
      </c>
      <c r="D3010" t="s">
        <v>527</v>
      </c>
      <c r="E3010">
        <v>4</v>
      </c>
      <c r="F3010">
        <v>4</v>
      </c>
      <c r="G3010" s="8">
        <f>Lektionen[[#This Row],[Bearbeitungsdauer_real]]/Lektionen[[#This Row],[Bearbeitungsdauer_geschätzt]]-1</f>
        <v>0</v>
      </c>
      <c r="H3010" s="8" t="str" cm="1">
        <f t="array" ref="H3010">_xlfn.IFS(Lektionen[[#This Row],[Bearbeitungsdauer_abgewichen]]&gt;0.6,"viel länger",Lektionen[[#This Row],[Bearbeitungsdauer_abgewichen]]&gt;0.3,"länger",Lektionen[[#This Row],[Bearbeitungsdauer_abgewichen]]&lt;-0.3,"kürzer",TRUE,"keine Abweichung")</f>
        <v>keine Abweichung</v>
      </c>
      <c r="I3010">
        <v>1</v>
      </c>
    </row>
    <row r="3011" spans="1:9" hidden="1" x14ac:dyDescent="0.3">
      <c r="A3011" s="13">
        <v>472</v>
      </c>
      <c r="B3011" s="4">
        <v>2</v>
      </c>
      <c r="C3011" t="s">
        <v>528</v>
      </c>
      <c r="D3011" t="s">
        <v>529</v>
      </c>
      <c r="E3011">
        <v>15</v>
      </c>
      <c r="F3011">
        <v>17</v>
      </c>
      <c r="G3011" s="8">
        <f>Lektionen[[#This Row],[Bearbeitungsdauer_real]]/Lektionen[[#This Row],[Bearbeitungsdauer_geschätzt]]-1</f>
        <v>0.1333333333333333</v>
      </c>
      <c r="H3011" s="8" t="str" cm="1">
        <f t="array" ref="H3011">_xlfn.IFS(Lektionen[[#This Row],[Bearbeitungsdauer_abgewichen]]&gt;0.6,"viel länger",Lektionen[[#This Row],[Bearbeitungsdauer_abgewichen]]&gt;0.3,"länger",Lektionen[[#This Row],[Bearbeitungsdauer_abgewichen]]&lt;-0.3,"kürzer",TRUE,"keine Abweichung")</f>
        <v>keine Abweichung</v>
      </c>
      <c r="I3011">
        <v>1</v>
      </c>
    </row>
    <row r="3012" spans="1:9" hidden="1" x14ac:dyDescent="0.3">
      <c r="A3012" s="13">
        <v>472</v>
      </c>
      <c r="B3012" s="4">
        <v>3</v>
      </c>
      <c r="C3012" t="s">
        <v>552</v>
      </c>
      <c r="D3012" t="s">
        <v>530</v>
      </c>
      <c r="E3012">
        <v>30</v>
      </c>
      <c r="F3012">
        <v>28</v>
      </c>
      <c r="G3012" s="8">
        <f>Lektionen[[#This Row],[Bearbeitungsdauer_real]]/Lektionen[[#This Row],[Bearbeitungsdauer_geschätzt]]-1</f>
        <v>-6.6666666666666652E-2</v>
      </c>
      <c r="H3012" s="8" t="str" cm="1">
        <f t="array" ref="H3012">_xlfn.IFS(Lektionen[[#This Row],[Bearbeitungsdauer_abgewichen]]&gt;0.6,"viel länger",Lektionen[[#This Row],[Bearbeitungsdauer_abgewichen]]&gt;0.3,"länger",Lektionen[[#This Row],[Bearbeitungsdauer_abgewichen]]&lt;-0.3,"kürzer",TRUE,"keine Abweichung")</f>
        <v>keine Abweichung</v>
      </c>
      <c r="I3012">
        <v>2</v>
      </c>
    </row>
    <row r="3013" spans="1:9" hidden="1" x14ac:dyDescent="0.3">
      <c r="A3013" s="13">
        <v>472</v>
      </c>
      <c r="B3013" s="4">
        <v>4</v>
      </c>
      <c r="C3013" t="s">
        <v>531</v>
      </c>
      <c r="D3013" t="s">
        <v>530</v>
      </c>
      <c r="E3013">
        <v>30</v>
      </c>
      <c r="F3013">
        <v>27</v>
      </c>
      <c r="G3013" s="8">
        <f>Lektionen[[#This Row],[Bearbeitungsdauer_real]]/Lektionen[[#This Row],[Bearbeitungsdauer_geschätzt]]-1</f>
        <v>-9.9999999999999978E-2</v>
      </c>
      <c r="H3013" s="8" t="str" cm="1">
        <f t="array" ref="H3013">_xlfn.IFS(Lektionen[[#This Row],[Bearbeitungsdauer_abgewichen]]&gt;0.6,"viel länger",Lektionen[[#This Row],[Bearbeitungsdauer_abgewichen]]&gt;0.3,"länger",Lektionen[[#This Row],[Bearbeitungsdauer_abgewichen]]&lt;-0.3,"kürzer",TRUE,"keine Abweichung")</f>
        <v>keine Abweichung</v>
      </c>
      <c r="I3013">
        <v>4</v>
      </c>
    </row>
    <row r="3014" spans="1:9" x14ac:dyDescent="0.3">
      <c r="A3014" s="13">
        <v>472</v>
      </c>
      <c r="B3014" s="4">
        <v>5</v>
      </c>
      <c r="C3014" t="s">
        <v>532</v>
      </c>
      <c r="D3014" t="s">
        <v>530</v>
      </c>
      <c r="E3014">
        <v>30</v>
      </c>
      <c r="F3014">
        <v>45</v>
      </c>
      <c r="G3014" s="8">
        <f>Lektionen[[#This Row],[Bearbeitungsdauer_real]]/Lektionen[[#This Row],[Bearbeitungsdauer_geschätzt]]-1</f>
        <v>0.5</v>
      </c>
      <c r="H3014" s="8" t="str" cm="1">
        <f t="array" ref="H3014">_xlfn.IFS(Lektionen[[#This Row],[Bearbeitungsdauer_abgewichen]]&gt;0.6,"viel länger",Lektionen[[#This Row],[Bearbeitungsdauer_abgewichen]]&gt;0.3,"länger",Lektionen[[#This Row],[Bearbeitungsdauer_abgewichen]]&lt;-0.3,"kürzer",TRUE,"keine Abweichung")</f>
        <v>länger</v>
      </c>
      <c r="I3014">
        <v>3</v>
      </c>
    </row>
    <row r="3015" spans="1:9" hidden="1" x14ac:dyDescent="0.3">
      <c r="A3015" s="13">
        <v>472</v>
      </c>
      <c r="B3015" s="4">
        <v>6</v>
      </c>
      <c r="C3015" t="s">
        <v>533</v>
      </c>
      <c r="D3015" t="s">
        <v>534</v>
      </c>
      <c r="E3015">
        <v>5</v>
      </c>
      <c r="F3015">
        <v>1</v>
      </c>
      <c r="G3015" s="8">
        <f>Lektionen[[#This Row],[Bearbeitungsdauer_real]]/Lektionen[[#This Row],[Bearbeitungsdauer_geschätzt]]-1</f>
        <v>-0.8</v>
      </c>
      <c r="H3015" s="8" t="str" cm="1">
        <f t="array" ref="H3015">_xlfn.IFS(Lektionen[[#This Row],[Bearbeitungsdauer_abgewichen]]&gt;0.6,"viel länger",Lektionen[[#This Row],[Bearbeitungsdauer_abgewichen]]&gt;0.3,"länger",Lektionen[[#This Row],[Bearbeitungsdauer_abgewichen]]&lt;-0.3,"kürzer",TRUE,"keine Abweichung")</f>
        <v>kürzer</v>
      </c>
      <c r="I3015">
        <v>3</v>
      </c>
    </row>
    <row r="3016" spans="1:9" hidden="1" x14ac:dyDescent="0.3">
      <c r="A3016" s="13">
        <v>472</v>
      </c>
      <c r="B3016" s="4">
        <v>7</v>
      </c>
      <c r="C3016" t="s">
        <v>535</v>
      </c>
      <c r="D3016" t="s">
        <v>536</v>
      </c>
      <c r="E3016">
        <v>10</v>
      </c>
      <c r="F3016">
        <v>10</v>
      </c>
      <c r="G3016" s="8">
        <f>Lektionen[[#This Row],[Bearbeitungsdauer_real]]/Lektionen[[#This Row],[Bearbeitungsdauer_geschätzt]]-1</f>
        <v>0</v>
      </c>
      <c r="H3016" s="8" t="str" cm="1">
        <f t="array" ref="H3016">_xlfn.IFS(Lektionen[[#This Row],[Bearbeitungsdauer_abgewichen]]&gt;0.6,"viel länger",Lektionen[[#This Row],[Bearbeitungsdauer_abgewichen]]&gt;0.3,"länger",Lektionen[[#This Row],[Bearbeitungsdauer_abgewichen]]&lt;-0.3,"kürzer",TRUE,"keine Abweichung")</f>
        <v>keine Abweichung</v>
      </c>
      <c r="I3016">
        <v>3</v>
      </c>
    </row>
    <row r="3017" spans="1:9" hidden="1" x14ac:dyDescent="0.3">
      <c r="A3017" s="13">
        <v>472</v>
      </c>
      <c r="B3017" s="4">
        <v>8</v>
      </c>
      <c r="C3017" t="s">
        <v>537</v>
      </c>
      <c r="D3017" t="s">
        <v>527</v>
      </c>
      <c r="E3017">
        <v>5</v>
      </c>
      <c r="F3017">
        <v>5</v>
      </c>
      <c r="G3017" s="8">
        <f>Lektionen[[#This Row],[Bearbeitungsdauer_real]]/Lektionen[[#This Row],[Bearbeitungsdauer_geschätzt]]-1</f>
        <v>0</v>
      </c>
      <c r="H3017" s="8" t="str" cm="1">
        <f t="array" ref="H3017">_xlfn.IFS(Lektionen[[#This Row],[Bearbeitungsdauer_abgewichen]]&gt;0.6,"viel länger",Lektionen[[#This Row],[Bearbeitungsdauer_abgewichen]]&gt;0.3,"länger",Lektionen[[#This Row],[Bearbeitungsdauer_abgewichen]]&lt;-0.3,"kürzer",TRUE,"keine Abweichung")</f>
        <v>keine Abweichung</v>
      </c>
      <c r="I3017">
        <v>1</v>
      </c>
    </row>
    <row r="3018" spans="1:9" hidden="1" x14ac:dyDescent="0.3">
      <c r="A3018" s="13">
        <v>473</v>
      </c>
      <c r="B3018" s="4">
        <v>1</v>
      </c>
      <c r="C3018" t="s">
        <v>526</v>
      </c>
      <c r="D3018" t="s">
        <v>527</v>
      </c>
      <c r="E3018">
        <v>4</v>
      </c>
      <c r="F3018">
        <v>4</v>
      </c>
      <c r="G3018" s="8">
        <f>Lektionen[[#This Row],[Bearbeitungsdauer_real]]/Lektionen[[#This Row],[Bearbeitungsdauer_geschätzt]]-1</f>
        <v>0</v>
      </c>
      <c r="H3018" s="8" t="str" cm="1">
        <f t="array" ref="H3018">_xlfn.IFS(Lektionen[[#This Row],[Bearbeitungsdauer_abgewichen]]&gt;0.6,"viel länger",Lektionen[[#This Row],[Bearbeitungsdauer_abgewichen]]&gt;0.3,"länger",Lektionen[[#This Row],[Bearbeitungsdauer_abgewichen]]&lt;-0.3,"kürzer",TRUE,"keine Abweichung")</f>
        <v>keine Abweichung</v>
      </c>
      <c r="I3018">
        <v>1</v>
      </c>
    </row>
    <row r="3019" spans="1:9" hidden="1" x14ac:dyDescent="0.3">
      <c r="A3019" s="13">
        <v>473</v>
      </c>
      <c r="B3019" s="4">
        <v>2</v>
      </c>
      <c r="C3019" t="s">
        <v>528</v>
      </c>
      <c r="D3019" t="s">
        <v>529</v>
      </c>
      <c r="E3019">
        <v>15</v>
      </c>
      <c r="F3019">
        <v>15</v>
      </c>
      <c r="G3019" s="8">
        <f>Lektionen[[#This Row],[Bearbeitungsdauer_real]]/Lektionen[[#This Row],[Bearbeitungsdauer_geschätzt]]-1</f>
        <v>0</v>
      </c>
      <c r="H3019" s="8" t="str" cm="1">
        <f t="array" ref="H3019">_xlfn.IFS(Lektionen[[#This Row],[Bearbeitungsdauer_abgewichen]]&gt;0.6,"viel länger",Lektionen[[#This Row],[Bearbeitungsdauer_abgewichen]]&gt;0.3,"länger",Lektionen[[#This Row],[Bearbeitungsdauer_abgewichen]]&lt;-0.3,"kürzer",TRUE,"keine Abweichung")</f>
        <v>keine Abweichung</v>
      </c>
      <c r="I3019">
        <v>1</v>
      </c>
    </row>
    <row r="3020" spans="1:9" hidden="1" x14ac:dyDescent="0.3">
      <c r="A3020" s="13">
        <v>473</v>
      </c>
      <c r="B3020" s="4">
        <v>3</v>
      </c>
      <c r="C3020" t="s">
        <v>552</v>
      </c>
      <c r="D3020" t="s">
        <v>530</v>
      </c>
      <c r="E3020">
        <v>30</v>
      </c>
      <c r="F3020">
        <v>28</v>
      </c>
      <c r="G3020" s="8">
        <f>Lektionen[[#This Row],[Bearbeitungsdauer_real]]/Lektionen[[#This Row],[Bearbeitungsdauer_geschätzt]]-1</f>
        <v>-6.6666666666666652E-2</v>
      </c>
      <c r="H3020" s="8" t="str" cm="1">
        <f t="array" ref="H3020">_xlfn.IFS(Lektionen[[#This Row],[Bearbeitungsdauer_abgewichen]]&gt;0.6,"viel länger",Lektionen[[#This Row],[Bearbeitungsdauer_abgewichen]]&gt;0.3,"länger",Lektionen[[#This Row],[Bearbeitungsdauer_abgewichen]]&lt;-0.3,"kürzer",TRUE,"keine Abweichung")</f>
        <v>keine Abweichung</v>
      </c>
      <c r="I3020">
        <v>3</v>
      </c>
    </row>
    <row r="3021" spans="1:9" hidden="1" x14ac:dyDescent="0.3">
      <c r="A3021" s="13">
        <v>473</v>
      </c>
      <c r="B3021" s="4">
        <v>4</v>
      </c>
      <c r="C3021" t="s">
        <v>531</v>
      </c>
      <c r="D3021" t="s">
        <v>530</v>
      </c>
      <c r="E3021">
        <v>30</v>
      </c>
      <c r="F3021">
        <v>21</v>
      </c>
      <c r="G3021" s="8">
        <f>Lektionen[[#This Row],[Bearbeitungsdauer_real]]/Lektionen[[#This Row],[Bearbeitungsdauer_geschätzt]]-1</f>
        <v>-0.30000000000000004</v>
      </c>
      <c r="H3021" s="8" t="str" cm="1">
        <f t="array" ref="H3021">_xlfn.IFS(Lektionen[[#This Row],[Bearbeitungsdauer_abgewichen]]&gt;0.6,"viel länger",Lektionen[[#This Row],[Bearbeitungsdauer_abgewichen]]&gt;0.3,"länger",Lektionen[[#This Row],[Bearbeitungsdauer_abgewichen]]&lt;-0.3,"kürzer",TRUE,"keine Abweichung")</f>
        <v>keine Abweichung</v>
      </c>
      <c r="I3021">
        <v>4</v>
      </c>
    </row>
    <row r="3022" spans="1:9" x14ac:dyDescent="0.3">
      <c r="A3022" s="13">
        <v>473</v>
      </c>
      <c r="B3022" s="4">
        <v>5</v>
      </c>
      <c r="C3022" t="s">
        <v>532</v>
      </c>
      <c r="D3022" t="s">
        <v>530</v>
      </c>
      <c r="E3022">
        <v>30</v>
      </c>
      <c r="F3022">
        <v>50</v>
      </c>
      <c r="G3022" s="8">
        <f>Lektionen[[#This Row],[Bearbeitungsdauer_real]]/Lektionen[[#This Row],[Bearbeitungsdauer_geschätzt]]-1</f>
        <v>0.66666666666666674</v>
      </c>
      <c r="H3022" s="8" t="str" cm="1">
        <f t="array" ref="H3022">_xlfn.IFS(Lektionen[[#This Row],[Bearbeitungsdauer_abgewichen]]&gt;0.6,"viel länger",Lektionen[[#This Row],[Bearbeitungsdauer_abgewichen]]&gt;0.3,"länger",Lektionen[[#This Row],[Bearbeitungsdauer_abgewichen]]&lt;-0.3,"kürzer",TRUE,"keine Abweichung")</f>
        <v>viel länger</v>
      </c>
      <c r="I3022">
        <v>4</v>
      </c>
    </row>
    <row r="3023" spans="1:9" hidden="1" x14ac:dyDescent="0.3">
      <c r="A3023" s="13">
        <v>473</v>
      </c>
      <c r="B3023" s="4">
        <v>6</v>
      </c>
      <c r="C3023" t="s">
        <v>533</v>
      </c>
      <c r="D3023" t="s">
        <v>534</v>
      </c>
      <c r="E3023">
        <v>5</v>
      </c>
      <c r="F3023">
        <v>1</v>
      </c>
      <c r="G3023" s="8">
        <f>Lektionen[[#This Row],[Bearbeitungsdauer_real]]/Lektionen[[#This Row],[Bearbeitungsdauer_geschätzt]]-1</f>
        <v>-0.8</v>
      </c>
      <c r="H3023" s="8" t="str" cm="1">
        <f t="array" ref="H3023">_xlfn.IFS(Lektionen[[#This Row],[Bearbeitungsdauer_abgewichen]]&gt;0.6,"viel länger",Lektionen[[#This Row],[Bearbeitungsdauer_abgewichen]]&gt;0.3,"länger",Lektionen[[#This Row],[Bearbeitungsdauer_abgewichen]]&lt;-0.3,"kürzer",TRUE,"keine Abweichung")</f>
        <v>kürzer</v>
      </c>
      <c r="I3023">
        <v>2</v>
      </c>
    </row>
    <row r="3024" spans="1:9" hidden="1" x14ac:dyDescent="0.3">
      <c r="A3024" s="13">
        <v>473</v>
      </c>
      <c r="B3024" s="4">
        <v>7</v>
      </c>
      <c r="C3024" t="s">
        <v>535</v>
      </c>
      <c r="D3024" t="s">
        <v>536</v>
      </c>
      <c r="E3024">
        <v>10</v>
      </c>
      <c r="F3024">
        <v>9</v>
      </c>
      <c r="G3024" s="8">
        <f>Lektionen[[#This Row],[Bearbeitungsdauer_real]]/Lektionen[[#This Row],[Bearbeitungsdauer_geschätzt]]-1</f>
        <v>-9.9999999999999978E-2</v>
      </c>
      <c r="H3024" s="8" t="str" cm="1">
        <f t="array" ref="H3024">_xlfn.IFS(Lektionen[[#This Row],[Bearbeitungsdauer_abgewichen]]&gt;0.6,"viel länger",Lektionen[[#This Row],[Bearbeitungsdauer_abgewichen]]&gt;0.3,"länger",Lektionen[[#This Row],[Bearbeitungsdauer_abgewichen]]&lt;-0.3,"kürzer",TRUE,"keine Abweichung")</f>
        <v>keine Abweichung</v>
      </c>
      <c r="I3024">
        <v>3</v>
      </c>
    </row>
    <row r="3025" spans="1:9" hidden="1" x14ac:dyDescent="0.3">
      <c r="A3025" s="13">
        <v>473</v>
      </c>
      <c r="B3025" s="4">
        <v>8</v>
      </c>
      <c r="C3025" t="s">
        <v>537</v>
      </c>
      <c r="D3025" t="s">
        <v>527</v>
      </c>
      <c r="E3025">
        <v>5</v>
      </c>
      <c r="F3025">
        <v>5</v>
      </c>
      <c r="G3025" s="8">
        <f>Lektionen[[#This Row],[Bearbeitungsdauer_real]]/Lektionen[[#This Row],[Bearbeitungsdauer_geschätzt]]-1</f>
        <v>0</v>
      </c>
      <c r="H3025" s="8" t="str" cm="1">
        <f t="array" ref="H3025">_xlfn.IFS(Lektionen[[#This Row],[Bearbeitungsdauer_abgewichen]]&gt;0.6,"viel länger",Lektionen[[#This Row],[Bearbeitungsdauer_abgewichen]]&gt;0.3,"länger",Lektionen[[#This Row],[Bearbeitungsdauer_abgewichen]]&lt;-0.3,"kürzer",TRUE,"keine Abweichung")</f>
        <v>keine Abweichung</v>
      </c>
      <c r="I3025">
        <v>1</v>
      </c>
    </row>
    <row r="3026" spans="1:9" hidden="1" x14ac:dyDescent="0.3">
      <c r="A3026" s="13">
        <v>474</v>
      </c>
      <c r="B3026" s="4">
        <v>1</v>
      </c>
      <c r="C3026" t="s">
        <v>526</v>
      </c>
      <c r="D3026" t="s">
        <v>527</v>
      </c>
      <c r="E3026">
        <v>4</v>
      </c>
      <c r="F3026">
        <v>4</v>
      </c>
      <c r="G3026" s="8">
        <f>Lektionen[[#This Row],[Bearbeitungsdauer_real]]/Lektionen[[#This Row],[Bearbeitungsdauer_geschätzt]]-1</f>
        <v>0</v>
      </c>
      <c r="H3026" s="8" t="str" cm="1">
        <f t="array" ref="H3026">_xlfn.IFS(Lektionen[[#This Row],[Bearbeitungsdauer_abgewichen]]&gt;0.6,"viel länger",Lektionen[[#This Row],[Bearbeitungsdauer_abgewichen]]&gt;0.3,"länger",Lektionen[[#This Row],[Bearbeitungsdauer_abgewichen]]&lt;-0.3,"kürzer",TRUE,"keine Abweichung")</f>
        <v>keine Abweichung</v>
      </c>
      <c r="I3026">
        <v>1</v>
      </c>
    </row>
    <row r="3027" spans="1:9" hidden="1" x14ac:dyDescent="0.3">
      <c r="A3027" s="13">
        <v>474</v>
      </c>
      <c r="B3027" s="4">
        <v>2</v>
      </c>
      <c r="C3027" t="s">
        <v>528</v>
      </c>
      <c r="D3027" t="s">
        <v>529</v>
      </c>
      <c r="E3027">
        <v>15</v>
      </c>
      <c r="F3027">
        <v>17</v>
      </c>
      <c r="G3027" s="8">
        <f>Lektionen[[#This Row],[Bearbeitungsdauer_real]]/Lektionen[[#This Row],[Bearbeitungsdauer_geschätzt]]-1</f>
        <v>0.1333333333333333</v>
      </c>
      <c r="H3027" s="8" t="str" cm="1">
        <f t="array" ref="H3027">_xlfn.IFS(Lektionen[[#This Row],[Bearbeitungsdauer_abgewichen]]&gt;0.6,"viel länger",Lektionen[[#This Row],[Bearbeitungsdauer_abgewichen]]&gt;0.3,"länger",Lektionen[[#This Row],[Bearbeitungsdauer_abgewichen]]&lt;-0.3,"kürzer",TRUE,"keine Abweichung")</f>
        <v>keine Abweichung</v>
      </c>
      <c r="I3027">
        <v>1</v>
      </c>
    </row>
    <row r="3028" spans="1:9" hidden="1" x14ac:dyDescent="0.3">
      <c r="A3028" s="13">
        <v>474</v>
      </c>
      <c r="B3028" s="4">
        <v>3</v>
      </c>
      <c r="C3028" t="s">
        <v>552</v>
      </c>
      <c r="D3028" t="s">
        <v>530</v>
      </c>
      <c r="E3028">
        <v>30</v>
      </c>
      <c r="F3028">
        <v>27</v>
      </c>
      <c r="G3028" s="8">
        <f>Lektionen[[#This Row],[Bearbeitungsdauer_real]]/Lektionen[[#This Row],[Bearbeitungsdauer_geschätzt]]-1</f>
        <v>-9.9999999999999978E-2</v>
      </c>
      <c r="H3028" s="8" t="str" cm="1">
        <f t="array" ref="H3028">_xlfn.IFS(Lektionen[[#This Row],[Bearbeitungsdauer_abgewichen]]&gt;0.6,"viel länger",Lektionen[[#This Row],[Bearbeitungsdauer_abgewichen]]&gt;0.3,"länger",Lektionen[[#This Row],[Bearbeitungsdauer_abgewichen]]&lt;-0.3,"kürzer",TRUE,"keine Abweichung")</f>
        <v>keine Abweichung</v>
      </c>
      <c r="I3028">
        <v>3</v>
      </c>
    </row>
    <row r="3029" spans="1:9" hidden="1" x14ac:dyDescent="0.3">
      <c r="A3029" s="13">
        <v>474</v>
      </c>
      <c r="B3029" s="4">
        <v>4</v>
      </c>
      <c r="C3029" t="s">
        <v>531</v>
      </c>
      <c r="D3029" t="s">
        <v>530</v>
      </c>
      <c r="E3029">
        <v>30</v>
      </c>
      <c r="F3029">
        <v>30</v>
      </c>
      <c r="G3029" s="8">
        <f>Lektionen[[#This Row],[Bearbeitungsdauer_real]]/Lektionen[[#This Row],[Bearbeitungsdauer_geschätzt]]-1</f>
        <v>0</v>
      </c>
      <c r="H3029" s="8" t="str" cm="1">
        <f t="array" ref="H3029">_xlfn.IFS(Lektionen[[#This Row],[Bearbeitungsdauer_abgewichen]]&gt;0.6,"viel länger",Lektionen[[#This Row],[Bearbeitungsdauer_abgewichen]]&gt;0.3,"länger",Lektionen[[#This Row],[Bearbeitungsdauer_abgewichen]]&lt;-0.3,"kürzer",TRUE,"keine Abweichung")</f>
        <v>keine Abweichung</v>
      </c>
      <c r="I3029">
        <v>3</v>
      </c>
    </row>
    <row r="3030" spans="1:9" x14ac:dyDescent="0.3">
      <c r="A3030" s="13">
        <v>474</v>
      </c>
      <c r="B3030" s="4">
        <v>5</v>
      </c>
      <c r="C3030" t="s">
        <v>532</v>
      </c>
      <c r="D3030" t="s">
        <v>530</v>
      </c>
      <c r="E3030">
        <v>30</v>
      </c>
      <c r="F3030">
        <v>38</v>
      </c>
      <c r="G3030" s="8">
        <f>Lektionen[[#This Row],[Bearbeitungsdauer_real]]/Lektionen[[#This Row],[Bearbeitungsdauer_geschätzt]]-1</f>
        <v>0.26666666666666661</v>
      </c>
      <c r="H3030" s="8" t="str" cm="1">
        <f t="array" ref="H3030">_xlfn.IFS(Lektionen[[#This Row],[Bearbeitungsdauer_abgewichen]]&gt;0.6,"viel länger",Lektionen[[#This Row],[Bearbeitungsdauer_abgewichen]]&gt;0.3,"länger",Lektionen[[#This Row],[Bearbeitungsdauer_abgewichen]]&lt;-0.3,"kürzer",TRUE,"keine Abweichung")</f>
        <v>keine Abweichung</v>
      </c>
      <c r="I3030">
        <v>4</v>
      </c>
    </row>
    <row r="3031" spans="1:9" hidden="1" x14ac:dyDescent="0.3">
      <c r="A3031" s="13">
        <v>474</v>
      </c>
      <c r="B3031" s="4">
        <v>6</v>
      </c>
      <c r="C3031" t="s">
        <v>533</v>
      </c>
      <c r="D3031" t="s">
        <v>534</v>
      </c>
      <c r="E3031">
        <v>5</v>
      </c>
      <c r="F3031">
        <v>2</v>
      </c>
      <c r="G3031" s="8">
        <f>Lektionen[[#This Row],[Bearbeitungsdauer_real]]/Lektionen[[#This Row],[Bearbeitungsdauer_geschätzt]]-1</f>
        <v>-0.6</v>
      </c>
      <c r="H3031" s="8" t="str" cm="1">
        <f t="array" ref="H3031">_xlfn.IFS(Lektionen[[#This Row],[Bearbeitungsdauer_abgewichen]]&gt;0.6,"viel länger",Lektionen[[#This Row],[Bearbeitungsdauer_abgewichen]]&gt;0.3,"länger",Lektionen[[#This Row],[Bearbeitungsdauer_abgewichen]]&lt;-0.3,"kürzer",TRUE,"keine Abweichung")</f>
        <v>kürzer</v>
      </c>
      <c r="I3031">
        <v>3</v>
      </c>
    </row>
    <row r="3032" spans="1:9" hidden="1" x14ac:dyDescent="0.3">
      <c r="A3032" s="13">
        <v>474</v>
      </c>
      <c r="B3032" s="4">
        <v>7</v>
      </c>
      <c r="C3032" t="s">
        <v>535</v>
      </c>
      <c r="D3032" t="s">
        <v>536</v>
      </c>
      <c r="E3032">
        <v>10</v>
      </c>
      <c r="F3032">
        <v>10</v>
      </c>
      <c r="G3032" s="8">
        <f>Lektionen[[#This Row],[Bearbeitungsdauer_real]]/Lektionen[[#This Row],[Bearbeitungsdauer_geschätzt]]-1</f>
        <v>0</v>
      </c>
      <c r="H3032" s="8" t="str" cm="1">
        <f t="array" ref="H3032">_xlfn.IFS(Lektionen[[#This Row],[Bearbeitungsdauer_abgewichen]]&gt;0.6,"viel länger",Lektionen[[#This Row],[Bearbeitungsdauer_abgewichen]]&gt;0.3,"länger",Lektionen[[#This Row],[Bearbeitungsdauer_abgewichen]]&lt;-0.3,"kürzer",TRUE,"keine Abweichung")</f>
        <v>keine Abweichung</v>
      </c>
      <c r="I3032">
        <v>3</v>
      </c>
    </row>
    <row r="3033" spans="1:9" hidden="1" x14ac:dyDescent="0.3">
      <c r="A3033" s="13">
        <v>474</v>
      </c>
      <c r="B3033" s="4">
        <v>8</v>
      </c>
      <c r="C3033" t="s">
        <v>537</v>
      </c>
      <c r="D3033" t="s">
        <v>527</v>
      </c>
      <c r="E3033">
        <v>5</v>
      </c>
      <c r="F3033">
        <v>6</v>
      </c>
      <c r="G3033" s="8">
        <f>Lektionen[[#This Row],[Bearbeitungsdauer_real]]/Lektionen[[#This Row],[Bearbeitungsdauer_geschätzt]]-1</f>
        <v>0.19999999999999996</v>
      </c>
      <c r="H3033" s="8" t="str" cm="1">
        <f t="array" ref="H3033">_xlfn.IFS(Lektionen[[#This Row],[Bearbeitungsdauer_abgewichen]]&gt;0.6,"viel länger",Lektionen[[#This Row],[Bearbeitungsdauer_abgewichen]]&gt;0.3,"länger",Lektionen[[#This Row],[Bearbeitungsdauer_abgewichen]]&lt;-0.3,"kürzer",TRUE,"keine Abweichung")</f>
        <v>keine Abweichung</v>
      </c>
      <c r="I3033">
        <v>1</v>
      </c>
    </row>
    <row r="3034" spans="1:9" hidden="1" x14ac:dyDescent="0.3">
      <c r="A3034" s="13">
        <v>475</v>
      </c>
      <c r="B3034" s="4">
        <v>1</v>
      </c>
      <c r="C3034" t="s">
        <v>526</v>
      </c>
      <c r="D3034" t="s">
        <v>527</v>
      </c>
      <c r="E3034">
        <v>4</v>
      </c>
      <c r="F3034">
        <v>4</v>
      </c>
      <c r="G3034" s="8">
        <f>Lektionen[[#This Row],[Bearbeitungsdauer_real]]/Lektionen[[#This Row],[Bearbeitungsdauer_geschätzt]]-1</f>
        <v>0</v>
      </c>
      <c r="H3034" s="8" t="str" cm="1">
        <f t="array" ref="H3034">_xlfn.IFS(Lektionen[[#This Row],[Bearbeitungsdauer_abgewichen]]&gt;0.6,"viel länger",Lektionen[[#This Row],[Bearbeitungsdauer_abgewichen]]&gt;0.3,"länger",Lektionen[[#This Row],[Bearbeitungsdauer_abgewichen]]&lt;-0.3,"kürzer",TRUE,"keine Abweichung")</f>
        <v>keine Abweichung</v>
      </c>
      <c r="I3034">
        <v>1</v>
      </c>
    </row>
    <row r="3035" spans="1:9" hidden="1" x14ac:dyDescent="0.3">
      <c r="A3035" s="13">
        <v>475</v>
      </c>
      <c r="B3035" s="4">
        <v>2</v>
      </c>
      <c r="C3035" t="s">
        <v>528</v>
      </c>
      <c r="D3035" t="s">
        <v>529</v>
      </c>
      <c r="E3035">
        <v>15</v>
      </c>
      <c r="F3035">
        <v>18</v>
      </c>
      <c r="G3035" s="8">
        <f>Lektionen[[#This Row],[Bearbeitungsdauer_real]]/Lektionen[[#This Row],[Bearbeitungsdauer_geschätzt]]-1</f>
        <v>0.19999999999999996</v>
      </c>
      <c r="H3035" s="8" t="str" cm="1">
        <f t="array" ref="H3035">_xlfn.IFS(Lektionen[[#This Row],[Bearbeitungsdauer_abgewichen]]&gt;0.6,"viel länger",Lektionen[[#This Row],[Bearbeitungsdauer_abgewichen]]&gt;0.3,"länger",Lektionen[[#This Row],[Bearbeitungsdauer_abgewichen]]&lt;-0.3,"kürzer",TRUE,"keine Abweichung")</f>
        <v>keine Abweichung</v>
      </c>
      <c r="I3035">
        <v>2</v>
      </c>
    </row>
    <row r="3036" spans="1:9" hidden="1" x14ac:dyDescent="0.3">
      <c r="A3036" s="13">
        <v>475</v>
      </c>
      <c r="B3036" s="4">
        <v>3</v>
      </c>
      <c r="C3036" t="s">
        <v>552</v>
      </c>
      <c r="D3036" t="s">
        <v>530</v>
      </c>
      <c r="E3036">
        <v>30</v>
      </c>
      <c r="F3036">
        <v>28</v>
      </c>
      <c r="G3036" s="8">
        <f>Lektionen[[#This Row],[Bearbeitungsdauer_real]]/Lektionen[[#This Row],[Bearbeitungsdauer_geschätzt]]-1</f>
        <v>-6.6666666666666652E-2</v>
      </c>
      <c r="H3036" s="8" t="str" cm="1">
        <f t="array" ref="H3036">_xlfn.IFS(Lektionen[[#This Row],[Bearbeitungsdauer_abgewichen]]&gt;0.6,"viel länger",Lektionen[[#This Row],[Bearbeitungsdauer_abgewichen]]&gt;0.3,"länger",Lektionen[[#This Row],[Bearbeitungsdauer_abgewichen]]&lt;-0.3,"kürzer",TRUE,"keine Abweichung")</f>
        <v>keine Abweichung</v>
      </c>
      <c r="I3036">
        <v>3</v>
      </c>
    </row>
    <row r="3037" spans="1:9" hidden="1" x14ac:dyDescent="0.3">
      <c r="A3037" s="13">
        <v>475</v>
      </c>
      <c r="B3037" s="4">
        <v>4</v>
      </c>
      <c r="C3037" t="s">
        <v>531</v>
      </c>
      <c r="D3037" t="s">
        <v>530</v>
      </c>
      <c r="E3037">
        <v>30</v>
      </c>
      <c r="F3037">
        <v>22</v>
      </c>
      <c r="G3037" s="8">
        <f>Lektionen[[#This Row],[Bearbeitungsdauer_real]]/Lektionen[[#This Row],[Bearbeitungsdauer_geschätzt]]-1</f>
        <v>-0.26666666666666672</v>
      </c>
      <c r="H3037" s="8" t="str" cm="1">
        <f t="array" ref="H3037">_xlfn.IFS(Lektionen[[#This Row],[Bearbeitungsdauer_abgewichen]]&gt;0.6,"viel länger",Lektionen[[#This Row],[Bearbeitungsdauer_abgewichen]]&gt;0.3,"länger",Lektionen[[#This Row],[Bearbeitungsdauer_abgewichen]]&lt;-0.3,"kürzer",TRUE,"keine Abweichung")</f>
        <v>keine Abweichung</v>
      </c>
      <c r="I3037">
        <v>3</v>
      </c>
    </row>
    <row r="3038" spans="1:9" x14ac:dyDescent="0.3">
      <c r="A3038" s="13">
        <v>475</v>
      </c>
      <c r="B3038" s="4">
        <v>5</v>
      </c>
      <c r="C3038" t="s">
        <v>532</v>
      </c>
      <c r="D3038" t="s">
        <v>530</v>
      </c>
      <c r="E3038">
        <v>30</v>
      </c>
      <c r="F3038">
        <v>54</v>
      </c>
      <c r="G3038" s="8">
        <f>Lektionen[[#This Row],[Bearbeitungsdauer_real]]/Lektionen[[#This Row],[Bearbeitungsdauer_geschätzt]]-1</f>
        <v>0.8</v>
      </c>
      <c r="H3038" s="8" t="str" cm="1">
        <f t="array" ref="H3038">_xlfn.IFS(Lektionen[[#This Row],[Bearbeitungsdauer_abgewichen]]&gt;0.6,"viel länger",Lektionen[[#This Row],[Bearbeitungsdauer_abgewichen]]&gt;0.3,"länger",Lektionen[[#This Row],[Bearbeitungsdauer_abgewichen]]&lt;-0.3,"kürzer",TRUE,"keine Abweichung")</f>
        <v>viel länger</v>
      </c>
      <c r="I3038">
        <v>4</v>
      </c>
    </row>
    <row r="3039" spans="1:9" hidden="1" x14ac:dyDescent="0.3">
      <c r="A3039" s="13">
        <v>475</v>
      </c>
      <c r="B3039" s="4">
        <v>6</v>
      </c>
      <c r="C3039" t="s">
        <v>533</v>
      </c>
      <c r="D3039" t="s">
        <v>534</v>
      </c>
      <c r="E3039">
        <v>5</v>
      </c>
      <c r="F3039">
        <v>1</v>
      </c>
      <c r="G3039" s="8">
        <f>Lektionen[[#This Row],[Bearbeitungsdauer_real]]/Lektionen[[#This Row],[Bearbeitungsdauer_geschätzt]]-1</f>
        <v>-0.8</v>
      </c>
      <c r="H3039" s="8" t="str" cm="1">
        <f t="array" ref="H3039">_xlfn.IFS(Lektionen[[#This Row],[Bearbeitungsdauer_abgewichen]]&gt;0.6,"viel länger",Lektionen[[#This Row],[Bearbeitungsdauer_abgewichen]]&gt;0.3,"länger",Lektionen[[#This Row],[Bearbeitungsdauer_abgewichen]]&lt;-0.3,"kürzer",TRUE,"keine Abweichung")</f>
        <v>kürzer</v>
      </c>
      <c r="I3039">
        <v>1</v>
      </c>
    </row>
    <row r="3040" spans="1:9" hidden="1" x14ac:dyDescent="0.3">
      <c r="A3040" s="13">
        <v>475</v>
      </c>
      <c r="B3040" s="4">
        <v>7</v>
      </c>
      <c r="C3040" t="s">
        <v>535</v>
      </c>
      <c r="D3040" t="s">
        <v>536</v>
      </c>
      <c r="E3040">
        <v>10</v>
      </c>
      <c r="F3040">
        <v>10</v>
      </c>
      <c r="G3040" s="8">
        <f>Lektionen[[#This Row],[Bearbeitungsdauer_real]]/Lektionen[[#This Row],[Bearbeitungsdauer_geschätzt]]-1</f>
        <v>0</v>
      </c>
      <c r="H3040" s="8" t="str" cm="1">
        <f t="array" ref="H3040">_xlfn.IFS(Lektionen[[#This Row],[Bearbeitungsdauer_abgewichen]]&gt;0.6,"viel länger",Lektionen[[#This Row],[Bearbeitungsdauer_abgewichen]]&gt;0.3,"länger",Lektionen[[#This Row],[Bearbeitungsdauer_abgewichen]]&lt;-0.3,"kürzer",TRUE,"keine Abweichung")</f>
        <v>keine Abweichung</v>
      </c>
      <c r="I3040">
        <v>3</v>
      </c>
    </row>
    <row r="3041" spans="1:9" hidden="1" x14ac:dyDescent="0.3">
      <c r="A3041" s="13">
        <v>475</v>
      </c>
      <c r="B3041" s="4">
        <v>8</v>
      </c>
      <c r="C3041" t="s">
        <v>537</v>
      </c>
      <c r="D3041" t="s">
        <v>527</v>
      </c>
      <c r="E3041">
        <v>5</v>
      </c>
      <c r="F3041">
        <v>5</v>
      </c>
      <c r="G3041" s="8">
        <f>Lektionen[[#This Row],[Bearbeitungsdauer_real]]/Lektionen[[#This Row],[Bearbeitungsdauer_geschätzt]]-1</f>
        <v>0</v>
      </c>
      <c r="H3041" s="8" t="str" cm="1">
        <f t="array" ref="H3041">_xlfn.IFS(Lektionen[[#This Row],[Bearbeitungsdauer_abgewichen]]&gt;0.6,"viel länger",Lektionen[[#This Row],[Bearbeitungsdauer_abgewichen]]&gt;0.3,"länger",Lektionen[[#This Row],[Bearbeitungsdauer_abgewichen]]&lt;-0.3,"kürzer",TRUE,"keine Abweichung")</f>
        <v>keine Abweichung</v>
      </c>
      <c r="I3041">
        <v>1</v>
      </c>
    </row>
    <row r="3042" spans="1:9" hidden="1" x14ac:dyDescent="0.3">
      <c r="A3042" s="13">
        <v>476</v>
      </c>
      <c r="B3042" s="4">
        <v>1</v>
      </c>
      <c r="C3042" t="s">
        <v>526</v>
      </c>
      <c r="D3042" t="s">
        <v>527</v>
      </c>
      <c r="E3042">
        <v>4</v>
      </c>
      <c r="F3042">
        <v>4</v>
      </c>
      <c r="G3042" s="8">
        <f>Lektionen[[#This Row],[Bearbeitungsdauer_real]]/Lektionen[[#This Row],[Bearbeitungsdauer_geschätzt]]-1</f>
        <v>0</v>
      </c>
      <c r="H3042" s="8" t="str" cm="1">
        <f t="array" ref="H3042">_xlfn.IFS(Lektionen[[#This Row],[Bearbeitungsdauer_abgewichen]]&gt;0.6,"viel länger",Lektionen[[#This Row],[Bearbeitungsdauer_abgewichen]]&gt;0.3,"länger",Lektionen[[#This Row],[Bearbeitungsdauer_abgewichen]]&lt;-0.3,"kürzer",TRUE,"keine Abweichung")</f>
        <v>keine Abweichung</v>
      </c>
      <c r="I3042">
        <v>1</v>
      </c>
    </row>
    <row r="3043" spans="1:9" hidden="1" x14ac:dyDescent="0.3">
      <c r="A3043" s="13">
        <v>476</v>
      </c>
      <c r="B3043" s="4">
        <v>2</v>
      </c>
      <c r="C3043" t="s">
        <v>528</v>
      </c>
      <c r="D3043" t="s">
        <v>529</v>
      </c>
      <c r="E3043">
        <v>15</v>
      </c>
      <c r="F3043">
        <v>19</v>
      </c>
      <c r="G3043" s="8">
        <f>Lektionen[[#This Row],[Bearbeitungsdauer_real]]/Lektionen[[#This Row],[Bearbeitungsdauer_geschätzt]]-1</f>
        <v>0.26666666666666661</v>
      </c>
      <c r="H3043" s="8" t="str" cm="1">
        <f t="array" ref="H3043">_xlfn.IFS(Lektionen[[#This Row],[Bearbeitungsdauer_abgewichen]]&gt;0.6,"viel länger",Lektionen[[#This Row],[Bearbeitungsdauer_abgewichen]]&gt;0.3,"länger",Lektionen[[#This Row],[Bearbeitungsdauer_abgewichen]]&lt;-0.3,"kürzer",TRUE,"keine Abweichung")</f>
        <v>keine Abweichung</v>
      </c>
      <c r="I3043">
        <v>2</v>
      </c>
    </row>
    <row r="3044" spans="1:9" hidden="1" x14ac:dyDescent="0.3">
      <c r="A3044" s="13">
        <v>476</v>
      </c>
      <c r="B3044" s="4">
        <v>3</v>
      </c>
      <c r="C3044" t="s">
        <v>552</v>
      </c>
      <c r="D3044" t="s">
        <v>530</v>
      </c>
      <c r="E3044">
        <v>30</v>
      </c>
      <c r="F3044">
        <v>26</v>
      </c>
      <c r="G3044" s="8">
        <f>Lektionen[[#This Row],[Bearbeitungsdauer_real]]/Lektionen[[#This Row],[Bearbeitungsdauer_geschätzt]]-1</f>
        <v>-0.1333333333333333</v>
      </c>
      <c r="H3044" s="8" t="str" cm="1">
        <f t="array" ref="H3044">_xlfn.IFS(Lektionen[[#This Row],[Bearbeitungsdauer_abgewichen]]&gt;0.6,"viel länger",Lektionen[[#This Row],[Bearbeitungsdauer_abgewichen]]&gt;0.3,"länger",Lektionen[[#This Row],[Bearbeitungsdauer_abgewichen]]&lt;-0.3,"kürzer",TRUE,"keine Abweichung")</f>
        <v>keine Abweichung</v>
      </c>
      <c r="I3044">
        <v>3</v>
      </c>
    </row>
    <row r="3045" spans="1:9" hidden="1" x14ac:dyDescent="0.3">
      <c r="A3045" s="13">
        <v>476</v>
      </c>
      <c r="B3045" s="4">
        <v>4</v>
      </c>
      <c r="C3045" t="s">
        <v>531</v>
      </c>
      <c r="D3045" t="s">
        <v>530</v>
      </c>
      <c r="E3045">
        <v>30</v>
      </c>
      <c r="F3045">
        <v>28</v>
      </c>
      <c r="G3045" s="8">
        <f>Lektionen[[#This Row],[Bearbeitungsdauer_real]]/Lektionen[[#This Row],[Bearbeitungsdauer_geschätzt]]-1</f>
        <v>-6.6666666666666652E-2</v>
      </c>
      <c r="H3045" s="8" t="str" cm="1">
        <f t="array" ref="H3045">_xlfn.IFS(Lektionen[[#This Row],[Bearbeitungsdauer_abgewichen]]&gt;0.6,"viel länger",Lektionen[[#This Row],[Bearbeitungsdauer_abgewichen]]&gt;0.3,"länger",Lektionen[[#This Row],[Bearbeitungsdauer_abgewichen]]&lt;-0.3,"kürzer",TRUE,"keine Abweichung")</f>
        <v>keine Abweichung</v>
      </c>
      <c r="I3045">
        <v>4</v>
      </c>
    </row>
    <row r="3046" spans="1:9" x14ac:dyDescent="0.3">
      <c r="A3046" s="13">
        <v>476</v>
      </c>
      <c r="B3046" s="4">
        <v>5</v>
      </c>
      <c r="C3046" t="s">
        <v>532</v>
      </c>
      <c r="D3046" t="s">
        <v>530</v>
      </c>
      <c r="E3046">
        <v>30</v>
      </c>
      <c r="F3046">
        <v>35</v>
      </c>
      <c r="G3046" s="8">
        <f>Lektionen[[#This Row],[Bearbeitungsdauer_real]]/Lektionen[[#This Row],[Bearbeitungsdauer_geschätzt]]-1</f>
        <v>0.16666666666666674</v>
      </c>
      <c r="H3046" s="8" t="str" cm="1">
        <f t="array" ref="H3046">_xlfn.IFS(Lektionen[[#This Row],[Bearbeitungsdauer_abgewichen]]&gt;0.6,"viel länger",Lektionen[[#This Row],[Bearbeitungsdauer_abgewichen]]&gt;0.3,"länger",Lektionen[[#This Row],[Bearbeitungsdauer_abgewichen]]&lt;-0.3,"kürzer",TRUE,"keine Abweichung")</f>
        <v>keine Abweichung</v>
      </c>
      <c r="I3046">
        <v>4</v>
      </c>
    </row>
    <row r="3047" spans="1:9" hidden="1" x14ac:dyDescent="0.3">
      <c r="A3047" s="13">
        <v>476</v>
      </c>
      <c r="B3047" s="4">
        <v>6</v>
      </c>
      <c r="C3047" t="s">
        <v>533</v>
      </c>
      <c r="D3047" t="s">
        <v>534</v>
      </c>
      <c r="E3047">
        <v>5</v>
      </c>
      <c r="F3047">
        <v>2</v>
      </c>
      <c r="G3047" s="8">
        <f>Lektionen[[#This Row],[Bearbeitungsdauer_real]]/Lektionen[[#This Row],[Bearbeitungsdauer_geschätzt]]-1</f>
        <v>-0.6</v>
      </c>
      <c r="H3047" s="8" t="str" cm="1">
        <f t="array" ref="H3047">_xlfn.IFS(Lektionen[[#This Row],[Bearbeitungsdauer_abgewichen]]&gt;0.6,"viel länger",Lektionen[[#This Row],[Bearbeitungsdauer_abgewichen]]&gt;0.3,"länger",Lektionen[[#This Row],[Bearbeitungsdauer_abgewichen]]&lt;-0.3,"kürzer",TRUE,"keine Abweichung")</f>
        <v>kürzer</v>
      </c>
      <c r="I3047">
        <v>1</v>
      </c>
    </row>
    <row r="3048" spans="1:9" hidden="1" x14ac:dyDescent="0.3">
      <c r="A3048" s="13">
        <v>476</v>
      </c>
      <c r="B3048" s="4">
        <v>7</v>
      </c>
      <c r="C3048" t="s">
        <v>535</v>
      </c>
      <c r="D3048" t="s">
        <v>536</v>
      </c>
      <c r="E3048">
        <v>10</v>
      </c>
      <c r="F3048">
        <v>8</v>
      </c>
      <c r="G3048" s="8">
        <f>Lektionen[[#This Row],[Bearbeitungsdauer_real]]/Lektionen[[#This Row],[Bearbeitungsdauer_geschätzt]]-1</f>
        <v>-0.19999999999999996</v>
      </c>
      <c r="H3048" s="8" t="str" cm="1">
        <f t="array" ref="H3048">_xlfn.IFS(Lektionen[[#This Row],[Bearbeitungsdauer_abgewichen]]&gt;0.6,"viel länger",Lektionen[[#This Row],[Bearbeitungsdauer_abgewichen]]&gt;0.3,"länger",Lektionen[[#This Row],[Bearbeitungsdauer_abgewichen]]&lt;-0.3,"kürzer",TRUE,"keine Abweichung")</f>
        <v>keine Abweichung</v>
      </c>
      <c r="I3048">
        <v>4</v>
      </c>
    </row>
    <row r="3049" spans="1:9" hidden="1" x14ac:dyDescent="0.3">
      <c r="A3049" s="13">
        <v>476</v>
      </c>
      <c r="B3049" s="4">
        <v>8</v>
      </c>
      <c r="C3049" t="s">
        <v>537</v>
      </c>
      <c r="D3049" t="s">
        <v>527</v>
      </c>
      <c r="E3049">
        <v>5</v>
      </c>
      <c r="F3049">
        <v>5</v>
      </c>
      <c r="G3049" s="8">
        <f>Lektionen[[#This Row],[Bearbeitungsdauer_real]]/Lektionen[[#This Row],[Bearbeitungsdauer_geschätzt]]-1</f>
        <v>0</v>
      </c>
      <c r="H3049" s="8" t="str" cm="1">
        <f t="array" ref="H3049">_xlfn.IFS(Lektionen[[#This Row],[Bearbeitungsdauer_abgewichen]]&gt;0.6,"viel länger",Lektionen[[#This Row],[Bearbeitungsdauer_abgewichen]]&gt;0.3,"länger",Lektionen[[#This Row],[Bearbeitungsdauer_abgewichen]]&lt;-0.3,"kürzer",TRUE,"keine Abweichung")</f>
        <v>keine Abweichung</v>
      </c>
      <c r="I3049">
        <v>1</v>
      </c>
    </row>
    <row r="3050" spans="1:9" hidden="1" x14ac:dyDescent="0.3">
      <c r="A3050" s="13">
        <v>477</v>
      </c>
      <c r="B3050" s="4">
        <v>1</v>
      </c>
      <c r="C3050" t="s">
        <v>526</v>
      </c>
      <c r="D3050" t="s">
        <v>527</v>
      </c>
      <c r="E3050">
        <v>4</v>
      </c>
      <c r="F3050">
        <v>4</v>
      </c>
      <c r="G3050" s="8">
        <f>Lektionen[[#This Row],[Bearbeitungsdauer_real]]/Lektionen[[#This Row],[Bearbeitungsdauer_geschätzt]]-1</f>
        <v>0</v>
      </c>
      <c r="H3050" s="8" t="str" cm="1">
        <f t="array" ref="H3050">_xlfn.IFS(Lektionen[[#This Row],[Bearbeitungsdauer_abgewichen]]&gt;0.6,"viel länger",Lektionen[[#This Row],[Bearbeitungsdauer_abgewichen]]&gt;0.3,"länger",Lektionen[[#This Row],[Bearbeitungsdauer_abgewichen]]&lt;-0.3,"kürzer",TRUE,"keine Abweichung")</f>
        <v>keine Abweichung</v>
      </c>
      <c r="I3050">
        <v>1</v>
      </c>
    </row>
    <row r="3051" spans="1:9" hidden="1" x14ac:dyDescent="0.3">
      <c r="A3051" s="13">
        <v>477</v>
      </c>
      <c r="B3051" s="4">
        <v>2</v>
      </c>
      <c r="C3051" t="s">
        <v>528</v>
      </c>
      <c r="D3051" t="s">
        <v>529</v>
      </c>
      <c r="E3051">
        <v>15</v>
      </c>
      <c r="F3051">
        <v>17</v>
      </c>
      <c r="G3051" s="8">
        <f>Lektionen[[#This Row],[Bearbeitungsdauer_real]]/Lektionen[[#This Row],[Bearbeitungsdauer_geschätzt]]-1</f>
        <v>0.1333333333333333</v>
      </c>
      <c r="H3051" s="8" t="str" cm="1">
        <f t="array" ref="H3051">_xlfn.IFS(Lektionen[[#This Row],[Bearbeitungsdauer_abgewichen]]&gt;0.6,"viel länger",Lektionen[[#This Row],[Bearbeitungsdauer_abgewichen]]&gt;0.3,"länger",Lektionen[[#This Row],[Bearbeitungsdauer_abgewichen]]&lt;-0.3,"kürzer",TRUE,"keine Abweichung")</f>
        <v>keine Abweichung</v>
      </c>
      <c r="I3051">
        <v>1</v>
      </c>
    </row>
    <row r="3052" spans="1:9" hidden="1" x14ac:dyDescent="0.3">
      <c r="A3052" s="13">
        <v>477</v>
      </c>
      <c r="B3052" s="4">
        <v>3</v>
      </c>
      <c r="C3052" t="s">
        <v>552</v>
      </c>
      <c r="D3052" t="s">
        <v>530</v>
      </c>
      <c r="E3052">
        <v>30</v>
      </c>
      <c r="F3052">
        <v>28</v>
      </c>
      <c r="G3052" s="8">
        <f>Lektionen[[#This Row],[Bearbeitungsdauer_real]]/Lektionen[[#This Row],[Bearbeitungsdauer_geschätzt]]-1</f>
        <v>-6.6666666666666652E-2</v>
      </c>
      <c r="H3052" s="8" t="str" cm="1">
        <f t="array" ref="H3052">_xlfn.IFS(Lektionen[[#This Row],[Bearbeitungsdauer_abgewichen]]&gt;0.6,"viel länger",Lektionen[[#This Row],[Bearbeitungsdauer_abgewichen]]&gt;0.3,"länger",Lektionen[[#This Row],[Bearbeitungsdauer_abgewichen]]&lt;-0.3,"kürzer",TRUE,"keine Abweichung")</f>
        <v>keine Abweichung</v>
      </c>
      <c r="I3052">
        <v>2</v>
      </c>
    </row>
    <row r="3053" spans="1:9" hidden="1" x14ac:dyDescent="0.3">
      <c r="A3053" s="13">
        <v>477</v>
      </c>
      <c r="B3053" s="4">
        <v>4</v>
      </c>
      <c r="C3053" t="s">
        <v>531</v>
      </c>
      <c r="D3053" t="s">
        <v>530</v>
      </c>
      <c r="E3053">
        <v>30</v>
      </c>
      <c r="F3053">
        <v>28</v>
      </c>
      <c r="G3053" s="8">
        <f>Lektionen[[#This Row],[Bearbeitungsdauer_real]]/Lektionen[[#This Row],[Bearbeitungsdauer_geschätzt]]-1</f>
        <v>-6.6666666666666652E-2</v>
      </c>
      <c r="H3053" s="8" t="str" cm="1">
        <f t="array" ref="H3053">_xlfn.IFS(Lektionen[[#This Row],[Bearbeitungsdauer_abgewichen]]&gt;0.6,"viel länger",Lektionen[[#This Row],[Bearbeitungsdauer_abgewichen]]&gt;0.3,"länger",Lektionen[[#This Row],[Bearbeitungsdauer_abgewichen]]&lt;-0.3,"kürzer",TRUE,"keine Abweichung")</f>
        <v>keine Abweichung</v>
      </c>
      <c r="I3053">
        <v>5</v>
      </c>
    </row>
    <row r="3054" spans="1:9" x14ac:dyDescent="0.3">
      <c r="A3054" s="13">
        <v>477</v>
      </c>
      <c r="B3054" s="4">
        <v>5</v>
      </c>
      <c r="C3054" t="s">
        <v>532</v>
      </c>
      <c r="D3054" t="s">
        <v>530</v>
      </c>
      <c r="E3054">
        <v>30</v>
      </c>
      <c r="F3054">
        <v>46</v>
      </c>
      <c r="G3054" s="8">
        <f>Lektionen[[#This Row],[Bearbeitungsdauer_real]]/Lektionen[[#This Row],[Bearbeitungsdauer_geschätzt]]-1</f>
        <v>0.53333333333333344</v>
      </c>
      <c r="H3054" s="8" t="str" cm="1">
        <f t="array" ref="H3054">_xlfn.IFS(Lektionen[[#This Row],[Bearbeitungsdauer_abgewichen]]&gt;0.6,"viel länger",Lektionen[[#This Row],[Bearbeitungsdauer_abgewichen]]&gt;0.3,"länger",Lektionen[[#This Row],[Bearbeitungsdauer_abgewichen]]&lt;-0.3,"kürzer",TRUE,"keine Abweichung")</f>
        <v>länger</v>
      </c>
      <c r="I3054">
        <v>3</v>
      </c>
    </row>
    <row r="3055" spans="1:9" hidden="1" x14ac:dyDescent="0.3">
      <c r="A3055" s="13">
        <v>477</v>
      </c>
      <c r="B3055" s="4">
        <v>6</v>
      </c>
      <c r="C3055" t="s">
        <v>533</v>
      </c>
      <c r="D3055" t="s">
        <v>534</v>
      </c>
      <c r="E3055">
        <v>5</v>
      </c>
      <c r="F3055">
        <v>4</v>
      </c>
      <c r="G3055" s="8">
        <f>Lektionen[[#This Row],[Bearbeitungsdauer_real]]/Lektionen[[#This Row],[Bearbeitungsdauer_geschätzt]]-1</f>
        <v>-0.19999999999999996</v>
      </c>
      <c r="H3055" s="8" t="str" cm="1">
        <f t="array" ref="H3055">_xlfn.IFS(Lektionen[[#This Row],[Bearbeitungsdauer_abgewichen]]&gt;0.6,"viel länger",Lektionen[[#This Row],[Bearbeitungsdauer_abgewichen]]&gt;0.3,"länger",Lektionen[[#This Row],[Bearbeitungsdauer_abgewichen]]&lt;-0.3,"kürzer",TRUE,"keine Abweichung")</f>
        <v>keine Abweichung</v>
      </c>
      <c r="I3055">
        <v>2</v>
      </c>
    </row>
    <row r="3056" spans="1:9" hidden="1" x14ac:dyDescent="0.3">
      <c r="A3056" s="13">
        <v>477</v>
      </c>
      <c r="B3056" s="4">
        <v>7</v>
      </c>
      <c r="C3056" t="s">
        <v>535</v>
      </c>
      <c r="D3056" t="s">
        <v>536</v>
      </c>
      <c r="E3056">
        <v>10</v>
      </c>
      <c r="F3056">
        <v>10</v>
      </c>
      <c r="G3056" s="8">
        <f>Lektionen[[#This Row],[Bearbeitungsdauer_real]]/Lektionen[[#This Row],[Bearbeitungsdauer_geschätzt]]-1</f>
        <v>0</v>
      </c>
      <c r="H3056" s="8" t="str" cm="1">
        <f t="array" ref="H3056">_xlfn.IFS(Lektionen[[#This Row],[Bearbeitungsdauer_abgewichen]]&gt;0.6,"viel länger",Lektionen[[#This Row],[Bearbeitungsdauer_abgewichen]]&gt;0.3,"länger",Lektionen[[#This Row],[Bearbeitungsdauer_abgewichen]]&lt;-0.3,"kürzer",TRUE,"keine Abweichung")</f>
        <v>keine Abweichung</v>
      </c>
      <c r="I3056">
        <v>4</v>
      </c>
    </row>
    <row r="3057" spans="1:9" hidden="1" x14ac:dyDescent="0.3">
      <c r="A3057" s="13">
        <v>477</v>
      </c>
      <c r="B3057" s="4">
        <v>8</v>
      </c>
      <c r="C3057" t="s">
        <v>537</v>
      </c>
      <c r="D3057" t="s">
        <v>527</v>
      </c>
      <c r="E3057">
        <v>5</v>
      </c>
      <c r="F3057">
        <v>5</v>
      </c>
      <c r="G3057" s="8">
        <f>Lektionen[[#This Row],[Bearbeitungsdauer_real]]/Lektionen[[#This Row],[Bearbeitungsdauer_geschätzt]]-1</f>
        <v>0</v>
      </c>
      <c r="H3057" s="8" t="str" cm="1">
        <f t="array" ref="H3057">_xlfn.IFS(Lektionen[[#This Row],[Bearbeitungsdauer_abgewichen]]&gt;0.6,"viel länger",Lektionen[[#This Row],[Bearbeitungsdauer_abgewichen]]&gt;0.3,"länger",Lektionen[[#This Row],[Bearbeitungsdauer_abgewichen]]&lt;-0.3,"kürzer",TRUE,"keine Abweichung")</f>
        <v>keine Abweichung</v>
      </c>
      <c r="I3057">
        <v>1</v>
      </c>
    </row>
    <row r="3058" spans="1:9" hidden="1" x14ac:dyDescent="0.3">
      <c r="A3058" s="13">
        <v>479</v>
      </c>
      <c r="B3058" s="4">
        <v>1</v>
      </c>
      <c r="C3058" t="s">
        <v>526</v>
      </c>
      <c r="D3058" t="s">
        <v>527</v>
      </c>
      <c r="E3058">
        <v>4</v>
      </c>
      <c r="F3058">
        <v>4</v>
      </c>
      <c r="G3058" s="8">
        <f>Lektionen[[#This Row],[Bearbeitungsdauer_real]]/Lektionen[[#This Row],[Bearbeitungsdauer_geschätzt]]-1</f>
        <v>0</v>
      </c>
      <c r="H3058" s="8" t="str" cm="1">
        <f t="array" ref="H3058">_xlfn.IFS(Lektionen[[#This Row],[Bearbeitungsdauer_abgewichen]]&gt;0.6,"viel länger",Lektionen[[#This Row],[Bearbeitungsdauer_abgewichen]]&gt;0.3,"länger",Lektionen[[#This Row],[Bearbeitungsdauer_abgewichen]]&lt;-0.3,"kürzer",TRUE,"keine Abweichung")</f>
        <v>keine Abweichung</v>
      </c>
      <c r="I3058">
        <v>1</v>
      </c>
    </row>
    <row r="3059" spans="1:9" hidden="1" x14ac:dyDescent="0.3">
      <c r="A3059" s="13">
        <v>479</v>
      </c>
      <c r="B3059" s="4">
        <v>2</v>
      </c>
      <c r="C3059" t="s">
        <v>528</v>
      </c>
      <c r="D3059" t="s">
        <v>529</v>
      </c>
      <c r="E3059">
        <v>15</v>
      </c>
      <c r="F3059">
        <v>20</v>
      </c>
      <c r="G3059" s="8">
        <f>Lektionen[[#This Row],[Bearbeitungsdauer_real]]/Lektionen[[#This Row],[Bearbeitungsdauer_geschätzt]]-1</f>
        <v>0.33333333333333326</v>
      </c>
      <c r="H3059" s="8" t="str" cm="1">
        <f t="array" ref="H3059">_xlfn.IFS(Lektionen[[#This Row],[Bearbeitungsdauer_abgewichen]]&gt;0.6,"viel länger",Lektionen[[#This Row],[Bearbeitungsdauer_abgewichen]]&gt;0.3,"länger",Lektionen[[#This Row],[Bearbeitungsdauer_abgewichen]]&lt;-0.3,"kürzer",TRUE,"keine Abweichung")</f>
        <v>länger</v>
      </c>
      <c r="I3059">
        <v>1</v>
      </c>
    </row>
    <row r="3060" spans="1:9" hidden="1" x14ac:dyDescent="0.3">
      <c r="A3060" s="13">
        <v>479</v>
      </c>
      <c r="B3060" s="4">
        <v>3</v>
      </c>
      <c r="C3060" t="s">
        <v>552</v>
      </c>
      <c r="D3060" t="s">
        <v>530</v>
      </c>
      <c r="E3060">
        <v>30</v>
      </c>
      <c r="F3060">
        <v>30</v>
      </c>
      <c r="G3060" s="8">
        <f>Lektionen[[#This Row],[Bearbeitungsdauer_real]]/Lektionen[[#This Row],[Bearbeitungsdauer_geschätzt]]-1</f>
        <v>0</v>
      </c>
      <c r="H3060" s="8" t="str" cm="1">
        <f t="array" ref="H3060">_xlfn.IFS(Lektionen[[#This Row],[Bearbeitungsdauer_abgewichen]]&gt;0.6,"viel länger",Lektionen[[#This Row],[Bearbeitungsdauer_abgewichen]]&gt;0.3,"länger",Lektionen[[#This Row],[Bearbeitungsdauer_abgewichen]]&lt;-0.3,"kürzer",TRUE,"keine Abweichung")</f>
        <v>keine Abweichung</v>
      </c>
      <c r="I3060">
        <v>3</v>
      </c>
    </row>
    <row r="3061" spans="1:9" hidden="1" x14ac:dyDescent="0.3">
      <c r="A3061" s="13">
        <v>479</v>
      </c>
      <c r="B3061" s="4">
        <v>4</v>
      </c>
      <c r="C3061" t="s">
        <v>531</v>
      </c>
      <c r="D3061" t="s">
        <v>530</v>
      </c>
      <c r="E3061">
        <v>30</v>
      </c>
      <c r="F3061">
        <v>27</v>
      </c>
      <c r="G3061" s="8">
        <f>Lektionen[[#This Row],[Bearbeitungsdauer_real]]/Lektionen[[#This Row],[Bearbeitungsdauer_geschätzt]]-1</f>
        <v>-9.9999999999999978E-2</v>
      </c>
      <c r="H3061" s="8" t="str" cm="1">
        <f t="array" ref="H3061">_xlfn.IFS(Lektionen[[#This Row],[Bearbeitungsdauer_abgewichen]]&gt;0.6,"viel länger",Lektionen[[#This Row],[Bearbeitungsdauer_abgewichen]]&gt;0.3,"länger",Lektionen[[#This Row],[Bearbeitungsdauer_abgewichen]]&lt;-0.3,"kürzer",TRUE,"keine Abweichung")</f>
        <v>keine Abweichung</v>
      </c>
      <c r="I3061">
        <v>3</v>
      </c>
    </row>
    <row r="3062" spans="1:9" x14ac:dyDescent="0.3">
      <c r="A3062" s="13">
        <v>479</v>
      </c>
      <c r="B3062" s="4">
        <v>5</v>
      </c>
      <c r="C3062" t="s">
        <v>532</v>
      </c>
      <c r="D3062" t="s">
        <v>530</v>
      </c>
      <c r="E3062">
        <v>30</v>
      </c>
      <c r="F3062">
        <v>44</v>
      </c>
      <c r="G3062" s="8">
        <f>Lektionen[[#This Row],[Bearbeitungsdauer_real]]/Lektionen[[#This Row],[Bearbeitungsdauer_geschätzt]]-1</f>
        <v>0.46666666666666656</v>
      </c>
      <c r="H3062" s="8" t="str" cm="1">
        <f t="array" ref="H3062">_xlfn.IFS(Lektionen[[#This Row],[Bearbeitungsdauer_abgewichen]]&gt;0.6,"viel länger",Lektionen[[#This Row],[Bearbeitungsdauer_abgewichen]]&gt;0.3,"länger",Lektionen[[#This Row],[Bearbeitungsdauer_abgewichen]]&lt;-0.3,"kürzer",TRUE,"keine Abweichung")</f>
        <v>länger</v>
      </c>
      <c r="I3062">
        <v>3</v>
      </c>
    </row>
    <row r="3063" spans="1:9" hidden="1" x14ac:dyDescent="0.3">
      <c r="A3063" s="13">
        <v>479</v>
      </c>
      <c r="B3063" s="4">
        <v>6</v>
      </c>
      <c r="C3063" t="s">
        <v>533</v>
      </c>
      <c r="D3063" t="s">
        <v>534</v>
      </c>
      <c r="E3063">
        <v>5</v>
      </c>
      <c r="F3063">
        <v>1</v>
      </c>
      <c r="G3063" s="8">
        <f>Lektionen[[#This Row],[Bearbeitungsdauer_real]]/Lektionen[[#This Row],[Bearbeitungsdauer_geschätzt]]-1</f>
        <v>-0.8</v>
      </c>
      <c r="H3063" s="8" t="str" cm="1">
        <f t="array" ref="H3063">_xlfn.IFS(Lektionen[[#This Row],[Bearbeitungsdauer_abgewichen]]&gt;0.6,"viel länger",Lektionen[[#This Row],[Bearbeitungsdauer_abgewichen]]&gt;0.3,"länger",Lektionen[[#This Row],[Bearbeitungsdauer_abgewichen]]&lt;-0.3,"kürzer",TRUE,"keine Abweichung")</f>
        <v>kürzer</v>
      </c>
      <c r="I3063">
        <v>3</v>
      </c>
    </row>
    <row r="3064" spans="1:9" hidden="1" x14ac:dyDescent="0.3">
      <c r="A3064" s="13">
        <v>479</v>
      </c>
      <c r="B3064" s="4">
        <v>7</v>
      </c>
      <c r="C3064" t="s">
        <v>535</v>
      </c>
      <c r="D3064" t="s">
        <v>536</v>
      </c>
      <c r="E3064">
        <v>10</v>
      </c>
      <c r="F3064">
        <v>11</v>
      </c>
      <c r="G3064" s="8">
        <f>Lektionen[[#This Row],[Bearbeitungsdauer_real]]/Lektionen[[#This Row],[Bearbeitungsdauer_geschätzt]]-1</f>
        <v>0.10000000000000009</v>
      </c>
      <c r="H3064" s="8" t="str" cm="1">
        <f t="array" ref="H3064">_xlfn.IFS(Lektionen[[#This Row],[Bearbeitungsdauer_abgewichen]]&gt;0.6,"viel länger",Lektionen[[#This Row],[Bearbeitungsdauer_abgewichen]]&gt;0.3,"länger",Lektionen[[#This Row],[Bearbeitungsdauer_abgewichen]]&lt;-0.3,"kürzer",TRUE,"keine Abweichung")</f>
        <v>keine Abweichung</v>
      </c>
      <c r="I3064">
        <v>4</v>
      </c>
    </row>
    <row r="3065" spans="1:9" hidden="1" x14ac:dyDescent="0.3">
      <c r="A3065" s="13">
        <v>479</v>
      </c>
      <c r="B3065" s="4">
        <v>8</v>
      </c>
      <c r="C3065" t="s">
        <v>537</v>
      </c>
      <c r="D3065" t="s">
        <v>527</v>
      </c>
      <c r="E3065">
        <v>5</v>
      </c>
      <c r="F3065">
        <v>5</v>
      </c>
      <c r="G3065" s="8">
        <f>Lektionen[[#This Row],[Bearbeitungsdauer_real]]/Lektionen[[#This Row],[Bearbeitungsdauer_geschätzt]]-1</f>
        <v>0</v>
      </c>
      <c r="H3065" s="8" t="str" cm="1">
        <f t="array" ref="H3065">_xlfn.IFS(Lektionen[[#This Row],[Bearbeitungsdauer_abgewichen]]&gt;0.6,"viel länger",Lektionen[[#This Row],[Bearbeitungsdauer_abgewichen]]&gt;0.3,"länger",Lektionen[[#This Row],[Bearbeitungsdauer_abgewichen]]&lt;-0.3,"kürzer",TRUE,"keine Abweichung")</f>
        <v>keine Abweichung</v>
      </c>
      <c r="I3065">
        <v>1</v>
      </c>
    </row>
    <row r="3066" spans="1:9" hidden="1" x14ac:dyDescent="0.3">
      <c r="A3066" s="13">
        <v>480</v>
      </c>
      <c r="B3066" s="4">
        <v>1</v>
      </c>
      <c r="C3066" t="s">
        <v>526</v>
      </c>
      <c r="D3066" t="s">
        <v>527</v>
      </c>
      <c r="E3066">
        <v>4</v>
      </c>
      <c r="F3066">
        <v>6</v>
      </c>
      <c r="G3066" s="8">
        <f>Lektionen[[#This Row],[Bearbeitungsdauer_real]]/Lektionen[[#This Row],[Bearbeitungsdauer_geschätzt]]-1</f>
        <v>0.5</v>
      </c>
      <c r="H3066" s="8" t="str" cm="1">
        <f t="array" ref="H3066">_xlfn.IFS(Lektionen[[#This Row],[Bearbeitungsdauer_abgewichen]]&gt;0.6,"viel länger",Lektionen[[#This Row],[Bearbeitungsdauer_abgewichen]]&gt;0.3,"länger",Lektionen[[#This Row],[Bearbeitungsdauer_abgewichen]]&lt;-0.3,"kürzer",TRUE,"keine Abweichung")</f>
        <v>länger</v>
      </c>
      <c r="I3066">
        <v>1</v>
      </c>
    </row>
    <row r="3067" spans="1:9" hidden="1" x14ac:dyDescent="0.3">
      <c r="A3067" s="13">
        <v>480</v>
      </c>
      <c r="B3067" s="4">
        <v>2</v>
      </c>
      <c r="C3067" t="s">
        <v>528</v>
      </c>
      <c r="D3067" t="s">
        <v>529</v>
      </c>
      <c r="E3067">
        <v>15</v>
      </c>
      <c r="F3067">
        <v>17</v>
      </c>
      <c r="G3067" s="8">
        <f>Lektionen[[#This Row],[Bearbeitungsdauer_real]]/Lektionen[[#This Row],[Bearbeitungsdauer_geschätzt]]-1</f>
        <v>0.1333333333333333</v>
      </c>
      <c r="H3067" s="8" t="str" cm="1">
        <f t="array" ref="H3067">_xlfn.IFS(Lektionen[[#This Row],[Bearbeitungsdauer_abgewichen]]&gt;0.6,"viel länger",Lektionen[[#This Row],[Bearbeitungsdauer_abgewichen]]&gt;0.3,"länger",Lektionen[[#This Row],[Bearbeitungsdauer_abgewichen]]&lt;-0.3,"kürzer",TRUE,"keine Abweichung")</f>
        <v>keine Abweichung</v>
      </c>
      <c r="I3067">
        <v>2</v>
      </c>
    </row>
    <row r="3068" spans="1:9" hidden="1" x14ac:dyDescent="0.3">
      <c r="A3068" s="13">
        <v>480</v>
      </c>
      <c r="B3068" s="4">
        <v>3</v>
      </c>
      <c r="C3068" t="s">
        <v>552</v>
      </c>
      <c r="D3068" t="s">
        <v>530</v>
      </c>
      <c r="E3068">
        <v>30</v>
      </c>
      <c r="F3068">
        <v>28</v>
      </c>
      <c r="G3068" s="8">
        <f>Lektionen[[#This Row],[Bearbeitungsdauer_real]]/Lektionen[[#This Row],[Bearbeitungsdauer_geschätzt]]-1</f>
        <v>-6.6666666666666652E-2</v>
      </c>
      <c r="H3068" s="8" t="str" cm="1">
        <f t="array" ref="H3068">_xlfn.IFS(Lektionen[[#This Row],[Bearbeitungsdauer_abgewichen]]&gt;0.6,"viel länger",Lektionen[[#This Row],[Bearbeitungsdauer_abgewichen]]&gt;0.3,"länger",Lektionen[[#This Row],[Bearbeitungsdauer_abgewichen]]&lt;-0.3,"kürzer",TRUE,"keine Abweichung")</f>
        <v>keine Abweichung</v>
      </c>
      <c r="I3068">
        <v>3</v>
      </c>
    </row>
    <row r="3069" spans="1:9" hidden="1" x14ac:dyDescent="0.3">
      <c r="A3069" s="13">
        <v>480</v>
      </c>
      <c r="B3069" s="4">
        <v>4</v>
      </c>
      <c r="C3069" t="s">
        <v>531</v>
      </c>
      <c r="D3069" t="s">
        <v>530</v>
      </c>
      <c r="E3069">
        <v>30</v>
      </c>
      <c r="F3069">
        <v>30</v>
      </c>
      <c r="G3069" s="8">
        <f>Lektionen[[#This Row],[Bearbeitungsdauer_real]]/Lektionen[[#This Row],[Bearbeitungsdauer_geschätzt]]-1</f>
        <v>0</v>
      </c>
      <c r="H3069" s="8" t="str" cm="1">
        <f t="array" ref="H3069">_xlfn.IFS(Lektionen[[#This Row],[Bearbeitungsdauer_abgewichen]]&gt;0.6,"viel länger",Lektionen[[#This Row],[Bearbeitungsdauer_abgewichen]]&gt;0.3,"länger",Lektionen[[#This Row],[Bearbeitungsdauer_abgewichen]]&lt;-0.3,"kürzer",TRUE,"keine Abweichung")</f>
        <v>keine Abweichung</v>
      </c>
      <c r="I3069">
        <v>3</v>
      </c>
    </row>
    <row r="3070" spans="1:9" x14ac:dyDescent="0.3">
      <c r="A3070" s="13">
        <v>480</v>
      </c>
      <c r="B3070" s="4">
        <v>5</v>
      </c>
      <c r="C3070" t="s">
        <v>532</v>
      </c>
      <c r="D3070" t="s">
        <v>530</v>
      </c>
      <c r="E3070">
        <v>30</v>
      </c>
      <c r="F3070">
        <v>46</v>
      </c>
      <c r="G3070" s="8">
        <f>Lektionen[[#This Row],[Bearbeitungsdauer_real]]/Lektionen[[#This Row],[Bearbeitungsdauer_geschätzt]]-1</f>
        <v>0.53333333333333344</v>
      </c>
      <c r="H3070" s="8" t="str" cm="1">
        <f t="array" ref="H3070">_xlfn.IFS(Lektionen[[#This Row],[Bearbeitungsdauer_abgewichen]]&gt;0.6,"viel länger",Lektionen[[#This Row],[Bearbeitungsdauer_abgewichen]]&gt;0.3,"länger",Lektionen[[#This Row],[Bearbeitungsdauer_abgewichen]]&lt;-0.3,"kürzer",TRUE,"keine Abweichung")</f>
        <v>länger</v>
      </c>
      <c r="I3070">
        <v>5</v>
      </c>
    </row>
    <row r="3071" spans="1:9" hidden="1" x14ac:dyDescent="0.3">
      <c r="A3071" s="13">
        <v>480</v>
      </c>
      <c r="B3071" s="4">
        <v>6</v>
      </c>
      <c r="C3071" t="s">
        <v>533</v>
      </c>
      <c r="D3071" t="s">
        <v>534</v>
      </c>
      <c r="E3071">
        <v>5</v>
      </c>
      <c r="F3071">
        <v>1</v>
      </c>
      <c r="G3071" s="8">
        <f>Lektionen[[#This Row],[Bearbeitungsdauer_real]]/Lektionen[[#This Row],[Bearbeitungsdauer_geschätzt]]-1</f>
        <v>-0.8</v>
      </c>
      <c r="H3071" s="8" t="str" cm="1">
        <f t="array" ref="H3071">_xlfn.IFS(Lektionen[[#This Row],[Bearbeitungsdauer_abgewichen]]&gt;0.6,"viel länger",Lektionen[[#This Row],[Bearbeitungsdauer_abgewichen]]&gt;0.3,"länger",Lektionen[[#This Row],[Bearbeitungsdauer_abgewichen]]&lt;-0.3,"kürzer",TRUE,"keine Abweichung")</f>
        <v>kürzer</v>
      </c>
      <c r="I3071">
        <v>2</v>
      </c>
    </row>
    <row r="3072" spans="1:9" hidden="1" x14ac:dyDescent="0.3">
      <c r="A3072" s="13">
        <v>480</v>
      </c>
      <c r="B3072" s="4">
        <v>7</v>
      </c>
      <c r="C3072" t="s">
        <v>535</v>
      </c>
      <c r="D3072" t="s">
        <v>536</v>
      </c>
      <c r="E3072">
        <v>10</v>
      </c>
      <c r="F3072">
        <v>10</v>
      </c>
      <c r="G3072" s="8">
        <f>Lektionen[[#This Row],[Bearbeitungsdauer_real]]/Lektionen[[#This Row],[Bearbeitungsdauer_geschätzt]]-1</f>
        <v>0</v>
      </c>
      <c r="H3072" s="8" t="str" cm="1">
        <f t="array" ref="H3072">_xlfn.IFS(Lektionen[[#This Row],[Bearbeitungsdauer_abgewichen]]&gt;0.6,"viel länger",Lektionen[[#This Row],[Bearbeitungsdauer_abgewichen]]&gt;0.3,"länger",Lektionen[[#This Row],[Bearbeitungsdauer_abgewichen]]&lt;-0.3,"kürzer",TRUE,"keine Abweichung")</f>
        <v>keine Abweichung</v>
      </c>
      <c r="I3072">
        <v>3</v>
      </c>
    </row>
    <row r="3073" spans="1:9" hidden="1" x14ac:dyDescent="0.3">
      <c r="A3073" s="13">
        <v>480</v>
      </c>
      <c r="B3073" s="4">
        <v>8</v>
      </c>
      <c r="C3073" t="s">
        <v>537</v>
      </c>
      <c r="D3073" t="s">
        <v>527</v>
      </c>
      <c r="E3073">
        <v>5</v>
      </c>
      <c r="F3073">
        <v>5</v>
      </c>
      <c r="G3073" s="8">
        <f>Lektionen[[#This Row],[Bearbeitungsdauer_real]]/Lektionen[[#This Row],[Bearbeitungsdauer_geschätzt]]-1</f>
        <v>0</v>
      </c>
      <c r="H3073" s="8" t="str" cm="1">
        <f t="array" ref="H3073">_xlfn.IFS(Lektionen[[#This Row],[Bearbeitungsdauer_abgewichen]]&gt;0.6,"viel länger",Lektionen[[#This Row],[Bearbeitungsdauer_abgewichen]]&gt;0.3,"länger",Lektionen[[#This Row],[Bearbeitungsdauer_abgewichen]]&lt;-0.3,"kürzer",TRUE,"keine Abweichung")</f>
        <v>keine Abweichung</v>
      </c>
      <c r="I3073">
        <v>1</v>
      </c>
    </row>
    <row r="3074" spans="1:9" hidden="1" x14ac:dyDescent="0.3">
      <c r="A3074" s="13">
        <v>481</v>
      </c>
      <c r="B3074" s="4">
        <v>1</v>
      </c>
      <c r="C3074" t="s">
        <v>526</v>
      </c>
      <c r="D3074" t="s">
        <v>527</v>
      </c>
      <c r="E3074">
        <v>4</v>
      </c>
      <c r="F3074">
        <v>4</v>
      </c>
      <c r="G3074" s="8">
        <f>Lektionen[[#This Row],[Bearbeitungsdauer_real]]/Lektionen[[#This Row],[Bearbeitungsdauer_geschätzt]]-1</f>
        <v>0</v>
      </c>
      <c r="H3074" s="8" t="str" cm="1">
        <f t="array" ref="H3074">_xlfn.IFS(Lektionen[[#This Row],[Bearbeitungsdauer_abgewichen]]&gt;0.6,"viel länger",Lektionen[[#This Row],[Bearbeitungsdauer_abgewichen]]&gt;0.3,"länger",Lektionen[[#This Row],[Bearbeitungsdauer_abgewichen]]&lt;-0.3,"kürzer",TRUE,"keine Abweichung")</f>
        <v>keine Abweichung</v>
      </c>
      <c r="I3074">
        <v>1</v>
      </c>
    </row>
    <row r="3075" spans="1:9" hidden="1" x14ac:dyDescent="0.3">
      <c r="A3075" s="13">
        <v>481</v>
      </c>
      <c r="B3075" s="4">
        <v>2</v>
      </c>
      <c r="C3075" t="s">
        <v>528</v>
      </c>
      <c r="D3075" t="s">
        <v>529</v>
      </c>
      <c r="E3075">
        <v>15</v>
      </c>
      <c r="F3075">
        <v>18</v>
      </c>
      <c r="G3075" s="8">
        <f>Lektionen[[#This Row],[Bearbeitungsdauer_real]]/Lektionen[[#This Row],[Bearbeitungsdauer_geschätzt]]-1</f>
        <v>0.19999999999999996</v>
      </c>
      <c r="H3075" s="8" t="str" cm="1">
        <f t="array" ref="H3075">_xlfn.IFS(Lektionen[[#This Row],[Bearbeitungsdauer_abgewichen]]&gt;0.6,"viel länger",Lektionen[[#This Row],[Bearbeitungsdauer_abgewichen]]&gt;0.3,"länger",Lektionen[[#This Row],[Bearbeitungsdauer_abgewichen]]&lt;-0.3,"kürzer",TRUE,"keine Abweichung")</f>
        <v>keine Abweichung</v>
      </c>
      <c r="I3075">
        <v>2</v>
      </c>
    </row>
    <row r="3076" spans="1:9" hidden="1" x14ac:dyDescent="0.3">
      <c r="A3076" s="13">
        <v>481</v>
      </c>
      <c r="B3076" s="4">
        <v>3</v>
      </c>
      <c r="C3076" t="s">
        <v>552</v>
      </c>
      <c r="D3076" t="s">
        <v>530</v>
      </c>
      <c r="E3076">
        <v>30</v>
      </c>
      <c r="F3076">
        <v>29</v>
      </c>
      <c r="G3076" s="8">
        <f>Lektionen[[#This Row],[Bearbeitungsdauer_real]]/Lektionen[[#This Row],[Bearbeitungsdauer_geschätzt]]-1</f>
        <v>-3.3333333333333326E-2</v>
      </c>
      <c r="H3076" s="8" t="str" cm="1">
        <f t="array" ref="H3076">_xlfn.IFS(Lektionen[[#This Row],[Bearbeitungsdauer_abgewichen]]&gt;0.6,"viel länger",Lektionen[[#This Row],[Bearbeitungsdauer_abgewichen]]&gt;0.3,"länger",Lektionen[[#This Row],[Bearbeitungsdauer_abgewichen]]&lt;-0.3,"kürzer",TRUE,"keine Abweichung")</f>
        <v>keine Abweichung</v>
      </c>
      <c r="I3076">
        <v>2</v>
      </c>
    </row>
    <row r="3077" spans="1:9" hidden="1" x14ac:dyDescent="0.3">
      <c r="A3077" s="13">
        <v>481</v>
      </c>
      <c r="B3077" s="4">
        <v>4</v>
      </c>
      <c r="C3077" t="s">
        <v>531</v>
      </c>
      <c r="D3077" t="s">
        <v>530</v>
      </c>
      <c r="E3077">
        <v>30</v>
      </c>
      <c r="F3077">
        <v>29</v>
      </c>
      <c r="G3077" s="8">
        <f>Lektionen[[#This Row],[Bearbeitungsdauer_real]]/Lektionen[[#This Row],[Bearbeitungsdauer_geschätzt]]-1</f>
        <v>-3.3333333333333326E-2</v>
      </c>
      <c r="H3077" s="8" t="str" cm="1">
        <f t="array" ref="H3077">_xlfn.IFS(Lektionen[[#This Row],[Bearbeitungsdauer_abgewichen]]&gt;0.6,"viel länger",Lektionen[[#This Row],[Bearbeitungsdauer_abgewichen]]&gt;0.3,"länger",Lektionen[[#This Row],[Bearbeitungsdauer_abgewichen]]&lt;-0.3,"kürzer",TRUE,"keine Abweichung")</f>
        <v>keine Abweichung</v>
      </c>
      <c r="I3077">
        <v>3</v>
      </c>
    </row>
    <row r="3078" spans="1:9" x14ac:dyDescent="0.3">
      <c r="A3078" s="13">
        <v>481</v>
      </c>
      <c r="B3078" s="4">
        <v>5</v>
      </c>
      <c r="C3078" t="s">
        <v>532</v>
      </c>
      <c r="D3078" t="s">
        <v>530</v>
      </c>
      <c r="E3078">
        <v>30</v>
      </c>
      <c r="F3078">
        <v>36</v>
      </c>
      <c r="G3078" s="8">
        <f>Lektionen[[#This Row],[Bearbeitungsdauer_real]]/Lektionen[[#This Row],[Bearbeitungsdauer_geschätzt]]-1</f>
        <v>0.19999999999999996</v>
      </c>
      <c r="H3078" s="8" t="str" cm="1">
        <f t="array" ref="H3078">_xlfn.IFS(Lektionen[[#This Row],[Bearbeitungsdauer_abgewichen]]&gt;0.6,"viel länger",Lektionen[[#This Row],[Bearbeitungsdauer_abgewichen]]&gt;0.3,"länger",Lektionen[[#This Row],[Bearbeitungsdauer_abgewichen]]&lt;-0.3,"kürzer",TRUE,"keine Abweichung")</f>
        <v>keine Abweichung</v>
      </c>
      <c r="I3078">
        <v>4</v>
      </c>
    </row>
    <row r="3079" spans="1:9" hidden="1" x14ac:dyDescent="0.3">
      <c r="A3079" s="13">
        <v>481</v>
      </c>
      <c r="B3079" s="4">
        <v>6</v>
      </c>
      <c r="C3079" t="s">
        <v>533</v>
      </c>
      <c r="D3079" t="s">
        <v>534</v>
      </c>
      <c r="E3079">
        <v>5</v>
      </c>
      <c r="F3079">
        <v>2</v>
      </c>
      <c r="G3079" s="8">
        <f>Lektionen[[#This Row],[Bearbeitungsdauer_real]]/Lektionen[[#This Row],[Bearbeitungsdauer_geschätzt]]-1</f>
        <v>-0.6</v>
      </c>
      <c r="H3079" s="8" t="str" cm="1">
        <f t="array" ref="H3079">_xlfn.IFS(Lektionen[[#This Row],[Bearbeitungsdauer_abgewichen]]&gt;0.6,"viel länger",Lektionen[[#This Row],[Bearbeitungsdauer_abgewichen]]&gt;0.3,"länger",Lektionen[[#This Row],[Bearbeitungsdauer_abgewichen]]&lt;-0.3,"kürzer",TRUE,"keine Abweichung")</f>
        <v>kürzer</v>
      </c>
      <c r="I3079">
        <v>1</v>
      </c>
    </row>
    <row r="3080" spans="1:9" hidden="1" x14ac:dyDescent="0.3">
      <c r="A3080" s="13">
        <v>481</v>
      </c>
      <c r="B3080" s="4">
        <v>7</v>
      </c>
      <c r="C3080" t="s">
        <v>535</v>
      </c>
      <c r="D3080" t="s">
        <v>536</v>
      </c>
      <c r="E3080">
        <v>10</v>
      </c>
      <c r="F3080">
        <v>11</v>
      </c>
      <c r="G3080" s="8">
        <f>Lektionen[[#This Row],[Bearbeitungsdauer_real]]/Lektionen[[#This Row],[Bearbeitungsdauer_geschätzt]]-1</f>
        <v>0.10000000000000009</v>
      </c>
      <c r="H3080" s="8" t="str" cm="1">
        <f t="array" ref="H3080">_xlfn.IFS(Lektionen[[#This Row],[Bearbeitungsdauer_abgewichen]]&gt;0.6,"viel länger",Lektionen[[#This Row],[Bearbeitungsdauer_abgewichen]]&gt;0.3,"länger",Lektionen[[#This Row],[Bearbeitungsdauer_abgewichen]]&lt;-0.3,"kürzer",TRUE,"keine Abweichung")</f>
        <v>keine Abweichung</v>
      </c>
      <c r="I3080">
        <v>3</v>
      </c>
    </row>
    <row r="3081" spans="1:9" hidden="1" x14ac:dyDescent="0.3">
      <c r="A3081" s="13">
        <v>481</v>
      </c>
      <c r="B3081" s="4">
        <v>8</v>
      </c>
      <c r="C3081" t="s">
        <v>537</v>
      </c>
      <c r="D3081" t="s">
        <v>527</v>
      </c>
      <c r="E3081">
        <v>5</v>
      </c>
      <c r="F3081">
        <v>5</v>
      </c>
      <c r="G3081" s="8">
        <f>Lektionen[[#This Row],[Bearbeitungsdauer_real]]/Lektionen[[#This Row],[Bearbeitungsdauer_geschätzt]]-1</f>
        <v>0</v>
      </c>
      <c r="H3081" s="8" t="str" cm="1">
        <f t="array" ref="H3081">_xlfn.IFS(Lektionen[[#This Row],[Bearbeitungsdauer_abgewichen]]&gt;0.6,"viel länger",Lektionen[[#This Row],[Bearbeitungsdauer_abgewichen]]&gt;0.3,"länger",Lektionen[[#This Row],[Bearbeitungsdauer_abgewichen]]&lt;-0.3,"kürzer",TRUE,"keine Abweichung")</f>
        <v>keine Abweichung</v>
      </c>
      <c r="I3081">
        <v>1</v>
      </c>
    </row>
    <row r="3082" spans="1:9" hidden="1" x14ac:dyDescent="0.3">
      <c r="A3082" s="13">
        <v>482</v>
      </c>
      <c r="B3082" s="4">
        <v>1</v>
      </c>
      <c r="C3082" t="s">
        <v>526</v>
      </c>
      <c r="D3082" t="s">
        <v>527</v>
      </c>
      <c r="E3082">
        <v>4</v>
      </c>
      <c r="F3082">
        <v>4</v>
      </c>
      <c r="G3082" s="8">
        <f>Lektionen[[#This Row],[Bearbeitungsdauer_real]]/Lektionen[[#This Row],[Bearbeitungsdauer_geschätzt]]-1</f>
        <v>0</v>
      </c>
      <c r="H3082" s="8" t="str" cm="1">
        <f t="array" ref="H3082">_xlfn.IFS(Lektionen[[#This Row],[Bearbeitungsdauer_abgewichen]]&gt;0.6,"viel länger",Lektionen[[#This Row],[Bearbeitungsdauer_abgewichen]]&gt;0.3,"länger",Lektionen[[#This Row],[Bearbeitungsdauer_abgewichen]]&lt;-0.3,"kürzer",TRUE,"keine Abweichung")</f>
        <v>keine Abweichung</v>
      </c>
      <c r="I3082">
        <v>1</v>
      </c>
    </row>
    <row r="3083" spans="1:9" hidden="1" x14ac:dyDescent="0.3">
      <c r="A3083" s="13">
        <v>482</v>
      </c>
      <c r="B3083" s="4">
        <v>2</v>
      </c>
      <c r="C3083" t="s">
        <v>528</v>
      </c>
      <c r="D3083" t="s">
        <v>529</v>
      </c>
      <c r="E3083">
        <v>15</v>
      </c>
      <c r="F3083">
        <v>19</v>
      </c>
      <c r="G3083" s="8">
        <f>Lektionen[[#This Row],[Bearbeitungsdauer_real]]/Lektionen[[#This Row],[Bearbeitungsdauer_geschätzt]]-1</f>
        <v>0.26666666666666661</v>
      </c>
      <c r="H3083" s="8" t="str" cm="1">
        <f t="array" ref="H3083">_xlfn.IFS(Lektionen[[#This Row],[Bearbeitungsdauer_abgewichen]]&gt;0.6,"viel länger",Lektionen[[#This Row],[Bearbeitungsdauer_abgewichen]]&gt;0.3,"länger",Lektionen[[#This Row],[Bearbeitungsdauer_abgewichen]]&lt;-0.3,"kürzer",TRUE,"keine Abweichung")</f>
        <v>keine Abweichung</v>
      </c>
      <c r="I3083">
        <v>2</v>
      </c>
    </row>
    <row r="3084" spans="1:9" hidden="1" x14ac:dyDescent="0.3">
      <c r="A3084" s="13">
        <v>482</v>
      </c>
      <c r="B3084" s="4">
        <v>3</v>
      </c>
      <c r="C3084" t="s">
        <v>552</v>
      </c>
      <c r="D3084" t="s">
        <v>530</v>
      </c>
      <c r="E3084">
        <v>30</v>
      </c>
      <c r="F3084">
        <v>29</v>
      </c>
      <c r="G3084" s="8">
        <f>Lektionen[[#This Row],[Bearbeitungsdauer_real]]/Lektionen[[#This Row],[Bearbeitungsdauer_geschätzt]]-1</f>
        <v>-3.3333333333333326E-2</v>
      </c>
      <c r="H3084" s="8" t="str" cm="1">
        <f t="array" ref="H3084">_xlfn.IFS(Lektionen[[#This Row],[Bearbeitungsdauer_abgewichen]]&gt;0.6,"viel länger",Lektionen[[#This Row],[Bearbeitungsdauer_abgewichen]]&gt;0.3,"länger",Lektionen[[#This Row],[Bearbeitungsdauer_abgewichen]]&lt;-0.3,"kürzer",TRUE,"keine Abweichung")</f>
        <v>keine Abweichung</v>
      </c>
      <c r="I3084">
        <v>2</v>
      </c>
    </row>
    <row r="3085" spans="1:9" hidden="1" x14ac:dyDescent="0.3">
      <c r="A3085" s="13">
        <v>482</v>
      </c>
      <c r="B3085" s="4">
        <v>4</v>
      </c>
      <c r="C3085" t="s">
        <v>531</v>
      </c>
      <c r="D3085" t="s">
        <v>530</v>
      </c>
      <c r="E3085">
        <v>30</v>
      </c>
      <c r="F3085">
        <v>18</v>
      </c>
      <c r="G3085" s="8">
        <f>Lektionen[[#This Row],[Bearbeitungsdauer_real]]/Lektionen[[#This Row],[Bearbeitungsdauer_geschätzt]]-1</f>
        <v>-0.4</v>
      </c>
      <c r="H3085" s="8" t="str" cm="1">
        <f t="array" ref="H3085">_xlfn.IFS(Lektionen[[#This Row],[Bearbeitungsdauer_abgewichen]]&gt;0.6,"viel länger",Lektionen[[#This Row],[Bearbeitungsdauer_abgewichen]]&gt;0.3,"länger",Lektionen[[#This Row],[Bearbeitungsdauer_abgewichen]]&lt;-0.3,"kürzer",TRUE,"keine Abweichung")</f>
        <v>kürzer</v>
      </c>
      <c r="I3085">
        <v>3</v>
      </c>
    </row>
    <row r="3086" spans="1:9" x14ac:dyDescent="0.3">
      <c r="A3086" s="13">
        <v>482</v>
      </c>
      <c r="B3086" s="4">
        <v>5</v>
      </c>
      <c r="C3086" t="s">
        <v>532</v>
      </c>
      <c r="D3086" t="s">
        <v>530</v>
      </c>
      <c r="E3086">
        <v>30</v>
      </c>
      <c r="F3086">
        <v>41</v>
      </c>
      <c r="G3086" s="8">
        <f>Lektionen[[#This Row],[Bearbeitungsdauer_real]]/Lektionen[[#This Row],[Bearbeitungsdauer_geschätzt]]-1</f>
        <v>0.3666666666666667</v>
      </c>
      <c r="H3086" s="8" t="str" cm="1">
        <f t="array" ref="H3086">_xlfn.IFS(Lektionen[[#This Row],[Bearbeitungsdauer_abgewichen]]&gt;0.6,"viel länger",Lektionen[[#This Row],[Bearbeitungsdauer_abgewichen]]&gt;0.3,"länger",Lektionen[[#This Row],[Bearbeitungsdauer_abgewichen]]&lt;-0.3,"kürzer",TRUE,"keine Abweichung")</f>
        <v>länger</v>
      </c>
      <c r="I3086">
        <v>5</v>
      </c>
    </row>
    <row r="3087" spans="1:9" hidden="1" x14ac:dyDescent="0.3">
      <c r="A3087" s="13">
        <v>482</v>
      </c>
      <c r="B3087" s="4">
        <v>6</v>
      </c>
      <c r="C3087" t="s">
        <v>533</v>
      </c>
      <c r="D3087" t="s">
        <v>534</v>
      </c>
      <c r="E3087">
        <v>5</v>
      </c>
      <c r="F3087">
        <v>1</v>
      </c>
      <c r="G3087" s="8">
        <f>Lektionen[[#This Row],[Bearbeitungsdauer_real]]/Lektionen[[#This Row],[Bearbeitungsdauer_geschätzt]]-1</f>
        <v>-0.8</v>
      </c>
      <c r="H3087" s="8" t="str" cm="1">
        <f t="array" ref="H3087">_xlfn.IFS(Lektionen[[#This Row],[Bearbeitungsdauer_abgewichen]]&gt;0.6,"viel länger",Lektionen[[#This Row],[Bearbeitungsdauer_abgewichen]]&gt;0.3,"länger",Lektionen[[#This Row],[Bearbeitungsdauer_abgewichen]]&lt;-0.3,"kürzer",TRUE,"keine Abweichung")</f>
        <v>kürzer</v>
      </c>
      <c r="I3087">
        <v>2</v>
      </c>
    </row>
    <row r="3088" spans="1:9" hidden="1" x14ac:dyDescent="0.3">
      <c r="A3088" s="13">
        <v>482</v>
      </c>
      <c r="B3088" s="4">
        <v>7</v>
      </c>
      <c r="C3088" t="s">
        <v>535</v>
      </c>
      <c r="D3088" t="s">
        <v>536</v>
      </c>
      <c r="E3088">
        <v>10</v>
      </c>
      <c r="F3088">
        <v>10</v>
      </c>
      <c r="G3088" s="8">
        <f>Lektionen[[#This Row],[Bearbeitungsdauer_real]]/Lektionen[[#This Row],[Bearbeitungsdauer_geschätzt]]-1</f>
        <v>0</v>
      </c>
      <c r="H3088" s="8" t="str" cm="1">
        <f t="array" ref="H3088">_xlfn.IFS(Lektionen[[#This Row],[Bearbeitungsdauer_abgewichen]]&gt;0.6,"viel länger",Lektionen[[#This Row],[Bearbeitungsdauer_abgewichen]]&gt;0.3,"länger",Lektionen[[#This Row],[Bearbeitungsdauer_abgewichen]]&lt;-0.3,"kürzer",TRUE,"keine Abweichung")</f>
        <v>keine Abweichung</v>
      </c>
      <c r="I3088">
        <v>3</v>
      </c>
    </row>
    <row r="3089" spans="1:9" hidden="1" x14ac:dyDescent="0.3">
      <c r="A3089" s="13">
        <v>482</v>
      </c>
      <c r="B3089" s="4">
        <v>8</v>
      </c>
      <c r="C3089" t="s">
        <v>537</v>
      </c>
      <c r="D3089" t="s">
        <v>527</v>
      </c>
      <c r="E3089">
        <v>5</v>
      </c>
      <c r="F3089">
        <v>5</v>
      </c>
      <c r="G3089" s="8">
        <f>Lektionen[[#This Row],[Bearbeitungsdauer_real]]/Lektionen[[#This Row],[Bearbeitungsdauer_geschätzt]]-1</f>
        <v>0</v>
      </c>
      <c r="H3089" s="8" t="str" cm="1">
        <f t="array" ref="H3089">_xlfn.IFS(Lektionen[[#This Row],[Bearbeitungsdauer_abgewichen]]&gt;0.6,"viel länger",Lektionen[[#This Row],[Bearbeitungsdauer_abgewichen]]&gt;0.3,"länger",Lektionen[[#This Row],[Bearbeitungsdauer_abgewichen]]&lt;-0.3,"kürzer",TRUE,"keine Abweichung")</f>
        <v>keine Abweichung</v>
      </c>
      <c r="I3089">
        <v>1</v>
      </c>
    </row>
    <row r="3090" spans="1:9" hidden="1" x14ac:dyDescent="0.3">
      <c r="A3090" s="13">
        <v>483</v>
      </c>
      <c r="B3090" s="4">
        <v>1</v>
      </c>
      <c r="C3090" t="s">
        <v>526</v>
      </c>
      <c r="D3090" t="s">
        <v>527</v>
      </c>
      <c r="E3090">
        <v>4</v>
      </c>
      <c r="F3090">
        <v>4</v>
      </c>
      <c r="G3090" s="8">
        <f>Lektionen[[#This Row],[Bearbeitungsdauer_real]]/Lektionen[[#This Row],[Bearbeitungsdauer_geschätzt]]-1</f>
        <v>0</v>
      </c>
      <c r="H3090" s="8" t="str" cm="1">
        <f t="array" ref="H3090">_xlfn.IFS(Lektionen[[#This Row],[Bearbeitungsdauer_abgewichen]]&gt;0.6,"viel länger",Lektionen[[#This Row],[Bearbeitungsdauer_abgewichen]]&gt;0.3,"länger",Lektionen[[#This Row],[Bearbeitungsdauer_abgewichen]]&lt;-0.3,"kürzer",TRUE,"keine Abweichung")</f>
        <v>keine Abweichung</v>
      </c>
      <c r="I3090">
        <v>1</v>
      </c>
    </row>
    <row r="3091" spans="1:9" hidden="1" x14ac:dyDescent="0.3">
      <c r="A3091" s="13">
        <v>483</v>
      </c>
      <c r="B3091" s="4">
        <v>2</v>
      </c>
      <c r="C3091" t="s">
        <v>528</v>
      </c>
      <c r="D3091" t="s">
        <v>529</v>
      </c>
      <c r="E3091">
        <v>15</v>
      </c>
      <c r="F3091">
        <v>17</v>
      </c>
      <c r="G3091" s="8">
        <f>Lektionen[[#This Row],[Bearbeitungsdauer_real]]/Lektionen[[#This Row],[Bearbeitungsdauer_geschätzt]]-1</f>
        <v>0.1333333333333333</v>
      </c>
      <c r="H3091" s="8" t="str" cm="1">
        <f t="array" ref="H3091">_xlfn.IFS(Lektionen[[#This Row],[Bearbeitungsdauer_abgewichen]]&gt;0.6,"viel länger",Lektionen[[#This Row],[Bearbeitungsdauer_abgewichen]]&gt;0.3,"länger",Lektionen[[#This Row],[Bearbeitungsdauer_abgewichen]]&lt;-0.3,"kürzer",TRUE,"keine Abweichung")</f>
        <v>keine Abweichung</v>
      </c>
      <c r="I3091">
        <v>1</v>
      </c>
    </row>
    <row r="3092" spans="1:9" hidden="1" x14ac:dyDescent="0.3">
      <c r="A3092" s="13">
        <v>483</v>
      </c>
      <c r="B3092" s="4">
        <v>3</v>
      </c>
      <c r="C3092" t="s">
        <v>552</v>
      </c>
      <c r="D3092" t="s">
        <v>530</v>
      </c>
      <c r="E3092">
        <v>30</v>
      </c>
      <c r="F3092">
        <v>29</v>
      </c>
      <c r="G3092" s="8">
        <f>Lektionen[[#This Row],[Bearbeitungsdauer_real]]/Lektionen[[#This Row],[Bearbeitungsdauer_geschätzt]]-1</f>
        <v>-3.3333333333333326E-2</v>
      </c>
      <c r="H3092" s="8" t="str" cm="1">
        <f t="array" ref="H3092">_xlfn.IFS(Lektionen[[#This Row],[Bearbeitungsdauer_abgewichen]]&gt;0.6,"viel länger",Lektionen[[#This Row],[Bearbeitungsdauer_abgewichen]]&gt;0.3,"länger",Lektionen[[#This Row],[Bearbeitungsdauer_abgewichen]]&lt;-0.3,"kürzer",TRUE,"keine Abweichung")</f>
        <v>keine Abweichung</v>
      </c>
      <c r="I3092">
        <v>4</v>
      </c>
    </row>
    <row r="3093" spans="1:9" hidden="1" x14ac:dyDescent="0.3">
      <c r="A3093" s="13">
        <v>483</v>
      </c>
      <c r="B3093" s="4">
        <v>4</v>
      </c>
      <c r="C3093" t="s">
        <v>531</v>
      </c>
      <c r="D3093" t="s">
        <v>530</v>
      </c>
      <c r="E3093">
        <v>30</v>
      </c>
      <c r="F3093">
        <v>23</v>
      </c>
      <c r="G3093" s="8">
        <f>Lektionen[[#This Row],[Bearbeitungsdauer_real]]/Lektionen[[#This Row],[Bearbeitungsdauer_geschätzt]]-1</f>
        <v>-0.23333333333333328</v>
      </c>
      <c r="H3093" s="8" t="str" cm="1">
        <f t="array" ref="H3093">_xlfn.IFS(Lektionen[[#This Row],[Bearbeitungsdauer_abgewichen]]&gt;0.6,"viel länger",Lektionen[[#This Row],[Bearbeitungsdauer_abgewichen]]&gt;0.3,"länger",Lektionen[[#This Row],[Bearbeitungsdauer_abgewichen]]&lt;-0.3,"kürzer",TRUE,"keine Abweichung")</f>
        <v>keine Abweichung</v>
      </c>
      <c r="I3093">
        <v>3</v>
      </c>
    </row>
    <row r="3094" spans="1:9" x14ac:dyDescent="0.3">
      <c r="A3094" s="13">
        <v>483</v>
      </c>
      <c r="B3094" s="4">
        <v>5</v>
      </c>
      <c r="C3094" t="s">
        <v>532</v>
      </c>
      <c r="D3094" t="s">
        <v>530</v>
      </c>
      <c r="E3094">
        <v>30</v>
      </c>
      <c r="F3094">
        <v>45</v>
      </c>
      <c r="G3094" s="8">
        <f>Lektionen[[#This Row],[Bearbeitungsdauer_real]]/Lektionen[[#This Row],[Bearbeitungsdauer_geschätzt]]-1</f>
        <v>0.5</v>
      </c>
      <c r="H3094" s="8" t="str" cm="1">
        <f t="array" ref="H3094">_xlfn.IFS(Lektionen[[#This Row],[Bearbeitungsdauer_abgewichen]]&gt;0.6,"viel länger",Lektionen[[#This Row],[Bearbeitungsdauer_abgewichen]]&gt;0.3,"länger",Lektionen[[#This Row],[Bearbeitungsdauer_abgewichen]]&lt;-0.3,"kürzer",TRUE,"keine Abweichung")</f>
        <v>länger</v>
      </c>
      <c r="I3094">
        <v>4</v>
      </c>
    </row>
    <row r="3095" spans="1:9" hidden="1" x14ac:dyDescent="0.3">
      <c r="A3095" s="13">
        <v>483</v>
      </c>
      <c r="B3095" s="4">
        <v>6</v>
      </c>
      <c r="C3095" t="s">
        <v>533</v>
      </c>
      <c r="D3095" t="s">
        <v>534</v>
      </c>
      <c r="E3095">
        <v>5</v>
      </c>
      <c r="F3095">
        <v>3</v>
      </c>
      <c r="G3095" s="8">
        <f>Lektionen[[#This Row],[Bearbeitungsdauer_real]]/Lektionen[[#This Row],[Bearbeitungsdauer_geschätzt]]-1</f>
        <v>-0.4</v>
      </c>
      <c r="H3095" s="8" t="str" cm="1">
        <f t="array" ref="H3095">_xlfn.IFS(Lektionen[[#This Row],[Bearbeitungsdauer_abgewichen]]&gt;0.6,"viel länger",Lektionen[[#This Row],[Bearbeitungsdauer_abgewichen]]&gt;0.3,"länger",Lektionen[[#This Row],[Bearbeitungsdauer_abgewichen]]&lt;-0.3,"kürzer",TRUE,"keine Abweichung")</f>
        <v>kürzer</v>
      </c>
      <c r="I3095">
        <v>2</v>
      </c>
    </row>
    <row r="3096" spans="1:9" hidden="1" x14ac:dyDescent="0.3">
      <c r="A3096" s="13">
        <v>483</v>
      </c>
      <c r="B3096" s="4">
        <v>7</v>
      </c>
      <c r="C3096" t="s">
        <v>535</v>
      </c>
      <c r="D3096" t="s">
        <v>536</v>
      </c>
      <c r="E3096">
        <v>10</v>
      </c>
      <c r="F3096">
        <v>9</v>
      </c>
      <c r="G3096" s="8">
        <f>Lektionen[[#This Row],[Bearbeitungsdauer_real]]/Lektionen[[#This Row],[Bearbeitungsdauer_geschätzt]]-1</f>
        <v>-9.9999999999999978E-2</v>
      </c>
      <c r="H3096" s="8" t="str" cm="1">
        <f t="array" ref="H3096">_xlfn.IFS(Lektionen[[#This Row],[Bearbeitungsdauer_abgewichen]]&gt;0.6,"viel länger",Lektionen[[#This Row],[Bearbeitungsdauer_abgewichen]]&gt;0.3,"länger",Lektionen[[#This Row],[Bearbeitungsdauer_abgewichen]]&lt;-0.3,"kürzer",TRUE,"keine Abweichung")</f>
        <v>keine Abweichung</v>
      </c>
      <c r="I3096">
        <v>3</v>
      </c>
    </row>
    <row r="3097" spans="1:9" hidden="1" x14ac:dyDescent="0.3">
      <c r="A3097" s="13">
        <v>483</v>
      </c>
      <c r="B3097" s="4">
        <v>8</v>
      </c>
      <c r="C3097" t="s">
        <v>537</v>
      </c>
      <c r="D3097" t="s">
        <v>527</v>
      </c>
      <c r="E3097">
        <v>5</v>
      </c>
      <c r="F3097">
        <v>5</v>
      </c>
      <c r="G3097" s="8">
        <f>Lektionen[[#This Row],[Bearbeitungsdauer_real]]/Lektionen[[#This Row],[Bearbeitungsdauer_geschätzt]]-1</f>
        <v>0</v>
      </c>
      <c r="H3097" s="8" t="str" cm="1">
        <f t="array" ref="H3097">_xlfn.IFS(Lektionen[[#This Row],[Bearbeitungsdauer_abgewichen]]&gt;0.6,"viel länger",Lektionen[[#This Row],[Bearbeitungsdauer_abgewichen]]&gt;0.3,"länger",Lektionen[[#This Row],[Bearbeitungsdauer_abgewichen]]&lt;-0.3,"kürzer",TRUE,"keine Abweichung")</f>
        <v>keine Abweichung</v>
      </c>
      <c r="I3097">
        <v>1</v>
      </c>
    </row>
    <row r="3098" spans="1:9" hidden="1" x14ac:dyDescent="0.3">
      <c r="A3098" s="13">
        <v>484</v>
      </c>
      <c r="B3098" s="4">
        <v>1</v>
      </c>
      <c r="C3098" t="s">
        <v>526</v>
      </c>
      <c r="D3098" t="s">
        <v>527</v>
      </c>
      <c r="E3098">
        <v>4</v>
      </c>
      <c r="F3098">
        <v>7</v>
      </c>
      <c r="G3098" s="8">
        <f>Lektionen[[#This Row],[Bearbeitungsdauer_real]]/Lektionen[[#This Row],[Bearbeitungsdauer_geschätzt]]-1</f>
        <v>0.75</v>
      </c>
      <c r="H3098" s="8" t="str" cm="1">
        <f t="array" ref="H3098">_xlfn.IFS(Lektionen[[#This Row],[Bearbeitungsdauer_abgewichen]]&gt;0.6,"viel länger",Lektionen[[#This Row],[Bearbeitungsdauer_abgewichen]]&gt;0.3,"länger",Lektionen[[#This Row],[Bearbeitungsdauer_abgewichen]]&lt;-0.3,"kürzer",TRUE,"keine Abweichung")</f>
        <v>viel länger</v>
      </c>
      <c r="I3098">
        <v>1</v>
      </c>
    </row>
    <row r="3099" spans="1:9" hidden="1" x14ac:dyDescent="0.3">
      <c r="A3099" s="13">
        <v>484</v>
      </c>
      <c r="B3099" s="4">
        <v>2</v>
      </c>
      <c r="C3099" t="s">
        <v>528</v>
      </c>
      <c r="D3099" t="s">
        <v>529</v>
      </c>
      <c r="E3099">
        <v>15</v>
      </c>
      <c r="F3099">
        <v>16</v>
      </c>
      <c r="G3099" s="8">
        <f>Lektionen[[#This Row],[Bearbeitungsdauer_real]]/Lektionen[[#This Row],[Bearbeitungsdauer_geschätzt]]-1</f>
        <v>6.6666666666666652E-2</v>
      </c>
      <c r="H3099" s="8" t="str" cm="1">
        <f t="array" ref="H3099">_xlfn.IFS(Lektionen[[#This Row],[Bearbeitungsdauer_abgewichen]]&gt;0.6,"viel länger",Lektionen[[#This Row],[Bearbeitungsdauer_abgewichen]]&gt;0.3,"länger",Lektionen[[#This Row],[Bearbeitungsdauer_abgewichen]]&lt;-0.3,"kürzer",TRUE,"keine Abweichung")</f>
        <v>keine Abweichung</v>
      </c>
      <c r="I3099">
        <v>1</v>
      </c>
    </row>
    <row r="3100" spans="1:9" hidden="1" x14ac:dyDescent="0.3">
      <c r="A3100" s="13">
        <v>484</v>
      </c>
      <c r="B3100" s="4">
        <v>3</v>
      </c>
      <c r="C3100" t="s">
        <v>552</v>
      </c>
      <c r="D3100" t="s">
        <v>530</v>
      </c>
      <c r="E3100">
        <v>30</v>
      </c>
      <c r="F3100">
        <v>29</v>
      </c>
      <c r="G3100" s="8">
        <f>Lektionen[[#This Row],[Bearbeitungsdauer_real]]/Lektionen[[#This Row],[Bearbeitungsdauer_geschätzt]]-1</f>
        <v>-3.3333333333333326E-2</v>
      </c>
      <c r="H3100" s="8" t="str" cm="1">
        <f t="array" ref="H3100">_xlfn.IFS(Lektionen[[#This Row],[Bearbeitungsdauer_abgewichen]]&gt;0.6,"viel länger",Lektionen[[#This Row],[Bearbeitungsdauer_abgewichen]]&gt;0.3,"länger",Lektionen[[#This Row],[Bearbeitungsdauer_abgewichen]]&lt;-0.3,"kürzer",TRUE,"keine Abweichung")</f>
        <v>keine Abweichung</v>
      </c>
      <c r="I3100">
        <v>2</v>
      </c>
    </row>
    <row r="3101" spans="1:9" hidden="1" x14ac:dyDescent="0.3">
      <c r="A3101" s="13">
        <v>484</v>
      </c>
      <c r="B3101" s="4">
        <v>4</v>
      </c>
      <c r="C3101" t="s">
        <v>531</v>
      </c>
      <c r="D3101" t="s">
        <v>530</v>
      </c>
      <c r="E3101">
        <v>30</v>
      </c>
      <c r="F3101">
        <v>35</v>
      </c>
      <c r="G3101" s="8">
        <f>Lektionen[[#This Row],[Bearbeitungsdauer_real]]/Lektionen[[#This Row],[Bearbeitungsdauer_geschätzt]]-1</f>
        <v>0.16666666666666674</v>
      </c>
      <c r="H3101" s="8" t="str" cm="1">
        <f t="array" ref="H3101">_xlfn.IFS(Lektionen[[#This Row],[Bearbeitungsdauer_abgewichen]]&gt;0.6,"viel länger",Lektionen[[#This Row],[Bearbeitungsdauer_abgewichen]]&gt;0.3,"länger",Lektionen[[#This Row],[Bearbeitungsdauer_abgewichen]]&lt;-0.3,"kürzer",TRUE,"keine Abweichung")</f>
        <v>keine Abweichung</v>
      </c>
      <c r="I3101">
        <v>3</v>
      </c>
    </row>
    <row r="3102" spans="1:9" x14ac:dyDescent="0.3">
      <c r="A3102" s="13">
        <v>484</v>
      </c>
      <c r="B3102" s="4">
        <v>5</v>
      </c>
      <c r="C3102" t="s">
        <v>532</v>
      </c>
      <c r="D3102" t="s">
        <v>530</v>
      </c>
      <c r="E3102">
        <v>30</v>
      </c>
      <c r="F3102">
        <v>51</v>
      </c>
      <c r="G3102" s="8">
        <f>Lektionen[[#This Row],[Bearbeitungsdauer_real]]/Lektionen[[#This Row],[Bearbeitungsdauer_geschätzt]]-1</f>
        <v>0.7</v>
      </c>
      <c r="H3102" s="8" t="str" cm="1">
        <f t="array" ref="H3102">_xlfn.IFS(Lektionen[[#This Row],[Bearbeitungsdauer_abgewichen]]&gt;0.6,"viel länger",Lektionen[[#This Row],[Bearbeitungsdauer_abgewichen]]&gt;0.3,"länger",Lektionen[[#This Row],[Bearbeitungsdauer_abgewichen]]&lt;-0.3,"kürzer",TRUE,"keine Abweichung")</f>
        <v>viel länger</v>
      </c>
      <c r="I3102">
        <v>3</v>
      </c>
    </row>
    <row r="3103" spans="1:9" hidden="1" x14ac:dyDescent="0.3">
      <c r="A3103" s="13">
        <v>484</v>
      </c>
      <c r="B3103" s="4">
        <v>6</v>
      </c>
      <c r="C3103" t="s">
        <v>533</v>
      </c>
      <c r="D3103" t="s">
        <v>534</v>
      </c>
      <c r="E3103">
        <v>5</v>
      </c>
      <c r="F3103">
        <v>2</v>
      </c>
      <c r="G3103" s="8">
        <f>Lektionen[[#This Row],[Bearbeitungsdauer_real]]/Lektionen[[#This Row],[Bearbeitungsdauer_geschätzt]]-1</f>
        <v>-0.6</v>
      </c>
      <c r="H3103" s="8" t="str" cm="1">
        <f t="array" ref="H3103">_xlfn.IFS(Lektionen[[#This Row],[Bearbeitungsdauer_abgewichen]]&gt;0.6,"viel länger",Lektionen[[#This Row],[Bearbeitungsdauer_abgewichen]]&gt;0.3,"länger",Lektionen[[#This Row],[Bearbeitungsdauer_abgewichen]]&lt;-0.3,"kürzer",TRUE,"keine Abweichung")</f>
        <v>kürzer</v>
      </c>
      <c r="I3103">
        <v>2</v>
      </c>
    </row>
    <row r="3104" spans="1:9" hidden="1" x14ac:dyDescent="0.3">
      <c r="A3104" s="13">
        <v>484</v>
      </c>
      <c r="B3104" s="4">
        <v>7</v>
      </c>
      <c r="C3104" t="s">
        <v>535</v>
      </c>
      <c r="D3104" t="s">
        <v>536</v>
      </c>
      <c r="E3104">
        <v>10</v>
      </c>
      <c r="F3104">
        <v>9</v>
      </c>
      <c r="G3104" s="8">
        <f>Lektionen[[#This Row],[Bearbeitungsdauer_real]]/Lektionen[[#This Row],[Bearbeitungsdauer_geschätzt]]-1</f>
        <v>-9.9999999999999978E-2</v>
      </c>
      <c r="H3104" s="8" t="str" cm="1">
        <f t="array" ref="H3104">_xlfn.IFS(Lektionen[[#This Row],[Bearbeitungsdauer_abgewichen]]&gt;0.6,"viel länger",Lektionen[[#This Row],[Bearbeitungsdauer_abgewichen]]&gt;0.3,"länger",Lektionen[[#This Row],[Bearbeitungsdauer_abgewichen]]&lt;-0.3,"kürzer",TRUE,"keine Abweichung")</f>
        <v>keine Abweichung</v>
      </c>
      <c r="I3104">
        <v>3</v>
      </c>
    </row>
    <row r="3105" spans="1:9" hidden="1" x14ac:dyDescent="0.3">
      <c r="A3105" s="13">
        <v>484</v>
      </c>
      <c r="B3105" s="4">
        <v>8</v>
      </c>
      <c r="C3105" t="s">
        <v>537</v>
      </c>
      <c r="D3105" t="s">
        <v>527</v>
      </c>
      <c r="E3105">
        <v>5</v>
      </c>
      <c r="F3105">
        <v>8</v>
      </c>
      <c r="G3105" s="8">
        <f>Lektionen[[#This Row],[Bearbeitungsdauer_real]]/Lektionen[[#This Row],[Bearbeitungsdauer_geschätzt]]-1</f>
        <v>0.60000000000000009</v>
      </c>
      <c r="H3105" s="8" t="str" cm="1">
        <f t="array" ref="H3105">_xlfn.IFS(Lektionen[[#This Row],[Bearbeitungsdauer_abgewichen]]&gt;0.6,"viel länger",Lektionen[[#This Row],[Bearbeitungsdauer_abgewichen]]&gt;0.3,"länger",Lektionen[[#This Row],[Bearbeitungsdauer_abgewichen]]&lt;-0.3,"kürzer",TRUE,"keine Abweichung")</f>
        <v>länger</v>
      </c>
      <c r="I3105">
        <v>1</v>
      </c>
    </row>
    <row r="3106" spans="1:9" hidden="1" x14ac:dyDescent="0.3">
      <c r="A3106" s="13">
        <v>485</v>
      </c>
      <c r="B3106" s="4">
        <v>1</v>
      </c>
      <c r="C3106" t="s">
        <v>526</v>
      </c>
      <c r="D3106" t="s">
        <v>527</v>
      </c>
      <c r="E3106">
        <v>4</v>
      </c>
      <c r="F3106">
        <v>4</v>
      </c>
      <c r="G3106" s="8">
        <f>Lektionen[[#This Row],[Bearbeitungsdauer_real]]/Lektionen[[#This Row],[Bearbeitungsdauer_geschätzt]]-1</f>
        <v>0</v>
      </c>
      <c r="H3106" s="8" t="str" cm="1">
        <f t="array" ref="H3106">_xlfn.IFS(Lektionen[[#This Row],[Bearbeitungsdauer_abgewichen]]&gt;0.6,"viel länger",Lektionen[[#This Row],[Bearbeitungsdauer_abgewichen]]&gt;0.3,"länger",Lektionen[[#This Row],[Bearbeitungsdauer_abgewichen]]&lt;-0.3,"kürzer",TRUE,"keine Abweichung")</f>
        <v>keine Abweichung</v>
      </c>
      <c r="I3106">
        <v>1</v>
      </c>
    </row>
    <row r="3107" spans="1:9" hidden="1" x14ac:dyDescent="0.3">
      <c r="A3107" s="13">
        <v>485</v>
      </c>
      <c r="B3107" s="4">
        <v>2</v>
      </c>
      <c r="C3107" t="s">
        <v>528</v>
      </c>
      <c r="D3107" t="s">
        <v>529</v>
      </c>
      <c r="E3107">
        <v>15</v>
      </c>
      <c r="F3107">
        <v>19</v>
      </c>
      <c r="G3107" s="8">
        <f>Lektionen[[#This Row],[Bearbeitungsdauer_real]]/Lektionen[[#This Row],[Bearbeitungsdauer_geschätzt]]-1</f>
        <v>0.26666666666666661</v>
      </c>
      <c r="H3107" s="8" t="str" cm="1">
        <f t="array" ref="H3107">_xlfn.IFS(Lektionen[[#This Row],[Bearbeitungsdauer_abgewichen]]&gt;0.6,"viel länger",Lektionen[[#This Row],[Bearbeitungsdauer_abgewichen]]&gt;0.3,"länger",Lektionen[[#This Row],[Bearbeitungsdauer_abgewichen]]&lt;-0.3,"kürzer",TRUE,"keine Abweichung")</f>
        <v>keine Abweichung</v>
      </c>
      <c r="I3107">
        <v>2</v>
      </c>
    </row>
    <row r="3108" spans="1:9" hidden="1" x14ac:dyDescent="0.3">
      <c r="A3108" s="13">
        <v>485</v>
      </c>
      <c r="B3108" s="4">
        <v>3</v>
      </c>
      <c r="C3108" t="s">
        <v>552</v>
      </c>
      <c r="D3108" t="s">
        <v>530</v>
      </c>
      <c r="E3108">
        <v>30</v>
      </c>
      <c r="F3108">
        <v>28</v>
      </c>
      <c r="G3108" s="8">
        <f>Lektionen[[#This Row],[Bearbeitungsdauer_real]]/Lektionen[[#This Row],[Bearbeitungsdauer_geschätzt]]-1</f>
        <v>-6.6666666666666652E-2</v>
      </c>
      <c r="H3108" s="8" t="str" cm="1">
        <f t="array" ref="H3108">_xlfn.IFS(Lektionen[[#This Row],[Bearbeitungsdauer_abgewichen]]&gt;0.6,"viel länger",Lektionen[[#This Row],[Bearbeitungsdauer_abgewichen]]&gt;0.3,"länger",Lektionen[[#This Row],[Bearbeitungsdauer_abgewichen]]&lt;-0.3,"kürzer",TRUE,"keine Abweichung")</f>
        <v>keine Abweichung</v>
      </c>
      <c r="I3108">
        <v>3</v>
      </c>
    </row>
    <row r="3109" spans="1:9" hidden="1" x14ac:dyDescent="0.3">
      <c r="A3109" s="13">
        <v>485</v>
      </c>
      <c r="B3109" s="4">
        <v>4</v>
      </c>
      <c r="C3109" t="s">
        <v>531</v>
      </c>
      <c r="D3109" t="s">
        <v>530</v>
      </c>
      <c r="E3109">
        <v>30</v>
      </c>
      <c r="F3109">
        <v>19</v>
      </c>
      <c r="G3109" s="8">
        <f>Lektionen[[#This Row],[Bearbeitungsdauer_real]]/Lektionen[[#This Row],[Bearbeitungsdauer_geschätzt]]-1</f>
        <v>-0.3666666666666667</v>
      </c>
      <c r="H3109" s="8" t="str" cm="1">
        <f t="array" ref="H3109">_xlfn.IFS(Lektionen[[#This Row],[Bearbeitungsdauer_abgewichen]]&gt;0.6,"viel länger",Lektionen[[#This Row],[Bearbeitungsdauer_abgewichen]]&gt;0.3,"länger",Lektionen[[#This Row],[Bearbeitungsdauer_abgewichen]]&lt;-0.3,"kürzer",TRUE,"keine Abweichung")</f>
        <v>kürzer</v>
      </c>
      <c r="I3109">
        <v>2</v>
      </c>
    </row>
    <row r="3110" spans="1:9" x14ac:dyDescent="0.3">
      <c r="A3110" s="13">
        <v>485</v>
      </c>
      <c r="B3110" s="4">
        <v>5</v>
      </c>
      <c r="C3110" t="s">
        <v>532</v>
      </c>
      <c r="D3110" t="s">
        <v>530</v>
      </c>
      <c r="E3110">
        <v>30</v>
      </c>
      <c r="F3110">
        <v>43</v>
      </c>
      <c r="G3110" s="8">
        <f>Lektionen[[#This Row],[Bearbeitungsdauer_real]]/Lektionen[[#This Row],[Bearbeitungsdauer_geschätzt]]-1</f>
        <v>0.43333333333333335</v>
      </c>
      <c r="H3110" s="8" t="str" cm="1">
        <f t="array" ref="H3110">_xlfn.IFS(Lektionen[[#This Row],[Bearbeitungsdauer_abgewichen]]&gt;0.6,"viel länger",Lektionen[[#This Row],[Bearbeitungsdauer_abgewichen]]&gt;0.3,"länger",Lektionen[[#This Row],[Bearbeitungsdauer_abgewichen]]&lt;-0.3,"kürzer",TRUE,"keine Abweichung")</f>
        <v>länger</v>
      </c>
      <c r="I3110">
        <v>3</v>
      </c>
    </row>
    <row r="3111" spans="1:9" hidden="1" x14ac:dyDescent="0.3">
      <c r="A3111" s="13">
        <v>485</v>
      </c>
      <c r="B3111" s="4">
        <v>6</v>
      </c>
      <c r="C3111" t="s">
        <v>533</v>
      </c>
      <c r="D3111" t="s">
        <v>534</v>
      </c>
      <c r="E3111">
        <v>5</v>
      </c>
      <c r="F3111">
        <v>1</v>
      </c>
      <c r="G3111" s="8">
        <f>Lektionen[[#This Row],[Bearbeitungsdauer_real]]/Lektionen[[#This Row],[Bearbeitungsdauer_geschätzt]]-1</f>
        <v>-0.8</v>
      </c>
      <c r="H3111" s="8" t="str" cm="1">
        <f t="array" ref="H3111">_xlfn.IFS(Lektionen[[#This Row],[Bearbeitungsdauer_abgewichen]]&gt;0.6,"viel länger",Lektionen[[#This Row],[Bearbeitungsdauer_abgewichen]]&gt;0.3,"länger",Lektionen[[#This Row],[Bearbeitungsdauer_abgewichen]]&lt;-0.3,"kürzer",TRUE,"keine Abweichung")</f>
        <v>kürzer</v>
      </c>
      <c r="I3111">
        <v>3</v>
      </c>
    </row>
    <row r="3112" spans="1:9" hidden="1" x14ac:dyDescent="0.3">
      <c r="A3112" s="13">
        <v>485</v>
      </c>
      <c r="B3112" s="4">
        <v>7</v>
      </c>
      <c r="C3112" t="s">
        <v>535</v>
      </c>
      <c r="D3112" t="s">
        <v>536</v>
      </c>
      <c r="E3112">
        <v>10</v>
      </c>
      <c r="F3112">
        <v>9</v>
      </c>
      <c r="G3112" s="8">
        <f>Lektionen[[#This Row],[Bearbeitungsdauer_real]]/Lektionen[[#This Row],[Bearbeitungsdauer_geschätzt]]-1</f>
        <v>-9.9999999999999978E-2</v>
      </c>
      <c r="H3112" s="8" t="str" cm="1">
        <f t="array" ref="H3112">_xlfn.IFS(Lektionen[[#This Row],[Bearbeitungsdauer_abgewichen]]&gt;0.6,"viel länger",Lektionen[[#This Row],[Bearbeitungsdauer_abgewichen]]&gt;0.3,"länger",Lektionen[[#This Row],[Bearbeitungsdauer_abgewichen]]&lt;-0.3,"kürzer",TRUE,"keine Abweichung")</f>
        <v>keine Abweichung</v>
      </c>
      <c r="I3112">
        <v>4</v>
      </c>
    </row>
    <row r="3113" spans="1:9" hidden="1" x14ac:dyDescent="0.3">
      <c r="A3113" s="13">
        <v>485</v>
      </c>
      <c r="B3113" s="4">
        <v>8</v>
      </c>
      <c r="C3113" t="s">
        <v>537</v>
      </c>
      <c r="D3113" t="s">
        <v>527</v>
      </c>
      <c r="E3113">
        <v>5</v>
      </c>
      <c r="F3113">
        <v>5</v>
      </c>
      <c r="G3113" s="8">
        <f>Lektionen[[#This Row],[Bearbeitungsdauer_real]]/Lektionen[[#This Row],[Bearbeitungsdauer_geschätzt]]-1</f>
        <v>0</v>
      </c>
      <c r="H3113" s="8" t="str" cm="1">
        <f t="array" ref="H3113">_xlfn.IFS(Lektionen[[#This Row],[Bearbeitungsdauer_abgewichen]]&gt;0.6,"viel länger",Lektionen[[#This Row],[Bearbeitungsdauer_abgewichen]]&gt;0.3,"länger",Lektionen[[#This Row],[Bearbeitungsdauer_abgewichen]]&lt;-0.3,"kürzer",TRUE,"keine Abweichung")</f>
        <v>keine Abweichung</v>
      </c>
      <c r="I3113">
        <v>1</v>
      </c>
    </row>
    <row r="3114" spans="1:9" hidden="1" x14ac:dyDescent="0.3">
      <c r="A3114" s="13">
        <v>486</v>
      </c>
      <c r="B3114" s="4">
        <v>1</v>
      </c>
      <c r="C3114" t="s">
        <v>526</v>
      </c>
      <c r="D3114" t="s">
        <v>527</v>
      </c>
      <c r="E3114">
        <v>4</v>
      </c>
      <c r="F3114">
        <v>4</v>
      </c>
      <c r="G3114" s="8">
        <f>Lektionen[[#This Row],[Bearbeitungsdauer_real]]/Lektionen[[#This Row],[Bearbeitungsdauer_geschätzt]]-1</f>
        <v>0</v>
      </c>
      <c r="H3114" s="8" t="str" cm="1">
        <f t="array" ref="H3114">_xlfn.IFS(Lektionen[[#This Row],[Bearbeitungsdauer_abgewichen]]&gt;0.6,"viel länger",Lektionen[[#This Row],[Bearbeitungsdauer_abgewichen]]&gt;0.3,"länger",Lektionen[[#This Row],[Bearbeitungsdauer_abgewichen]]&lt;-0.3,"kürzer",TRUE,"keine Abweichung")</f>
        <v>keine Abweichung</v>
      </c>
      <c r="I3114">
        <v>1</v>
      </c>
    </row>
    <row r="3115" spans="1:9" hidden="1" x14ac:dyDescent="0.3">
      <c r="A3115" s="13">
        <v>486</v>
      </c>
      <c r="B3115" s="4">
        <v>2</v>
      </c>
      <c r="C3115" t="s">
        <v>528</v>
      </c>
      <c r="D3115" t="s">
        <v>529</v>
      </c>
      <c r="E3115">
        <v>15</v>
      </c>
      <c r="F3115">
        <v>15</v>
      </c>
      <c r="G3115" s="8">
        <f>Lektionen[[#This Row],[Bearbeitungsdauer_real]]/Lektionen[[#This Row],[Bearbeitungsdauer_geschätzt]]-1</f>
        <v>0</v>
      </c>
      <c r="H3115" s="8" t="str" cm="1">
        <f t="array" ref="H3115">_xlfn.IFS(Lektionen[[#This Row],[Bearbeitungsdauer_abgewichen]]&gt;0.6,"viel länger",Lektionen[[#This Row],[Bearbeitungsdauer_abgewichen]]&gt;0.3,"länger",Lektionen[[#This Row],[Bearbeitungsdauer_abgewichen]]&lt;-0.3,"kürzer",TRUE,"keine Abweichung")</f>
        <v>keine Abweichung</v>
      </c>
      <c r="I3115">
        <v>1</v>
      </c>
    </row>
    <row r="3116" spans="1:9" hidden="1" x14ac:dyDescent="0.3">
      <c r="A3116" s="13">
        <v>486</v>
      </c>
      <c r="B3116" s="4">
        <v>3</v>
      </c>
      <c r="C3116" t="s">
        <v>552</v>
      </c>
      <c r="D3116" t="s">
        <v>530</v>
      </c>
      <c r="E3116">
        <v>30</v>
      </c>
      <c r="F3116">
        <v>29</v>
      </c>
      <c r="G3116" s="8">
        <f>Lektionen[[#This Row],[Bearbeitungsdauer_real]]/Lektionen[[#This Row],[Bearbeitungsdauer_geschätzt]]-1</f>
        <v>-3.3333333333333326E-2</v>
      </c>
      <c r="H3116" s="8" t="str" cm="1">
        <f t="array" ref="H3116">_xlfn.IFS(Lektionen[[#This Row],[Bearbeitungsdauer_abgewichen]]&gt;0.6,"viel länger",Lektionen[[#This Row],[Bearbeitungsdauer_abgewichen]]&gt;0.3,"länger",Lektionen[[#This Row],[Bearbeitungsdauer_abgewichen]]&lt;-0.3,"kürzer",TRUE,"keine Abweichung")</f>
        <v>keine Abweichung</v>
      </c>
      <c r="I3116">
        <v>2</v>
      </c>
    </row>
    <row r="3117" spans="1:9" hidden="1" x14ac:dyDescent="0.3">
      <c r="A3117" s="13">
        <v>486</v>
      </c>
      <c r="B3117" s="4">
        <v>4</v>
      </c>
      <c r="C3117" t="s">
        <v>531</v>
      </c>
      <c r="D3117" t="s">
        <v>530</v>
      </c>
      <c r="E3117">
        <v>30</v>
      </c>
      <c r="F3117">
        <v>29</v>
      </c>
      <c r="G3117" s="8">
        <f>Lektionen[[#This Row],[Bearbeitungsdauer_real]]/Lektionen[[#This Row],[Bearbeitungsdauer_geschätzt]]-1</f>
        <v>-3.3333333333333326E-2</v>
      </c>
      <c r="H3117" s="8" t="str" cm="1">
        <f t="array" ref="H3117">_xlfn.IFS(Lektionen[[#This Row],[Bearbeitungsdauer_abgewichen]]&gt;0.6,"viel länger",Lektionen[[#This Row],[Bearbeitungsdauer_abgewichen]]&gt;0.3,"länger",Lektionen[[#This Row],[Bearbeitungsdauer_abgewichen]]&lt;-0.3,"kürzer",TRUE,"keine Abweichung")</f>
        <v>keine Abweichung</v>
      </c>
      <c r="I3117">
        <v>3</v>
      </c>
    </row>
    <row r="3118" spans="1:9" x14ac:dyDescent="0.3">
      <c r="A3118" s="13">
        <v>486</v>
      </c>
      <c r="B3118" s="4">
        <v>5</v>
      </c>
      <c r="C3118" t="s">
        <v>532</v>
      </c>
      <c r="D3118" t="s">
        <v>530</v>
      </c>
      <c r="E3118">
        <v>30</v>
      </c>
      <c r="F3118">
        <v>50</v>
      </c>
      <c r="G3118" s="8">
        <f>Lektionen[[#This Row],[Bearbeitungsdauer_real]]/Lektionen[[#This Row],[Bearbeitungsdauer_geschätzt]]-1</f>
        <v>0.66666666666666674</v>
      </c>
      <c r="H3118" s="8" t="str" cm="1">
        <f t="array" ref="H3118">_xlfn.IFS(Lektionen[[#This Row],[Bearbeitungsdauer_abgewichen]]&gt;0.6,"viel länger",Lektionen[[#This Row],[Bearbeitungsdauer_abgewichen]]&gt;0.3,"länger",Lektionen[[#This Row],[Bearbeitungsdauer_abgewichen]]&lt;-0.3,"kürzer",TRUE,"keine Abweichung")</f>
        <v>viel länger</v>
      </c>
      <c r="I3118">
        <v>4</v>
      </c>
    </row>
    <row r="3119" spans="1:9" hidden="1" x14ac:dyDescent="0.3">
      <c r="A3119" s="13">
        <v>486</v>
      </c>
      <c r="B3119" s="4">
        <v>6</v>
      </c>
      <c r="C3119" t="s">
        <v>533</v>
      </c>
      <c r="D3119" t="s">
        <v>534</v>
      </c>
      <c r="E3119">
        <v>5</v>
      </c>
      <c r="F3119">
        <v>1</v>
      </c>
      <c r="G3119" s="8">
        <f>Lektionen[[#This Row],[Bearbeitungsdauer_real]]/Lektionen[[#This Row],[Bearbeitungsdauer_geschätzt]]-1</f>
        <v>-0.8</v>
      </c>
      <c r="H3119" s="8" t="str" cm="1">
        <f t="array" ref="H3119">_xlfn.IFS(Lektionen[[#This Row],[Bearbeitungsdauer_abgewichen]]&gt;0.6,"viel länger",Lektionen[[#This Row],[Bearbeitungsdauer_abgewichen]]&gt;0.3,"länger",Lektionen[[#This Row],[Bearbeitungsdauer_abgewichen]]&lt;-0.3,"kürzer",TRUE,"keine Abweichung")</f>
        <v>kürzer</v>
      </c>
      <c r="I3119">
        <v>1</v>
      </c>
    </row>
    <row r="3120" spans="1:9" hidden="1" x14ac:dyDescent="0.3">
      <c r="A3120" s="13">
        <v>486</v>
      </c>
      <c r="B3120" s="4">
        <v>7</v>
      </c>
      <c r="C3120" t="s">
        <v>535</v>
      </c>
      <c r="D3120" t="s">
        <v>536</v>
      </c>
      <c r="E3120">
        <v>10</v>
      </c>
      <c r="F3120">
        <v>10</v>
      </c>
      <c r="G3120" s="8">
        <f>Lektionen[[#This Row],[Bearbeitungsdauer_real]]/Lektionen[[#This Row],[Bearbeitungsdauer_geschätzt]]-1</f>
        <v>0</v>
      </c>
      <c r="H3120" s="8" t="str" cm="1">
        <f t="array" ref="H3120">_xlfn.IFS(Lektionen[[#This Row],[Bearbeitungsdauer_abgewichen]]&gt;0.6,"viel länger",Lektionen[[#This Row],[Bearbeitungsdauer_abgewichen]]&gt;0.3,"länger",Lektionen[[#This Row],[Bearbeitungsdauer_abgewichen]]&lt;-0.3,"kürzer",TRUE,"keine Abweichung")</f>
        <v>keine Abweichung</v>
      </c>
      <c r="I3120">
        <v>4</v>
      </c>
    </row>
    <row r="3121" spans="1:9" hidden="1" x14ac:dyDescent="0.3">
      <c r="A3121" s="13">
        <v>486</v>
      </c>
      <c r="B3121" s="4">
        <v>8</v>
      </c>
      <c r="C3121" t="s">
        <v>537</v>
      </c>
      <c r="D3121" t="s">
        <v>527</v>
      </c>
      <c r="E3121">
        <v>5</v>
      </c>
      <c r="F3121">
        <v>5</v>
      </c>
      <c r="G3121" s="8">
        <f>Lektionen[[#This Row],[Bearbeitungsdauer_real]]/Lektionen[[#This Row],[Bearbeitungsdauer_geschätzt]]-1</f>
        <v>0</v>
      </c>
      <c r="H3121" s="8" t="str" cm="1">
        <f t="array" ref="H3121">_xlfn.IFS(Lektionen[[#This Row],[Bearbeitungsdauer_abgewichen]]&gt;0.6,"viel länger",Lektionen[[#This Row],[Bearbeitungsdauer_abgewichen]]&gt;0.3,"länger",Lektionen[[#This Row],[Bearbeitungsdauer_abgewichen]]&lt;-0.3,"kürzer",TRUE,"keine Abweichung")</f>
        <v>keine Abweichung</v>
      </c>
      <c r="I3121">
        <v>2</v>
      </c>
    </row>
    <row r="3122" spans="1:9" hidden="1" x14ac:dyDescent="0.3">
      <c r="A3122" s="13">
        <v>487</v>
      </c>
      <c r="B3122" s="4">
        <v>1</v>
      </c>
      <c r="C3122" t="s">
        <v>526</v>
      </c>
      <c r="D3122" t="s">
        <v>527</v>
      </c>
      <c r="E3122">
        <v>4</v>
      </c>
      <c r="F3122">
        <v>7</v>
      </c>
      <c r="G3122" s="8">
        <f>Lektionen[[#This Row],[Bearbeitungsdauer_real]]/Lektionen[[#This Row],[Bearbeitungsdauer_geschätzt]]-1</f>
        <v>0.75</v>
      </c>
      <c r="H3122" s="8" t="str" cm="1">
        <f t="array" ref="H3122">_xlfn.IFS(Lektionen[[#This Row],[Bearbeitungsdauer_abgewichen]]&gt;0.6,"viel länger",Lektionen[[#This Row],[Bearbeitungsdauer_abgewichen]]&gt;0.3,"länger",Lektionen[[#This Row],[Bearbeitungsdauer_abgewichen]]&lt;-0.3,"kürzer",TRUE,"keine Abweichung")</f>
        <v>viel länger</v>
      </c>
      <c r="I3122">
        <v>1</v>
      </c>
    </row>
    <row r="3123" spans="1:9" hidden="1" x14ac:dyDescent="0.3">
      <c r="A3123" s="13">
        <v>487</v>
      </c>
      <c r="B3123" s="4">
        <v>2</v>
      </c>
      <c r="C3123" t="s">
        <v>528</v>
      </c>
      <c r="D3123" t="s">
        <v>529</v>
      </c>
      <c r="E3123">
        <v>15</v>
      </c>
      <c r="F3123">
        <v>17</v>
      </c>
      <c r="G3123" s="8">
        <f>Lektionen[[#This Row],[Bearbeitungsdauer_real]]/Lektionen[[#This Row],[Bearbeitungsdauer_geschätzt]]-1</f>
        <v>0.1333333333333333</v>
      </c>
      <c r="H3123" s="8" t="str" cm="1">
        <f t="array" ref="H3123">_xlfn.IFS(Lektionen[[#This Row],[Bearbeitungsdauer_abgewichen]]&gt;0.6,"viel länger",Lektionen[[#This Row],[Bearbeitungsdauer_abgewichen]]&gt;0.3,"länger",Lektionen[[#This Row],[Bearbeitungsdauer_abgewichen]]&lt;-0.3,"kürzer",TRUE,"keine Abweichung")</f>
        <v>keine Abweichung</v>
      </c>
      <c r="I3123">
        <v>1</v>
      </c>
    </row>
    <row r="3124" spans="1:9" hidden="1" x14ac:dyDescent="0.3">
      <c r="A3124" s="13">
        <v>487</v>
      </c>
      <c r="B3124" s="4">
        <v>3</v>
      </c>
      <c r="C3124" t="s">
        <v>552</v>
      </c>
      <c r="D3124" t="s">
        <v>530</v>
      </c>
      <c r="E3124">
        <v>30</v>
      </c>
      <c r="F3124">
        <v>28</v>
      </c>
      <c r="G3124" s="8">
        <f>Lektionen[[#This Row],[Bearbeitungsdauer_real]]/Lektionen[[#This Row],[Bearbeitungsdauer_geschätzt]]-1</f>
        <v>-6.6666666666666652E-2</v>
      </c>
      <c r="H3124" s="8" t="str" cm="1">
        <f t="array" ref="H3124">_xlfn.IFS(Lektionen[[#This Row],[Bearbeitungsdauer_abgewichen]]&gt;0.6,"viel länger",Lektionen[[#This Row],[Bearbeitungsdauer_abgewichen]]&gt;0.3,"länger",Lektionen[[#This Row],[Bearbeitungsdauer_abgewichen]]&lt;-0.3,"kürzer",TRUE,"keine Abweichung")</f>
        <v>keine Abweichung</v>
      </c>
      <c r="I3124">
        <v>3</v>
      </c>
    </row>
    <row r="3125" spans="1:9" hidden="1" x14ac:dyDescent="0.3">
      <c r="A3125" s="13">
        <v>487</v>
      </c>
      <c r="B3125" s="4">
        <v>4</v>
      </c>
      <c r="C3125" t="s">
        <v>531</v>
      </c>
      <c r="D3125" t="s">
        <v>530</v>
      </c>
      <c r="E3125">
        <v>30</v>
      </c>
      <c r="F3125">
        <v>23</v>
      </c>
      <c r="G3125" s="8">
        <f>Lektionen[[#This Row],[Bearbeitungsdauer_real]]/Lektionen[[#This Row],[Bearbeitungsdauer_geschätzt]]-1</f>
        <v>-0.23333333333333328</v>
      </c>
      <c r="H3125" s="8" t="str" cm="1">
        <f t="array" ref="H3125">_xlfn.IFS(Lektionen[[#This Row],[Bearbeitungsdauer_abgewichen]]&gt;0.6,"viel länger",Lektionen[[#This Row],[Bearbeitungsdauer_abgewichen]]&gt;0.3,"länger",Lektionen[[#This Row],[Bearbeitungsdauer_abgewichen]]&lt;-0.3,"kürzer",TRUE,"keine Abweichung")</f>
        <v>keine Abweichung</v>
      </c>
      <c r="I3125">
        <v>3</v>
      </c>
    </row>
    <row r="3126" spans="1:9" x14ac:dyDescent="0.3">
      <c r="A3126" s="13">
        <v>487</v>
      </c>
      <c r="B3126" s="4">
        <v>5</v>
      </c>
      <c r="C3126" t="s">
        <v>532</v>
      </c>
      <c r="D3126" t="s">
        <v>530</v>
      </c>
      <c r="E3126">
        <v>30</v>
      </c>
      <c r="F3126">
        <v>44</v>
      </c>
      <c r="G3126" s="8">
        <f>Lektionen[[#This Row],[Bearbeitungsdauer_real]]/Lektionen[[#This Row],[Bearbeitungsdauer_geschätzt]]-1</f>
        <v>0.46666666666666656</v>
      </c>
      <c r="H3126" s="8" t="str" cm="1">
        <f t="array" ref="H3126">_xlfn.IFS(Lektionen[[#This Row],[Bearbeitungsdauer_abgewichen]]&gt;0.6,"viel länger",Lektionen[[#This Row],[Bearbeitungsdauer_abgewichen]]&gt;0.3,"länger",Lektionen[[#This Row],[Bearbeitungsdauer_abgewichen]]&lt;-0.3,"kürzer",TRUE,"keine Abweichung")</f>
        <v>länger</v>
      </c>
      <c r="I3126">
        <v>4</v>
      </c>
    </row>
    <row r="3127" spans="1:9" hidden="1" x14ac:dyDescent="0.3">
      <c r="A3127" s="13">
        <v>487</v>
      </c>
      <c r="B3127" s="4">
        <v>6</v>
      </c>
      <c r="C3127" t="s">
        <v>533</v>
      </c>
      <c r="D3127" t="s">
        <v>534</v>
      </c>
      <c r="E3127">
        <v>5</v>
      </c>
      <c r="F3127">
        <v>2</v>
      </c>
      <c r="G3127" s="8">
        <f>Lektionen[[#This Row],[Bearbeitungsdauer_real]]/Lektionen[[#This Row],[Bearbeitungsdauer_geschätzt]]-1</f>
        <v>-0.6</v>
      </c>
      <c r="H3127" s="8" t="str" cm="1">
        <f t="array" ref="H3127">_xlfn.IFS(Lektionen[[#This Row],[Bearbeitungsdauer_abgewichen]]&gt;0.6,"viel länger",Lektionen[[#This Row],[Bearbeitungsdauer_abgewichen]]&gt;0.3,"länger",Lektionen[[#This Row],[Bearbeitungsdauer_abgewichen]]&lt;-0.3,"kürzer",TRUE,"keine Abweichung")</f>
        <v>kürzer</v>
      </c>
      <c r="I3127">
        <v>2</v>
      </c>
    </row>
    <row r="3128" spans="1:9" hidden="1" x14ac:dyDescent="0.3">
      <c r="A3128" s="13">
        <v>487</v>
      </c>
      <c r="B3128" s="4">
        <v>7</v>
      </c>
      <c r="C3128" t="s">
        <v>535</v>
      </c>
      <c r="D3128" t="s">
        <v>536</v>
      </c>
      <c r="E3128">
        <v>10</v>
      </c>
      <c r="F3128">
        <v>10</v>
      </c>
      <c r="G3128" s="8">
        <f>Lektionen[[#This Row],[Bearbeitungsdauer_real]]/Lektionen[[#This Row],[Bearbeitungsdauer_geschätzt]]-1</f>
        <v>0</v>
      </c>
      <c r="H3128" s="8" t="str" cm="1">
        <f t="array" ref="H3128">_xlfn.IFS(Lektionen[[#This Row],[Bearbeitungsdauer_abgewichen]]&gt;0.6,"viel länger",Lektionen[[#This Row],[Bearbeitungsdauer_abgewichen]]&gt;0.3,"länger",Lektionen[[#This Row],[Bearbeitungsdauer_abgewichen]]&lt;-0.3,"kürzer",TRUE,"keine Abweichung")</f>
        <v>keine Abweichung</v>
      </c>
      <c r="I3128">
        <v>4</v>
      </c>
    </row>
    <row r="3129" spans="1:9" hidden="1" x14ac:dyDescent="0.3">
      <c r="A3129" s="13">
        <v>487</v>
      </c>
      <c r="B3129" s="4">
        <v>8</v>
      </c>
      <c r="C3129" t="s">
        <v>537</v>
      </c>
      <c r="D3129" t="s">
        <v>527</v>
      </c>
      <c r="E3129">
        <v>5</v>
      </c>
      <c r="F3129">
        <v>5</v>
      </c>
      <c r="G3129" s="8">
        <f>Lektionen[[#This Row],[Bearbeitungsdauer_real]]/Lektionen[[#This Row],[Bearbeitungsdauer_geschätzt]]-1</f>
        <v>0</v>
      </c>
      <c r="H3129" s="8" t="str" cm="1">
        <f t="array" ref="H3129">_xlfn.IFS(Lektionen[[#This Row],[Bearbeitungsdauer_abgewichen]]&gt;0.6,"viel länger",Lektionen[[#This Row],[Bearbeitungsdauer_abgewichen]]&gt;0.3,"länger",Lektionen[[#This Row],[Bearbeitungsdauer_abgewichen]]&lt;-0.3,"kürzer",TRUE,"keine Abweichung")</f>
        <v>keine Abweichung</v>
      </c>
      <c r="I3129">
        <v>1</v>
      </c>
    </row>
    <row r="3130" spans="1:9" hidden="1" x14ac:dyDescent="0.3">
      <c r="A3130" s="13">
        <v>489</v>
      </c>
      <c r="B3130" s="4">
        <v>1</v>
      </c>
      <c r="C3130" t="s">
        <v>526</v>
      </c>
      <c r="D3130" t="s">
        <v>527</v>
      </c>
      <c r="E3130">
        <v>4</v>
      </c>
      <c r="F3130">
        <v>4</v>
      </c>
      <c r="G3130" s="8">
        <f>Lektionen[[#This Row],[Bearbeitungsdauer_real]]/Lektionen[[#This Row],[Bearbeitungsdauer_geschätzt]]-1</f>
        <v>0</v>
      </c>
      <c r="H3130" s="8" t="str" cm="1">
        <f t="array" ref="H3130">_xlfn.IFS(Lektionen[[#This Row],[Bearbeitungsdauer_abgewichen]]&gt;0.6,"viel länger",Lektionen[[#This Row],[Bearbeitungsdauer_abgewichen]]&gt;0.3,"länger",Lektionen[[#This Row],[Bearbeitungsdauer_abgewichen]]&lt;-0.3,"kürzer",TRUE,"keine Abweichung")</f>
        <v>keine Abweichung</v>
      </c>
      <c r="I3130">
        <v>2</v>
      </c>
    </row>
    <row r="3131" spans="1:9" hidden="1" x14ac:dyDescent="0.3">
      <c r="A3131" s="13">
        <v>489</v>
      </c>
      <c r="B3131" s="4">
        <v>2</v>
      </c>
      <c r="C3131" t="s">
        <v>528</v>
      </c>
      <c r="D3131" t="s">
        <v>529</v>
      </c>
      <c r="E3131">
        <v>15</v>
      </c>
      <c r="F3131">
        <v>20</v>
      </c>
      <c r="G3131" s="8">
        <f>Lektionen[[#This Row],[Bearbeitungsdauer_real]]/Lektionen[[#This Row],[Bearbeitungsdauer_geschätzt]]-1</f>
        <v>0.33333333333333326</v>
      </c>
      <c r="H3131" s="8" t="str" cm="1">
        <f t="array" ref="H3131">_xlfn.IFS(Lektionen[[#This Row],[Bearbeitungsdauer_abgewichen]]&gt;0.6,"viel länger",Lektionen[[#This Row],[Bearbeitungsdauer_abgewichen]]&gt;0.3,"länger",Lektionen[[#This Row],[Bearbeitungsdauer_abgewichen]]&lt;-0.3,"kürzer",TRUE,"keine Abweichung")</f>
        <v>länger</v>
      </c>
      <c r="I3131">
        <v>1</v>
      </c>
    </row>
    <row r="3132" spans="1:9" hidden="1" x14ac:dyDescent="0.3">
      <c r="A3132" s="13">
        <v>489</v>
      </c>
      <c r="B3132" s="4">
        <v>3</v>
      </c>
      <c r="C3132" t="s">
        <v>552</v>
      </c>
      <c r="D3132" t="s">
        <v>530</v>
      </c>
      <c r="E3132">
        <v>30</v>
      </c>
      <c r="F3132">
        <v>29</v>
      </c>
      <c r="G3132" s="8">
        <f>Lektionen[[#This Row],[Bearbeitungsdauer_real]]/Lektionen[[#This Row],[Bearbeitungsdauer_geschätzt]]-1</f>
        <v>-3.3333333333333326E-2</v>
      </c>
      <c r="H3132" s="8" t="str" cm="1">
        <f t="array" ref="H3132">_xlfn.IFS(Lektionen[[#This Row],[Bearbeitungsdauer_abgewichen]]&gt;0.6,"viel länger",Lektionen[[#This Row],[Bearbeitungsdauer_abgewichen]]&gt;0.3,"länger",Lektionen[[#This Row],[Bearbeitungsdauer_abgewichen]]&lt;-0.3,"kürzer",TRUE,"keine Abweichung")</f>
        <v>keine Abweichung</v>
      </c>
      <c r="I3132">
        <v>2</v>
      </c>
    </row>
    <row r="3133" spans="1:9" hidden="1" x14ac:dyDescent="0.3">
      <c r="A3133" s="13">
        <v>489</v>
      </c>
      <c r="B3133" s="4">
        <v>4</v>
      </c>
      <c r="C3133" t="s">
        <v>531</v>
      </c>
      <c r="D3133" t="s">
        <v>530</v>
      </c>
      <c r="E3133">
        <v>30</v>
      </c>
      <c r="F3133">
        <v>27</v>
      </c>
      <c r="G3133" s="8">
        <f>Lektionen[[#This Row],[Bearbeitungsdauer_real]]/Lektionen[[#This Row],[Bearbeitungsdauer_geschätzt]]-1</f>
        <v>-9.9999999999999978E-2</v>
      </c>
      <c r="H3133" s="8" t="str" cm="1">
        <f t="array" ref="H3133">_xlfn.IFS(Lektionen[[#This Row],[Bearbeitungsdauer_abgewichen]]&gt;0.6,"viel länger",Lektionen[[#This Row],[Bearbeitungsdauer_abgewichen]]&gt;0.3,"länger",Lektionen[[#This Row],[Bearbeitungsdauer_abgewichen]]&lt;-0.3,"kürzer",TRUE,"keine Abweichung")</f>
        <v>keine Abweichung</v>
      </c>
      <c r="I3133">
        <v>3</v>
      </c>
    </row>
    <row r="3134" spans="1:9" x14ac:dyDescent="0.3">
      <c r="A3134" s="13">
        <v>489</v>
      </c>
      <c r="B3134" s="4">
        <v>5</v>
      </c>
      <c r="C3134" t="s">
        <v>532</v>
      </c>
      <c r="D3134" t="s">
        <v>530</v>
      </c>
      <c r="E3134">
        <v>30</v>
      </c>
      <c r="F3134">
        <v>44</v>
      </c>
      <c r="G3134" s="8">
        <f>Lektionen[[#This Row],[Bearbeitungsdauer_real]]/Lektionen[[#This Row],[Bearbeitungsdauer_geschätzt]]-1</f>
        <v>0.46666666666666656</v>
      </c>
      <c r="H3134" s="8" t="str" cm="1">
        <f t="array" ref="H3134">_xlfn.IFS(Lektionen[[#This Row],[Bearbeitungsdauer_abgewichen]]&gt;0.6,"viel länger",Lektionen[[#This Row],[Bearbeitungsdauer_abgewichen]]&gt;0.3,"länger",Lektionen[[#This Row],[Bearbeitungsdauer_abgewichen]]&lt;-0.3,"kürzer",TRUE,"keine Abweichung")</f>
        <v>länger</v>
      </c>
      <c r="I3134">
        <v>4</v>
      </c>
    </row>
    <row r="3135" spans="1:9" hidden="1" x14ac:dyDescent="0.3">
      <c r="A3135" s="13">
        <v>489</v>
      </c>
      <c r="B3135" s="4">
        <v>6</v>
      </c>
      <c r="C3135" t="s">
        <v>533</v>
      </c>
      <c r="D3135" t="s">
        <v>534</v>
      </c>
      <c r="E3135">
        <v>5</v>
      </c>
      <c r="F3135">
        <v>1</v>
      </c>
      <c r="G3135" s="8">
        <f>Lektionen[[#This Row],[Bearbeitungsdauer_real]]/Lektionen[[#This Row],[Bearbeitungsdauer_geschätzt]]-1</f>
        <v>-0.8</v>
      </c>
      <c r="H3135" s="8" t="str" cm="1">
        <f t="array" ref="H3135">_xlfn.IFS(Lektionen[[#This Row],[Bearbeitungsdauer_abgewichen]]&gt;0.6,"viel länger",Lektionen[[#This Row],[Bearbeitungsdauer_abgewichen]]&gt;0.3,"länger",Lektionen[[#This Row],[Bearbeitungsdauer_abgewichen]]&lt;-0.3,"kürzer",TRUE,"keine Abweichung")</f>
        <v>kürzer</v>
      </c>
      <c r="I3135">
        <v>2</v>
      </c>
    </row>
    <row r="3136" spans="1:9" hidden="1" x14ac:dyDescent="0.3">
      <c r="A3136" s="13">
        <v>489</v>
      </c>
      <c r="B3136" s="4">
        <v>7</v>
      </c>
      <c r="C3136" t="s">
        <v>535</v>
      </c>
      <c r="D3136" t="s">
        <v>536</v>
      </c>
      <c r="E3136">
        <v>10</v>
      </c>
      <c r="F3136">
        <v>9</v>
      </c>
      <c r="G3136" s="8">
        <f>Lektionen[[#This Row],[Bearbeitungsdauer_real]]/Lektionen[[#This Row],[Bearbeitungsdauer_geschätzt]]-1</f>
        <v>-9.9999999999999978E-2</v>
      </c>
      <c r="H3136" s="8" t="str" cm="1">
        <f t="array" ref="H3136">_xlfn.IFS(Lektionen[[#This Row],[Bearbeitungsdauer_abgewichen]]&gt;0.6,"viel länger",Lektionen[[#This Row],[Bearbeitungsdauer_abgewichen]]&gt;0.3,"länger",Lektionen[[#This Row],[Bearbeitungsdauer_abgewichen]]&lt;-0.3,"kürzer",TRUE,"keine Abweichung")</f>
        <v>keine Abweichung</v>
      </c>
      <c r="I3136">
        <v>4</v>
      </c>
    </row>
    <row r="3137" spans="1:9" hidden="1" x14ac:dyDescent="0.3">
      <c r="A3137" s="13">
        <v>489</v>
      </c>
      <c r="B3137" s="4">
        <v>8</v>
      </c>
      <c r="C3137" t="s">
        <v>537</v>
      </c>
      <c r="D3137" t="s">
        <v>527</v>
      </c>
      <c r="E3137">
        <v>5</v>
      </c>
      <c r="F3137">
        <v>5</v>
      </c>
      <c r="G3137" s="8">
        <f>Lektionen[[#This Row],[Bearbeitungsdauer_real]]/Lektionen[[#This Row],[Bearbeitungsdauer_geschätzt]]-1</f>
        <v>0</v>
      </c>
      <c r="H3137" s="8" t="str" cm="1">
        <f t="array" ref="H3137">_xlfn.IFS(Lektionen[[#This Row],[Bearbeitungsdauer_abgewichen]]&gt;0.6,"viel länger",Lektionen[[#This Row],[Bearbeitungsdauer_abgewichen]]&gt;0.3,"länger",Lektionen[[#This Row],[Bearbeitungsdauer_abgewichen]]&lt;-0.3,"kürzer",TRUE,"keine Abweichung")</f>
        <v>keine Abweichung</v>
      </c>
      <c r="I3137">
        <v>1</v>
      </c>
    </row>
    <row r="3138" spans="1:9" hidden="1" x14ac:dyDescent="0.3">
      <c r="A3138" s="13">
        <v>490</v>
      </c>
      <c r="B3138" s="4">
        <v>1</v>
      </c>
      <c r="C3138" t="s">
        <v>526</v>
      </c>
      <c r="D3138" t="s">
        <v>527</v>
      </c>
      <c r="E3138">
        <v>4</v>
      </c>
      <c r="F3138">
        <v>4</v>
      </c>
      <c r="G3138" s="8">
        <f>Lektionen[[#This Row],[Bearbeitungsdauer_real]]/Lektionen[[#This Row],[Bearbeitungsdauer_geschätzt]]-1</f>
        <v>0</v>
      </c>
      <c r="H3138" s="8" t="str" cm="1">
        <f t="array" ref="H3138">_xlfn.IFS(Lektionen[[#This Row],[Bearbeitungsdauer_abgewichen]]&gt;0.6,"viel länger",Lektionen[[#This Row],[Bearbeitungsdauer_abgewichen]]&gt;0.3,"länger",Lektionen[[#This Row],[Bearbeitungsdauer_abgewichen]]&lt;-0.3,"kürzer",TRUE,"keine Abweichung")</f>
        <v>keine Abweichung</v>
      </c>
      <c r="I3138">
        <v>1</v>
      </c>
    </row>
    <row r="3139" spans="1:9" hidden="1" x14ac:dyDescent="0.3">
      <c r="A3139" s="13">
        <v>490</v>
      </c>
      <c r="B3139" s="4">
        <v>2</v>
      </c>
      <c r="C3139" t="s">
        <v>528</v>
      </c>
      <c r="D3139" t="s">
        <v>529</v>
      </c>
      <c r="E3139">
        <v>15</v>
      </c>
      <c r="F3139">
        <v>19</v>
      </c>
      <c r="G3139" s="8">
        <f>Lektionen[[#This Row],[Bearbeitungsdauer_real]]/Lektionen[[#This Row],[Bearbeitungsdauer_geschätzt]]-1</f>
        <v>0.26666666666666661</v>
      </c>
      <c r="H3139" s="8" t="str" cm="1">
        <f t="array" ref="H3139">_xlfn.IFS(Lektionen[[#This Row],[Bearbeitungsdauer_abgewichen]]&gt;0.6,"viel länger",Lektionen[[#This Row],[Bearbeitungsdauer_abgewichen]]&gt;0.3,"länger",Lektionen[[#This Row],[Bearbeitungsdauer_abgewichen]]&lt;-0.3,"kürzer",TRUE,"keine Abweichung")</f>
        <v>keine Abweichung</v>
      </c>
      <c r="I3139">
        <v>1</v>
      </c>
    </row>
    <row r="3140" spans="1:9" hidden="1" x14ac:dyDescent="0.3">
      <c r="A3140" s="13">
        <v>490</v>
      </c>
      <c r="B3140" s="4">
        <v>3</v>
      </c>
      <c r="C3140" t="s">
        <v>552</v>
      </c>
      <c r="D3140" t="s">
        <v>530</v>
      </c>
      <c r="E3140">
        <v>30</v>
      </c>
      <c r="F3140">
        <v>26</v>
      </c>
      <c r="G3140" s="8">
        <f>Lektionen[[#This Row],[Bearbeitungsdauer_real]]/Lektionen[[#This Row],[Bearbeitungsdauer_geschätzt]]-1</f>
        <v>-0.1333333333333333</v>
      </c>
      <c r="H3140" s="8" t="str" cm="1">
        <f t="array" ref="H3140">_xlfn.IFS(Lektionen[[#This Row],[Bearbeitungsdauer_abgewichen]]&gt;0.6,"viel länger",Lektionen[[#This Row],[Bearbeitungsdauer_abgewichen]]&gt;0.3,"länger",Lektionen[[#This Row],[Bearbeitungsdauer_abgewichen]]&lt;-0.3,"kürzer",TRUE,"keine Abweichung")</f>
        <v>keine Abweichung</v>
      </c>
      <c r="I3140">
        <v>2</v>
      </c>
    </row>
    <row r="3141" spans="1:9" hidden="1" x14ac:dyDescent="0.3">
      <c r="A3141" s="13">
        <v>490</v>
      </c>
      <c r="B3141" s="4">
        <v>4</v>
      </c>
      <c r="C3141" t="s">
        <v>531</v>
      </c>
      <c r="D3141" t="s">
        <v>530</v>
      </c>
      <c r="E3141">
        <v>30</v>
      </c>
      <c r="F3141">
        <v>32</v>
      </c>
      <c r="G3141" s="8">
        <f>Lektionen[[#This Row],[Bearbeitungsdauer_real]]/Lektionen[[#This Row],[Bearbeitungsdauer_geschätzt]]-1</f>
        <v>6.6666666666666652E-2</v>
      </c>
      <c r="H3141" s="8" t="str" cm="1">
        <f t="array" ref="H3141">_xlfn.IFS(Lektionen[[#This Row],[Bearbeitungsdauer_abgewichen]]&gt;0.6,"viel länger",Lektionen[[#This Row],[Bearbeitungsdauer_abgewichen]]&gt;0.3,"länger",Lektionen[[#This Row],[Bearbeitungsdauer_abgewichen]]&lt;-0.3,"kürzer",TRUE,"keine Abweichung")</f>
        <v>keine Abweichung</v>
      </c>
      <c r="I3141">
        <v>3</v>
      </c>
    </row>
    <row r="3142" spans="1:9" x14ac:dyDescent="0.3">
      <c r="A3142" s="13">
        <v>490</v>
      </c>
      <c r="B3142" s="4">
        <v>5</v>
      </c>
      <c r="C3142" t="s">
        <v>532</v>
      </c>
      <c r="D3142" t="s">
        <v>530</v>
      </c>
      <c r="E3142">
        <v>30</v>
      </c>
      <c r="F3142">
        <v>49</v>
      </c>
      <c r="G3142" s="8">
        <f>Lektionen[[#This Row],[Bearbeitungsdauer_real]]/Lektionen[[#This Row],[Bearbeitungsdauer_geschätzt]]-1</f>
        <v>0.6333333333333333</v>
      </c>
      <c r="H3142" s="8" t="str" cm="1">
        <f t="array" ref="H3142">_xlfn.IFS(Lektionen[[#This Row],[Bearbeitungsdauer_abgewichen]]&gt;0.6,"viel länger",Lektionen[[#This Row],[Bearbeitungsdauer_abgewichen]]&gt;0.3,"länger",Lektionen[[#This Row],[Bearbeitungsdauer_abgewichen]]&lt;-0.3,"kürzer",TRUE,"keine Abweichung")</f>
        <v>viel länger</v>
      </c>
      <c r="I3142">
        <v>3</v>
      </c>
    </row>
    <row r="3143" spans="1:9" hidden="1" x14ac:dyDescent="0.3">
      <c r="A3143" s="13">
        <v>490</v>
      </c>
      <c r="B3143" s="4">
        <v>6</v>
      </c>
      <c r="C3143" t="s">
        <v>533</v>
      </c>
      <c r="D3143" t="s">
        <v>534</v>
      </c>
      <c r="E3143">
        <v>5</v>
      </c>
      <c r="F3143">
        <v>1</v>
      </c>
      <c r="G3143" s="8">
        <f>Lektionen[[#This Row],[Bearbeitungsdauer_real]]/Lektionen[[#This Row],[Bearbeitungsdauer_geschätzt]]-1</f>
        <v>-0.8</v>
      </c>
      <c r="H3143" s="8" t="str" cm="1">
        <f t="array" ref="H3143">_xlfn.IFS(Lektionen[[#This Row],[Bearbeitungsdauer_abgewichen]]&gt;0.6,"viel länger",Lektionen[[#This Row],[Bearbeitungsdauer_abgewichen]]&gt;0.3,"länger",Lektionen[[#This Row],[Bearbeitungsdauer_abgewichen]]&lt;-0.3,"kürzer",TRUE,"keine Abweichung")</f>
        <v>kürzer</v>
      </c>
      <c r="I3143">
        <v>1</v>
      </c>
    </row>
    <row r="3144" spans="1:9" hidden="1" x14ac:dyDescent="0.3">
      <c r="A3144" s="13">
        <v>490</v>
      </c>
      <c r="B3144" s="4">
        <v>7</v>
      </c>
      <c r="C3144" t="s">
        <v>535</v>
      </c>
      <c r="D3144" t="s">
        <v>536</v>
      </c>
      <c r="E3144">
        <v>10</v>
      </c>
      <c r="F3144">
        <v>9</v>
      </c>
      <c r="G3144" s="8">
        <f>Lektionen[[#This Row],[Bearbeitungsdauer_real]]/Lektionen[[#This Row],[Bearbeitungsdauer_geschätzt]]-1</f>
        <v>-9.9999999999999978E-2</v>
      </c>
      <c r="H3144" s="8" t="str" cm="1">
        <f t="array" ref="H3144">_xlfn.IFS(Lektionen[[#This Row],[Bearbeitungsdauer_abgewichen]]&gt;0.6,"viel länger",Lektionen[[#This Row],[Bearbeitungsdauer_abgewichen]]&gt;0.3,"länger",Lektionen[[#This Row],[Bearbeitungsdauer_abgewichen]]&lt;-0.3,"kürzer",TRUE,"keine Abweichung")</f>
        <v>keine Abweichung</v>
      </c>
      <c r="I3144">
        <v>4</v>
      </c>
    </row>
    <row r="3145" spans="1:9" hidden="1" x14ac:dyDescent="0.3">
      <c r="A3145" s="13">
        <v>490</v>
      </c>
      <c r="B3145" s="4">
        <v>8</v>
      </c>
      <c r="C3145" t="s">
        <v>537</v>
      </c>
      <c r="D3145" t="s">
        <v>527</v>
      </c>
      <c r="E3145">
        <v>5</v>
      </c>
      <c r="F3145">
        <v>5</v>
      </c>
      <c r="G3145" s="8">
        <f>Lektionen[[#This Row],[Bearbeitungsdauer_real]]/Lektionen[[#This Row],[Bearbeitungsdauer_geschätzt]]-1</f>
        <v>0</v>
      </c>
      <c r="H3145" s="8" t="str" cm="1">
        <f t="array" ref="H3145">_xlfn.IFS(Lektionen[[#This Row],[Bearbeitungsdauer_abgewichen]]&gt;0.6,"viel länger",Lektionen[[#This Row],[Bearbeitungsdauer_abgewichen]]&gt;0.3,"länger",Lektionen[[#This Row],[Bearbeitungsdauer_abgewichen]]&lt;-0.3,"kürzer",TRUE,"keine Abweichung")</f>
        <v>keine Abweichung</v>
      </c>
      <c r="I3145">
        <v>1</v>
      </c>
    </row>
    <row r="3146" spans="1:9" hidden="1" x14ac:dyDescent="0.3">
      <c r="A3146" s="13">
        <v>491</v>
      </c>
      <c r="B3146" s="4">
        <v>1</v>
      </c>
      <c r="C3146" t="s">
        <v>526</v>
      </c>
      <c r="D3146" t="s">
        <v>527</v>
      </c>
      <c r="E3146">
        <v>4</v>
      </c>
      <c r="F3146">
        <v>4</v>
      </c>
      <c r="G3146" s="8">
        <f>Lektionen[[#This Row],[Bearbeitungsdauer_real]]/Lektionen[[#This Row],[Bearbeitungsdauer_geschätzt]]-1</f>
        <v>0</v>
      </c>
      <c r="H3146" s="8" t="str" cm="1">
        <f t="array" ref="H3146">_xlfn.IFS(Lektionen[[#This Row],[Bearbeitungsdauer_abgewichen]]&gt;0.6,"viel länger",Lektionen[[#This Row],[Bearbeitungsdauer_abgewichen]]&gt;0.3,"länger",Lektionen[[#This Row],[Bearbeitungsdauer_abgewichen]]&lt;-0.3,"kürzer",TRUE,"keine Abweichung")</f>
        <v>keine Abweichung</v>
      </c>
      <c r="I3146">
        <v>1</v>
      </c>
    </row>
    <row r="3147" spans="1:9" hidden="1" x14ac:dyDescent="0.3">
      <c r="A3147" s="13">
        <v>491</v>
      </c>
      <c r="B3147" s="4">
        <v>2</v>
      </c>
      <c r="C3147" t="s">
        <v>528</v>
      </c>
      <c r="D3147" t="s">
        <v>529</v>
      </c>
      <c r="E3147">
        <v>15</v>
      </c>
      <c r="F3147">
        <v>18</v>
      </c>
      <c r="G3147" s="8">
        <f>Lektionen[[#This Row],[Bearbeitungsdauer_real]]/Lektionen[[#This Row],[Bearbeitungsdauer_geschätzt]]-1</f>
        <v>0.19999999999999996</v>
      </c>
      <c r="H3147" s="8" t="str" cm="1">
        <f t="array" ref="H3147">_xlfn.IFS(Lektionen[[#This Row],[Bearbeitungsdauer_abgewichen]]&gt;0.6,"viel länger",Lektionen[[#This Row],[Bearbeitungsdauer_abgewichen]]&gt;0.3,"länger",Lektionen[[#This Row],[Bearbeitungsdauer_abgewichen]]&lt;-0.3,"kürzer",TRUE,"keine Abweichung")</f>
        <v>keine Abweichung</v>
      </c>
      <c r="I3147">
        <v>1</v>
      </c>
    </row>
    <row r="3148" spans="1:9" hidden="1" x14ac:dyDescent="0.3">
      <c r="A3148" s="13">
        <v>491</v>
      </c>
      <c r="B3148" s="4">
        <v>3</v>
      </c>
      <c r="C3148" t="s">
        <v>552</v>
      </c>
      <c r="D3148" t="s">
        <v>530</v>
      </c>
      <c r="E3148">
        <v>30</v>
      </c>
      <c r="F3148">
        <v>30</v>
      </c>
      <c r="G3148" s="8">
        <f>Lektionen[[#This Row],[Bearbeitungsdauer_real]]/Lektionen[[#This Row],[Bearbeitungsdauer_geschätzt]]-1</f>
        <v>0</v>
      </c>
      <c r="H3148" s="8" t="str" cm="1">
        <f t="array" ref="H3148">_xlfn.IFS(Lektionen[[#This Row],[Bearbeitungsdauer_abgewichen]]&gt;0.6,"viel länger",Lektionen[[#This Row],[Bearbeitungsdauer_abgewichen]]&gt;0.3,"länger",Lektionen[[#This Row],[Bearbeitungsdauer_abgewichen]]&lt;-0.3,"kürzer",TRUE,"keine Abweichung")</f>
        <v>keine Abweichung</v>
      </c>
      <c r="I3148">
        <v>3</v>
      </c>
    </row>
    <row r="3149" spans="1:9" hidden="1" x14ac:dyDescent="0.3">
      <c r="A3149" s="13">
        <v>491</v>
      </c>
      <c r="B3149" s="4">
        <v>4</v>
      </c>
      <c r="C3149" t="s">
        <v>531</v>
      </c>
      <c r="D3149" t="s">
        <v>530</v>
      </c>
      <c r="E3149">
        <v>30</v>
      </c>
      <c r="F3149">
        <v>30</v>
      </c>
      <c r="G3149" s="8">
        <f>Lektionen[[#This Row],[Bearbeitungsdauer_real]]/Lektionen[[#This Row],[Bearbeitungsdauer_geschätzt]]-1</f>
        <v>0</v>
      </c>
      <c r="H3149" s="8" t="str" cm="1">
        <f t="array" ref="H3149">_xlfn.IFS(Lektionen[[#This Row],[Bearbeitungsdauer_abgewichen]]&gt;0.6,"viel länger",Lektionen[[#This Row],[Bearbeitungsdauer_abgewichen]]&gt;0.3,"länger",Lektionen[[#This Row],[Bearbeitungsdauer_abgewichen]]&lt;-0.3,"kürzer",TRUE,"keine Abweichung")</f>
        <v>keine Abweichung</v>
      </c>
      <c r="I3149">
        <v>3</v>
      </c>
    </row>
    <row r="3150" spans="1:9" x14ac:dyDescent="0.3">
      <c r="A3150" s="13">
        <v>491</v>
      </c>
      <c r="B3150" s="4">
        <v>5</v>
      </c>
      <c r="C3150" t="s">
        <v>532</v>
      </c>
      <c r="D3150" t="s">
        <v>530</v>
      </c>
      <c r="E3150">
        <v>30</v>
      </c>
      <c r="F3150">
        <v>49</v>
      </c>
      <c r="G3150" s="8">
        <f>Lektionen[[#This Row],[Bearbeitungsdauer_real]]/Lektionen[[#This Row],[Bearbeitungsdauer_geschätzt]]-1</f>
        <v>0.6333333333333333</v>
      </c>
      <c r="H3150" s="8" t="str" cm="1">
        <f t="array" ref="H3150">_xlfn.IFS(Lektionen[[#This Row],[Bearbeitungsdauer_abgewichen]]&gt;0.6,"viel länger",Lektionen[[#This Row],[Bearbeitungsdauer_abgewichen]]&gt;0.3,"länger",Lektionen[[#This Row],[Bearbeitungsdauer_abgewichen]]&lt;-0.3,"kürzer",TRUE,"keine Abweichung")</f>
        <v>viel länger</v>
      </c>
      <c r="I3150">
        <v>4</v>
      </c>
    </row>
    <row r="3151" spans="1:9" hidden="1" x14ac:dyDescent="0.3">
      <c r="A3151" s="13">
        <v>491</v>
      </c>
      <c r="B3151" s="4">
        <v>6</v>
      </c>
      <c r="C3151" t="s">
        <v>533</v>
      </c>
      <c r="D3151" t="s">
        <v>534</v>
      </c>
      <c r="E3151">
        <v>5</v>
      </c>
      <c r="F3151">
        <v>2</v>
      </c>
      <c r="G3151" s="8">
        <f>Lektionen[[#This Row],[Bearbeitungsdauer_real]]/Lektionen[[#This Row],[Bearbeitungsdauer_geschätzt]]-1</f>
        <v>-0.6</v>
      </c>
      <c r="H3151" s="8" t="str" cm="1">
        <f t="array" ref="H3151">_xlfn.IFS(Lektionen[[#This Row],[Bearbeitungsdauer_abgewichen]]&gt;0.6,"viel länger",Lektionen[[#This Row],[Bearbeitungsdauer_abgewichen]]&gt;0.3,"länger",Lektionen[[#This Row],[Bearbeitungsdauer_abgewichen]]&lt;-0.3,"kürzer",TRUE,"keine Abweichung")</f>
        <v>kürzer</v>
      </c>
      <c r="I3151">
        <v>2</v>
      </c>
    </row>
    <row r="3152" spans="1:9" hidden="1" x14ac:dyDescent="0.3">
      <c r="A3152" s="13">
        <v>491</v>
      </c>
      <c r="B3152" s="4">
        <v>7</v>
      </c>
      <c r="C3152" t="s">
        <v>535</v>
      </c>
      <c r="D3152" t="s">
        <v>536</v>
      </c>
      <c r="E3152">
        <v>10</v>
      </c>
      <c r="F3152">
        <v>9</v>
      </c>
      <c r="G3152" s="8">
        <f>Lektionen[[#This Row],[Bearbeitungsdauer_real]]/Lektionen[[#This Row],[Bearbeitungsdauer_geschätzt]]-1</f>
        <v>-9.9999999999999978E-2</v>
      </c>
      <c r="H3152" s="8" t="str" cm="1">
        <f t="array" ref="H3152">_xlfn.IFS(Lektionen[[#This Row],[Bearbeitungsdauer_abgewichen]]&gt;0.6,"viel länger",Lektionen[[#This Row],[Bearbeitungsdauer_abgewichen]]&gt;0.3,"länger",Lektionen[[#This Row],[Bearbeitungsdauer_abgewichen]]&lt;-0.3,"kürzer",TRUE,"keine Abweichung")</f>
        <v>keine Abweichung</v>
      </c>
      <c r="I3152">
        <v>4</v>
      </c>
    </row>
    <row r="3153" spans="1:9" hidden="1" x14ac:dyDescent="0.3">
      <c r="A3153" s="13">
        <v>491</v>
      </c>
      <c r="B3153" s="4">
        <v>8</v>
      </c>
      <c r="C3153" t="s">
        <v>537</v>
      </c>
      <c r="D3153" t="s">
        <v>527</v>
      </c>
      <c r="E3153">
        <v>5</v>
      </c>
      <c r="F3153">
        <v>5</v>
      </c>
      <c r="G3153" s="8">
        <f>Lektionen[[#This Row],[Bearbeitungsdauer_real]]/Lektionen[[#This Row],[Bearbeitungsdauer_geschätzt]]-1</f>
        <v>0</v>
      </c>
      <c r="H3153" s="8" t="str" cm="1">
        <f t="array" ref="H3153">_xlfn.IFS(Lektionen[[#This Row],[Bearbeitungsdauer_abgewichen]]&gt;0.6,"viel länger",Lektionen[[#This Row],[Bearbeitungsdauer_abgewichen]]&gt;0.3,"länger",Lektionen[[#This Row],[Bearbeitungsdauer_abgewichen]]&lt;-0.3,"kürzer",TRUE,"keine Abweichung")</f>
        <v>keine Abweichung</v>
      </c>
      <c r="I3153">
        <v>1</v>
      </c>
    </row>
    <row r="3154" spans="1:9" hidden="1" x14ac:dyDescent="0.3">
      <c r="A3154" s="13">
        <v>492</v>
      </c>
      <c r="B3154" s="4">
        <v>1</v>
      </c>
      <c r="C3154" t="s">
        <v>526</v>
      </c>
      <c r="D3154" t="s">
        <v>527</v>
      </c>
      <c r="E3154">
        <v>4</v>
      </c>
      <c r="F3154">
        <v>4</v>
      </c>
      <c r="G3154" s="8">
        <f>Lektionen[[#This Row],[Bearbeitungsdauer_real]]/Lektionen[[#This Row],[Bearbeitungsdauer_geschätzt]]-1</f>
        <v>0</v>
      </c>
      <c r="H3154" s="8" t="str" cm="1">
        <f t="array" ref="H3154">_xlfn.IFS(Lektionen[[#This Row],[Bearbeitungsdauer_abgewichen]]&gt;0.6,"viel länger",Lektionen[[#This Row],[Bearbeitungsdauer_abgewichen]]&gt;0.3,"länger",Lektionen[[#This Row],[Bearbeitungsdauer_abgewichen]]&lt;-0.3,"kürzer",TRUE,"keine Abweichung")</f>
        <v>keine Abweichung</v>
      </c>
      <c r="I3154">
        <v>1</v>
      </c>
    </row>
    <row r="3155" spans="1:9" hidden="1" x14ac:dyDescent="0.3">
      <c r="A3155" s="13">
        <v>492</v>
      </c>
      <c r="B3155" s="4">
        <v>2</v>
      </c>
      <c r="C3155" t="s">
        <v>528</v>
      </c>
      <c r="D3155" t="s">
        <v>529</v>
      </c>
      <c r="E3155">
        <v>15</v>
      </c>
      <c r="F3155">
        <v>17</v>
      </c>
      <c r="G3155" s="8">
        <f>Lektionen[[#This Row],[Bearbeitungsdauer_real]]/Lektionen[[#This Row],[Bearbeitungsdauer_geschätzt]]-1</f>
        <v>0.1333333333333333</v>
      </c>
      <c r="H3155" s="8" t="str" cm="1">
        <f t="array" ref="H3155">_xlfn.IFS(Lektionen[[#This Row],[Bearbeitungsdauer_abgewichen]]&gt;0.6,"viel länger",Lektionen[[#This Row],[Bearbeitungsdauer_abgewichen]]&gt;0.3,"länger",Lektionen[[#This Row],[Bearbeitungsdauer_abgewichen]]&lt;-0.3,"kürzer",TRUE,"keine Abweichung")</f>
        <v>keine Abweichung</v>
      </c>
      <c r="I3155">
        <v>1</v>
      </c>
    </row>
    <row r="3156" spans="1:9" hidden="1" x14ac:dyDescent="0.3">
      <c r="A3156" s="13">
        <v>492</v>
      </c>
      <c r="B3156" s="4">
        <v>3</v>
      </c>
      <c r="C3156" t="s">
        <v>552</v>
      </c>
      <c r="D3156" t="s">
        <v>530</v>
      </c>
      <c r="E3156">
        <v>30</v>
      </c>
      <c r="F3156">
        <v>30</v>
      </c>
      <c r="G3156" s="8">
        <f>Lektionen[[#This Row],[Bearbeitungsdauer_real]]/Lektionen[[#This Row],[Bearbeitungsdauer_geschätzt]]-1</f>
        <v>0</v>
      </c>
      <c r="H3156" s="8" t="str" cm="1">
        <f t="array" ref="H3156">_xlfn.IFS(Lektionen[[#This Row],[Bearbeitungsdauer_abgewichen]]&gt;0.6,"viel länger",Lektionen[[#This Row],[Bearbeitungsdauer_abgewichen]]&gt;0.3,"länger",Lektionen[[#This Row],[Bearbeitungsdauer_abgewichen]]&lt;-0.3,"kürzer",TRUE,"keine Abweichung")</f>
        <v>keine Abweichung</v>
      </c>
      <c r="I3156">
        <v>2</v>
      </c>
    </row>
    <row r="3157" spans="1:9" hidden="1" x14ac:dyDescent="0.3">
      <c r="A3157" s="13">
        <v>492</v>
      </c>
      <c r="B3157" s="4">
        <v>4</v>
      </c>
      <c r="C3157" t="s">
        <v>531</v>
      </c>
      <c r="D3157" t="s">
        <v>530</v>
      </c>
      <c r="E3157">
        <v>30</v>
      </c>
      <c r="F3157">
        <v>21</v>
      </c>
      <c r="G3157" s="8">
        <f>Lektionen[[#This Row],[Bearbeitungsdauer_real]]/Lektionen[[#This Row],[Bearbeitungsdauer_geschätzt]]-1</f>
        <v>-0.30000000000000004</v>
      </c>
      <c r="H3157" s="8" t="str" cm="1">
        <f t="array" ref="H3157">_xlfn.IFS(Lektionen[[#This Row],[Bearbeitungsdauer_abgewichen]]&gt;0.6,"viel länger",Lektionen[[#This Row],[Bearbeitungsdauer_abgewichen]]&gt;0.3,"länger",Lektionen[[#This Row],[Bearbeitungsdauer_abgewichen]]&lt;-0.3,"kürzer",TRUE,"keine Abweichung")</f>
        <v>keine Abweichung</v>
      </c>
      <c r="I3157">
        <v>3</v>
      </c>
    </row>
    <row r="3158" spans="1:9" x14ac:dyDescent="0.3">
      <c r="A3158" s="13">
        <v>492</v>
      </c>
      <c r="B3158" s="4">
        <v>5</v>
      </c>
      <c r="C3158" t="s">
        <v>532</v>
      </c>
      <c r="D3158" t="s">
        <v>530</v>
      </c>
      <c r="E3158">
        <v>30</v>
      </c>
      <c r="F3158">
        <v>38</v>
      </c>
      <c r="G3158" s="8">
        <f>Lektionen[[#This Row],[Bearbeitungsdauer_real]]/Lektionen[[#This Row],[Bearbeitungsdauer_geschätzt]]-1</f>
        <v>0.26666666666666661</v>
      </c>
      <c r="H3158" s="8" t="str" cm="1">
        <f t="array" ref="H3158">_xlfn.IFS(Lektionen[[#This Row],[Bearbeitungsdauer_abgewichen]]&gt;0.6,"viel länger",Lektionen[[#This Row],[Bearbeitungsdauer_abgewichen]]&gt;0.3,"länger",Lektionen[[#This Row],[Bearbeitungsdauer_abgewichen]]&lt;-0.3,"kürzer",TRUE,"keine Abweichung")</f>
        <v>keine Abweichung</v>
      </c>
      <c r="I3158">
        <v>3</v>
      </c>
    </row>
    <row r="3159" spans="1:9" hidden="1" x14ac:dyDescent="0.3">
      <c r="A3159" s="13">
        <v>492</v>
      </c>
      <c r="B3159" s="4">
        <v>6</v>
      </c>
      <c r="C3159" t="s">
        <v>533</v>
      </c>
      <c r="D3159" t="s">
        <v>534</v>
      </c>
      <c r="E3159">
        <v>5</v>
      </c>
      <c r="F3159">
        <v>1</v>
      </c>
      <c r="G3159" s="8">
        <f>Lektionen[[#This Row],[Bearbeitungsdauer_real]]/Lektionen[[#This Row],[Bearbeitungsdauer_geschätzt]]-1</f>
        <v>-0.8</v>
      </c>
      <c r="H3159" s="8" t="str" cm="1">
        <f t="array" ref="H3159">_xlfn.IFS(Lektionen[[#This Row],[Bearbeitungsdauer_abgewichen]]&gt;0.6,"viel länger",Lektionen[[#This Row],[Bearbeitungsdauer_abgewichen]]&gt;0.3,"länger",Lektionen[[#This Row],[Bearbeitungsdauer_abgewichen]]&lt;-0.3,"kürzer",TRUE,"keine Abweichung")</f>
        <v>kürzer</v>
      </c>
      <c r="I3159">
        <v>2</v>
      </c>
    </row>
    <row r="3160" spans="1:9" hidden="1" x14ac:dyDescent="0.3">
      <c r="A3160" s="13">
        <v>492</v>
      </c>
      <c r="B3160" s="4">
        <v>7</v>
      </c>
      <c r="C3160" t="s">
        <v>535</v>
      </c>
      <c r="D3160" t="s">
        <v>536</v>
      </c>
      <c r="E3160">
        <v>10</v>
      </c>
      <c r="F3160">
        <v>8</v>
      </c>
      <c r="G3160" s="8">
        <f>Lektionen[[#This Row],[Bearbeitungsdauer_real]]/Lektionen[[#This Row],[Bearbeitungsdauer_geschätzt]]-1</f>
        <v>-0.19999999999999996</v>
      </c>
      <c r="H3160" s="8" t="str" cm="1">
        <f t="array" ref="H3160">_xlfn.IFS(Lektionen[[#This Row],[Bearbeitungsdauer_abgewichen]]&gt;0.6,"viel länger",Lektionen[[#This Row],[Bearbeitungsdauer_abgewichen]]&gt;0.3,"länger",Lektionen[[#This Row],[Bearbeitungsdauer_abgewichen]]&lt;-0.3,"kürzer",TRUE,"keine Abweichung")</f>
        <v>keine Abweichung</v>
      </c>
      <c r="I3160">
        <v>5</v>
      </c>
    </row>
    <row r="3161" spans="1:9" hidden="1" x14ac:dyDescent="0.3">
      <c r="A3161" s="13">
        <v>492</v>
      </c>
      <c r="B3161" s="4">
        <v>8</v>
      </c>
      <c r="C3161" t="s">
        <v>537</v>
      </c>
      <c r="D3161" t="s">
        <v>527</v>
      </c>
      <c r="E3161">
        <v>5</v>
      </c>
      <c r="F3161">
        <v>8</v>
      </c>
      <c r="G3161" s="8">
        <f>Lektionen[[#This Row],[Bearbeitungsdauer_real]]/Lektionen[[#This Row],[Bearbeitungsdauer_geschätzt]]-1</f>
        <v>0.60000000000000009</v>
      </c>
      <c r="H3161" s="8" t="str" cm="1">
        <f t="array" ref="H3161">_xlfn.IFS(Lektionen[[#This Row],[Bearbeitungsdauer_abgewichen]]&gt;0.6,"viel länger",Lektionen[[#This Row],[Bearbeitungsdauer_abgewichen]]&gt;0.3,"länger",Lektionen[[#This Row],[Bearbeitungsdauer_abgewichen]]&lt;-0.3,"kürzer",TRUE,"keine Abweichung")</f>
        <v>länger</v>
      </c>
      <c r="I3161">
        <v>1</v>
      </c>
    </row>
    <row r="3162" spans="1:9" hidden="1" x14ac:dyDescent="0.3">
      <c r="A3162" s="13">
        <v>493</v>
      </c>
      <c r="B3162" s="4">
        <v>1</v>
      </c>
      <c r="C3162" t="s">
        <v>526</v>
      </c>
      <c r="D3162" t="s">
        <v>527</v>
      </c>
      <c r="E3162">
        <v>4</v>
      </c>
      <c r="F3162">
        <v>4</v>
      </c>
      <c r="G3162" s="8">
        <f>Lektionen[[#This Row],[Bearbeitungsdauer_real]]/Lektionen[[#This Row],[Bearbeitungsdauer_geschätzt]]-1</f>
        <v>0</v>
      </c>
      <c r="H3162" s="8" t="str" cm="1">
        <f t="array" ref="H3162">_xlfn.IFS(Lektionen[[#This Row],[Bearbeitungsdauer_abgewichen]]&gt;0.6,"viel länger",Lektionen[[#This Row],[Bearbeitungsdauer_abgewichen]]&gt;0.3,"länger",Lektionen[[#This Row],[Bearbeitungsdauer_abgewichen]]&lt;-0.3,"kürzer",TRUE,"keine Abweichung")</f>
        <v>keine Abweichung</v>
      </c>
      <c r="I3162">
        <v>1</v>
      </c>
    </row>
    <row r="3163" spans="1:9" hidden="1" x14ac:dyDescent="0.3">
      <c r="A3163" s="13">
        <v>493</v>
      </c>
      <c r="B3163" s="4">
        <v>2</v>
      </c>
      <c r="C3163" t="s">
        <v>528</v>
      </c>
      <c r="D3163" t="s">
        <v>529</v>
      </c>
      <c r="E3163">
        <v>15</v>
      </c>
      <c r="F3163">
        <v>18</v>
      </c>
      <c r="G3163" s="8">
        <f>Lektionen[[#This Row],[Bearbeitungsdauer_real]]/Lektionen[[#This Row],[Bearbeitungsdauer_geschätzt]]-1</f>
        <v>0.19999999999999996</v>
      </c>
      <c r="H3163" s="8" t="str" cm="1">
        <f t="array" ref="H3163">_xlfn.IFS(Lektionen[[#This Row],[Bearbeitungsdauer_abgewichen]]&gt;0.6,"viel länger",Lektionen[[#This Row],[Bearbeitungsdauer_abgewichen]]&gt;0.3,"länger",Lektionen[[#This Row],[Bearbeitungsdauer_abgewichen]]&lt;-0.3,"kürzer",TRUE,"keine Abweichung")</f>
        <v>keine Abweichung</v>
      </c>
      <c r="I3163">
        <v>2</v>
      </c>
    </row>
    <row r="3164" spans="1:9" hidden="1" x14ac:dyDescent="0.3">
      <c r="A3164" s="13">
        <v>493</v>
      </c>
      <c r="B3164" s="4">
        <v>3</v>
      </c>
      <c r="C3164" t="s">
        <v>552</v>
      </c>
      <c r="D3164" t="s">
        <v>530</v>
      </c>
      <c r="E3164">
        <v>30</v>
      </c>
      <c r="F3164">
        <v>28</v>
      </c>
      <c r="G3164" s="8">
        <f>Lektionen[[#This Row],[Bearbeitungsdauer_real]]/Lektionen[[#This Row],[Bearbeitungsdauer_geschätzt]]-1</f>
        <v>-6.6666666666666652E-2</v>
      </c>
      <c r="H3164" s="8" t="str" cm="1">
        <f t="array" ref="H3164">_xlfn.IFS(Lektionen[[#This Row],[Bearbeitungsdauer_abgewichen]]&gt;0.6,"viel länger",Lektionen[[#This Row],[Bearbeitungsdauer_abgewichen]]&gt;0.3,"länger",Lektionen[[#This Row],[Bearbeitungsdauer_abgewichen]]&lt;-0.3,"kürzer",TRUE,"keine Abweichung")</f>
        <v>keine Abweichung</v>
      </c>
      <c r="I3164">
        <v>2</v>
      </c>
    </row>
    <row r="3165" spans="1:9" hidden="1" x14ac:dyDescent="0.3">
      <c r="A3165" s="13">
        <v>493</v>
      </c>
      <c r="B3165" s="4">
        <v>4</v>
      </c>
      <c r="C3165" t="s">
        <v>531</v>
      </c>
      <c r="D3165" t="s">
        <v>530</v>
      </c>
      <c r="E3165">
        <v>30</v>
      </c>
      <c r="F3165">
        <v>32</v>
      </c>
      <c r="G3165" s="8">
        <f>Lektionen[[#This Row],[Bearbeitungsdauer_real]]/Lektionen[[#This Row],[Bearbeitungsdauer_geschätzt]]-1</f>
        <v>6.6666666666666652E-2</v>
      </c>
      <c r="H3165" s="8" t="str" cm="1">
        <f t="array" ref="H3165">_xlfn.IFS(Lektionen[[#This Row],[Bearbeitungsdauer_abgewichen]]&gt;0.6,"viel länger",Lektionen[[#This Row],[Bearbeitungsdauer_abgewichen]]&gt;0.3,"länger",Lektionen[[#This Row],[Bearbeitungsdauer_abgewichen]]&lt;-0.3,"kürzer",TRUE,"keine Abweichung")</f>
        <v>keine Abweichung</v>
      </c>
      <c r="I3165">
        <v>3</v>
      </c>
    </row>
    <row r="3166" spans="1:9" x14ac:dyDescent="0.3">
      <c r="A3166" s="13">
        <v>493</v>
      </c>
      <c r="B3166" s="4">
        <v>5</v>
      </c>
      <c r="C3166" t="s">
        <v>532</v>
      </c>
      <c r="D3166" t="s">
        <v>530</v>
      </c>
      <c r="E3166">
        <v>30</v>
      </c>
      <c r="F3166">
        <v>48</v>
      </c>
      <c r="G3166" s="8">
        <f>Lektionen[[#This Row],[Bearbeitungsdauer_real]]/Lektionen[[#This Row],[Bearbeitungsdauer_geschätzt]]-1</f>
        <v>0.60000000000000009</v>
      </c>
      <c r="H3166" s="8" t="str" cm="1">
        <f t="array" ref="H3166">_xlfn.IFS(Lektionen[[#This Row],[Bearbeitungsdauer_abgewichen]]&gt;0.6,"viel länger",Lektionen[[#This Row],[Bearbeitungsdauer_abgewichen]]&gt;0.3,"länger",Lektionen[[#This Row],[Bearbeitungsdauer_abgewichen]]&lt;-0.3,"kürzer",TRUE,"keine Abweichung")</f>
        <v>länger</v>
      </c>
      <c r="I3166">
        <v>3</v>
      </c>
    </row>
    <row r="3167" spans="1:9" hidden="1" x14ac:dyDescent="0.3">
      <c r="A3167" s="13">
        <v>493</v>
      </c>
      <c r="B3167" s="4">
        <v>6</v>
      </c>
      <c r="C3167" t="s">
        <v>533</v>
      </c>
      <c r="D3167" t="s">
        <v>534</v>
      </c>
      <c r="E3167">
        <v>5</v>
      </c>
      <c r="F3167">
        <v>1</v>
      </c>
      <c r="G3167" s="8">
        <f>Lektionen[[#This Row],[Bearbeitungsdauer_real]]/Lektionen[[#This Row],[Bearbeitungsdauer_geschätzt]]-1</f>
        <v>-0.8</v>
      </c>
      <c r="H3167" s="8" t="str" cm="1">
        <f t="array" ref="H3167">_xlfn.IFS(Lektionen[[#This Row],[Bearbeitungsdauer_abgewichen]]&gt;0.6,"viel länger",Lektionen[[#This Row],[Bearbeitungsdauer_abgewichen]]&gt;0.3,"länger",Lektionen[[#This Row],[Bearbeitungsdauer_abgewichen]]&lt;-0.3,"kürzer",TRUE,"keine Abweichung")</f>
        <v>kürzer</v>
      </c>
      <c r="I3167">
        <v>2</v>
      </c>
    </row>
    <row r="3168" spans="1:9" hidden="1" x14ac:dyDescent="0.3">
      <c r="A3168" s="13">
        <v>493</v>
      </c>
      <c r="B3168" s="4">
        <v>7</v>
      </c>
      <c r="C3168" t="s">
        <v>535</v>
      </c>
      <c r="D3168" t="s">
        <v>536</v>
      </c>
      <c r="E3168">
        <v>10</v>
      </c>
      <c r="F3168">
        <v>9</v>
      </c>
      <c r="G3168" s="8">
        <f>Lektionen[[#This Row],[Bearbeitungsdauer_real]]/Lektionen[[#This Row],[Bearbeitungsdauer_geschätzt]]-1</f>
        <v>-9.9999999999999978E-2</v>
      </c>
      <c r="H3168" s="8" t="str" cm="1">
        <f t="array" ref="H3168">_xlfn.IFS(Lektionen[[#This Row],[Bearbeitungsdauer_abgewichen]]&gt;0.6,"viel länger",Lektionen[[#This Row],[Bearbeitungsdauer_abgewichen]]&gt;0.3,"länger",Lektionen[[#This Row],[Bearbeitungsdauer_abgewichen]]&lt;-0.3,"kürzer",TRUE,"keine Abweichung")</f>
        <v>keine Abweichung</v>
      </c>
      <c r="I3168">
        <v>4</v>
      </c>
    </row>
    <row r="3169" spans="1:9" hidden="1" x14ac:dyDescent="0.3">
      <c r="A3169" s="13">
        <v>493</v>
      </c>
      <c r="B3169" s="4">
        <v>8</v>
      </c>
      <c r="C3169" t="s">
        <v>537</v>
      </c>
      <c r="D3169" t="s">
        <v>527</v>
      </c>
      <c r="E3169">
        <v>5</v>
      </c>
      <c r="F3169">
        <v>5</v>
      </c>
      <c r="G3169" s="8">
        <f>Lektionen[[#This Row],[Bearbeitungsdauer_real]]/Lektionen[[#This Row],[Bearbeitungsdauer_geschätzt]]-1</f>
        <v>0</v>
      </c>
      <c r="H3169" s="8" t="str" cm="1">
        <f t="array" ref="H3169">_xlfn.IFS(Lektionen[[#This Row],[Bearbeitungsdauer_abgewichen]]&gt;0.6,"viel länger",Lektionen[[#This Row],[Bearbeitungsdauer_abgewichen]]&gt;0.3,"länger",Lektionen[[#This Row],[Bearbeitungsdauer_abgewichen]]&lt;-0.3,"kürzer",TRUE,"keine Abweichung")</f>
        <v>keine Abweichung</v>
      </c>
      <c r="I3169">
        <v>1</v>
      </c>
    </row>
    <row r="3170" spans="1:9" hidden="1" x14ac:dyDescent="0.3">
      <c r="A3170" s="13">
        <v>494</v>
      </c>
      <c r="B3170" s="4">
        <v>1</v>
      </c>
      <c r="C3170" t="s">
        <v>526</v>
      </c>
      <c r="D3170" t="s">
        <v>527</v>
      </c>
      <c r="E3170">
        <v>4</v>
      </c>
      <c r="F3170">
        <v>4</v>
      </c>
      <c r="G3170" s="8">
        <f>Lektionen[[#This Row],[Bearbeitungsdauer_real]]/Lektionen[[#This Row],[Bearbeitungsdauer_geschätzt]]-1</f>
        <v>0</v>
      </c>
      <c r="H3170" s="8" t="str" cm="1">
        <f t="array" ref="H3170">_xlfn.IFS(Lektionen[[#This Row],[Bearbeitungsdauer_abgewichen]]&gt;0.6,"viel länger",Lektionen[[#This Row],[Bearbeitungsdauer_abgewichen]]&gt;0.3,"länger",Lektionen[[#This Row],[Bearbeitungsdauer_abgewichen]]&lt;-0.3,"kürzer",TRUE,"keine Abweichung")</f>
        <v>keine Abweichung</v>
      </c>
      <c r="I3170">
        <v>1</v>
      </c>
    </row>
    <row r="3171" spans="1:9" hidden="1" x14ac:dyDescent="0.3">
      <c r="A3171" s="13">
        <v>494</v>
      </c>
      <c r="B3171" s="4">
        <v>2</v>
      </c>
      <c r="C3171" t="s">
        <v>528</v>
      </c>
      <c r="D3171" t="s">
        <v>529</v>
      </c>
      <c r="E3171">
        <v>15</v>
      </c>
      <c r="F3171">
        <v>22</v>
      </c>
      <c r="G3171" s="8">
        <f>Lektionen[[#This Row],[Bearbeitungsdauer_real]]/Lektionen[[#This Row],[Bearbeitungsdauer_geschätzt]]-1</f>
        <v>0.46666666666666656</v>
      </c>
      <c r="H3171" s="8" t="str" cm="1">
        <f t="array" ref="H3171">_xlfn.IFS(Lektionen[[#This Row],[Bearbeitungsdauer_abgewichen]]&gt;0.6,"viel länger",Lektionen[[#This Row],[Bearbeitungsdauer_abgewichen]]&gt;0.3,"länger",Lektionen[[#This Row],[Bearbeitungsdauer_abgewichen]]&lt;-0.3,"kürzer",TRUE,"keine Abweichung")</f>
        <v>länger</v>
      </c>
      <c r="I3171">
        <v>1</v>
      </c>
    </row>
    <row r="3172" spans="1:9" hidden="1" x14ac:dyDescent="0.3">
      <c r="A3172" s="13">
        <v>494</v>
      </c>
      <c r="B3172" s="4">
        <v>3</v>
      </c>
      <c r="C3172" t="s">
        <v>552</v>
      </c>
      <c r="D3172" t="s">
        <v>530</v>
      </c>
      <c r="E3172">
        <v>30</v>
      </c>
      <c r="F3172">
        <v>29</v>
      </c>
      <c r="G3172" s="8">
        <f>Lektionen[[#This Row],[Bearbeitungsdauer_real]]/Lektionen[[#This Row],[Bearbeitungsdauer_geschätzt]]-1</f>
        <v>-3.3333333333333326E-2</v>
      </c>
      <c r="H3172" s="8" t="str" cm="1">
        <f t="array" ref="H3172">_xlfn.IFS(Lektionen[[#This Row],[Bearbeitungsdauer_abgewichen]]&gt;0.6,"viel länger",Lektionen[[#This Row],[Bearbeitungsdauer_abgewichen]]&gt;0.3,"länger",Lektionen[[#This Row],[Bearbeitungsdauer_abgewichen]]&lt;-0.3,"kürzer",TRUE,"keine Abweichung")</f>
        <v>keine Abweichung</v>
      </c>
      <c r="I3172">
        <v>2</v>
      </c>
    </row>
    <row r="3173" spans="1:9" hidden="1" x14ac:dyDescent="0.3">
      <c r="A3173" s="13">
        <v>494</v>
      </c>
      <c r="B3173" s="4">
        <v>4</v>
      </c>
      <c r="C3173" t="s">
        <v>531</v>
      </c>
      <c r="D3173" t="s">
        <v>530</v>
      </c>
      <c r="E3173">
        <v>30</v>
      </c>
      <c r="F3173">
        <v>28</v>
      </c>
      <c r="G3173" s="8">
        <f>Lektionen[[#This Row],[Bearbeitungsdauer_real]]/Lektionen[[#This Row],[Bearbeitungsdauer_geschätzt]]-1</f>
        <v>-6.6666666666666652E-2</v>
      </c>
      <c r="H3173" s="8" t="str" cm="1">
        <f t="array" ref="H3173">_xlfn.IFS(Lektionen[[#This Row],[Bearbeitungsdauer_abgewichen]]&gt;0.6,"viel länger",Lektionen[[#This Row],[Bearbeitungsdauer_abgewichen]]&gt;0.3,"länger",Lektionen[[#This Row],[Bearbeitungsdauer_abgewichen]]&lt;-0.3,"kürzer",TRUE,"keine Abweichung")</f>
        <v>keine Abweichung</v>
      </c>
      <c r="I3173">
        <v>3</v>
      </c>
    </row>
    <row r="3174" spans="1:9" x14ac:dyDescent="0.3">
      <c r="A3174" s="13">
        <v>494</v>
      </c>
      <c r="B3174" s="4">
        <v>5</v>
      </c>
      <c r="C3174" t="s">
        <v>532</v>
      </c>
      <c r="D3174" t="s">
        <v>530</v>
      </c>
      <c r="E3174">
        <v>30</v>
      </c>
      <c r="F3174">
        <v>52</v>
      </c>
      <c r="G3174" s="8">
        <f>Lektionen[[#This Row],[Bearbeitungsdauer_real]]/Lektionen[[#This Row],[Bearbeitungsdauer_geschätzt]]-1</f>
        <v>0.73333333333333339</v>
      </c>
      <c r="H3174" s="8" t="str" cm="1">
        <f t="array" ref="H3174">_xlfn.IFS(Lektionen[[#This Row],[Bearbeitungsdauer_abgewichen]]&gt;0.6,"viel länger",Lektionen[[#This Row],[Bearbeitungsdauer_abgewichen]]&gt;0.3,"länger",Lektionen[[#This Row],[Bearbeitungsdauer_abgewichen]]&lt;-0.3,"kürzer",TRUE,"keine Abweichung")</f>
        <v>viel länger</v>
      </c>
      <c r="I3174">
        <v>4</v>
      </c>
    </row>
    <row r="3175" spans="1:9" hidden="1" x14ac:dyDescent="0.3">
      <c r="A3175" s="13">
        <v>494</v>
      </c>
      <c r="B3175" s="4">
        <v>6</v>
      </c>
      <c r="C3175" t="s">
        <v>533</v>
      </c>
      <c r="D3175" t="s">
        <v>534</v>
      </c>
      <c r="E3175">
        <v>5</v>
      </c>
      <c r="F3175">
        <v>1</v>
      </c>
      <c r="G3175" s="8">
        <f>Lektionen[[#This Row],[Bearbeitungsdauer_real]]/Lektionen[[#This Row],[Bearbeitungsdauer_geschätzt]]-1</f>
        <v>-0.8</v>
      </c>
      <c r="H3175" s="8" t="str" cm="1">
        <f t="array" ref="H3175">_xlfn.IFS(Lektionen[[#This Row],[Bearbeitungsdauer_abgewichen]]&gt;0.6,"viel länger",Lektionen[[#This Row],[Bearbeitungsdauer_abgewichen]]&gt;0.3,"länger",Lektionen[[#This Row],[Bearbeitungsdauer_abgewichen]]&lt;-0.3,"kürzer",TRUE,"keine Abweichung")</f>
        <v>kürzer</v>
      </c>
      <c r="I3175">
        <v>2</v>
      </c>
    </row>
    <row r="3176" spans="1:9" hidden="1" x14ac:dyDescent="0.3">
      <c r="A3176" s="13">
        <v>494</v>
      </c>
      <c r="B3176" s="4">
        <v>7</v>
      </c>
      <c r="C3176" t="s">
        <v>535</v>
      </c>
      <c r="D3176" t="s">
        <v>536</v>
      </c>
      <c r="E3176">
        <v>10</v>
      </c>
      <c r="F3176">
        <v>8</v>
      </c>
      <c r="G3176" s="8">
        <f>Lektionen[[#This Row],[Bearbeitungsdauer_real]]/Lektionen[[#This Row],[Bearbeitungsdauer_geschätzt]]-1</f>
        <v>-0.19999999999999996</v>
      </c>
      <c r="H3176" s="8" t="str" cm="1">
        <f t="array" ref="H3176">_xlfn.IFS(Lektionen[[#This Row],[Bearbeitungsdauer_abgewichen]]&gt;0.6,"viel länger",Lektionen[[#This Row],[Bearbeitungsdauer_abgewichen]]&gt;0.3,"länger",Lektionen[[#This Row],[Bearbeitungsdauer_abgewichen]]&lt;-0.3,"kürzer",TRUE,"keine Abweichung")</f>
        <v>keine Abweichung</v>
      </c>
      <c r="I3176">
        <v>3</v>
      </c>
    </row>
    <row r="3177" spans="1:9" hidden="1" x14ac:dyDescent="0.3">
      <c r="A3177" s="13">
        <v>494</v>
      </c>
      <c r="B3177" s="4">
        <v>8</v>
      </c>
      <c r="C3177" t="s">
        <v>537</v>
      </c>
      <c r="D3177" t="s">
        <v>527</v>
      </c>
      <c r="E3177">
        <v>5</v>
      </c>
      <c r="F3177">
        <v>9</v>
      </c>
      <c r="G3177" s="8">
        <f>Lektionen[[#This Row],[Bearbeitungsdauer_real]]/Lektionen[[#This Row],[Bearbeitungsdauer_geschätzt]]-1</f>
        <v>0.8</v>
      </c>
      <c r="H3177" s="8" t="str" cm="1">
        <f t="array" ref="H3177">_xlfn.IFS(Lektionen[[#This Row],[Bearbeitungsdauer_abgewichen]]&gt;0.6,"viel länger",Lektionen[[#This Row],[Bearbeitungsdauer_abgewichen]]&gt;0.3,"länger",Lektionen[[#This Row],[Bearbeitungsdauer_abgewichen]]&lt;-0.3,"kürzer",TRUE,"keine Abweichung")</f>
        <v>viel länger</v>
      </c>
      <c r="I3177">
        <v>1</v>
      </c>
    </row>
    <row r="3178" spans="1:9" hidden="1" x14ac:dyDescent="0.3">
      <c r="A3178" s="13">
        <v>495</v>
      </c>
      <c r="B3178" s="4">
        <v>1</v>
      </c>
      <c r="C3178" t="s">
        <v>526</v>
      </c>
      <c r="D3178" t="s">
        <v>527</v>
      </c>
      <c r="E3178">
        <v>4</v>
      </c>
      <c r="F3178">
        <v>4</v>
      </c>
      <c r="G3178" s="8">
        <f>Lektionen[[#This Row],[Bearbeitungsdauer_real]]/Lektionen[[#This Row],[Bearbeitungsdauer_geschätzt]]-1</f>
        <v>0</v>
      </c>
      <c r="H3178" s="8" t="str" cm="1">
        <f t="array" ref="H3178">_xlfn.IFS(Lektionen[[#This Row],[Bearbeitungsdauer_abgewichen]]&gt;0.6,"viel länger",Lektionen[[#This Row],[Bearbeitungsdauer_abgewichen]]&gt;0.3,"länger",Lektionen[[#This Row],[Bearbeitungsdauer_abgewichen]]&lt;-0.3,"kürzer",TRUE,"keine Abweichung")</f>
        <v>keine Abweichung</v>
      </c>
      <c r="I3178">
        <v>1</v>
      </c>
    </row>
    <row r="3179" spans="1:9" hidden="1" x14ac:dyDescent="0.3">
      <c r="A3179" s="13">
        <v>495</v>
      </c>
      <c r="B3179" s="4">
        <v>2</v>
      </c>
      <c r="C3179" t="s">
        <v>528</v>
      </c>
      <c r="D3179" t="s">
        <v>529</v>
      </c>
      <c r="E3179">
        <v>15</v>
      </c>
      <c r="F3179">
        <v>17</v>
      </c>
      <c r="G3179" s="8">
        <f>Lektionen[[#This Row],[Bearbeitungsdauer_real]]/Lektionen[[#This Row],[Bearbeitungsdauer_geschätzt]]-1</f>
        <v>0.1333333333333333</v>
      </c>
      <c r="H3179" s="8" t="str" cm="1">
        <f t="array" ref="H3179">_xlfn.IFS(Lektionen[[#This Row],[Bearbeitungsdauer_abgewichen]]&gt;0.6,"viel länger",Lektionen[[#This Row],[Bearbeitungsdauer_abgewichen]]&gt;0.3,"länger",Lektionen[[#This Row],[Bearbeitungsdauer_abgewichen]]&lt;-0.3,"kürzer",TRUE,"keine Abweichung")</f>
        <v>keine Abweichung</v>
      </c>
      <c r="I3179">
        <v>1</v>
      </c>
    </row>
    <row r="3180" spans="1:9" hidden="1" x14ac:dyDescent="0.3">
      <c r="A3180" s="13">
        <v>495</v>
      </c>
      <c r="B3180" s="4">
        <v>3</v>
      </c>
      <c r="C3180" t="s">
        <v>552</v>
      </c>
      <c r="D3180" t="s">
        <v>530</v>
      </c>
      <c r="E3180">
        <v>30</v>
      </c>
      <c r="F3180">
        <v>28</v>
      </c>
      <c r="G3180" s="8">
        <f>Lektionen[[#This Row],[Bearbeitungsdauer_real]]/Lektionen[[#This Row],[Bearbeitungsdauer_geschätzt]]-1</f>
        <v>-6.6666666666666652E-2</v>
      </c>
      <c r="H3180" s="8" t="str" cm="1">
        <f t="array" ref="H3180">_xlfn.IFS(Lektionen[[#This Row],[Bearbeitungsdauer_abgewichen]]&gt;0.6,"viel länger",Lektionen[[#This Row],[Bearbeitungsdauer_abgewichen]]&gt;0.3,"länger",Lektionen[[#This Row],[Bearbeitungsdauer_abgewichen]]&lt;-0.3,"kürzer",TRUE,"keine Abweichung")</f>
        <v>keine Abweichung</v>
      </c>
      <c r="I3180">
        <v>2</v>
      </c>
    </row>
    <row r="3181" spans="1:9" hidden="1" x14ac:dyDescent="0.3">
      <c r="A3181" s="13">
        <v>495</v>
      </c>
      <c r="B3181" s="4">
        <v>4</v>
      </c>
      <c r="C3181" t="s">
        <v>531</v>
      </c>
      <c r="D3181" t="s">
        <v>530</v>
      </c>
      <c r="E3181">
        <v>30</v>
      </c>
      <c r="F3181">
        <v>32</v>
      </c>
      <c r="G3181" s="8">
        <f>Lektionen[[#This Row],[Bearbeitungsdauer_real]]/Lektionen[[#This Row],[Bearbeitungsdauer_geschätzt]]-1</f>
        <v>6.6666666666666652E-2</v>
      </c>
      <c r="H3181" s="8" t="str" cm="1">
        <f t="array" ref="H3181">_xlfn.IFS(Lektionen[[#This Row],[Bearbeitungsdauer_abgewichen]]&gt;0.6,"viel länger",Lektionen[[#This Row],[Bearbeitungsdauer_abgewichen]]&gt;0.3,"länger",Lektionen[[#This Row],[Bearbeitungsdauer_abgewichen]]&lt;-0.3,"kürzer",TRUE,"keine Abweichung")</f>
        <v>keine Abweichung</v>
      </c>
      <c r="I3181">
        <v>3</v>
      </c>
    </row>
    <row r="3182" spans="1:9" x14ac:dyDescent="0.3">
      <c r="A3182" s="13">
        <v>495</v>
      </c>
      <c r="B3182" s="4">
        <v>5</v>
      </c>
      <c r="C3182" t="s">
        <v>532</v>
      </c>
      <c r="D3182" t="s">
        <v>530</v>
      </c>
      <c r="E3182">
        <v>30</v>
      </c>
      <c r="F3182">
        <v>46</v>
      </c>
      <c r="G3182" s="8">
        <f>Lektionen[[#This Row],[Bearbeitungsdauer_real]]/Lektionen[[#This Row],[Bearbeitungsdauer_geschätzt]]-1</f>
        <v>0.53333333333333344</v>
      </c>
      <c r="H3182" s="8" t="str" cm="1">
        <f t="array" ref="H3182">_xlfn.IFS(Lektionen[[#This Row],[Bearbeitungsdauer_abgewichen]]&gt;0.6,"viel länger",Lektionen[[#This Row],[Bearbeitungsdauer_abgewichen]]&gt;0.3,"länger",Lektionen[[#This Row],[Bearbeitungsdauer_abgewichen]]&lt;-0.3,"kürzer",TRUE,"keine Abweichung")</f>
        <v>länger</v>
      </c>
      <c r="I3182">
        <v>4</v>
      </c>
    </row>
    <row r="3183" spans="1:9" hidden="1" x14ac:dyDescent="0.3">
      <c r="A3183" s="13">
        <v>495</v>
      </c>
      <c r="B3183" s="4">
        <v>6</v>
      </c>
      <c r="C3183" t="s">
        <v>533</v>
      </c>
      <c r="D3183" t="s">
        <v>534</v>
      </c>
      <c r="E3183">
        <v>5</v>
      </c>
      <c r="F3183">
        <v>3</v>
      </c>
      <c r="G3183" s="8">
        <f>Lektionen[[#This Row],[Bearbeitungsdauer_real]]/Lektionen[[#This Row],[Bearbeitungsdauer_geschätzt]]-1</f>
        <v>-0.4</v>
      </c>
      <c r="H3183" s="8" t="str" cm="1">
        <f t="array" ref="H3183">_xlfn.IFS(Lektionen[[#This Row],[Bearbeitungsdauer_abgewichen]]&gt;0.6,"viel länger",Lektionen[[#This Row],[Bearbeitungsdauer_abgewichen]]&gt;0.3,"länger",Lektionen[[#This Row],[Bearbeitungsdauer_abgewichen]]&lt;-0.3,"kürzer",TRUE,"keine Abweichung")</f>
        <v>kürzer</v>
      </c>
      <c r="I3183">
        <v>2</v>
      </c>
    </row>
    <row r="3184" spans="1:9" hidden="1" x14ac:dyDescent="0.3">
      <c r="A3184" s="13">
        <v>495</v>
      </c>
      <c r="B3184" s="4">
        <v>7</v>
      </c>
      <c r="C3184" t="s">
        <v>535</v>
      </c>
      <c r="D3184" t="s">
        <v>536</v>
      </c>
      <c r="E3184">
        <v>10</v>
      </c>
      <c r="F3184">
        <v>9</v>
      </c>
      <c r="G3184" s="8">
        <f>Lektionen[[#This Row],[Bearbeitungsdauer_real]]/Lektionen[[#This Row],[Bearbeitungsdauer_geschätzt]]-1</f>
        <v>-9.9999999999999978E-2</v>
      </c>
      <c r="H3184" s="8" t="str" cm="1">
        <f t="array" ref="H3184">_xlfn.IFS(Lektionen[[#This Row],[Bearbeitungsdauer_abgewichen]]&gt;0.6,"viel länger",Lektionen[[#This Row],[Bearbeitungsdauer_abgewichen]]&gt;0.3,"länger",Lektionen[[#This Row],[Bearbeitungsdauer_abgewichen]]&lt;-0.3,"kürzer",TRUE,"keine Abweichung")</f>
        <v>keine Abweichung</v>
      </c>
      <c r="I3184">
        <v>3</v>
      </c>
    </row>
    <row r="3185" spans="1:9" hidden="1" x14ac:dyDescent="0.3">
      <c r="A3185" s="13">
        <v>495</v>
      </c>
      <c r="B3185" s="4">
        <v>8</v>
      </c>
      <c r="C3185" t="s">
        <v>537</v>
      </c>
      <c r="D3185" t="s">
        <v>527</v>
      </c>
      <c r="E3185">
        <v>5</v>
      </c>
      <c r="F3185">
        <v>8</v>
      </c>
      <c r="G3185" s="8">
        <f>Lektionen[[#This Row],[Bearbeitungsdauer_real]]/Lektionen[[#This Row],[Bearbeitungsdauer_geschätzt]]-1</f>
        <v>0.60000000000000009</v>
      </c>
      <c r="H3185" s="8" t="str" cm="1">
        <f t="array" ref="H3185">_xlfn.IFS(Lektionen[[#This Row],[Bearbeitungsdauer_abgewichen]]&gt;0.6,"viel länger",Lektionen[[#This Row],[Bearbeitungsdauer_abgewichen]]&gt;0.3,"länger",Lektionen[[#This Row],[Bearbeitungsdauer_abgewichen]]&lt;-0.3,"kürzer",TRUE,"keine Abweichung")</f>
        <v>länger</v>
      </c>
      <c r="I3185">
        <v>1</v>
      </c>
    </row>
    <row r="3186" spans="1:9" hidden="1" x14ac:dyDescent="0.3">
      <c r="A3186" s="13">
        <v>496</v>
      </c>
      <c r="B3186" s="4">
        <v>1</v>
      </c>
      <c r="C3186" t="s">
        <v>526</v>
      </c>
      <c r="D3186" t="s">
        <v>527</v>
      </c>
      <c r="E3186">
        <v>4</v>
      </c>
      <c r="F3186">
        <v>4</v>
      </c>
      <c r="G3186" s="8">
        <f>Lektionen[[#This Row],[Bearbeitungsdauer_real]]/Lektionen[[#This Row],[Bearbeitungsdauer_geschätzt]]-1</f>
        <v>0</v>
      </c>
      <c r="H3186" s="8" t="str" cm="1">
        <f t="array" ref="H3186">_xlfn.IFS(Lektionen[[#This Row],[Bearbeitungsdauer_abgewichen]]&gt;0.6,"viel länger",Lektionen[[#This Row],[Bearbeitungsdauer_abgewichen]]&gt;0.3,"länger",Lektionen[[#This Row],[Bearbeitungsdauer_abgewichen]]&lt;-0.3,"kürzer",TRUE,"keine Abweichung")</f>
        <v>keine Abweichung</v>
      </c>
      <c r="I3186">
        <v>1</v>
      </c>
    </row>
    <row r="3187" spans="1:9" hidden="1" x14ac:dyDescent="0.3">
      <c r="A3187" s="13">
        <v>496</v>
      </c>
      <c r="B3187" s="4">
        <v>2</v>
      </c>
      <c r="C3187" t="s">
        <v>528</v>
      </c>
      <c r="D3187" t="s">
        <v>529</v>
      </c>
      <c r="E3187">
        <v>15</v>
      </c>
      <c r="F3187">
        <v>16</v>
      </c>
      <c r="G3187" s="8">
        <f>Lektionen[[#This Row],[Bearbeitungsdauer_real]]/Lektionen[[#This Row],[Bearbeitungsdauer_geschätzt]]-1</f>
        <v>6.6666666666666652E-2</v>
      </c>
      <c r="H3187" s="8" t="str" cm="1">
        <f t="array" ref="H3187">_xlfn.IFS(Lektionen[[#This Row],[Bearbeitungsdauer_abgewichen]]&gt;0.6,"viel länger",Lektionen[[#This Row],[Bearbeitungsdauer_abgewichen]]&gt;0.3,"länger",Lektionen[[#This Row],[Bearbeitungsdauer_abgewichen]]&lt;-0.3,"kürzer",TRUE,"keine Abweichung")</f>
        <v>keine Abweichung</v>
      </c>
      <c r="I3187">
        <v>1</v>
      </c>
    </row>
    <row r="3188" spans="1:9" hidden="1" x14ac:dyDescent="0.3">
      <c r="A3188" s="13">
        <v>496</v>
      </c>
      <c r="B3188" s="4">
        <v>3</v>
      </c>
      <c r="C3188" t="s">
        <v>552</v>
      </c>
      <c r="D3188" t="s">
        <v>530</v>
      </c>
      <c r="E3188">
        <v>30</v>
      </c>
      <c r="F3188">
        <v>29</v>
      </c>
      <c r="G3188" s="8">
        <f>Lektionen[[#This Row],[Bearbeitungsdauer_real]]/Lektionen[[#This Row],[Bearbeitungsdauer_geschätzt]]-1</f>
        <v>-3.3333333333333326E-2</v>
      </c>
      <c r="H3188" s="8" t="str" cm="1">
        <f t="array" ref="H3188">_xlfn.IFS(Lektionen[[#This Row],[Bearbeitungsdauer_abgewichen]]&gt;0.6,"viel länger",Lektionen[[#This Row],[Bearbeitungsdauer_abgewichen]]&gt;0.3,"länger",Lektionen[[#This Row],[Bearbeitungsdauer_abgewichen]]&lt;-0.3,"kürzer",TRUE,"keine Abweichung")</f>
        <v>keine Abweichung</v>
      </c>
      <c r="I3188">
        <v>2</v>
      </c>
    </row>
    <row r="3189" spans="1:9" hidden="1" x14ac:dyDescent="0.3">
      <c r="A3189" s="13">
        <v>496</v>
      </c>
      <c r="B3189" s="4">
        <v>4</v>
      </c>
      <c r="C3189" t="s">
        <v>531</v>
      </c>
      <c r="D3189" t="s">
        <v>530</v>
      </c>
      <c r="E3189">
        <v>30</v>
      </c>
      <c r="F3189">
        <v>23</v>
      </c>
      <c r="G3189" s="8">
        <f>Lektionen[[#This Row],[Bearbeitungsdauer_real]]/Lektionen[[#This Row],[Bearbeitungsdauer_geschätzt]]-1</f>
        <v>-0.23333333333333328</v>
      </c>
      <c r="H3189" s="8" t="str" cm="1">
        <f t="array" ref="H3189">_xlfn.IFS(Lektionen[[#This Row],[Bearbeitungsdauer_abgewichen]]&gt;0.6,"viel länger",Lektionen[[#This Row],[Bearbeitungsdauer_abgewichen]]&gt;0.3,"länger",Lektionen[[#This Row],[Bearbeitungsdauer_abgewichen]]&lt;-0.3,"kürzer",TRUE,"keine Abweichung")</f>
        <v>keine Abweichung</v>
      </c>
      <c r="I3189">
        <v>3</v>
      </c>
    </row>
    <row r="3190" spans="1:9" x14ac:dyDescent="0.3">
      <c r="A3190" s="13">
        <v>496</v>
      </c>
      <c r="B3190" s="4">
        <v>5</v>
      </c>
      <c r="C3190" t="s">
        <v>532</v>
      </c>
      <c r="D3190" t="s">
        <v>530</v>
      </c>
      <c r="E3190">
        <v>30</v>
      </c>
      <c r="F3190">
        <v>48</v>
      </c>
      <c r="G3190" s="8">
        <f>Lektionen[[#This Row],[Bearbeitungsdauer_real]]/Lektionen[[#This Row],[Bearbeitungsdauer_geschätzt]]-1</f>
        <v>0.60000000000000009</v>
      </c>
      <c r="H3190" s="8" t="str" cm="1">
        <f t="array" ref="H3190">_xlfn.IFS(Lektionen[[#This Row],[Bearbeitungsdauer_abgewichen]]&gt;0.6,"viel länger",Lektionen[[#This Row],[Bearbeitungsdauer_abgewichen]]&gt;0.3,"länger",Lektionen[[#This Row],[Bearbeitungsdauer_abgewichen]]&lt;-0.3,"kürzer",TRUE,"keine Abweichung")</f>
        <v>länger</v>
      </c>
      <c r="I3190">
        <v>5</v>
      </c>
    </row>
    <row r="3191" spans="1:9" hidden="1" x14ac:dyDescent="0.3">
      <c r="A3191" s="13">
        <v>496</v>
      </c>
      <c r="B3191" s="4">
        <v>6</v>
      </c>
      <c r="C3191" t="s">
        <v>533</v>
      </c>
      <c r="D3191" t="s">
        <v>534</v>
      </c>
      <c r="E3191">
        <v>5</v>
      </c>
      <c r="F3191">
        <v>2</v>
      </c>
      <c r="G3191" s="8">
        <f>Lektionen[[#This Row],[Bearbeitungsdauer_real]]/Lektionen[[#This Row],[Bearbeitungsdauer_geschätzt]]-1</f>
        <v>-0.6</v>
      </c>
      <c r="H3191" s="8" t="str" cm="1">
        <f t="array" ref="H3191">_xlfn.IFS(Lektionen[[#This Row],[Bearbeitungsdauer_abgewichen]]&gt;0.6,"viel länger",Lektionen[[#This Row],[Bearbeitungsdauer_abgewichen]]&gt;0.3,"länger",Lektionen[[#This Row],[Bearbeitungsdauer_abgewichen]]&lt;-0.3,"kürzer",TRUE,"keine Abweichung")</f>
        <v>kürzer</v>
      </c>
      <c r="I3191">
        <v>3</v>
      </c>
    </row>
    <row r="3192" spans="1:9" hidden="1" x14ac:dyDescent="0.3">
      <c r="A3192" s="13">
        <v>496</v>
      </c>
      <c r="B3192" s="4">
        <v>7</v>
      </c>
      <c r="C3192" t="s">
        <v>535</v>
      </c>
      <c r="D3192" t="s">
        <v>536</v>
      </c>
      <c r="E3192">
        <v>10</v>
      </c>
      <c r="F3192">
        <v>9</v>
      </c>
      <c r="G3192" s="8">
        <f>Lektionen[[#This Row],[Bearbeitungsdauer_real]]/Lektionen[[#This Row],[Bearbeitungsdauer_geschätzt]]-1</f>
        <v>-9.9999999999999978E-2</v>
      </c>
      <c r="H3192" s="8" t="str" cm="1">
        <f t="array" ref="H3192">_xlfn.IFS(Lektionen[[#This Row],[Bearbeitungsdauer_abgewichen]]&gt;0.6,"viel länger",Lektionen[[#This Row],[Bearbeitungsdauer_abgewichen]]&gt;0.3,"länger",Lektionen[[#This Row],[Bearbeitungsdauer_abgewichen]]&lt;-0.3,"kürzer",TRUE,"keine Abweichung")</f>
        <v>keine Abweichung</v>
      </c>
      <c r="I3192">
        <v>3</v>
      </c>
    </row>
    <row r="3193" spans="1:9" hidden="1" x14ac:dyDescent="0.3">
      <c r="A3193" s="13">
        <v>496</v>
      </c>
      <c r="B3193" s="4">
        <v>8</v>
      </c>
      <c r="C3193" t="s">
        <v>537</v>
      </c>
      <c r="D3193" t="s">
        <v>527</v>
      </c>
      <c r="E3193">
        <v>5</v>
      </c>
      <c r="F3193">
        <v>5</v>
      </c>
      <c r="G3193" s="8">
        <f>Lektionen[[#This Row],[Bearbeitungsdauer_real]]/Lektionen[[#This Row],[Bearbeitungsdauer_geschätzt]]-1</f>
        <v>0</v>
      </c>
      <c r="H3193" s="8" t="str" cm="1">
        <f t="array" ref="H3193">_xlfn.IFS(Lektionen[[#This Row],[Bearbeitungsdauer_abgewichen]]&gt;0.6,"viel länger",Lektionen[[#This Row],[Bearbeitungsdauer_abgewichen]]&gt;0.3,"länger",Lektionen[[#This Row],[Bearbeitungsdauer_abgewichen]]&lt;-0.3,"kürzer",TRUE,"keine Abweichung")</f>
        <v>keine Abweichung</v>
      </c>
      <c r="I3193">
        <v>1</v>
      </c>
    </row>
    <row r="3194" spans="1:9" hidden="1" x14ac:dyDescent="0.3">
      <c r="A3194" s="13">
        <v>497</v>
      </c>
      <c r="B3194" s="4">
        <v>1</v>
      </c>
      <c r="C3194" t="s">
        <v>526</v>
      </c>
      <c r="D3194" t="s">
        <v>527</v>
      </c>
      <c r="E3194">
        <v>4</v>
      </c>
      <c r="F3194">
        <v>4</v>
      </c>
      <c r="G3194" s="8">
        <f>Lektionen[[#This Row],[Bearbeitungsdauer_real]]/Lektionen[[#This Row],[Bearbeitungsdauer_geschätzt]]-1</f>
        <v>0</v>
      </c>
      <c r="H3194" s="8" t="str" cm="1">
        <f t="array" ref="H3194">_xlfn.IFS(Lektionen[[#This Row],[Bearbeitungsdauer_abgewichen]]&gt;0.6,"viel länger",Lektionen[[#This Row],[Bearbeitungsdauer_abgewichen]]&gt;0.3,"länger",Lektionen[[#This Row],[Bearbeitungsdauer_abgewichen]]&lt;-0.3,"kürzer",TRUE,"keine Abweichung")</f>
        <v>keine Abweichung</v>
      </c>
      <c r="I3194">
        <v>1</v>
      </c>
    </row>
    <row r="3195" spans="1:9" hidden="1" x14ac:dyDescent="0.3">
      <c r="A3195" s="13">
        <v>497</v>
      </c>
      <c r="B3195" s="4">
        <v>2</v>
      </c>
      <c r="C3195" t="s">
        <v>528</v>
      </c>
      <c r="D3195" t="s">
        <v>529</v>
      </c>
      <c r="E3195">
        <v>15</v>
      </c>
      <c r="F3195">
        <v>15</v>
      </c>
      <c r="G3195" s="8">
        <f>Lektionen[[#This Row],[Bearbeitungsdauer_real]]/Lektionen[[#This Row],[Bearbeitungsdauer_geschätzt]]-1</f>
        <v>0</v>
      </c>
      <c r="H3195" s="8" t="str" cm="1">
        <f t="array" ref="H3195">_xlfn.IFS(Lektionen[[#This Row],[Bearbeitungsdauer_abgewichen]]&gt;0.6,"viel länger",Lektionen[[#This Row],[Bearbeitungsdauer_abgewichen]]&gt;0.3,"länger",Lektionen[[#This Row],[Bearbeitungsdauer_abgewichen]]&lt;-0.3,"kürzer",TRUE,"keine Abweichung")</f>
        <v>keine Abweichung</v>
      </c>
      <c r="I3195">
        <v>2</v>
      </c>
    </row>
    <row r="3196" spans="1:9" hidden="1" x14ac:dyDescent="0.3">
      <c r="A3196" s="13">
        <v>497</v>
      </c>
      <c r="B3196" s="4">
        <v>3</v>
      </c>
      <c r="C3196" t="s">
        <v>552</v>
      </c>
      <c r="D3196" t="s">
        <v>530</v>
      </c>
      <c r="E3196">
        <v>30</v>
      </c>
      <c r="F3196">
        <v>27</v>
      </c>
      <c r="G3196" s="8">
        <f>Lektionen[[#This Row],[Bearbeitungsdauer_real]]/Lektionen[[#This Row],[Bearbeitungsdauer_geschätzt]]-1</f>
        <v>-9.9999999999999978E-2</v>
      </c>
      <c r="H3196" s="8" t="str" cm="1">
        <f t="array" ref="H3196">_xlfn.IFS(Lektionen[[#This Row],[Bearbeitungsdauer_abgewichen]]&gt;0.6,"viel länger",Lektionen[[#This Row],[Bearbeitungsdauer_abgewichen]]&gt;0.3,"länger",Lektionen[[#This Row],[Bearbeitungsdauer_abgewichen]]&lt;-0.3,"kürzer",TRUE,"keine Abweichung")</f>
        <v>keine Abweichung</v>
      </c>
      <c r="I3196">
        <v>3</v>
      </c>
    </row>
    <row r="3197" spans="1:9" hidden="1" x14ac:dyDescent="0.3">
      <c r="A3197" s="13">
        <v>497</v>
      </c>
      <c r="B3197" s="4">
        <v>4</v>
      </c>
      <c r="C3197" t="s">
        <v>531</v>
      </c>
      <c r="D3197" t="s">
        <v>530</v>
      </c>
      <c r="E3197">
        <v>30</v>
      </c>
      <c r="F3197">
        <v>24</v>
      </c>
      <c r="G3197" s="8">
        <f>Lektionen[[#This Row],[Bearbeitungsdauer_real]]/Lektionen[[#This Row],[Bearbeitungsdauer_geschätzt]]-1</f>
        <v>-0.19999999999999996</v>
      </c>
      <c r="H3197" s="8" t="str" cm="1">
        <f t="array" ref="H3197">_xlfn.IFS(Lektionen[[#This Row],[Bearbeitungsdauer_abgewichen]]&gt;0.6,"viel länger",Lektionen[[#This Row],[Bearbeitungsdauer_abgewichen]]&gt;0.3,"länger",Lektionen[[#This Row],[Bearbeitungsdauer_abgewichen]]&lt;-0.3,"kürzer",TRUE,"keine Abweichung")</f>
        <v>keine Abweichung</v>
      </c>
      <c r="I3197">
        <v>4</v>
      </c>
    </row>
    <row r="3198" spans="1:9" x14ac:dyDescent="0.3">
      <c r="A3198" s="13">
        <v>497</v>
      </c>
      <c r="B3198" s="4">
        <v>5</v>
      </c>
      <c r="C3198" t="s">
        <v>532</v>
      </c>
      <c r="D3198" t="s">
        <v>530</v>
      </c>
      <c r="E3198">
        <v>30</v>
      </c>
      <c r="F3198">
        <v>53</v>
      </c>
      <c r="G3198" s="8">
        <f>Lektionen[[#This Row],[Bearbeitungsdauer_real]]/Lektionen[[#This Row],[Bearbeitungsdauer_geschätzt]]-1</f>
        <v>0.76666666666666661</v>
      </c>
      <c r="H3198" s="8" t="str" cm="1">
        <f t="array" ref="H3198">_xlfn.IFS(Lektionen[[#This Row],[Bearbeitungsdauer_abgewichen]]&gt;0.6,"viel länger",Lektionen[[#This Row],[Bearbeitungsdauer_abgewichen]]&gt;0.3,"länger",Lektionen[[#This Row],[Bearbeitungsdauer_abgewichen]]&lt;-0.3,"kürzer",TRUE,"keine Abweichung")</f>
        <v>viel länger</v>
      </c>
      <c r="I3198">
        <v>4</v>
      </c>
    </row>
    <row r="3199" spans="1:9" hidden="1" x14ac:dyDescent="0.3">
      <c r="A3199" s="13">
        <v>497</v>
      </c>
      <c r="B3199" s="4">
        <v>6</v>
      </c>
      <c r="C3199" t="s">
        <v>533</v>
      </c>
      <c r="D3199" t="s">
        <v>534</v>
      </c>
      <c r="E3199">
        <v>5</v>
      </c>
      <c r="F3199">
        <v>1</v>
      </c>
      <c r="G3199" s="8">
        <f>Lektionen[[#This Row],[Bearbeitungsdauer_real]]/Lektionen[[#This Row],[Bearbeitungsdauer_geschätzt]]-1</f>
        <v>-0.8</v>
      </c>
      <c r="H3199" s="8" t="str" cm="1">
        <f t="array" ref="H3199">_xlfn.IFS(Lektionen[[#This Row],[Bearbeitungsdauer_abgewichen]]&gt;0.6,"viel länger",Lektionen[[#This Row],[Bearbeitungsdauer_abgewichen]]&gt;0.3,"länger",Lektionen[[#This Row],[Bearbeitungsdauer_abgewichen]]&lt;-0.3,"kürzer",TRUE,"keine Abweichung")</f>
        <v>kürzer</v>
      </c>
      <c r="I3199">
        <v>2</v>
      </c>
    </row>
    <row r="3200" spans="1:9" hidden="1" x14ac:dyDescent="0.3">
      <c r="A3200" s="13">
        <v>497</v>
      </c>
      <c r="B3200" s="4">
        <v>7</v>
      </c>
      <c r="C3200" t="s">
        <v>535</v>
      </c>
      <c r="D3200" t="s">
        <v>536</v>
      </c>
      <c r="E3200">
        <v>10</v>
      </c>
      <c r="F3200">
        <v>11</v>
      </c>
      <c r="G3200" s="8">
        <f>Lektionen[[#This Row],[Bearbeitungsdauer_real]]/Lektionen[[#This Row],[Bearbeitungsdauer_geschätzt]]-1</f>
        <v>0.10000000000000009</v>
      </c>
      <c r="H3200" s="8" t="str" cm="1">
        <f t="array" ref="H3200">_xlfn.IFS(Lektionen[[#This Row],[Bearbeitungsdauer_abgewichen]]&gt;0.6,"viel länger",Lektionen[[#This Row],[Bearbeitungsdauer_abgewichen]]&gt;0.3,"länger",Lektionen[[#This Row],[Bearbeitungsdauer_abgewichen]]&lt;-0.3,"kürzer",TRUE,"keine Abweichung")</f>
        <v>keine Abweichung</v>
      </c>
      <c r="I3200">
        <v>3</v>
      </c>
    </row>
    <row r="3201" spans="1:9" hidden="1" x14ac:dyDescent="0.3">
      <c r="A3201" s="13">
        <v>497</v>
      </c>
      <c r="B3201" s="4">
        <v>8</v>
      </c>
      <c r="C3201" t="s">
        <v>537</v>
      </c>
      <c r="D3201" t="s">
        <v>527</v>
      </c>
      <c r="E3201">
        <v>5</v>
      </c>
      <c r="F3201">
        <v>5</v>
      </c>
      <c r="G3201" s="8">
        <f>Lektionen[[#This Row],[Bearbeitungsdauer_real]]/Lektionen[[#This Row],[Bearbeitungsdauer_geschätzt]]-1</f>
        <v>0</v>
      </c>
      <c r="H3201" s="8" t="str" cm="1">
        <f t="array" ref="H3201">_xlfn.IFS(Lektionen[[#This Row],[Bearbeitungsdauer_abgewichen]]&gt;0.6,"viel länger",Lektionen[[#This Row],[Bearbeitungsdauer_abgewichen]]&gt;0.3,"länger",Lektionen[[#This Row],[Bearbeitungsdauer_abgewichen]]&lt;-0.3,"kürzer",TRUE,"keine Abweichung")</f>
        <v>keine Abweichung</v>
      </c>
      <c r="I3201">
        <v>1</v>
      </c>
    </row>
    <row r="3202" spans="1:9" hidden="1" x14ac:dyDescent="0.3">
      <c r="A3202" s="13">
        <v>498</v>
      </c>
      <c r="B3202" s="4">
        <v>1</v>
      </c>
      <c r="C3202" t="s">
        <v>526</v>
      </c>
      <c r="D3202" t="s">
        <v>527</v>
      </c>
      <c r="E3202">
        <v>4</v>
      </c>
      <c r="F3202">
        <v>4</v>
      </c>
      <c r="G3202" s="8">
        <f>Lektionen[[#This Row],[Bearbeitungsdauer_real]]/Lektionen[[#This Row],[Bearbeitungsdauer_geschätzt]]-1</f>
        <v>0</v>
      </c>
      <c r="H3202" s="8" t="str" cm="1">
        <f t="array" ref="H3202">_xlfn.IFS(Lektionen[[#This Row],[Bearbeitungsdauer_abgewichen]]&gt;0.6,"viel länger",Lektionen[[#This Row],[Bearbeitungsdauer_abgewichen]]&gt;0.3,"länger",Lektionen[[#This Row],[Bearbeitungsdauer_abgewichen]]&lt;-0.3,"kürzer",TRUE,"keine Abweichung")</f>
        <v>keine Abweichung</v>
      </c>
      <c r="I3202">
        <v>1</v>
      </c>
    </row>
    <row r="3203" spans="1:9" hidden="1" x14ac:dyDescent="0.3">
      <c r="A3203" s="13">
        <v>498</v>
      </c>
      <c r="B3203" s="4">
        <v>2</v>
      </c>
      <c r="C3203" t="s">
        <v>528</v>
      </c>
      <c r="D3203" t="s">
        <v>529</v>
      </c>
      <c r="E3203">
        <v>15</v>
      </c>
      <c r="F3203">
        <v>15</v>
      </c>
      <c r="G3203" s="8">
        <f>Lektionen[[#This Row],[Bearbeitungsdauer_real]]/Lektionen[[#This Row],[Bearbeitungsdauer_geschätzt]]-1</f>
        <v>0</v>
      </c>
      <c r="H3203" s="8" t="str" cm="1">
        <f t="array" ref="H3203">_xlfn.IFS(Lektionen[[#This Row],[Bearbeitungsdauer_abgewichen]]&gt;0.6,"viel länger",Lektionen[[#This Row],[Bearbeitungsdauer_abgewichen]]&gt;0.3,"länger",Lektionen[[#This Row],[Bearbeitungsdauer_abgewichen]]&lt;-0.3,"kürzer",TRUE,"keine Abweichung")</f>
        <v>keine Abweichung</v>
      </c>
      <c r="I3203">
        <v>2</v>
      </c>
    </row>
    <row r="3204" spans="1:9" hidden="1" x14ac:dyDescent="0.3">
      <c r="A3204" s="13">
        <v>498</v>
      </c>
      <c r="B3204" s="4">
        <v>3</v>
      </c>
      <c r="C3204" t="s">
        <v>552</v>
      </c>
      <c r="D3204" t="s">
        <v>530</v>
      </c>
      <c r="E3204">
        <v>30</v>
      </c>
      <c r="F3204">
        <v>30</v>
      </c>
      <c r="G3204" s="8">
        <f>Lektionen[[#This Row],[Bearbeitungsdauer_real]]/Lektionen[[#This Row],[Bearbeitungsdauer_geschätzt]]-1</f>
        <v>0</v>
      </c>
      <c r="H3204" s="8" t="str" cm="1">
        <f t="array" ref="H3204">_xlfn.IFS(Lektionen[[#This Row],[Bearbeitungsdauer_abgewichen]]&gt;0.6,"viel länger",Lektionen[[#This Row],[Bearbeitungsdauer_abgewichen]]&gt;0.3,"länger",Lektionen[[#This Row],[Bearbeitungsdauer_abgewichen]]&lt;-0.3,"kürzer",TRUE,"keine Abweichung")</f>
        <v>keine Abweichung</v>
      </c>
      <c r="I3204">
        <v>2</v>
      </c>
    </row>
    <row r="3205" spans="1:9" hidden="1" x14ac:dyDescent="0.3">
      <c r="A3205" s="13">
        <v>498</v>
      </c>
      <c r="B3205" s="4">
        <v>4</v>
      </c>
      <c r="C3205" t="s">
        <v>531</v>
      </c>
      <c r="D3205" t="s">
        <v>530</v>
      </c>
      <c r="E3205">
        <v>30</v>
      </c>
      <c r="F3205">
        <v>27</v>
      </c>
      <c r="G3205" s="8">
        <f>Lektionen[[#This Row],[Bearbeitungsdauer_real]]/Lektionen[[#This Row],[Bearbeitungsdauer_geschätzt]]-1</f>
        <v>-9.9999999999999978E-2</v>
      </c>
      <c r="H3205" s="8" t="str" cm="1">
        <f t="array" ref="H3205">_xlfn.IFS(Lektionen[[#This Row],[Bearbeitungsdauer_abgewichen]]&gt;0.6,"viel länger",Lektionen[[#This Row],[Bearbeitungsdauer_abgewichen]]&gt;0.3,"länger",Lektionen[[#This Row],[Bearbeitungsdauer_abgewichen]]&lt;-0.3,"kürzer",TRUE,"keine Abweichung")</f>
        <v>keine Abweichung</v>
      </c>
      <c r="I3205">
        <v>3</v>
      </c>
    </row>
    <row r="3206" spans="1:9" x14ac:dyDescent="0.3">
      <c r="A3206" s="13">
        <v>498</v>
      </c>
      <c r="B3206" s="4">
        <v>5</v>
      </c>
      <c r="C3206" t="s">
        <v>532</v>
      </c>
      <c r="D3206" t="s">
        <v>530</v>
      </c>
      <c r="E3206">
        <v>30</v>
      </c>
      <c r="F3206">
        <v>44</v>
      </c>
      <c r="G3206" s="8">
        <f>Lektionen[[#This Row],[Bearbeitungsdauer_real]]/Lektionen[[#This Row],[Bearbeitungsdauer_geschätzt]]-1</f>
        <v>0.46666666666666656</v>
      </c>
      <c r="H3206" s="8" t="str" cm="1">
        <f t="array" ref="H3206">_xlfn.IFS(Lektionen[[#This Row],[Bearbeitungsdauer_abgewichen]]&gt;0.6,"viel länger",Lektionen[[#This Row],[Bearbeitungsdauer_abgewichen]]&gt;0.3,"länger",Lektionen[[#This Row],[Bearbeitungsdauer_abgewichen]]&lt;-0.3,"kürzer",TRUE,"keine Abweichung")</f>
        <v>länger</v>
      </c>
      <c r="I3206">
        <v>4</v>
      </c>
    </row>
    <row r="3207" spans="1:9" hidden="1" x14ac:dyDescent="0.3">
      <c r="A3207" s="13">
        <v>498</v>
      </c>
      <c r="B3207" s="4">
        <v>6</v>
      </c>
      <c r="C3207" t="s">
        <v>533</v>
      </c>
      <c r="D3207" t="s">
        <v>534</v>
      </c>
      <c r="E3207">
        <v>5</v>
      </c>
      <c r="F3207">
        <v>2</v>
      </c>
      <c r="G3207" s="8">
        <f>Lektionen[[#This Row],[Bearbeitungsdauer_real]]/Lektionen[[#This Row],[Bearbeitungsdauer_geschätzt]]-1</f>
        <v>-0.6</v>
      </c>
      <c r="H3207" s="8" t="str" cm="1">
        <f t="array" ref="H3207">_xlfn.IFS(Lektionen[[#This Row],[Bearbeitungsdauer_abgewichen]]&gt;0.6,"viel länger",Lektionen[[#This Row],[Bearbeitungsdauer_abgewichen]]&gt;0.3,"länger",Lektionen[[#This Row],[Bearbeitungsdauer_abgewichen]]&lt;-0.3,"kürzer",TRUE,"keine Abweichung")</f>
        <v>kürzer</v>
      </c>
      <c r="I3207">
        <v>2</v>
      </c>
    </row>
    <row r="3208" spans="1:9" hidden="1" x14ac:dyDescent="0.3">
      <c r="A3208" s="13">
        <v>498</v>
      </c>
      <c r="B3208" s="4">
        <v>7</v>
      </c>
      <c r="C3208" t="s">
        <v>535</v>
      </c>
      <c r="D3208" t="s">
        <v>536</v>
      </c>
      <c r="E3208">
        <v>10</v>
      </c>
      <c r="F3208">
        <v>10</v>
      </c>
      <c r="G3208" s="8">
        <f>Lektionen[[#This Row],[Bearbeitungsdauer_real]]/Lektionen[[#This Row],[Bearbeitungsdauer_geschätzt]]-1</f>
        <v>0</v>
      </c>
      <c r="H3208" s="8" t="str" cm="1">
        <f t="array" ref="H3208">_xlfn.IFS(Lektionen[[#This Row],[Bearbeitungsdauer_abgewichen]]&gt;0.6,"viel länger",Lektionen[[#This Row],[Bearbeitungsdauer_abgewichen]]&gt;0.3,"länger",Lektionen[[#This Row],[Bearbeitungsdauer_abgewichen]]&lt;-0.3,"kürzer",TRUE,"keine Abweichung")</f>
        <v>keine Abweichung</v>
      </c>
      <c r="I3208">
        <v>3</v>
      </c>
    </row>
    <row r="3209" spans="1:9" hidden="1" x14ac:dyDescent="0.3">
      <c r="A3209" s="13">
        <v>498</v>
      </c>
      <c r="B3209" s="4">
        <v>8</v>
      </c>
      <c r="C3209" t="s">
        <v>537</v>
      </c>
      <c r="D3209" t="s">
        <v>527</v>
      </c>
      <c r="E3209">
        <v>5</v>
      </c>
      <c r="F3209">
        <v>5</v>
      </c>
      <c r="G3209" s="8">
        <f>Lektionen[[#This Row],[Bearbeitungsdauer_real]]/Lektionen[[#This Row],[Bearbeitungsdauer_geschätzt]]-1</f>
        <v>0</v>
      </c>
      <c r="H3209" s="8" t="str" cm="1">
        <f t="array" ref="H3209">_xlfn.IFS(Lektionen[[#This Row],[Bearbeitungsdauer_abgewichen]]&gt;0.6,"viel länger",Lektionen[[#This Row],[Bearbeitungsdauer_abgewichen]]&gt;0.3,"länger",Lektionen[[#This Row],[Bearbeitungsdauer_abgewichen]]&lt;-0.3,"kürzer",TRUE,"keine Abweichung")</f>
        <v>keine Abweichung</v>
      </c>
      <c r="I3209">
        <v>1</v>
      </c>
    </row>
    <row r="3210" spans="1:9" hidden="1" x14ac:dyDescent="0.3">
      <c r="A3210" s="13">
        <v>499</v>
      </c>
      <c r="B3210" s="4">
        <v>1</v>
      </c>
      <c r="C3210" t="s">
        <v>526</v>
      </c>
      <c r="D3210" t="s">
        <v>527</v>
      </c>
      <c r="E3210">
        <v>4</v>
      </c>
      <c r="F3210">
        <v>4</v>
      </c>
      <c r="G3210" s="8">
        <f>Lektionen[[#This Row],[Bearbeitungsdauer_real]]/Lektionen[[#This Row],[Bearbeitungsdauer_geschätzt]]-1</f>
        <v>0</v>
      </c>
      <c r="H3210" s="8" t="str" cm="1">
        <f t="array" ref="H3210">_xlfn.IFS(Lektionen[[#This Row],[Bearbeitungsdauer_abgewichen]]&gt;0.6,"viel länger",Lektionen[[#This Row],[Bearbeitungsdauer_abgewichen]]&gt;0.3,"länger",Lektionen[[#This Row],[Bearbeitungsdauer_abgewichen]]&lt;-0.3,"kürzer",TRUE,"keine Abweichung")</f>
        <v>keine Abweichung</v>
      </c>
      <c r="I3210">
        <v>1</v>
      </c>
    </row>
    <row r="3211" spans="1:9" hidden="1" x14ac:dyDescent="0.3">
      <c r="A3211" s="13">
        <v>499</v>
      </c>
      <c r="B3211" s="4">
        <v>2</v>
      </c>
      <c r="C3211" t="s">
        <v>528</v>
      </c>
      <c r="D3211" t="s">
        <v>529</v>
      </c>
      <c r="E3211">
        <v>15</v>
      </c>
      <c r="F3211">
        <v>18</v>
      </c>
      <c r="G3211" s="8">
        <f>Lektionen[[#This Row],[Bearbeitungsdauer_real]]/Lektionen[[#This Row],[Bearbeitungsdauer_geschätzt]]-1</f>
        <v>0.19999999999999996</v>
      </c>
      <c r="H3211" s="8" t="str" cm="1">
        <f t="array" ref="H3211">_xlfn.IFS(Lektionen[[#This Row],[Bearbeitungsdauer_abgewichen]]&gt;0.6,"viel länger",Lektionen[[#This Row],[Bearbeitungsdauer_abgewichen]]&gt;0.3,"länger",Lektionen[[#This Row],[Bearbeitungsdauer_abgewichen]]&lt;-0.3,"kürzer",TRUE,"keine Abweichung")</f>
        <v>keine Abweichung</v>
      </c>
      <c r="I3211">
        <v>2</v>
      </c>
    </row>
    <row r="3212" spans="1:9" hidden="1" x14ac:dyDescent="0.3">
      <c r="A3212" s="13">
        <v>499</v>
      </c>
      <c r="B3212" s="4">
        <v>3</v>
      </c>
      <c r="C3212" t="s">
        <v>552</v>
      </c>
      <c r="D3212" t="s">
        <v>530</v>
      </c>
      <c r="E3212">
        <v>30</v>
      </c>
      <c r="F3212">
        <v>28</v>
      </c>
      <c r="G3212" s="8">
        <f>Lektionen[[#This Row],[Bearbeitungsdauer_real]]/Lektionen[[#This Row],[Bearbeitungsdauer_geschätzt]]-1</f>
        <v>-6.6666666666666652E-2</v>
      </c>
      <c r="H3212" s="8" t="str" cm="1">
        <f t="array" ref="H3212">_xlfn.IFS(Lektionen[[#This Row],[Bearbeitungsdauer_abgewichen]]&gt;0.6,"viel länger",Lektionen[[#This Row],[Bearbeitungsdauer_abgewichen]]&gt;0.3,"länger",Lektionen[[#This Row],[Bearbeitungsdauer_abgewichen]]&lt;-0.3,"kürzer",TRUE,"keine Abweichung")</f>
        <v>keine Abweichung</v>
      </c>
      <c r="I3212">
        <v>3</v>
      </c>
    </row>
    <row r="3213" spans="1:9" hidden="1" x14ac:dyDescent="0.3">
      <c r="A3213" s="13">
        <v>499</v>
      </c>
      <c r="B3213" s="4">
        <v>4</v>
      </c>
      <c r="C3213" t="s">
        <v>531</v>
      </c>
      <c r="D3213" t="s">
        <v>530</v>
      </c>
      <c r="E3213">
        <v>30</v>
      </c>
      <c r="F3213">
        <v>32</v>
      </c>
      <c r="G3213" s="8">
        <f>Lektionen[[#This Row],[Bearbeitungsdauer_real]]/Lektionen[[#This Row],[Bearbeitungsdauer_geschätzt]]-1</f>
        <v>6.6666666666666652E-2</v>
      </c>
      <c r="H3213" s="8" t="str" cm="1">
        <f t="array" ref="H3213">_xlfn.IFS(Lektionen[[#This Row],[Bearbeitungsdauer_abgewichen]]&gt;0.6,"viel länger",Lektionen[[#This Row],[Bearbeitungsdauer_abgewichen]]&gt;0.3,"länger",Lektionen[[#This Row],[Bearbeitungsdauer_abgewichen]]&lt;-0.3,"kürzer",TRUE,"keine Abweichung")</f>
        <v>keine Abweichung</v>
      </c>
      <c r="I3213">
        <v>4</v>
      </c>
    </row>
    <row r="3214" spans="1:9" x14ac:dyDescent="0.3">
      <c r="A3214" s="13">
        <v>499</v>
      </c>
      <c r="B3214" s="4">
        <v>5</v>
      </c>
      <c r="C3214" t="s">
        <v>532</v>
      </c>
      <c r="D3214" t="s">
        <v>530</v>
      </c>
      <c r="E3214">
        <v>30</v>
      </c>
      <c r="F3214">
        <v>52</v>
      </c>
      <c r="G3214" s="8">
        <f>Lektionen[[#This Row],[Bearbeitungsdauer_real]]/Lektionen[[#This Row],[Bearbeitungsdauer_geschätzt]]-1</f>
        <v>0.73333333333333339</v>
      </c>
      <c r="H3214" s="8" t="str" cm="1">
        <f t="array" ref="H3214">_xlfn.IFS(Lektionen[[#This Row],[Bearbeitungsdauer_abgewichen]]&gt;0.6,"viel länger",Lektionen[[#This Row],[Bearbeitungsdauer_abgewichen]]&gt;0.3,"länger",Lektionen[[#This Row],[Bearbeitungsdauer_abgewichen]]&lt;-0.3,"kürzer",TRUE,"keine Abweichung")</f>
        <v>viel länger</v>
      </c>
      <c r="I3214">
        <v>4</v>
      </c>
    </row>
    <row r="3215" spans="1:9" hidden="1" x14ac:dyDescent="0.3">
      <c r="A3215" s="13">
        <v>499</v>
      </c>
      <c r="B3215" s="4">
        <v>6</v>
      </c>
      <c r="C3215" t="s">
        <v>533</v>
      </c>
      <c r="D3215" t="s">
        <v>534</v>
      </c>
      <c r="E3215">
        <v>5</v>
      </c>
      <c r="F3215">
        <v>3</v>
      </c>
      <c r="G3215" s="8">
        <f>Lektionen[[#This Row],[Bearbeitungsdauer_real]]/Lektionen[[#This Row],[Bearbeitungsdauer_geschätzt]]-1</f>
        <v>-0.4</v>
      </c>
      <c r="H3215" s="8" t="str" cm="1">
        <f t="array" ref="H3215">_xlfn.IFS(Lektionen[[#This Row],[Bearbeitungsdauer_abgewichen]]&gt;0.6,"viel länger",Lektionen[[#This Row],[Bearbeitungsdauer_abgewichen]]&gt;0.3,"länger",Lektionen[[#This Row],[Bearbeitungsdauer_abgewichen]]&lt;-0.3,"kürzer",TRUE,"keine Abweichung")</f>
        <v>kürzer</v>
      </c>
      <c r="I3215">
        <v>2</v>
      </c>
    </row>
    <row r="3216" spans="1:9" hidden="1" x14ac:dyDescent="0.3">
      <c r="A3216" s="13">
        <v>499</v>
      </c>
      <c r="B3216" s="4">
        <v>7</v>
      </c>
      <c r="C3216" t="s">
        <v>535</v>
      </c>
      <c r="D3216" t="s">
        <v>536</v>
      </c>
      <c r="E3216">
        <v>10</v>
      </c>
      <c r="F3216">
        <v>9</v>
      </c>
      <c r="G3216" s="8">
        <f>Lektionen[[#This Row],[Bearbeitungsdauer_real]]/Lektionen[[#This Row],[Bearbeitungsdauer_geschätzt]]-1</f>
        <v>-9.9999999999999978E-2</v>
      </c>
      <c r="H3216" s="8" t="str" cm="1">
        <f t="array" ref="H3216">_xlfn.IFS(Lektionen[[#This Row],[Bearbeitungsdauer_abgewichen]]&gt;0.6,"viel länger",Lektionen[[#This Row],[Bearbeitungsdauer_abgewichen]]&gt;0.3,"länger",Lektionen[[#This Row],[Bearbeitungsdauer_abgewichen]]&lt;-0.3,"kürzer",TRUE,"keine Abweichung")</f>
        <v>keine Abweichung</v>
      </c>
      <c r="I3216">
        <v>3</v>
      </c>
    </row>
    <row r="3217" spans="1:9" hidden="1" x14ac:dyDescent="0.3">
      <c r="A3217" s="13">
        <v>499</v>
      </c>
      <c r="B3217" s="4">
        <v>8</v>
      </c>
      <c r="C3217" t="s">
        <v>537</v>
      </c>
      <c r="D3217" t="s">
        <v>527</v>
      </c>
      <c r="E3217">
        <v>5</v>
      </c>
      <c r="F3217">
        <v>5</v>
      </c>
      <c r="G3217" s="8">
        <f>Lektionen[[#This Row],[Bearbeitungsdauer_real]]/Lektionen[[#This Row],[Bearbeitungsdauer_geschätzt]]-1</f>
        <v>0</v>
      </c>
      <c r="H3217" s="8" t="str" cm="1">
        <f t="array" ref="H3217">_xlfn.IFS(Lektionen[[#This Row],[Bearbeitungsdauer_abgewichen]]&gt;0.6,"viel länger",Lektionen[[#This Row],[Bearbeitungsdauer_abgewichen]]&gt;0.3,"länger",Lektionen[[#This Row],[Bearbeitungsdauer_abgewichen]]&lt;-0.3,"kürzer",TRUE,"keine Abweichung")</f>
        <v>keine Abweichung</v>
      </c>
      <c r="I3217">
        <v>1</v>
      </c>
    </row>
    <row r="3218" spans="1:9" hidden="1" x14ac:dyDescent="0.3">
      <c r="A3218" s="13">
        <v>500</v>
      </c>
      <c r="B3218" s="4">
        <v>1</v>
      </c>
      <c r="C3218" t="s">
        <v>526</v>
      </c>
      <c r="D3218" t="s">
        <v>527</v>
      </c>
      <c r="E3218">
        <v>4</v>
      </c>
      <c r="F3218">
        <v>4</v>
      </c>
      <c r="G3218" s="8">
        <f>Lektionen[[#This Row],[Bearbeitungsdauer_real]]/Lektionen[[#This Row],[Bearbeitungsdauer_geschätzt]]-1</f>
        <v>0</v>
      </c>
      <c r="H3218" s="8" t="str" cm="1">
        <f t="array" ref="H3218">_xlfn.IFS(Lektionen[[#This Row],[Bearbeitungsdauer_abgewichen]]&gt;0.6,"viel länger",Lektionen[[#This Row],[Bearbeitungsdauer_abgewichen]]&gt;0.3,"länger",Lektionen[[#This Row],[Bearbeitungsdauer_abgewichen]]&lt;-0.3,"kürzer",TRUE,"keine Abweichung")</f>
        <v>keine Abweichung</v>
      </c>
      <c r="I3218">
        <v>1</v>
      </c>
    </row>
    <row r="3219" spans="1:9" hidden="1" x14ac:dyDescent="0.3">
      <c r="A3219" s="13">
        <v>500</v>
      </c>
      <c r="B3219" s="4">
        <v>2</v>
      </c>
      <c r="C3219" t="s">
        <v>528</v>
      </c>
      <c r="D3219" t="s">
        <v>529</v>
      </c>
      <c r="E3219">
        <v>15</v>
      </c>
      <c r="F3219">
        <v>17</v>
      </c>
      <c r="G3219" s="8">
        <f>Lektionen[[#This Row],[Bearbeitungsdauer_real]]/Lektionen[[#This Row],[Bearbeitungsdauer_geschätzt]]-1</f>
        <v>0.1333333333333333</v>
      </c>
      <c r="H3219" s="8" t="str" cm="1">
        <f t="array" ref="H3219">_xlfn.IFS(Lektionen[[#This Row],[Bearbeitungsdauer_abgewichen]]&gt;0.6,"viel länger",Lektionen[[#This Row],[Bearbeitungsdauer_abgewichen]]&gt;0.3,"länger",Lektionen[[#This Row],[Bearbeitungsdauer_abgewichen]]&lt;-0.3,"kürzer",TRUE,"keine Abweichung")</f>
        <v>keine Abweichung</v>
      </c>
      <c r="I3219">
        <v>2</v>
      </c>
    </row>
    <row r="3220" spans="1:9" hidden="1" x14ac:dyDescent="0.3">
      <c r="A3220" s="13">
        <v>500</v>
      </c>
      <c r="B3220" s="4">
        <v>3</v>
      </c>
      <c r="C3220" t="s">
        <v>552</v>
      </c>
      <c r="D3220" t="s">
        <v>530</v>
      </c>
      <c r="E3220">
        <v>30</v>
      </c>
      <c r="F3220">
        <v>28</v>
      </c>
      <c r="G3220" s="8">
        <f>Lektionen[[#This Row],[Bearbeitungsdauer_real]]/Lektionen[[#This Row],[Bearbeitungsdauer_geschätzt]]-1</f>
        <v>-6.6666666666666652E-2</v>
      </c>
      <c r="H3220" s="8" t="str" cm="1">
        <f t="array" ref="H3220">_xlfn.IFS(Lektionen[[#This Row],[Bearbeitungsdauer_abgewichen]]&gt;0.6,"viel länger",Lektionen[[#This Row],[Bearbeitungsdauer_abgewichen]]&gt;0.3,"länger",Lektionen[[#This Row],[Bearbeitungsdauer_abgewichen]]&lt;-0.3,"kürzer",TRUE,"keine Abweichung")</f>
        <v>keine Abweichung</v>
      </c>
      <c r="I3220">
        <v>2</v>
      </c>
    </row>
    <row r="3221" spans="1:9" hidden="1" x14ac:dyDescent="0.3">
      <c r="A3221" s="13">
        <v>500</v>
      </c>
      <c r="B3221" s="4">
        <v>4</v>
      </c>
      <c r="C3221" t="s">
        <v>531</v>
      </c>
      <c r="D3221" t="s">
        <v>530</v>
      </c>
      <c r="E3221">
        <v>30</v>
      </c>
      <c r="F3221">
        <v>31</v>
      </c>
      <c r="G3221" s="8">
        <f>Lektionen[[#This Row],[Bearbeitungsdauer_real]]/Lektionen[[#This Row],[Bearbeitungsdauer_geschätzt]]-1</f>
        <v>3.3333333333333437E-2</v>
      </c>
      <c r="H3221" s="8" t="str" cm="1">
        <f t="array" ref="H3221">_xlfn.IFS(Lektionen[[#This Row],[Bearbeitungsdauer_abgewichen]]&gt;0.6,"viel länger",Lektionen[[#This Row],[Bearbeitungsdauer_abgewichen]]&gt;0.3,"länger",Lektionen[[#This Row],[Bearbeitungsdauer_abgewichen]]&lt;-0.3,"kürzer",TRUE,"keine Abweichung")</f>
        <v>keine Abweichung</v>
      </c>
      <c r="I3221">
        <v>3</v>
      </c>
    </row>
    <row r="3222" spans="1:9" x14ac:dyDescent="0.3">
      <c r="A3222" s="13">
        <v>500</v>
      </c>
      <c r="B3222" s="4">
        <v>5</v>
      </c>
      <c r="C3222" t="s">
        <v>532</v>
      </c>
      <c r="D3222" t="s">
        <v>530</v>
      </c>
      <c r="E3222">
        <v>30</v>
      </c>
      <c r="F3222">
        <v>29</v>
      </c>
      <c r="G3222" s="8">
        <f>Lektionen[[#This Row],[Bearbeitungsdauer_real]]/Lektionen[[#This Row],[Bearbeitungsdauer_geschätzt]]-1</f>
        <v>-3.3333333333333326E-2</v>
      </c>
      <c r="H3222" s="8" t="str" cm="1">
        <f t="array" ref="H3222">_xlfn.IFS(Lektionen[[#This Row],[Bearbeitungsdauer_abgewichen]]&gt;0.6,"viel länger",Lektionen[[#This Row],[Bearbeitungsdauer_abgewichen]]&gt;0.3,"länger",Lektionen[[#This Row],[Bearbeitungsdauer_abgewichen]]&lt;-0.3,"kürzer",TRUE,"keine Abweichung")</f>
        <v>keine Abweichung</v>
      </c>
      <c r="I3222">
        <v>5</v>
      </c>
    </row>
    <row r="3223" spans="1:9" hidden="1" x14ac:dyDescent="0.3">
      <c r="A3223" s="13">
        <v>500</v>
      </c>
      <c r="B3223" s="4">
        <v>6</v>
      </c>
      <c r="C3223" t="s">
        <v>533</v>
      </c>
      <c r="D3223" t="s">
        <v>534</v>
      </c>
      <c r="E3223">
        <v>5</v>
      </c>
      <c r="F3223">
        <v>4</v>
      </c>
      <c r="G3223" s="8">
        <f>Lektionen[[#This Row],[Bearbeitungsdauer_real]]/Lektionen[[#This Row],[Bearbeitungsdauer_geschätzt]]-1</f>
        <v>-0.19999999999999996</v>
      </c>
      <c r="H3223" s="8" t="str" cm="1">
        <f t="array" ref="H3223">_xlfn.IFS(Lektionen[[#This Row],[Bearbeitungsdauer_abgewichen]]&gt;0.6,"viel länger",Lektionen[[#This Row],[Bearbeitungsdauer_abgewichen]]&gt;0.3,"länger",Lektionen[[#This Row],[Bearbeitungsdauer_abgewichen]]&lt;-0.3,"kürzer",TRUE,"keine Abweichung")</f>
        <v>keine Abweichung</v>
      </c>
      <c r="I3223">
        <v>2</v>
      </c>
    </row>
    <row r="3224" spans="1:9" hidden="1" x14ac:dyDescent="0.3">
      <c r="A3224" s="13">
        <v>500</v>
      </c>
      <c r="B3224" s="4">
        <v>7</v>
      </c>
      <c r="C3224" t="s">
        <v>535</v>
      </c>
      <c r="D3224" t="s">
        <v>536</v>
      </c>
      <c r="E3224">
        <v>10</v>
      </c>
      <c r="F3224">
        <v>9</v>
      </c>
      <c r="G3224" s="8">
        <f>Lektionen[[#This Row],[Bearbeitungsdauer_real]]/Lektionen[[#This Row],[Bearbeitungsdauer_geschätzt]]-1</f>
        <v>-9.9999999999999978E-2</v>
      </c>
      <c r="H3224" s="8" t="str" cm="1">
        <f t="array" ref="H3224">_xlfn.IFS(Lektionen[[#This Row],[Bearbeitungsdauer_abgewichen]]&gt;0.6,"viel länger",Lektionen[[#This Row],[Bearbeitungsdauer_abgewichen]]&gt;0.3,"länger",Lektionen[[#This Row],[Bearbeitungsdauer_abgewichen]]&lt;-0.3,"kürzer",TRUE,"keine Abweichung")</f>
        <v>keine Abweichung</v>
      </c>
      <c r="I3224">
        <v>3</v>
      </c>
    </row>
    <row r="3225" spans="1:9" hidden="1" x14ac:dyDescent="0.3">
      <c r="A3225" s="13">
        <v>500</v>
      </c>
      <c r="B3225" s="4">
        <v>8</v>
      </c>
      <c r="C3225" t="s">
        <v>537</v>
      </c>
      <c r="D3225" t="s">
        <v>527</v>
      </c>
      <c r="E3225">
        <v>5</v>
      </c>
      <c r="F3225">
        <v>5</v>
      </c>
      <c r="G3225" s="8">
        <f>Lektionen[[#This Row],[Bearbeitungsdauer_real]]/Lektionen[[#This Row],[Bearbeitungsdauer_geschätzt]]-1</f>
        <v>0</v>
      </c>
      <c r="H3225" s="8" t="str" cm="1">
        <f t="array" ref="H3225">_xlfn.IFS(Lektionen[[#This Row],[Bearbeitungsdauer_abgewichen]]&gt;0.6,"viel länger",Lektionen[[#This Row],[Bearbeitungsdauer_abgewichen]]&gt;0.3,"länger",Lektionen[[#This Row],[Bearbeitungsdauer_abgewichen]]&lt;-0.3,"kürzer",TRUE,"keine Abweichung")</f>
        <v>keine Abweichung</v>
      </c>
      <c r="I3225">
        <v>1</v>
      </c>
    </row>
    <row r="3226" spans="1:9" hidden="1" x14ac:dyDescent="0.3">
      <c r="A3226" s="13">
        <v>501</v>
      </c>
      <c r="B3226" s="4">
        <v>1</v>
      </c>
      <c r="C3226" t="s">
        <v>526</v>
      </c>
      <c r="D3226" t="s">
        <v>527</v>
      </c>
      <c r="E3226">
        <v>4</v>
      </c>
      <c r="F3226">
        <v>4</v>
      </c>
      <c r="G3226" s="8">
        <f>Lektionen[[#This Row],[Bearbeitungsdauer_real]]/Lektionen[[#This Row],[Bearbeitungsdauer_geschätzt]]-1</f>
        <v>0</v>
      </c>
      <c r="H3226" s="8" t="str" cm="1">
        <f t="array" ref="H3226">_xlfn.IFS(Lektionen[[#This Row],[Bearbeitungsdauer_abgewichen]]&gt;0.6,"viel länger",Lektionen[[#This Row],[Bearbeitungsdauer_abgewichen]]&gt;0.3,"länger",Lektionen[[#This Row],[Bearbeitungsdauer_abgewichen]]&lt;-0.3,"kürzer",TRUE,"keine Abweichung")</f>
        <v>keine Abweichung</v>
      </c>
      <c r="I3226">
        <v>1</v>
      </c>
    </row>
    <row r="3227" spans="1:9" hidden="1" x14ac:dyDescent="0.3">
      <c r="A3227" s="13">
        <v>501</v>
      </c>
      <c r="B3227" s="4">
        <v>2</v>
      </c>
      <c r="C3227" t="s">
        <v>528</v>
      </c>
      <c r="D3227" t="s">
        <v>529</v>
      </c>
      <c r="E3227">
        <v>15</v>
      </c>
      <c r="F3227">
        <v>17</v>
      </c>
      <c r="G3227" s="8">
        <f>Lektionen[[#This Row],[Bearbeitungsdauer_real]]/Lektionen[[#This Row],[Bearbeitungsdauer_geschätzt]]-1</f>
        <v>0.1333333333333333</v>
      </c>
      <c r="H3227" s="8" t="str" cm="1">
        <f t="array" ref="H3227">_xlfn.IFS(Lektionen[[#This Row],[Bearbeitungsdauer_abgewichen]]&gt;0.6,"viel länger",Lektionen[[#This Row],[Bearbeitungsdauer_abgewichen]]&gt;0.3,"länger",Lektionen[[#This Row],[Bearbeitungsdauer_abgewichen]]&lt;-0.3,"kürzer",TRUE,"keine Abweichung")</f>
        <v>keine Abweichung</v>
      </c>
      <c r="I3227">
        <v>1</v>
      </c>
    </row>
    <row r="3228" spans="1:9" hidden="1" x14ac:dyDescent="0.3">
      <c r="A3228" s="13">
        <v>501</v>
      </c>
      <c r="B3228" s="4">
        <v>3</v>
      </c>
      <c r="C3228" t="s">
        <v>552</v>
      </c>
      <c r="D3228" t="s">
        <v>530</v>
      </c>
      <c r="E3228">
        <v>30</v>
      </c>
      <c r="F3228">
        <v>28</v>
      </c>
      <c r="G3228" s="8">
        <f>Lektionen[[#This Row],[Bearbeitungsdauer_real]]/Lektionen[[#This Row],[Bearbeitungsdauer_geschätzt]]-1</f>
        <v>-6.6666666666666652E-2</v>
      </c>
      <c r="H3228" s="8" t="str" cm="1">
        <f t="array" ref="H3228">_xlfn.IFS(Lektionen[[#This Row],[Bearbeitungsdauer_abgewichen]]&gt;0.6,"viel länger",Lektionen[[#This Row],[Bearbeitungsdauer_abgewichen]]&gt;0.3,"länger",Lektionen[[#This Row],[Bearbeitungsdauer_abgewichen]]&lt;-0.3,"kürzer",TRUE,"keine Abweichung")</f>
        <v>keine Abweichung</v>
      </c>
      <c r="I3228">
        <v>3</v>
      </c>
    </row>
    <row r="3229" spans="1:9" hidden="1" x14ac:dyDescent="0.3">
      <c r="A3229" s="13">
        <v>501</v>
      </c>
      <c r="B3229" s="4">
        <v>4</v>
      </c>
      <c r="C3229" t="s">
        <v>531</v>
      </c>
      <c r="D3229" t="s">
        <v>530</v>
      </c>
      <c r="E3229">
        <v>30</v>
      </c>
      <c r="F3229">
        <v>29</v>
      </c>
      <c r="G3229" s="8">
        <f>Lektionen[[#This Row],[Bearbeitungsdauer_real]]/Lektionen[[#This Row],[Bearbeitungsdauer_geschätzt]]-1</f>
        <v>-3.3333333333333326E-2</v>
      </c>
      <c r="H3229" s="8" t="str" cm="1">
        <f t="array" ref="H3229">_xlfn.IFS(Lektionen[[#This Row],[Bearbeitungsdauer_abgewichen]]&gt;0.6,"viel länger",Lektionen[[#This Row],[Bearbeitungsdauer_abgewichen]]&gt;0.3,"länger",Lektionen[[#This Row],[Bearbeitungsdauer_abgewichen]]&lt;-0.3,"kürzer",TRUE,"keine Abweichung")</f>
        <v>keine Abweichung</v>
      </c>
      <c r="I3229">
        <v>3</v>
      </c>
    </row>
    <row r="3230" spans="1:9" x14ac:dyDescent="0.3">
      <c r="A3230" s="13">
        <v>501</v>
      </c>
      <c r="B3230" s="4">
        <v>5</v>
      </c>
      <c r="C3230" t="s">
        <v>532</v>
      </c>
      <c r="D3230" t="s">
        <v>530</v>
      </c>
      <c r="E3230">
        <v>30</v>
      </c>
      <c r="F3230">
        <v>55</v>
      </c>
      <c r="G3230" s="8">
        <f>Lektionen[[#This Row],[Bearbeitungsdauer_real]]/Lektionen[[#This Row],[Bearbeitungsdauer_geschätzt]]-1</f>
        <v>0.83333333333333326</v>
      </c>
      <c r="H3230" s="8" t="str" cm="1">
        <f t="array" ref="H3230">_xlfn.IFS(Lektionen[[#This Row],[Bearbeitungsdauer_abgewichen]]&gt;0.6,"viel länger",Lektionen[[#This Row],[Bearbeitungsdauer_abgewichen]]&gt;0.3,"länger",Lektionen[[#This Row],[Bearbeitungsdauer_abgewichen]]&lt;-0.3,"kürzer",TRUE,"keine Abweichung")</f>
        <v>viel länger</v>
      </c>
      <c r="I3230">
        <v>4</v>
      </c>
    </row>
    <row r="3231" spans="1:9" hidden="1" x14ac:dyDescent="0.3">
      <c r="A3231" s="13">
        <v>501</v>
      </c>
      <c r="B3231" s="4">
        <v>6</v>
      </c>
      <c r="C3231" t="s">
        <v>533</v>
      </c>
      <c r="D3231" t="s">
        <v>534</v>
      </c>
      <c r="E3231">
        <v>5</v>
      </c>
      <c r="F3231">
        <v>1</v>
      </c>
      <c r="G3231" s="8">
        <f>Lektionen[[#This Row],[Bearbeitungsdauer_real]]/Lektionen[[#This Row],[Bearbeitungsdauer_geschätzt]]-1</f>
        <v>-0.8</v>
      </c>
      <c r="H3231" s="8" t="str" cm="1">
        <f t="array" ref="H3231">_xlfn.IFS(Lektionen[[#This Row],[Bearbeitungsdauer_abgewichen]]&gt;0.6,"viel länger",Lektionen[[#This Row],[Bearbeitungsdauer_abgewichen]]&gt;0.3,"länger",Lektionen[[#This Row],[Bearbeitungsdauer_abgewichen]]&lt;-0.3,"kürzer",TRUE,"keine Abweichung")</f>
        <v>kürzer</v>
      </c>
      <c r="I3231">
        <v>2</v>
      </c>
    </row>
    <row r="3232" spans="1:9" hidden="1" x14ac:dyDescent="0.3">
      <c r="A3232" s="13">
        <v>501</v>
      </c>
      <c r="B3232" s="4">
        <v>7</v>
      </c>
      <c r="C3232" t="s">
        <v>535</v>
      </c>
      <c r="D3232" t="s">
        <v>536</v>
      </c>
      <c r="E3232">
        <v>10</v>
      </c>
      <c r="F3232">
        <v>11</v>
      </c>
      <c r="G3232" s="8">
        <f>Lektionen[[#This Row],[Bearbeitungsdauer_real]]/Lektionen[[#This Row],[Bearbeitungsdauer_geschätzt]]-1</f>
        <v>0.10000000000000009</v>
      </c>
      <c r="H3232" s="8" t="str" cm="1">
        <f t="array" ref="H3232">_xlfn.IFS(Lektionen[[#This Row],[Bearbeitungsdauer_abgewichen]]&gt;0.6,"viel länger",Lektionen[[#This Row],[Bearbeitungsdauer_abgewichen]]&gt;0.3,"länger",Lektionen[[#This Row],[Bearbeitungsdauer_abgewichen]]&lt;-0.3,"kürzer",TRUE,"keine Abweichung")</f>
        <v>keine Abweichung</v>
      </c>
      <c r="I3232">
        <v>4</v>
      </c>
    </row>
    <row r="3233" spans="1:9" hidden="1" x14ac:dyDescent="0.3">
      <c r="A3233" s="13">
        <v>501</v>
      </c>
      <c r="B3233" s="4">
        <v>8</v>
      </c>
      <c r="C3233" t="s">
        <v>537</v>
      </c>
      <c r="D3233" t="s">
        <v>527</v>
      </c>
      <c r="E3233">
        <v>5</v>
      </c>
      <c r="F3233">
        <v>5</v>
      </c>
      <c r="G3233" s="8">
        <f>Lektionen[[#This Row],[Bearbeitungsdauer_real]]/Lektionen[[#This Row],[Bearbeitungsdauer_geschätzt]]-1</f>
        <v>0</v>
      </c>
      <c r="H3233" s="8" t="str" cm="1">
        <f t="array" ref="H3233">_xlfn.IFS(Lektionen[[#This Row],[Bearbeitungsdauer_abgewichen]]&gt;0.6,"viel länger",Lektionen[[#This Row],[Bearbeitungsdauer_abgewichen]]&gt;0.3,"länger",Lektionen[[#This Row],[Bearbeitungsdauer_abgewichen]]&lt;-0.3,"kürzer",TRUE,"keine Abweichung")</f>
        <v>keine Abweichung</v>
      </c>
      <c r="I3233">
        <v>1</v>
      </c>
    </row>
    <row r="3234" spans="1:9" hidden="1" x14ac:dyDescent="0.3">
      <c r="A3234" s="13">
        <v>502</v>
      </c>
      <c r="B3234" s="4">
        <v>1</v>
      </c>
      <c r="C3234" t="s">
        <v>526</v>
      </c>
      <c r="D3234" t="s">
        <v>527</v>
      </c>
      <c r="E3234">
        <v>4</v>
      </c>
      <c r="F3234">
        <v>4</v>
      </c>
      <c r="G3234" s="8">
        <f>Lektionen[[#This Row],[Bearbeitungsdauer_real]]/Lektionen[[#This Row],[Bearbeitungsdauer_geschätzt]]-1</f>
        <v>0</v>
      </c>
      <c r="H3234" s="8" t="str" cm="1">
        <f t="array" ref="H3234">_xlfn.IFS(Lektionen[[#This Row],[Bearbeitungsdauer_abgewichen]]&gt;0.6,"viel länger",Lektionen[[#This Row],[Bearbeitungsdauer_abgewichen]]&gt;0.3,"länger",Lektionen[[#This Row],[Bearbeitungsdauer_abgewichen]]&lt;-0.3,"kürzer",TRUE,"keine Abweichung")</f>
        <v>keine Abweichung</v>
      </c>
      <c r="I3234">
        <v>1</v>
      </c>
    </row>
    <row r="3235" spans="1:9" hidden="1" x14ac:dyDescent="0.3">
      <c r="A3235" s="13">
        <v>502</v>
      </c>
      <c r="B3235" s="4">
        <v>2</v>
      </c>
      <c r="C3235" t="s">
        <v>528</v>
      </c>
      <c r="D3235" t="s">
        <v>529</v>
      </c>
      <c r="E3235">
        <v>15</v>
      </c>
      <c r="F3235">
        <v>17</v>
      </c>
      <c r="G3235" s="8">
        <f>Lektionen[[#This Row],[Bearbeitungsdauer_real]]/Lektionen[[#This Row],[Bearbeitungsdauer_geschätzt]]-1</f>
        <v>0.1333333333333333</v>
      </c>
      <c r="H3235" s="8" t="str" cm="1">
        <f t="array" ref="H3235">_xlfn.IFS(Lektionen[[#This Row],[Bearbeitungsdauer_abgewichen]]&gt;0.6,"viel länger",Lektionen[[#This Row],[Bearbeitungsdauer_abgewichen]]&gt;0.3,"länger",Lektionen[[#This Row],[Bearbeitungsdauer_abgewichen]]&lt;-0.3,"kürzer",TRUE,"keine Abweichung")</f>
        <v>keine Abweichung</v>
      </c>
      <c r="I3235">
        <v>1</v>
      </c>
    </row>
    <row r="3236" spans="1:9" hidden="1" x14ac:dyDescent="0.3">
      <c r="A3236" s="13">
        <v>502</v>
      </c>
      <c r="B3236" s="4">
        <v>3</v>
      </c>
      <c r="C3236" t="s">
        <v>552</v>
      </c>
      <c r="D3236" t="s">
        <v>530</v>
      </c>
      <c r="E3236">
        <v>30</v>
      </c>
      <c r="F3236">
        <v>28</v>
      </c>
      <c r="G3236" s="8">
        <f>Lektionen[[#This Row],[Bearbeitungsdauer_real]]/Lektionen[[#This Row],[Bearbeitungsdauer_geschätzt]]-1</f>
        <v>-6.6666666666666652E-2</v>
      </c>
      <c r="H3236" s="8" t="str" cm="1">
        <f t="array" ref="H3236">_xlfn.IFS(Lektionen[[#This Row],[Bearbeitungsdauer_abgewichen]]&gt;0.6,"viel länger",Lektionen[[#This Row],[Bearbeitungsdauer_abgewichen]]&gt;0.3,"länger",Lektionen[[#This Row],[Bearbeitungsdauer_abgewichen]]&lt;-0.3,"kürzer",TRUE,"keine Abweichung")</f>
        <v>keine Abweichung</v>
      </c>
      <c r="I3236">
        <v>3</v>
      </c>
    </row>
    <row r="3237" spans="1:9" hidden="1" x14ac:dyDescent="0.3">
      <c r="A3237" s="13">
        <v>502</v>
      </c>
      <c r="B3237" s="4">
        <v>4</v>
      </c>
      <c r="C3237" t="s">
        <v>531</v>
      </c>
      <c r="D3237" t="s">
        <v>530</v>
      </c>
      <c r="E3237">
        <v>30</v>
      </c>
      <c r="F3237">
        <v>24</v>
      </c>
      <c r="G3237" s="8">
        <f>Lektionen[[#This Row],[Bearbeitungsdauer_real]]/Lektionen[[#This Row],[Bearbeitungsdauer_geschätzt]]-1</f>
        <v>-0.19999999999999996</v>
      </c>
      <c r="H3237" s="8" t="str" cm="1">
        <f t="array" ref="H3237">_xlfn.IFS(Lektionen[[#This Row],[Bearbeitungsdauer_abgewichen]]&gt;0.6,"viel länger",Lektionen[[#This Row],[Bearbeitungsdauer_abgewichen]]&gt;0.3,"länger",Lektionen[[#This Row],[Bearbeitungsdauer_abgewichen]]&lt;-0.3,"kürzer",TRUE,"keine Abweichung")</f>
        <v>keine Abweichung</v>
      </c>
      <c r="I3237">
        <v>3</v>
      </c>
    </row>
    <row r="3238" spans="1:9" x14ac:dyDescent="0.3">
      <c r="A3238" s="13">
        <v>502</v>
      </c>
      <c r="B3238" s="4">
        <v>5</v>
      </c>
      <c r="C3238" t="s">
        <v>532</v>
      </c>
      <c r="D3238" t="s">
        <v>530</v>
      </c>
      <c r="E3238">
        <v>30</v>
      </c>
      <c r="F3238">
        <v>41</v>
      </c>
      <c r="G3238" s="8">
        <f>Lektionen[[#This Row],[Bearbeitungsdauer_real]]/Lektionen[[#This Row],[Bearbeitungsdauer_geschätzt]]-1</f>
        <v>0.3666666666666667</v>
      </c>
      <c r="H3238" s="8" t="str" cm="1">
        <f t="array" ref="H3238">_xlfn.IFS(Lektionen[[#This Row],[Bearbeitungsdauer_abgewichen]]&gt;0.6,"viel länger",Lektionen[[#This Row],[Bearbeitungsdauer_abgewichen]]&gt;0.3,"länger",Lektionen[[#This Row],[Bearbeitungsdauer_abgewichen]]&lt;-0.3,"kürzer",TRUE,"keine Abweichung")</f>
        <v>länger</v>
      </c>
      <c r="I3238">
        <v>3</v>
      </c>
    </row>
    <row r="3239" spans="1:9" hidden="1" x14ac:dyDescent="0.3">
      <c r="A3239" s="13">
        <v>502</v>
      </c>
      <c r="B3239" s="4">
        <v>6</v>
      </c>
      <c r="C3239" t="s">
        <v>533</v>
      </c>
      <c r="D3239" t="s">
        <v>534</v>
      </c>
      <c r="E3239">
        <v>5</v>
      </c>
      <c r="F3239">
        <v>3</v>
      </c>
      <c r="G3239" s="8">
        <f>Lektionen[[#This Row],[Bearbeitungsdauer_real]]/Lektionen[[#This Row],[Bearbeitungsdauer_geschätzt]]-1</f>
        <v>-0.4</v>
      </c>
      <c r="H3239" s="8" t="str" cm="1">
        <f t="array" ref="H3239">_xlfn.IFS(Lektionen[[#This Row],[Bearbeitungsdauer_abgewichen]]&gt;0.6,"viel länger",Lektionen[[#This Row],[Bearbeitungsdauer_abgewichen]]&gt;0.3,"länger",Lektionen[[#This Row],[Bearbeitungsdauer_abgewichen]]&lt;-0.3,"kürzer",TRUE,"keine Abweichung")</f>
        <v>kürzer</v>
      </c>
      <c r="I3239">
        <v>2</v>
      </c>
    </row>
    <row r="3240" spans="1:9" hidden="1" x14ac:dyDescent="0.3">
      <c r="A3240" s="13">
        <v>502</v>
      </c>
      <c r="B3240" s="4">
        <v>7</v>
      </c>
      <c r="C3240" t="s">
        <v>535</v>
      </c>
      <c r="D3240" t="s">
        <v>536</v>
      </c>
      <c r="E3240">
        <v>10</v>
      </c>
      <c r="F3240">
        <v>9</v>
      </c>
      <c r="G3240" s="8">
        <f>Lektionen[[#This Row],[Bearbeitungsdauer_real]]/Lektionen[[#This Row],[Bearbeitungsdauer_geschätzt]]-1</f>
        <v>-9.9999999999999978E-2</v>
      </c>
      <c r="H3240" s="8" t="str" cm="1">
        <f t="array" ref="H3240">_xlfn.IFS(Lektionen[[#This Row],[Bearbeitungsdauer_abgewichen]]&gt;0.6,"viel länger",Lektionen[[#This Row],[Bearbeitungsdauer_abgewichen]]&gt;0.3,"länger",Lektionen[[#This Row],[Bearbeitungsdauer_abgewichen]]&lt;-0.3,"kürzer",TRUE,"keine Abweichung")</f>
        <v>keine Abweichung</v>
      </c>
      <c r="I3240">
        <v>3</v>
      </c>
    </row>
    <row r="3241" spans="1:9" hidden="1" x14ac:dyDescent="0.3">
      <c r="A3241" s="13">
        <v>502</v>
      </c>
      <c r="B3241" s="4">
        <v>8</v>
      </c>
      <c r="C3241" t="s">
        <v>537</v>
      </c>
      <c r="D3241" t="s">
        <v>527</v>
      </c>
      <c r="E3241">
        <v>5</v>
      </c>
      <c r="F3241">
        <v>5</v>
      </c>
      <c r="G3241" s="8">
        <f>Lektionen[[#This Row],[Bearbeitungsdauer_real]]/Lektionen[[#This Row],[Bearbeitungsdauer_geschätzt]]-1</f>
        <v>0</v>
      </c>
      <c r="H3241" s="8" t="str" cm="1">
        <f t="array" ref="H3241">_xlfn.IFS(Lektionen[[#This Row],[Bearbeitungsdauer_abgewichen]]&gt;0.6,"viel länger",Lektionen[[#This Row],[Bearbeitungsdauer_abgewichen]]&gt;0.3,"länger",Lektionen[[#This Row],[Bearbeitungsdauer_abgewichen]]&lt;-0.3,"kürzer",TRUE,"keine Abweichung")</f>
        <v>keine Abweichung</v>
      </c>
      <c r="I3241">
        <v>1</v>
      </c>
    </row>
    <row r="3242" spans="1:9" hidden="1" x14ac:dyDescent="0.3">
      <c r="A3242" s="13">
        <v>503</v>
      </c>
      <c r="B3242" s="4">
        <v>1</v>
      </c>
      <c r="C3242" t="s">
        <v>526</v>
      </c>
      <c r="D3242" t="s">
        <v>527</v>
      </c>
      <c r="E3242">
        <v>4</v>
      </c>
      <c r="F3242">
        <v>4</v>
      </c>
      <c r="G3242" s="8">
        <f>Lektionen[[#This Row],[Bearbeitungsdauer_real]]/Lektionen[[#This Row],[Bearbeitungsdauer_geschätzt]]-1</f>
        <v>0</v>
      </c>
      <c r="H3242" s="8" t="str" cm="1">
        <f t="array" ref="H3242">_xlfn.IFS(Lektionen[[#This Row],[Bearbeitungsdauer_abgewichen]]&gt;0.6,"viel länger",Lektionen[[#This Row],[Bearbeitungsdauer_abgewichen]]&gt;0.3,"länger",Lektionen[[#This Row],[Bearbeitungsdauer_abgewichen]]&lt;-0.3,"kürzer",TRUE,"keine Abweichung")</f>
        <v>keine Abweichung</v>
      </c>
      <c r="I3242">
        <v>1</v>
      </c>
    </row>
    <row r="3243" spans="1:9" hidden="1" x14ac:dyDescent="0.3">
      <c r="A3243" s="13">
        <v>503</v>
      </c>
      <c r="B3243" s="4">
        <v>2</v>
      </c>
      <c r="C3243" t="s">
        <v>528</v>
      </c>
      <c r="D3243" t="s">
        <v>529</v>
      </c>
      <c r="E3243">
        <v>15</v>
      </c>
      <c r="F3243">
        <v>16</v>
      </c>
      <c r="G3243" s="8">
        <f>Lektionen[[#This Row],[Bearbeitungsdauer_real]]/Lektionen[[#This Row],[Bearbeitungsdauer_geschätzt]]-1</f>
        <v>6.6666666666666652E-2</v>
      </c>
      <c r="H3243" s="8" t="str" cm="1">
        <f t="array" ref="H3243">_xlfn.IFS(Lektionen[[#This Row],[Bearbeitungsdauer_abgewichen]]&gt;0.6,"viel länger",Lektionen[[#This Row],[Bearbeitungsdauer_abgewichen]]&gt;0.3,"länger",Lektionen[[#This Row],[Bearbeitungsdauer_abgewichen]]&lt;-0.3,"kürzer",TRUE,"keine Abweichung")</f>
        <v>keine Abweichung</v>
      </c>
      <c r="I3243">
        <v>2</v>
      </c>
    </row>
    <row r="3244" spans="1:9" hidden="1" x14ac:dyDescent="0.3">
      <c r="A3244" s="13">
        <v>503</v>
      </c>
      <c r="B3244" s="4">
        <v>3</v>
      </c>
      <c r="C3244" t="s">
        <v>552</v>
      </c>
      <c r="D3244" t="s">
        <v>530</v>
      </c>
      <c r="E3244">
        <v>30</v>
      </c>
      <c r="F3244">
        <v>28</v>
      </c>
      <c r="G3244" s="8">
        <f>Lektionen[[#This Row],[Bearbeitungsdauer_real]]/Lektionen[[#This Row],[Bearbeitungsdauer_geschätzt]]-1</f>
        <v>-6.6666666666666652E-2</v>
      </c>
      <c r="H3244" s="8" t="str" cm="1">
        <f t="array" ref="H3244">_xlfn.IFS(Lektionen[[#This Row],[Bearbeitungsdauer_abgewichen]]&gt;0.6,"viel länger",Lektionen[[#This Row],[Bearbeitungsdauer_abgewichen]]&gt;0.3,"länger",Lektionen[[#This Row],[Bearbeitungsdauer_abgewichen]]&lt;-0.3,"kürzer",TRUE,"keine Abweichung")</f>
        <v>keine Abweichung</v>
      </c>
      <c r="I3244">
        <v>3</v>
      </c>
    </row>
    <row r="3245" spans="1:9" hidden="1" x14ac:dyDescent="0.3">
      <c r="A3245" s="13">
        <v>503</v>
      </c>
      <c r="B3245" s="4">
        <v>4</v>
      </c>
      <c r="C3245" t="s">
        <v>531</v>
      </c>
      <c r="D3245" t="s">
        <v>530</v>
      </c>
      <c r="E3245">
        <v>30</v>
      </c>
      <c r="F3245">
        <v>15</v>
      </c>
      <c r="G3245" s="8">
        <f>Lektionen[[#This Row],[Bearbeitungsdauer_real]]/Lektionen[[#This Row],[Bearbeitungsdauer_geschätzt]]-1</f>
        <v>-0.5</v>
      </c>
      <c r="H3245" s="8" t="str" cm="1">
        <f t="array" ref="H3245">_xlfn.IFS(Lektionen[[#This Row],[Bearbeitungsdauer_abgewichen]]&gt;0.6,"viel länger",Lektionen[[#This Row],[Bearbeitungsdauer_abgewichen]]&gt;0.3,"länger",Lektionen[[#This Row],[Bearbeitungsdauer_abgewichen]]&lt;-0.3,"kürzer",TRUE,"keine Abweichung")</f>
        <v>kürzer</v>
      </c>
      <c r="I3245">
        <v>3</v>
      </c>
    </row>
    <row r="3246" spans="1:9" x14ac:dyDescent="0.3">
      <c r="A3246" s="13">
        <v>503</v>
      </c>
      <c r="B3246" s="4">
        <v>5</v>
      </c>
      <c r="C3246" t="s">
        <v>532</v>
      </c>
      <c r="D3246" t="s">
        <v>530</v>
      </c>
      <c r="E3246">
        <v>30</v>
      </c>
      <c r="F3246">
        <v>35</v>
      </c>
      <c r="G3246" s="8">
        <f>Lektionen[[#This Row],[Bearbeitungsdauer_real]]/Lektionen[[#This Row],[Bearbeitungsdauer_geschätzt]]-1</f>
        <v>0.16666666666666674</v>
      </c>
      <c r="H3246" s="8" t="str" cm="1">
        <f t="array" ref="H3246">_xlfn.IFS(Lektionen[[#This Row],[Bearbeitungsdauer_abgewichen]]&gt;0.6,"viel länger",Lektionen[[#This Row],[Bearbeitungsdauer_abgewichen]]&gt;0.3,"länger",Lektionen[[#This Row],[Bearbeitungsdauer_abgewichen]]&lt;-0.3,"kürzer",TRUE,"keine Abweichung")</f>
        <v>keine Abweichung</v>
      </c>
      <c r="I3246">
        <v>4</v>
      </c>
    </row>
    <row r="3247" spans="1:9" hidden="1" x14ac:dyDescent="0.3">
      <c r="A3247" s="13">
        <v>503</v>
      </c>
      <c r="B3247" s="4">
        <v>6</v>
      </c>
      <c r="C3247" t="s">
        <v>533</v>
      </c>
      <c r="D3247" t="s">
        <v>534</v>
      </c>
      <c r="E3247">
        <v>5</v>
      </c>
      <c r="F3247">
        <v>2</v>
      </c>
      <c r="G3247" s="8">
        <f>Lektionen[[#This Row],[Bearbeitungsdauer_real]]/Lektionen[[#This Row],[Bearbeitungsdauer_geschätzt]]-1</f>
        <v>-0.6</v>
      </c>
      <c r="H3247" s="8" t="str" cm="1">
        <f t="array" ref="H3247">_xlfn.IFS(Lektionen[[#This Row],[Bearbeitungsdauer_abgewichen]]&gt;0.6,"viel länger",Lektionen[[#This Row],[Bearbeitungsdauer_abgewichen]]&gt;0.3,"länger",Lektionen[[#This Row],[Bearbeitungsdauer_abgewichen]]&lt;-0.3,"kürzer",TRUE,"keine Abweichung")</f>
        <v>kürzer</v>
      </c>
      <c r="I3247">
        <v>3</v>
      </c>
    </row>
    <row r="3248" spans="1:9" hidden="1" x14ac:dyDescent="0.3">
      <c r="A3248" s="13">
        <v>503</v>
      </c>
      <c r="B3248" s="4">
        <v>7</v>
      </c>
      <c r="C3248" t="s">
        <v>535</v>
      </c>
      <c r="D3248" t="s">
        <v>536</v>
      </c>
      <c r="E3248">
        <v>10</v>
      </c>
      <c r="F3248">
        <v>9</v>
      </c>
      <c r="G3248" s="8">
        <f>Lektionen[[#This Row],[Bearbeitungsdauer_real]]/Lektionen[[#This Row],[Bearbeitungsdauer_geschätzt]]-1</f>
        <v>-9.9999999999999978E-2</v>
      </c>
      <c r="H3248" s="8" t="str" cm="1">
        <f t="array" ref="H3248">_xlfn.IFS(Lektionen[[#This Row],[Bearbeitungsdauer_abgewichen]]&gt;0.6,"viel länger",Lektionen[[#This Row],[Bearbeitungsdauer_abgewichen]]&gt;0.3,"länger",Lektionen[[#This Row],[Bearbeitungsdauer_abgewichen]]&lt;-0.3,"kürzer",TRUE,"keine Abweichung")</f>
        <v>keine Abweichung</v>
      </c>
      <c r="I3248">
        <v>3</v>
      </c>
    </row>
    <row r="3249" spans="1:9" hidden="1" x14ac:dyDescent="0.3">
      <c r="A3249" s="13">
        <v>503</v>
      </c>
      <c r="B3249" s="4">
        <v>8</v>
      </c>
      <c r="C3249" t="s">
        <v>537</v>
      </c>
      <c r="D3249" t="s">
        <v>527</v>
      </c>
      <c r="E3249">
        <v>5</v>
      </c>
      <c r="F3249">
        <v>5</v>
      </c>
      <c r="G3249" s="8">
        <f>Lektionen[[#This Row],[Bearbeitungsdauer_real]]/Lektionen[[#This Row],[Bearbeitungsdauer_geschätzt]]-1</f>
        <v>0</v>
      </c>
      <c r="H3249" s="8" t="str" cm="1">
        <f t="array" ref="H3249">_xlfn.IFS(Lektionen[[#This Row],[Bearbeitungsdauer_abgewichen]]&gt;0.6,"viel länger",Lektionen[[#This Row],[Bearbeitungsdauer_abgewichen]]&gt;0.3,"länger",Lektionen[[#This Row],[Bearbeitungsdauer_abgewichen]]&lt;-0.3,"kürzer",TRUE,"keine Abweichung")</f>
        <v>keine Abweichung</v>
      </c>
      <c r="I3249">
        <v>1</v>
      </c>
    </row>
    <row r="3250" spans="1:9" hidden="1" x14ac:dyDescent="0.3">
      <c r="A3250" s="13">
        <v>504</v>
      </c>
      <c r="B3250" s="4">
        <v>1</v>
      </c>
      <c r="C3250" t="s">
        <v>526</v>
      </c>
      <c r="D3250" t="s">
        <v>527</v>
      </c>
      <c r="E3250">
        <v>4</v>
      </c>
      <c r="F3250">
        <v>4</v>
      </c>
      <c r="G3250" s="8">
        <f>Lektionen[[#This Row],[Bearbeitungsdauer_real]]/Lektionen[[#This Row],[Bearbeitungsdauer_geschätzt]]-1</f>
        <v>0</v>
      </c>
      <c r="H3250" s="8" t="str" cm="1">
        <f t="array" ref="H3250">_xlfn.IFS(Lektionen[[#This Row],[Bearbeitungsdauer_abgewichen]]&gt;0.6,"viel länger",Lektionen[[#This Row],[Bearbeitungsdauer_abgewichen]]&gt;0.3,"länger",Lektionen[[#This Row],[Bearbeitungsdauer_abgewichen]]&lt;-0.3,"kürzer",TRUE,"keine Abweichung")</f>
        <v>keine Abweichung</v>
      </c>
      <c r="I3250">
        <v>1</v>
      </c>
    </row>
    <row r="3251" spans="1:9" hidden="1" x14ac:dyDescent="0.3">
      <c r="A3251" s="13">
        <v>504</v>
      </c>
      <c r="B3251" s="4">
        <v>2</v>
      </c>
      <c r="C3251" t="s">
        <v>528</v>
      </c>
      <c r="D3251" t="s">
        <v>529</v>
      </c>
      <c r="E3251">
        <v>15</v>
      </c>
      <c r="F3251">
        <v>18</v>
      </c>
      <c r="G3251" s="8">
        <f>Lektionen[[#This Row],[Bearbeitungsdauer_real]]/Lektionen[[#This Row],[Bearbeitungsdauer_geschätzt]]-1</f>
        <v>0.19999999999999996</v>
      </c>
      <c r="H3251" s="8" t="str" cm="1">
        <f t="array" ref="H3251">_xlfn.IFS(Lektionen[[#This Row],[Bearbeitungsdauer_abgewichen]]&gt;0.6,"viel länger",Lektionen[[#This Row],[Bearbeitungsdauer_abgewichen]]&gt;0.3,"länger",Lektionen[[#This Row],[Bearbeitungsdauer_abgewichen]]&lt;-0.3,"kürzer",TRUE,"keine Abweichung")</f>
        <v>keine Abweichung</v>
      </c>
      <c r="I3251">
        <v>2</v>
      </c>
    </row>
    <row r="3252" spans="1:9" hidden="1" x14ac:dyDescent="0.3">
      <c r="A3252" s="13">
        <v>504</v>
      </c>
      <c r="B3252" s="4">
        <v>3</v>
      </c>
      <c r="C3252" t="s">
        <v>552</v>
      </c>
      <c r="D3252" t="s">
        <v>530</v>
      </c>
      <c r="E3252">
        <v>30</v>
      </c>
      <c r="F3252">
        <v>28</v>
      </c>
      <c r="G3252" s="8">
        <f>Lektionen[[#This Row],[Bearbeitungsdauer_real]]/Lektionen[[#This Row],[Bearbeitungsdauer_geschätzt]]-1</f>
        <v>-6.6666666666666652E-2</v>
      </c>
      <c r="H3252" s="8" t="str" cm="1">
        <f t="array" ref="H3252">_xlfn.IFS(Lektionen[[#This Row],[Bearbeitungsdauer_abgewichen]]&gt;0.6,"viel länger",Lektionen[[#This Row],[Bearbeitungsdauer_abgewichen]]&gt;0.3,"länger",Lektionen[[#This Row],[Bearbeitungsdauer_abgewichen]]&lt;-0.3,"kürzer",TRUE,"keine Abweichung")</f>
        <v>keine Abweichung</v>
      </c>
      <c r="I3252">
        <v>3</v>
      </c>
    </row>
    <row r="3253" spans="1:9" hidden="1" x14ac:dyDescent="0.3">
      <c r="A3253" s="13">
        <v>504</v>
      </c>
      <c r="B3253" s="4">
        <v>4</v>
      </c>
      <c r="C3253" t="s">
        <v>531</v>
      </c>
      <c r="D3253" t="s">
        <v>530</v>
      </c>
      <c r="E3253">
        <v>30</v>
      </c>
      <c r="F3253">
        <v>24</v>
      </c>
      <c r="G3253" s="8">
        <f>Lektionen[[#This Row],[Bearbeitungsdauer_real]]/Lektionen[[#This Row],[Bearbeitungsdauer_geschätzt]]-1</f>
        <v>-0.19999999999999996</v>
      </c>
      <c r="H3253" s="8" t="str" cm="1">
        <f t="array" ref="H3253">_xlfn.IFS(Lektionen[[#This Row],[Bearbeitungsdauer_abgewichen]]&gt;0.6,"viel länger",Lektionen[[#This Row],[Bearbeitungsdauer_abgewichen]]&gt;0.3,"länger",Lektionen[[#This Row],[Bearbeitungsdauer_abgewichen]]&lt;-0.3,"kürzer",TRUE,"keine Abweichung")</f>
        <v>keine Abweichung</v>
      </c>
      <c r="I3253">
        <v>2</v>
      </c>
    </row>
    <row r="3254" spans="1:9" x14ac:dyDescent="0.3">
      <c r="A3254" s="13">
        <v>504</v>
      </c>
      <c r="B3254" s="4">
        <v>5</v>
      </c>
      <c r="C3254" t="s">
        <v>532</v>
      </c>
      <c r="D3254" t="s">
        <v>530</v>
      </c>
      <c r="E3254">
        <v>30</v>
      </c>
      <c r="F3254">
        <v>44</v>
      </c>
      <c r="G3254" s="8">
        <f>Lektionen[[#This Row],[Bearbeitungsdauer_real]]/Lektionen[[#This Row],[Bearbeitungsdauer_geschätzt]]-1</f>
        <v>0.46666666666666656</v>
      </c>
      <c r="H3254" s="8" t="str" cm="1">
        <f t="array" ref="H3254">_xlfn.IFS(Lektionen[[#This Row],[Bearbeitungsdauer_abgewichen]]&gt;0.6,"viel länger",Lektionen[[#This Row],[Bearbeitungsdauer_abgewichen]]&gt;0.3,"länger",Lektionen[[#This Row],[Bearbeitungsdauer_abgewichen]]&lt;-0.3,"kürzer",TRUE,"keine Abweichung")</f>
        <v>länger</v>
      </c>
      <c r="I3254">
        <v>4</v>
      </c>
    </row>
    <row r="3255" spans="1:9" hidden="1" x14ac:dyDescent="0.3">
      <c r="A3255" s="13">
        <v>504</v>
      </c>
      <c r="B3255" s="4">
        <v>6</v>
      </c>
      <c r="C3255" t="s">
        <v>533</v>
      </c>
      <c r="D3255" t="s">
        <v>534</v>
      </c>
      <c r="E3255">
        <v>5</v>
      </c>
      <c r="F3255">
        <v>1</v>
      </c>
      <c r="G3255" s="8">
        <f>Lektionen[[#This Row],[Bearbeitungsdauer_real]]/Lektionen[[#This Row],[Bearbeitungsdauer_geschätzt]]-1</f>
        <v>-0.8</v>
      </c>
      <c r="H3255" s="8" t="str" cm="1">
        <f t="array" ref="H3255">_xlfn.IFS(Lektionen[[#This Row],[Bearbeitungsdauer_abgewichen]]&gt;0.6,"viel länger",Lektionen[[#This Row],[Bearbeitungsdauer_abgewichen]]&gt;0.3,"länger",Lektionen[[#This Row],[Bearbeitungsdauer_abgewichen]]&lt;-0.3,"kürzer",TRUE,"keine Abweichung")</f>
        <v>kürzer</v>
      </c>
      <c r="I3255">
        <v>1</v>
      </c>
    </row>
    <row r="3256" spans="1:9" hidden="1" x14ac:dyDescent="0.3">
      <c r="A3256" s="13">
        <v>504</v>
      </c>
      <c r="B3256" s="4">
        <v>7</v>
      </c>
      <c r="C3256" t="s">
        <v>535</v>
      </c>
      <c r="D3256" t="s">
        <v>536</v>
      </c>
      <c r="E3256">
        <v>10</v>
      </c>
      <c r="F3256">
        <v>8</v>
      </c>
      <c r="G3256" s="8">
        <f>Lektionen[[#This Row],[Bearbeitungsdauer_real]]/Lektionen[[#This Row],[Bearbeitungsdauer_geschätzt]]-1</f>
        <v>-0.19999999999999996</v>
      </c>
      <c r="H3256" s="8" t="str" cm="1">
        <f t="array" ref="H3256">_xlfn.IFS(Lektionen[[#This Row],[Bearbeitungsdauer_abgewichen]]&gt;0.6,"viel länger",Lektionen[[#This Row],[Bearbeitungsdauer_abgewichen]]&gt;0.3,"länger",Lektionen[[#This Row],[Bearbeitungsdauer_abgewichen]]&lt;-0.3,"kürzer",TRUE,"keine Abweichung")</f>
        <v>keine Abweichung</v>
      </c>
      <c r="I3256">
        <v>3</v>
      </c>
    </row>
    <row r="3257" spans="1:9" hidden="1" x14ac:dyDescent="0.3">
      <c r="A3257" s="13">
        <v>504</v>
      </c>
      <c r="B3257" s="4">
        <v>8</v>
      </c>
      <c r="C3257" t="s">
        <v>537</v>
      </c>
      <c r="D3257" t="s">
        <v>527</v>
      </c>
      <c r="E3257">
        <v>5</v>
      </c>
      <c r="F3257">
        <v>5</v>
      </c>
      <c r="G3257" s="8">
        <f>Lektionen[[#This Row],[Bearbeitungsdauer_real]]/Lektionen[[#This Row],[Bearbeitungsdauer_geschätzt]]-1</f>
        <v>0</v>
      </c>
      <c r="H3257" s="8" t="str" cm="1">
        <f t="array" ref="H3257">_xlfn.IFS(Lektionen[[#This Row],[Bearbeitungsdauer_abgewichen]]&gt;0.6,"viel länger",Lektionen[[#This Row],[Bearbeitungsdauer_abgewichen]]&gt;0.3,"länger",Lektionen[[#This Row],[Bearbeitungsdauer_abgewichen]]&lt;-0.3,"kürzer",TRUE,"keine Abweichung")</f>
        <v>keine Abweichung</v>
      </c>
      <c r="I3257">
        <v>1</v>
      </c>
    </row>
    <row r="3258" spans="1:9" hidden="1" x14ac:dyDescent="0.3">
      <c r="A3258" s="13">
        <v>505</v>
      </c>
      <c r="B3258" s="4">
        <v>1</v>
      </c>
      <c r="C3258" t="s">
        <v>526</v>
      </c>
      <c r="D3258" t="s">
        <v>527</v>
      </c>
      <c r="E3258">
        <v>4</v>
      </c>
      <c r="F3258">
        <v>4</v>
      </c>
      <c r="G3258" s="8">
        <f>Lektionen[[#This Row],[Bearbeitungsdauer_real]]/Lektionen[[#This Row],[Bearbeitungsdauer_geschätzt]]-1</f>
        <v>0</v>
      </c>
      <c r="H3258" s="8" t="str" cm="1">
        <f t="array" ref="H3258">_xlfn.IFS(Lektionen[[#This Row],[Bearbeitungsdauer_abgewichen]]&gt;0.6,"viel länger",Lektionen[[#This Row],[Bearbeitungsdauer_abgewichen]]&gt;0.3,"länger",Lektionen[[#This Row],[Bearbeitungsdauer_abgewichen]]&lt;-0.3,"kürzer",TRUE,"keine Abweichung")</f>
        <v>keine Abweichung</v>
      </c>
      <c r="I3258">
        <v>1</v>
      </c>
    </row>
    <row r="3259" spans="1:9" hidden="1" x14ac:dyDescent="0.3">
      <c r="A3259" s="13">
        <v>505</v>
      </c>
      <c r="B3259" s="4">
        <v>2</v>
      </c>
      <c r="C3259" t="s">
        <v>528</v>
      </c>
      <c r="D3259" t="s">
        <v>529</v>
      </c>
      <c r="E3259">
        <v>15</v>
      </c>
      <c r="F3259">
        <v>17</v>
      </c>
      <c r="G3259" s="8">
        <f>Lektionen[[#This Row],[Bearbeitungsdauer_real]]/Lektionen[[#This Row],[Bearbeitungsdauer_geschätzt]]-1</f>
        <v>0.1333333333333333</v>
      </c>
      <c r="H3259" s="8" t="str" cm="1">
        <f t="array" ref="H3259">_xlfn.IFS(Lektionen[[#This Row],[Bearbeitungsdauer_abgewichen]]&gt;0.6,"viel länger",Lektionen[[#This Row],[Bearbeitungsdauer_abgewichen]]&gt;0.3,"länger",Lektionen[[#This Row],[Bearbeitungsdauer_abgewichen]]&lt;-0.3,"kürzer",TRUE,"keine Abweichung")</f>
        <v>keine Abweichung</v>
      </c>
      <c r="I3259">
        <v>2</v>
      </c>
    </row>
    <row r="3260" spans="1:9" hidden="1" x14ac:dyDescent="0.3">
      <c r="A3260" s="13">
        <v>505</v>
      </c>
      <c r="B3260" s="4">
        <v>3</v>
      </c>
      <c r="C3260" t="s">
        <v>552</v>
      </c>
      <c r="D3260" t="s">
        <v>530</v>
      </c>
      <c r="E3260">
        <v>30</v>
      </c>
      <c r="F3260">
        <v>27</v>
      </c>
      <c r="G3260" s="8">
        <f>Lektionen[[#This Row],[Bearbeitungsdauer_real]]/Lektionen[[#This Row],[Bearbeitungsdauer_geschätzt]]-1</f>
        <v>-9.9999999999999978E-2</v>
      </c>
      <c r="H3260" s="8" t="str" cm="1">
        <f t="array" ref="H3260">_xlfn.IFS(Lektionen[[#This Row],[Bearbeitungsdauer_abgewichen]]&gt;0.6,"viel länger",Lektionen[[#This Row],[Bearbeitungsdauer_abgewichen]]&gt;0.3,"länger",Lektionen[[#This Row],[Bearbeitungsdauer_abgewichen]]&lt;-0.3,"kürzer",TRUE,"keine Abweichung")</f>
        <v>keine Abweichung</v>
      </c>
      <c r="I3260">
        <v>3</v>
      </c>
    </row>
    <row r="3261" spans="1:9" hidden="1" x14ac:dyDescent="0.3">
      <c r="A3261" s="13">
        <v>505</v>
      </c>
      <c r="B3261" s="4">
        <v>4</v>
      </c>
      <c r="C3261" t="s">
        <v>531</v>
      </c>
      <c r="D3261" t="s">
        <v>530</v>
      </c>
      <c r="E3261">
        <v>30</v>
      </c>
      <c r="F3261">
        <v>28</v>
      </c>
      <c r="G3261" s="8">
        <f>Lektionen[[#This Row],[Bearbeitungsdauer_real]]/Lektionen[[#This Row],[Bearbeitungsdauer_geschätzt]]-1</f>
        <v>-6.6666666666666652E-2</v>
      </c>
      <c r="H3261" s="8" t="str" cm="1">
        <f t="array" ref="H3261">_xlfn.IFS(Lektionen[[#This Row],[Bearbeitungsdauer_abgewichen]]&gt;0.6,"viel länger",Lektionen[[#This Row],[Bearbeitungsdauer_abgewichen]]&gt;0.3,"länger",Lektionen[[#This Row],[Bearbeitungsdauer_abgewichen]]&lt;-0.3,"kürzer",TRUE,"keine Abweichung")</f>
        <v>keine Abweichung</v>
      </c>
      <c r="I3261">
        <v>3</v>
      </c>
    </row>
    <row r="3262" spans="1:9" x14ac:dyDescent="0.3">
      <c r="A3262" s="13">
        <v>505</v>
      </c>
      <c r="B3262" s="4">
        <v>5</v>
      </c>
      <c r="C3262" t="s">
        <v>532</v>
      </c>
      <c r="D3262" t="s">
        <v>530</v>
      </c>
      <c r="E3262">
        <v>30</v>
      </c>
      <c r="F3262">
        <v>47</v>
      </c>
      <c r="G3262" s="8">
        <f>Lektionen[[#This Row],[Bearbeitungsdauer_real]]/Lektionen[[#This Row],[Bearbeitungsdauer_geschätzt]]-1</f>
        <v>0.56666666666666665</v>
      </c>
      <c r="H3262" s="8" t="str" cm="1">
        <f t="array" ref="H3262">_xlfn.IFS(Lektionen[[#This Row],[Bearbeitungsdauer_abgewichen]]&gt;0.6,"viel länger",Lektionen[[#This Row],[Bearbeitungsdauer_abgewichen]]&gt;0.3,"länger",Lektionen[[#This Row],[Bearbeitungsdauer_abgewichen]]&lt;-0.3,"kürzer",TRUE,"keine Abweichung")</f>
        <v>länger</v>
      </c>
      <c r="I3262">
        <v>4</v>
      </c>
    </row>
    <row r="3263" spans="1:9" hidden="1" x14ac:dyDescent="0.3">
      <c r="A3263" s="13">
        <v>505</v>
      </c>
      <c r="B3263" s="4">
        <v>6</v>
      </c>
      <c r="C3263" t="s">
        <v>533</v>
      </c>
      <c r="D3263" t="s">
        <v>534</v>
      </c>
      <c r="E3263">
        <v>5</v>
      </c>
      <c r="F3263">
        <v>1</v>
      </c>
      <c r="G3263" s="8">
        <f>Lektionen[[#This Row],[Bearbeitungsdauer_real]]/Lektionen[[#This Row],[Bearbeitungsdauer_geschätzt]]-1</f>
        <v>-0.8</v>
      </c>
      <c r="H3263" s="8" t="str" cm="1">
        <f t="array" ref="H3263">_xlfn.IFS(Lektionen[[#This Row],[Bearbeitungsdauer_abgewichen]]&gt;0.6,"viel länger",Lektionen[[#This Row],[Bearbeitungsdauer_abgewichen]]&gt;0.3,"länger",Lektionen[[#This Row],[Bearbeitungsdauer_abgewichen]]&lt;-0.3,"kürzer",TRUE,"keine Abweichung")</f>
        <v>kürzer</v>
      </c>
      <c r="I3263">
        <v>1</v>
      </c>
    </row>
    <row r="3264" spans="1:9" hidden="1" x14ac:dyDescent="0.3">
      <c r="A3264" s="13">
        <v>505</v>
      </c>
      <c r="B3264" s="4">
        <v>7</v>
      </c>
      <c r="C3264" t="s">
        <v>535</v>
      </c>
      <c r="D3264" t="s">
        <v>536</v>
      </c>
      <c r="E3264">
        <v>10</v>
      </c>
      <c r="F3264">
        <v>10</v>
      </c>
      <c r="G3264" s="8">
        <f>Lektionen[[#This Row],[Bearbeitungsdauer_real]]/Lektionen[[#This Row],[Bearbeitungsdauer_geschätzt]]-1</f>
        <v>0</v>
      </c>
      <c r="H3264" s="8" t="str" cm="1">
        <f t="array" ref="H3264">_xlfn.IFS(Lektionen[[#This Row],[Bearbeitungsdauer_abgewichen]]&gt;0.6,"viel länger",Lektionen[[#This Row],[Bearbeitungsdauer_abgewichen]]&gt;0.3,"länger",Lektionen[[#This Row],[Bearbeitungsdauer_abgewichen]]&lt;-0.3,"kürzer",TRUE,"keine Abweichung")</f>
        <v>keine Abweichung</v>
      </c>
      <c r="I3264">
        <v>3</v>
      </c>
    </row>
    <row r="3265" spans="1:9" hidden="1" x14ac:dyDescent="0.3">
      <c r="A3265" s="13">
        <v>505</v>
      </c>
      <c r="B3265" s="4">
        <v>8</v>
      </c>
      <c r="C3265" t="s">
        <v>537</v>
      </c>
      <c r="D3265" t="s">
        <v>527</v>
      </c>
      <c r="E3265">
        <v>5</v>
      </c>
      <c r="F3265">
        <v>8</v>
      </c>
      <c r="G3265" s="8">
        <f>Lektionen[[#This Row],[Bearbeitungsdauer_real]]/Lektionen[[#This Row],[Bearbeitungsdauer_geschätzt]]-1</f>
        <v>0.60000000000000009</v>
      </c>
      <c r="H3265" s="8" t="str" cm="1">
        <f t="array" ref="H3265">_xlfn.IFS(Lektionen[[#This Row],[Bearbeitungsdauer_abgewichen]]&gt;0.6,"viel länger",Lektionen[[#This Row],[Bearbeitungsdauer_abgewichen]]&gt;0.3,"länger",Lektionen[[#This Row],[Bearbeitungsdauer_abgewichen]]&lt;-0.3,"kürzer",TRUE,"keine Abweichung")</f>
        <v>länger</v>
      </c>
      <c r="I3265">
        <v>1</v>
      </c>
    </row>
    <row r="3266" spans="1:9" hidden="1" x14ac:dyDescent="0.3">
      <c r="A3266" s="13">
        <v>506</v>
      </c>
      <c r="B3266" s="4">
        <v>1</v>
      </c>
      <c r="C3266" t="s">
        <v>526</v>
      </c>
      <c r="D3266" t="s">
        <v>527</v>
      </c>
      <c r="E3266">
        <v>4</v>
      </c>
      <c r="F3266">
        <v>4</v>
      </c>
      <c r="G3266" s="8">
        <f>Lektionen[[#This Row],[Bearbeitungsdauer_real]]/Lektionen[[#This Row],[Bearbeitungsdauer_geschätzt]]-1</f>
        <v>0</v>
      </c>
      <c r="H3266" s="8" t="str" cm="1">
        <f t="array" ref="H3266">_xlfn.IFS(Lektionen[[#This Row],[Bearbeitungsdauer_abgewichen]]&gt;0.6,"viel länger",Lektionen[[#This Row],[Bearbeitungsdauer_abgewichen]]&gt;0.3,"länger",Lektionen[[#This Row],[Bearbeitungsdauer_abgewichen]]&lt;-0.3,"kürzer",TRUE,"keine Abweichung")</f>
        <v>keine Abweichung</v>
      </c>
      <c r="I3266">
        <v>2</v>
      </c>
    </row>
    <row r="3267" spans="1:9" hidden="1" x14ac:dyDescent="0.3">
      <c r="A3267" s="13">
        <v>506</v>
      </c>
      <c r="B3267" s="4">
        <v>2</v>
      </c>
      <c r="C3267" t="s">
        <v>528</v>
      </c>
      <c r="D3267" t="s">
        <v>529</v>
      </c>
      <c r="E3267">
        <v>15</v>
      </c>
      <c r="F3267">
        <v>18</v>
      </c>
      <c r="G3267" s="8">
        <f>Lektionen[[#This Row],[Bearbeitungsdauer_real]]/Lektionen[[#This Row],[Bearbeitungsdauer_geschätzt]]-1</f>
        <v>0.19999999999999996</v>
      </c>
      <c r="H3267" s="8" t="str" cm="1">
        <f t="array" ref="H3267">_xlfn.IFS(Lektionen[[#This Row],[Bearbeitungsdauer_abgewichen]]&gt;0.6,"viel länger",Lektionen[[#This Row],[Bearbeitungsdauer_abgewichen]]&gt;0.3,"länger",Lektionen[[#This Row],[Bearbeitungsdauer_abgewichen]]&lt;-0.3,"kürzer",TRUE,"keine Abweichung")</f>
        <v>keine Abweichung</v>
      </c>
      <c r="I3267">
        <v>1</v>
      </c>
    </row>
    <row r="3268" spans="1:9" hidden="1" x14ac:dyDescent="0.3">
      <c r="A3268" s="13">
        <v>506</v>
      </c>
      <c r="B3268" s="4">
        <v>3</v>
      </c>
      <c r="C3268" t="s">
        <v>552</v>
      </c>
      <c r="D3268" t="s">
        <v>530</v>
      </c>
      <c r="E3268">
        <v>30</v>
      </c>
      <c r="F3268">
        <v>30</v>
      </c>
      <c r="G3268" s="8">
        <f>Lektionen[[#This Row],[Bearbeitungsdauer_real]]/Lektionen[[#This Row],[Bearbeitungsdauer_geschätzt]]-1</f>
        <v>0</v>
      </c>
      <c r="H3268" s="8" t="str" cm="1">
        <f t="array" ref="H3268">_xlfn.IFS(Lektionen[[#This Row],[Bearbeitungsdauer_abgewichen]]&gt;0.6,"viel länger",Lektionen[[#This Row],[Bearbeitungsdauer_abgewichen]]&gt;0.3,"länger",Lektionen[[#This Row],[Bearbeitungsdauer_abgewichen]]&lt;-0.3,"kürzer",TRUE,"keine Abweichung")</f>
        <v>keine Abweichung</v>
      </c>
      <c r="I3268">
        <v>2</v>
      </c>
    </row>
    <row r="3269" spans="1:9" hidden="1" x14ac:dyDescent="0.3">
      <c r="A3269" s="13">
        <v>506</v>
      </c>
      <c r="B3269" s="4">
        <v>4</v>
      </c>
      <c r="C3269" t="s">
        <v>531</v>
      </c>
      <c r="D3269" t="s">
        <v>530</v>
      </c>
      <c r="E3269">
        <v>30</v>
      </c>
      <c r="F3269">
        <v>23</v>
      </c>
      <c r="G3269" s="8">
        <f>Lektionen[[#This Row],[Bearbeitungsdauer_real]]/Lektionen[[#This Row],[Bearbeitungsdauer_geschätzt]]-1</f>
        <v>-0.23333333333333328</v>
      </c>
      <c r="H3269" s="8" t="str" cm="1">
        <f t="array" ref="H3269">_xlfn.IFS(Lektionen[[#This Row],[Bearbeitungsdauer_abgewichen]]&gt;0.6,"viel länger",Lektionen[[#This Row],[Bearbeitungsdauer_abgewichen]]&gt;0.3,"länger",Lektionen[[#This Row],[Bearbeitungsdauer_abgewichen]]&lt;-0.3,"kürzer",TRUE,"keine Abweichung")</f>
        <v>keine Abweichung</v>
      </c>
      <c r="I3269">
        <v>2</v>
      </c>
    </row>
    <row r="3270" spans="1:9" x14ac:dyDescent="0.3">
      <c r="A3270" s="13">
        <v>506</v>
      </c>
      <c r="B3270" s="4">
        <v>5</v>
      </c>
      <c r="C3270" t="s">
        <v>532</v>
      </c>
      <c r="D3270" t="s">
        <v>530</v>
      </c>
      <c r="E3270">
        <v>30</v>
      </c>
      <c r="F3270">
        <v>50</v>
      </c>
      <c r="G3270" s="8">
        <f>Lektionen[[#This Row],[Bearbeitungsdauer_real]]/Lektionen[[#This Row],[Bearbeitungsdauer_geschätzt]]-1</f>
        <v>0.66666666666666674</v>
      </c>
      <c r="H3270" s="8" t="str" cm="1">
        <f t="array" ref="H3270">_xlfn.IFS(Lektionen[[#This Row],[Bearbeitungsdauer_abgewichen]]&gt;0.6,"viel länger",Lektionen[[#This Row],[Bearbeitungsdauer_abgewichen]]&gt;0.3,"länger",Lektionen[[#This Row],[Bearbeitungsdauer_abgewichen]]&lt;-0.3,"kürzer",TRUE,"keine Abweichung")</f>
        <v>viel länger</v>
      </c>
      <c r="I3270">
        <v>3</v>
      </c>
    </row>
    <row r="3271" spans="1:9" hidden="1" x14ac:dyDescent="0.3">
      <c r="A3271" s="13">
        <v>506</v>
      </c>
      <c r="B3271" s="4">
        <v>6</v>
      </c>
      <c r="C3271" t="s">
        <v>533</v>
      </c>
      <c r="D3271" t="s">
        <v>534</v>
      </c>
      <c r="E3271">
        <v>5</v>
      </c>
      <c r="F3271">
        <v>1</v>
      </c>
      <c r="G3271" s="8">
        <f>Lektionen[[#This Row],[Bearbeitungsdauer_real]]/Lektionen[[#This Row],[Bearbeitungsdauer_geschätzt]]-1</f>
        <v>-0.8</v>
      </c>
      <c r="H3271" s="8" t="str" cm="1">
        <f t="array" ref="H3271">_xlfn.IFS(Lektionen[[#This Row],[Bearbeitungsdauer_abgewichen]]&gt;0.6,"viel länger",Lektionen[[#This Row],[Bearbeitungsdauer_abgewichen]]&gt;0.3,"länger",Lektionen[[#This Row],[Bearbeitungsdauer_abgewichen]]&lt;-0.3,"kürzer",TRUE,"keine Abweichung")</f>
        <v>kürzer</v>
      </c>
      <c r="I3271">
        <v>1</v>
      </c>
    </row>
    <row r="3272" spans="1:9" hidden="1" x14ac:dyDescent="0.3">
      <c r="A3272" s="13">
        <v>506</v>
      </c>
      <c r="B3272" s="4">
        <v>7</v>
      </c>
      <c r="C3272" t="s">
        <v>535</v>
      </c>
      <c r="D3272" t="s">
        <v>536</v>
      </c>
      <c r="E3272">
        <v>10</v>
      </c>
      <c r="F3272">
        <v>10</v>
      </c>
      <c r="G3272" s="8">
        <f>Lektionen[[#This Row],[Bearbeitungsdauer_real]]/Lektionen[[#This Row],[Bearbeitungsdauer_geschätzt]]-1</f>
        <v>0</v>
      </c>
      <c r="H3272" s="8" t="str" cm="1">
        <f t="array" ref="H3272">_xlfn.IFS(Lektionen[[#This Row],[Bearbeitungsdauer_abgewichen]]&gt;0.6,"viel länger",Lektionen[[#This Row],[Bearbeitungsdauer_abgewichen]]&gt;0.3,"länger",Lektionen[[#This Row],[Bearbeitungsdauer_abgewichen]]&lt;-0.3,"kürzer",TRUE,"keine Abweichung")</f>
        <v>keine Abweichung</v>
      </c>
      <c r="I3272">
        <v>3</v>
      </c>
    </row>
    <row r="3273" spans="1:9" hidden="1" x14ac:dyDescent="0.3">
      <c r="A3273" s="13">
        <v>506</v>
      </c>
      <c r="B3273" s="4">
        <v>8</v>
      </c>
      <c r="C3273" t="s">
        <v>537</v>
      </c>
      <c r="D3273" t="s">
        <v>527</v>
      </c>
      <c r="E3273">
        <v>5</v>
      </c>
      <c r="F3273">
        <v>5</v>
      </c>
      <c r="G3273" s="8">
        <f>Lektionen[[#This Row],[Bearbeitungsdauer_real]]/Lektionen[[#This Row],[Bearbeitungsdauer_geschätzt]]-1</f>
        <v>0</v>
      </c>
      <c r="H3273" s="8" t="str" cm="1">
        <f t="array" ref="H3273">_xlfn.IFS(Lektionen[[#This Row],[Bearbeitungsdauer_abgewichen]]&gt;0.6,"viel länger",Lektionen[[#This Row],[Bearbeitungsdauer_abgewichen]]&gt;0.3,"länger",Lektionen[[#This Row],[Bearbeitungsdauer_abgewichen]]&lt;-0.3,"kürzer",TRUE,"keine Abweichung")</f>
        <v>keine Abweichung</v>
      </c>
      <c r="I3273">
        <v>1</v>
      </c>
    </row>
    <row r="3274" spans="1:9" hidden="1" x14ac:dyDescent="0.3">
      <c r="A3274" s="13">
        <v>507</v>
      </c>
      <c r="B3274" s="4">
        <v>1</v>
      </c>
      <c r="C3274" t="s">
        <v>526</v>
      </c>
      <c r="D3274" t="s">
        <v>527</v>
      </c>
      <c r="E3274">
        <v>4</v>
      </c>
      <c r="F3274">
        <v>4</v>
      </c>
      <c r="G3274" s="8">
        <f>Lektionen[[#This Row],[Bearbeitungsdauer_real]]/Lektionen[[#This Row],[Bearbeitungsdauer_geschätzt]]-1</f>
        <v>0</v>
      </c>
      <c r="H3274" s="8" t="str" cm="1">
        <f t="array" ref="H3274">_xlfn.IFS(Lektionen[[#This Row],[Bearbeitungsdauer_abgewichen]]&gt;0.6,"viel länger",Lektionen[[#This Row],[Bearbeitungsdauer_abgewichen]]&gt;0.3,"länger",Lektionen[[#This Row],[Bearbeitungsdauer_abgewichen]]&lt;-0.3,"kürzer",TRUE,"keine Abweichung")</f>
        <v>keine Abweichung</v>
      </c>
      <c r="I3274">
        <v>1</v>
      </c>
    </row>
    <row r="3275" spans="1:9" hidden="1" x14ac:dyDescent="0.3">
      <c r="A3275" s="13">
        <v>507</v>
      </c>
      <c r="B3275" s="4">
        <v>2</v>
      </c>
      <c r="C3275" t="s">
        <v>528</v>
      </c>
      <c r="D3275" t="s">
        <v>529</v>
      </c>
      <c r="E3275">
        <v>15</v>
      </c>
      <c r="F3275">
        <v>19</v>
      </c>
      <c r="G3275" s="8">
        <f>Lektionen[[#This Row],[Bearbeitungsdauer_real]]/Lektionen[[#This Row],[Bearbeitungsdauer_geschätzt]]-1</f>
        <v>0.26666666666666661</v>
      </c>
      <c r="H3275" s="8" t="str" cm="1">
        <f t="array" ref="H3275">_xlfn.IFS(Lektionen[[#This Row],[Bearbeitungsdauer_abgewichen]]&gt;0.6,"viel länger",Lektionen[[#This Row],[Bearbeitungsdauer_abgewichen]]&gt;0.3,"länger",Lektionen[[#This Row],[Bearbeitungsdauer_abgewichen]]&lt;-0.3,"kürzer",TRUE,"keine Abweichung")</f>
        <v>keine Abweichung</v>
      </c>
      <c r="I3275">
        <v>2</v>
      </c>
    </row>
    <row r="3276" spans="1:9" hidden="1" x14ac:dyDescent="0.3">
      <c r="A3276" s="13">
        <v>507</v>
      </c>
      <c r="B3276" s="4">
        <v>3</v>
      </c>
      <c r="C3276" t="s">
        <v>552</v>
      </c>
      <c r="D3276" t="s">
        <v>530</v>
      </c>
      <c r="E3276">
        <v>30</v>
      </c>
      <c r="F3276">
        <v>29</v>
      </c>
      <c r="G3276" s="8">
        <f>Lektionen[[#This Row],[Bearbeitungsdauer_real]]/Lektionen[[#This Row],[Bearbeitungsdauer_geschätzt]]-1</f>
        <v>-3.3333333333333326E-2</v>
      </c>
      <c r="H3276" s="8" t="str" cm="1">
        <f t="array" ref="H3276">_xlfn.IFS(Lektionen[[#This Row],[Bearbeitungsdauer_abgewichen]]&gt;0.6,"viel länger",Lektionen[[#This Row],[Bearbeitungsdauer_abgewichen]]&gt;0.3,"länger",Lektionen[[#This Row],[Bearbeitungsdauer_abgewichen]]&lt;-0.3,"kürzer",TRUE,"keine Abweichung")</f>
        <v>keine Abweichung</v>
      </c>
      <c r="I3276">
        <v>3</v>
      </c>
    </row>
    <row r="3277" spans="1:9" hidden="1" x14ac:dyDescent="0.3">
      <c r="A3277" s="13">
        <v>507</v>
      </c>
      <c r="B3277" s="4">
        <v>4</v>
      </c>
      <c r="C3277" t="s">
        <v>531</v>
      </c>
      <c r="D3277" t="s">
        <v>530</v>
      </c>
      <c r="E3277">
        <v>30</v>
      </c>
      <c r="F3277">
        <v>19</v>
      </c>
      <c r="G3277" s="8">
        <f>Lektionen[[#This Row],[Bearbeitungsdauer_real]]/Lektionen[[#This Row],[Bearbeitungsdauer_geschätzt]]-1</f>
        <v>-0.3666666666666667</v>
      </c>
      <c r="H3277" s="8" t="str" cm="1">
        <f t="array" ref="H3277">_xlfn.IFS(Lektionen[[#This Row],[Bearbeitungsdauer_abgewichen]]&gt;0.6,"viel länger",Lektionen[[#This Row],[Bearbeitungsdauer_abgewichen]]&gt;0.3,"länger",Lektionen[[#This Row],[Bearbeitungsdauer_abgewichen]]&lt;-0.3,"kürzer",TRUE,"keine Abweichung")</f>
        <v>kürzer</v>
      </c>
      <c r="I3277">
        <v>3</v>
      </c>
    </row>
    <row r="3278" spans="1:9" x14ac:dyDescent="0.3">
      <c r="A3278" s="13">
        <v>507</v>
      </c>
      <c r="B3278" s="4">
        <v>5</v>
      </c>
      <c r="C3278" t="s">
        <v>532</v>
      </c>
      <c r="D3278" t="s">
        <v>530</v>
      </c>
      <c r="E3278">
        <v>30</v>
      </c>
      <c r="F3278">
        <v>51</v>
      </c>
      <c r="G3278" s="8">
        <f>Lektionen[[#This Row],[Bearbeitungsdauer_real]]/Lektionen[[#This Row],[Bearbeitungsdauer_geschätzt]]-1</f>
        <v>0.7</v>
      </c>
      <c r="H3278" s="8" t="str" cm="1">
        <f t="array" ref="H3278">_xlfn.IFS(Lektionen[[#This Row],[Bearbeitungsdauer_abgewichen]]&gt;0.6,"viel länger",Lektionen[[#This Row],[Bearbeitungsdauer_abgewichen]]&gt;0.3,"länger",Lektionen[[#This Row],[Bearbeitungsdauer_abgewichen]]&lt;-0.3,"kürzer",TRUE,"keine Abweichung")</f>
        <v>viel länger</v>
      </c>
      <c r="I3278">
        <v>3</v>
      </c>
    </row>
    <row r="3279" spans="1:9" hidden="1" x14ac:dyDescent="0.3">
      <c r="A3279" s="13">
        <v>507</v>
      </c>
      <c r="B3279" s="4">
        <v>6</v>
      </c>
      <c r="C3279" t="s">
        <v>533</v>
      </c>
      <c r="D3279" t="s">
        <v>534</v>
      </c>
      <c r="E3279">
        <v>5</v>
      </c>
      <c r="F3279">
        <v>1</v>
      </c>
      <c r="G3279" s="8">
        <f>Lektionen[[#This Row],[Bearbeitungsdauer_real]]/Lektionen[[#This Row],[Bearbeitungsdauer_geschätzt]]-1</f>
        <v>-0.8</v>
      </c>
      <c r="H3279" s="8" t="str" cm="1">
        <f t="array" ref="H3279">_xlfn.IFS(Lektionen[[#This Row],[Bearbeitungsdauer_abgewichen]]&gt;0.6,"viel länger",Lektionen[[#This Row],[Bearbeitungsdauer_abgewichen]]&gt;0.3,"länger",Lektionen[[#This Row],[Bearbeitungsdauer_abgewichen]]&lt;-0.3,"kürzer",TRUE,"keine Abweichung")</f>
        <v>kürzer</v>
      </c>
      <c r="I3279">
        <v>2</v>
      </c>
    </row>
    <row r="3280" spans="1:9" hidden="1" x14ac:dyDescent="0.3">
      <c r="A3280" s="13">
        <v>507</v>
      </c>
      <c r="B3280" s="4">
        <v>7</v>
      </c>
      <c r="C3280" t="s">
        <v>535</v>
      </c>
      <c r="D3280" t="s">
        <v>536</v>
      </c>
      <c r="E3280">
        <v>10</v>
      </c>
      <c r="F3280">
        <v>9</v>
      </c>
      <c r="G3280" s="8">
        <f>Lektionen[[#This Row],[Bearbeitungsdauer_real]]/Lektionen[[#This Row],[Bearbeitungsdauer_geschätzt]]-1</f>
        <v>-9.9999999999999978E-2</v>
      </c>
      <c r="H3280" s="8" t="str" cm="1">
        <f t="array" ref="H3280">_xlfn.IFS(Lektionen[[#This Row],[Bearbeitungsdauer_abgewichen]]&gt;0.6,"viel länger",Lektionen[[#This Row],[Bearbeitungsdauer_abgewichen]]&gt;0.3,"länger",Lektionen[[#This Row],[Bearbeitungsdauer_abgewichen]]&lt;-0.3,"kürzer",TRUE,"keine Abweichung")</f>
        <v>keine Abweichung</v>
      </c>
      <c r="I3280">
        <v>4</v>
      </c>
    </row>
    <row r="3281" spans="1:9" hidden="1" x14ac:dyDescent="0.3">
      <c r="A3281" s="13">
        <v>507</v>
      </c>
      <c r="B3281" s="4">
        <v>8</v>
      </c>
      <c r="C3281" t="s">
        <v>537</v>
      </c>
      <c r="D3281" t="s">
        <v>527</v>
      </c>
      <c r="E3281">
        <v>5</v>
      </c>
      <c r="F3281">
        <v>5</v>
      </c>
      <c r="G3281" s="8">
        <f>Lektionen[[#This Row],[Bearbeitungsdauer_real]]/Lektionen[[#This Row],[Bearbeitungsdauer_geschätzt]]-1</f>
        <v>0</v>
      </c>
      <c r="H3281" s="8" t="str" cm="1">
        <f t="array" ref="H3281">_xlfn.IFS(Lektionen[[#This Row],[Bearbeitungsdauer_abgewichen]]&gt;0.6,"viel länger",Lektionen[[#This Row],[Bearbeitungsdauer_abgewichen]]&gt;0.3,"länger",Lektionen[[#This Row],[Bearbeitungsdauer_abgewichen]]&lt;-0.3,"kürzer",TRUE,"keine Abweichung")</f>
        <v>keine Abweichung</v>
      </c>
      <c r="I3281">
        <v>1</v>
      </c>
    </row>
    <row r="3282" spans="1:9" hidden="1" x14ac:dyDescent="0.3">
      <c r="A3282" s="13">
        <v>508</v>
      </c>
      <c r="B3282" s="4">
        <v>1</v>
      </c>
      <c r="C3282" t="s">
        <v>526</v>
      </c>
      <c r="D3282" t="s">
        <v>527</v>
      </c>
      <c r="E3282">
        <v>4</v>
      </c>
      <c r="F3282">
        <v>4</v>
      </c>
      <c r="G3282" s="8">
        <f>Lektionen[[#This Row],[Bearbeitungsdauer_real]]/Lektionen[[#This Row],[Bearbeitungsdauer_geschätzt]]-1</f>
        <v>0</v>
      </c>
      <c r="H3282" s="8" t="str" cm="1">
        <f t="array" ref="H3282">_xlfn.IFS(Lektionen[[#This Row],[Bearbeitungsdauer_abgewichen]]&gt;0.6,"viel länger",Lektionen[[#This Row],[Bearbeitungsdauer_abgewichen]]&gt;0.3,"länger",Lektionen[[#This Row],[Bearbeitungsdauer_abgewichen]]&lt;-0.3,"kürzer",TRUE,"keine Abweichung")</f>
        <v>keine Abweichung</v>
      </c>
      <c r="I3282">
        <v>1</v>
      </c>
    </row>
    <row r="3283" spans="1:9" hidden="1" x14ac:dyDescent="0.3">
      <c r="A3283" s="13">
        <v>508</v>
      </c>
      <c r="B3283" s="4">
        <v>2</v>
      </c>
      <c r="C3283" t="s">
        <v>528</v>
      </c>
      <c r="D3283" t="s">
        <v>529</v>
      </c>
      <c r="E3283">
        <v>15</v>
      </c>
      <c r="F3283">
        <v>18</v>
      </c>
      <c r="G3283" s="8">
        <f>Lektionen[[#This Row],[Bearbeitungsdauer_real]]/Lektionen[[#This Row],[Bearbeitungsdauer_geschätzt]]-1</f>
        <v>0.19999999999999996</v>
      </c>
      <c r="H3283" s="8" t="str" cm="1">
        <f t="array" ref="H3283">_xlfn.IFS(Lektionen[[#This Row],[Bearbeitungsdauer_abgewichen]]&gt;0.6,"viel länger",Lektionen[[#This Row],[Bearbeitungsdauer_abgewichen]]&gt;0.3,"länger",Lektionen[[#This Row],[Bearbeitungsdauer_abgewichen]]&lt;-0.3,"kürzer",TRUE,"keine Abweichung")</f>
        <v>keine Abweichung</v>
      </c>
      <c r="I3283">
        <v>1</v>
      </c>
    </row>
    <row r="3284" spans="1:9" hidden="1" x14ac:dyDescent="0.3">
      <c r="A3284" s="13">
        <v>508</v>
      </c>
      <c r="B3284" s="4">
        <v>3</v>
      </c>
      <c r="C3284" t="s">
        <v>552</v>
      </c>
      <c r="D3284" t="s">
        <v>530</v>
      </c>
      <c r="E3284">
        <v>30</v>
      </c>
      <c r="F3284">
        <v>28</v>
      </c>
      <c r="G3284" s="8">
        <f>Lektionen[[#This Row],[Bearbeitungsdauer_real]]/Lektionen[[#This Row],[Bearbeitungsdauer_geschätzt]]-1</f>
        <v>-6.6666666666666652E-2</v>
      </c>
      <c r="H3284" s="8" t="str" cm="1">
        <f t="array" ref="H3284">_xlfn.IFS(Lektionen[[#This Row],[Bearbeitungsdauer_abgewichen]]&gt;0.6,"viel länger",Lektionen[[#This Row],[Bearbeitungsdauer_abgewichen]]&gt;0.3,"länger",Lektionen[[#This Row],[Bearbeitungsdauer_abgewichen]]&lt;-0.3,"kürzer",TRUE,"keine Abweichung")</f>
        <v>keine Abweichung</v>
      </c>
      <c r="I3284">
        <v>3</v>
      </c>
    </row>
    <row r="3285" spans="1:9" hidden="1" x14ac:dyDescent="0.3">
      <c r="A3285" s="13">
        <v>508</v>
      </c>
      <c r="B3285" s="4">
        <v>4</v>
      </c>
      <c r="C3285" t="s">
        <v>531</v>
      </c>
      <c r="D3285" t="s">
        <v>530</v>
      </c>
      <c r="E3285">
        <v>30</v>
      </c>
      <c r="F3285">
        <v>28</v>
      </c>
      <c r="G3285" s="8">
        <f>Lektionen[[#This Row],[Bearbeitungsdauer_real]]/Lektionen[[#This Row],[Bearbeitungsdauer_geschätzt]]-1</f>
        <v>-6.6666666666666652E-2</v>
      </c>
      <c r="H3285" s="8" t="str" cm="1">
        <f t="array" ref="H3285">_xlfn.IFS(Lektionen[[#This Row],[Bearbeitungsdauer_abgewichen]]&gt;0.6,"viel länger",Lektionen[[#This Row],[Bearbeitungsdauer_abgewichen]]&gt;0.3,"länger",Lektionen[[#This Row],[Bearbeitungsdauer_abgewichen]]&lt;-0.3,"kürzer",TRUE,"keine Abweichung")</f>
        <v>keine Abweichung</v>
      </c>
      <c r="I3285">
        <v>2</v>
      </c>
    </row>
    <row r="3286" spans="1:9" x14ac:dyDescent="0.3">
      <c r="A3286" s="13">
        <v>508</v>
      </c>
      <c r="B3286" s="4">
        <v>5</v>
      </c>
      <c r="C3286" t="s">
        <v>532</v>
      </c>
      <c r="D3286" t="s">
        <v>530</v>
      </c>
      <c r="E3286">
        <v>30</v>
      </c>
      <c r="F3286">
        <v>46</v>
      </c>
      <c r="G3286" s="8">
        <f>Lektionen[[#This Row],[Bearbeitungsdauer_real]]/Lektionen[[#This Row],[Bearbeitungsdauer_geschätzt]]-1</f>
        <v>0.53333333333333344</v>
      </c>
      <c r="H3286" s="8" t="str" cm="1">
        <f t="array" ref="H3286">_xlfn.IFS(Lektionen[[#This Row],[Bearbeitungsdauer_abgewichen]]&gt;0.6,"viel länger",Lektionen[[#This Row],[Bearbeitungsdauer_abgewichen]]&gt;0.3,"länger",Lektionen[[#This Row],[Bearbeitungsdauer_abgewichen]]&lt;-0.3,"kürzer",TRUE,"keine Abweichung")</f>
        <v>länger</v>
      </c>
      <c r="I3286">
        <v>4</v>
      </c>
    </row>
    <row r="3287" spans="1:9" hidden="1" x14ac:dyDescent="0.3">
      <c r="A3287" s="13">
        <v>508</v>
      </c>
      <c r="B3287" s="4">
        <v>6</v>
      </c>
      <c r="C3287" t="s">
        <v>533</v>
      </c>
      <c r="D3287" t="s">
        <v>534</v>
      </c>
      <c r="E3287">
        <v>5</v>
      </c>
      <c r="F3287">
        <v>1</v>
      </c>
      <c r="G3287" s="8">
        <f>Lektionen[[#This Row],[Bearbeitungsdauer_real]]/Lektionen[[#This Row],[Bearbeitungsdauer_geschätzt]]-1</f>
        <v>-0.8</v>
      </c>
      <c r="H3287" s="8" t="str" cm="1">
        <f t="array" ref="H3287">_xlfn.IFS(Lektionen[[#This Row],[Bearbeitungsdauer_abgewichen]]&gt;0.6,"viel länger",Lektionen[[#This Row],[Bearbeitungsdauer_abgewichen]]&gt;0.3,"länger",Lektionen[[#This Row],[Bearbeitungsdauer_abgewichen]]&lt;-0.3,"kürzer",TRUE,"keine Abweichung")</f>
        <v>kürzer</v>
      </c>
      <c r="I3287">
        <v>2</v>
      </c>
    </row>
    <row r="3288" spans="1:9" hidden="1" x14ac:dyDescent="0.3">
      <c r="A3288" s="13">
        <v>508</v>
      </c>
      <c r="B3288" s="4">
        <v>7</v>
      </c>
      <c r="C3288" t="s">
        <v>535</v>
      </c>
      <c r="D3288" t="s">
        <v>536</v>
      </c>
      <c r="E3288">
        <v>10</v>
      </c>
      <c r="F3288">
        <v>10</v>
      </c>
      <c r="G3288" s="8">
        <f>Lektionen[[#This Row],[Bearbeitungsdauer_real]]/Lektionen[[#This Row],[Bearbeitungsdauer_geschätzt]]-1</f>
        <v>0</v>
      </c>
      <c r="H3288" s="8" t="str" cm="1">
        <f t="array" ref="H3288">_xlfn.IFS(Lektionen[[#This Row],[Bearbeitungsdauer_abgewichen]]&gt;0.6,"viel länger",Lektionen[[#This Row],[Bearbeitungsdauer_abgewichen]]&gt;0.3,"länger",Lektionen[[#This Row],[Bearbeitungsdauer_abgewichen]]&lt;-0.3,"kürzer",TRUE,"keine Abweichung")</f>
        <v>keine Abweichung</v>
      </c>
      <c r="I3288">
        <v>3</v>
      </c>
    </row>
    <row r="3289" spans="1:9" hidden="1" x14ac:dyDescent="0.3">
      <c r="A3289" s="13">
        <v>508</v>
      </c>
      <c r="B3289" s="4">
        <v>8</v>
      </c>
      <c r="C3289" t="s">
        <v>537</v>
      </c>
      <c r="D3289" t="s">
        <v>527</v>
      </c>
      <c r="E3289">
        <v>5</v>
      </c>
      <c r="F3289">
        <v>5</v>
      </c>
      <c r="G3289" s="8">
        <f>Lektionen[[#This Row],[Bearbeitungsdauer_real]]/Lektionen[[#This Row],[Bearbeitungsdauer_geschätzt]]-1</f>
        <v>0</v>
      </c>
      <c r="H3289" s="8" t="str" cm="1">
        <f t="array" ref="H3289">_xlfn.IFS(Lektionen[[#This Row],[Bearbeitungsdauer_abgewichen]]&gt;0.6,"viel länger",Lektionen[[#This Row],[Bearbeitungsdauer_abgewichen]]&gt;0.3,"länger",Lektionen[[#This Row],[Bearbeitungsdauer_abgewichen]]&lt;-0.3,"kürzer",TRUE,"keine Abweichung")</f>
        <v>keine Abweichung</v>
      </c>
      <c r="I3289">
        <v>1</v>
      </c>
    </row>
    <row r="3290" spans="1:9" hidden="1" x14ac:dyDescent="0.3">
      <c r="A3290" s="13">
        <v>509</v>
      </c>
      <c r="B3290" s="4">
        <v>1</v>
      </c>
      <c r="C3290" t="s">
        <v>526</v>
      </c>
      <c r="D3290" t="s">
        <v>527</v>
      </c>
      <c r="E3290">
        <v>4</v>
      </c>
      <c r="F3290">
        <v>6</v>
      </c>
      <c r="G3290" s="8">
        <f>Lektionen[[#This Row],[Bearbeitungsdauer_real]]/Lektionen[[#This Row],[Bearbeitungsdauer_geschätzt]]-1</f>
        <v>0.5</v>
      </c>
      <c r="H3290" s="8" t="str" cm="1">
        <f t="array" ref="H3290">_xlfn.IFS(Lektionen[[#This Row],[Bearbeitungsdauer_abgewichen]]&gt;0.6,"viel länger",Lektionen[[#This Row],[Bearbeitungsdauer_abgewichen]]&gt;0.3,"länger",Lektionen[[#This Row],[Bearbeitungsdauer_abgewichen]]&lt;-0.3,"kürzer",TRUE,"keine Abweichung")</f>
        <v>länger</v>
      </c>
      <c r="I3290">
        <v>1</v>
      </c>
    </row>
    <row r="3291" spans="1:9" hidden="1" x14ac:dyDescent="0.3">
      <c r="A3291" s="13">
        <v>509</v>
      </c>
      <c r="B3291" s="4">
        <v>2</v>
      </c>
      <c r="C3291" t="s">
        <v>528</v>
      </c>
      <c r="D3291" t="s">
        <v>529</v>
      </c>
      <c r="E3291">
        <v>15</v>
      </c>
      <c r="F3291">
        <v>19</v>
      </c>
      <c r="G3291" s="8">
        <f>Lektionen[[#This Row],[Bearbeitungsdauer_real]]/Lektionen[[#This Row],[Bearbeitungsdauer_geschätzt]]-1</f>
        <v>0.26666666666666661</v>
      </c>
      <c r="H3291" s="8" t="str" cm="1">
        <f t="array" ref="H3291">_xlfn.IFS(Lektionen[[#This Row],[Bearbeitungsdauer_abgewichen]]&gt;0.6,"viel länger",Lektionen[[#This Row],[Bearbeitungsdauer_abgewichen]]&gt;0.3,"länger",Lektionen[[#This Row],[Bearbeitungsdauer_abgewichen]]&lt;-0.3,"kürzer",TRUE,"keine Abweichung")</f>
        <v>keine Abweichung</v>
      </c>
      <c r="I3291">
        <v>2</v>
      </c>
    </row>
    <row r="3292" spans="1:9" hidden="1" x14ac:dyDescent="0.3">
      <c r="A3292" s="13">
        <v>509</v>
      </c>
      <c r="B3292" s="4">
        <v>3</v>
      </c>
      <c r="C3292" t="s">
        <v>552</v>
      </c>
      <c r="D3292" t="s">
        <v>530</v>
      </c>
      <c r="E3292">
        <v>30</v>
      </c>
      <c r="F3292">
        <v>27</v>
      </c>
      <c r="G3292" s="8">
        <f>Lektionen[[#This Row],[Bearbeitungsdauer_real]]/Lektionen[[#This Row],[Bearbeitungsdauer_geschätzt]]-1</f>
        <v>-9.9999999999999978E-2</v>
      </c>
      <c r="H3292" s="8" t="str" cm="1">
        <f t="array" ref="H3292">_xlfn.IFS(Lektionen[[#This Row],[Bearbeitungsdauer_abgewichen]]&gt;0.6,"viel länger",Lektionen[[#This Row],[Bearbeitungsdauer_abgewichen]]&gt;0.3,"länger",Lektionen[[#This Row],[Bearbeitungsdauer_abgewichen]]&lt;-0.3,"kürzer",TRUE,"keine Abweichung")</f>
        <v>keine Abweichung</v>
      </c>
      <c r="I3292">
        <v>2</v>
      </c>
    </row>
    <row r="3293" spans="1:9" hidden="1" x14ac:dyDescent="0.3">
      <c r="A3293" s="13">
        <v>509</v>
      </c>
      <c r="B3293" s="4">
        <v>4</v>
      </c>
      <c r="C3293" t="s">
        <v>531</v>
      </c>
      <c r="D3293" t="s">
        <v>530</v>
      </c>
      <c r="E3293">
        <v>30</v>
      </c>
      <c r="F3293">
        <v>20</v>
      </c>
      <c r="G3293" s="8">
        <f>Lektionen[[#This Row],[Bearbeitungsdauer_real]]/Lektionen[[#This Row],[Bearbeitungsdauer_geschätzt]]-1</f>
        <v>-0.33333333333333337</v>
      </c>
      <c r="H3293" s="8" t="str" cm="1">
        <f t="array" ref="H3293">_xlfn.IFS(Lektionen[[#This Row],[Bearbeitungsdauer_abgewichen]]&gt;0.6,"viel länger",Lektionen[[#This Row],[Bearbeitungsdauer_abgewichen]]&gt;0.3,"länger",Lektionen[[#This Row],[Bearbeitungsdauer_abgewichen]]&lt;-0.3,"kürzer",TRUE,"keine Abweichung")</f>
        <v>kürzer</v>
      </c>
      <c r="I3293">
        <v>3</v>
      </c>
    </row>
    <row r="3294" spans="1:9" x14ac:dyDescent="0.3">
      <c r="A3294" s="13">
        <v>509</v>
      </c>
      <c r="B3294" s="4">
        <v>5</v>
      </c>
      <c r="C3294" t="s">
        <v>532</v>
      </c>
      <c r="D3294" t="s">
        <v>530</v>
      </c>
      <c r="E3294">
        <v>30</v>
      </c>
      <c r="F3294">
        <v>45</v>
      </c>
      <c r="G3294" s="8">
        <f>Lektionen[[#This Row],[Bearbeitungsdauer_real]]/Lektionen[[#This Row],[Bearbeitungsdauer_geschätzt]]-1</f>
        <v>0.5</v>
      </c>
      <c r="H3294" s="8" t="str" cm="1">
        <f t="array" ref="H3294">_xlfn.IFS(Lektionen[[#This Row],[Bearbeitungsdauer_abgewichen]]&gt;0.6,"viel länger",Lektionen[[#This Row],[Bearbeitungsdauer_abgewichen]]&gt;0.3,"länger",Lektionen[[#This Row],[Bearbeitungsdauer_abgewichen]]&lt;-0.3,"kürzer",TRUE,"keine Abweichung")</f>
        <v>länger</v>
      </c>
      <c r="I3294">
        <v>4</v>
      </c>
    </row>
    <row r="3295" spans="1:9" hidden="1" x14ac:dyDescent="0.3">
      <c r="A3295" s="13">
        <v>509</v>
      </c>
      <c r="B3295" s="4">
        <v>6</v>
      </c>
      <c r="C3295" t="s">
        <v>533</v>
      </c>
      <c r="D3295" t="s">
        <v>534</v>
      </c>
      <c r="E3295">
        <v>5</v>
      </c>
      <c r="F3295">
        <v>1</v>
      </c>
      <c r="G3295" s="8">
        <f>Lektionen[[#This Row],[Bearbeitungsdauer_real]]/Lektionen[[#This Row],[Bearbeitungsdauer_geschätzt]]-1</f>
        <v>-0.8</v>
      </c>
      <c r="H3295" s="8" t="str" cm="1">
        <f t="array" ref="H3295">_xlfn.IFS(Lektionen[[#This Row],[Bearbeitungsdauer_abgewichen]]&gt;0.6,"viel länger",Lektionen[[#This Row],[Bearbeitungsdauer_abgewichen]]&gt;0.3,"länger",Lektionen[[#This Row],[Bearbeitungsdauer_abgewichen]]&lt;-0.3,"kürzer",TRUE,"keine Abweichung")</f>
        <v>kürzer</v>
      </c>
      <c r="I3295">
        <v>2</v>
      </c>
    </row>
    <row r="3296" spans="1:9" hidden="1" x14ac:dyDescent="0.3">
      <c r="A3296" s="13">
        <v>509</v>
      </c>
      <c r="B3296" s="4">
        <v>7</v>
      </c>
      <c r="C3296" t="s">
        <v>535</v>
      </c>
      <c r="D3296" t="s">
        <v>536</v>
      </c>
      <c r="E3296">
        <v>10</v>
      </c>
      <c r="F3296">
        <v>9</v>
      </c>
      <c r="G3296" s="8">
        <f>Lektionen[[#This Row],[Bearbeitungsdauer_real]]/Lektionen[[#This Row],[Bearbeitungsdauer_geschätzt]]-1</f>
        <v>-9.9999999999999978E-2</v>
      </c>
      <c r="H3296" s="8" t="str" cm="1">
        <f t="array" ref="H3296">_xlfn.IFS(Lektionen[[#This Row],[Bearbeitungsdauer_abgewichen]]&gt;0.6,"viel länger",Lektionen[[#This Row],[Bearbeitungsdauer_abgewichen]]&gt;0.3,"länger",Lektionen[[#This Row],[Bearbeitungsdauer_abgewichen]]&lt;-0.3,"kürzer",TRUE,"keine Abweichung")</f>
        <v>keine Abweichung</v>
      </c>
      <c r="I3296">
        <v>4</v>
      </c>
    </row>
    <row r="3297" spans="1:9" hidden="1" x14ac:dyDescent="0.3">
      <c r="A3297" s="13">
        <v>509</v>
      </c>
      <c r="B3297" s="4">
        <v>8</v>
      </c>
      <c r="C3297" t="s">
        <v>537</v>
      </c>
      <c r="D3297" t="s">
        <v>527</v>
      </c>
      <c r="E3297">
        <v>5</v>
      </c>
      <c r="F3297">
        <v>5</v>
      </c>
      <c r="G3297" s="8">
        <f>Lektionen[[#This Row],[Bearbeitungsdauer_real]]/Lektionen[[#This Row],[Bearbeitungsdauer_geschätzt]]-1</f>
        <v>0</v>
      </c>
      <c r="H3297" s="8" t="str" cm="1">
        <f t="array" ref="H3297">_xlfn.IFS(Lektionen[[#This Row],[Bearbeitungsdauer_abgewichen]]&gt;0.6,"viel länger",Lektionen[[#This Row],[Bearbeitungsdauer_abgewichen]]&gt;0.3,"länger",Lektionen[[#This Row],[Bearbeitungsdauer_abgewichen]]&lt;-0.3,"kürzer",TRUE,"keine Abweichung")</f>
        <v>keine Abweichung</v>
      </c>
      <c r="I3297">
        <v>1</v>
      </c>
    </row>
    <row r="3298" spans="1:9" hidden="1" x14ac:dyDescent="0.3">
      <c r="A3298" s="13">
        <v>510</v>
      </c>
      <c r="B3298" s="4">
        <v>1</v>
      </c>
      <c r="C3298" t="s">
        <v>526</v>
      </c>
      <c r="D3298" t="s">
        <v>527</v>
      </c>
      <c r="E3298">
        <v>4</v>
      </c>
      <c r="F3298">
        <v>4</v>
      </c>
      <c r="G3298" s="8">
        <f>Lektionen[[#This Row],[Bearbeitungsdauer_real]]/Lektionen[[#This Row],[Bearbeitungsdauer_geschätzt]]-1</f>
        <v>0</v>
      </c>
      <c r="H3298" s="8" t="str" cm="1">
        <f t="array" ref="H3298">_xlfn.IFS(Lektionen[[#This Row],[Bearbeitungsdauer_abgewichen]]&gt;0.6,"viel länger",Lektionen[[#This Row],[Bearbeitungsdauer_abgewichen]]&gt;0.3,"länger",Lektionen[[#This Row],[Bearbeitungsdauer_abgewichen]]&lt;-0.3,"kürzer",TRUE,"keine Abweichung")</f>
        <v>keine Abweichung</v>
      </c>
      <c r="I3298">
        <v>1</v>
      </c>
    </row>
    <row r="3299" spans="1:9" hidden="1" x14ac:dyDescent="0.3">
      <c r="A3299" s="13">
        <v>510</v>
      </c>
      <c r="B3299" s="4">
        <v>2</v>
      </c>
      <c r="C3299" t="s">
        <v>528</v>
      </c>
      <c r="D3299" t="s">
        <v>529</v>
      </c>
      <c r="E3299">
        <v>15</v>
      </c>
      <c r="F3299">
        <v>16</v>
      </c>
      <c r="G3299" s="8">
        <f>Lektionen[[#This Row],[Bearbeitungsdauer_real]]/Lektionen[[#This Row],[Bearbeitungsdauer_geschätzt]]-1</f>
        <v>6.6666666666666652E-2</v>
      </c>
      <c r="H3299" s="8" t="str" cm="1">
        <f t="array" ref="H3299">_xlfn.IFS(Lektionen[[#This Row],[Bearbeitungsdauer_abgewichen]]&gt;0.6,"viel länger",Lektionen[[#This Row],[Bearbeitungsdauer_abgewichen]]&gt;0.3,"länger",Lektionen[[#This Row],[Bearbeitungsdauer_abgewichen]]&lt;-0.3,"kürzer",TRUE,"keine Abweichung")</f>
        <v>keine Abweichung</v>
      </c>
      <c r="I3299">
        <v>1</v>
      </c>
    </row>
    <row r="3300" spans="1:9" hidden="1" x14ac:dyDescent="0.3">
      <c r="A3300" s="13">
        <v>510</v>
      </c>
      <c r="B3300" s="4">
        <v>3</v>
      </c>
      <c r="C3300" t="s">
        <v>552</v>
      </c>
      <c r="D3300" t="s">
        <v>530</v>
      </c>
      <c r="E3300">
        <v>30</v>
      </c>
      <c r="F3300">
        <v>28</v>
      </c>
      <c r="G3300" s="8">
        <f>Lektionen[[#This Row],[Bearbeitungsdauer_real]]/Lektionen[[#This Row],[Bearbeitungsdauer_geschätzt]]-1</f>
        <v>-6.6666666666666652E-2</v>
      </c>
      <c r="H3300" s="8" t="str" cm="1">
        <f t="array" ref="H3300">_xlfn.IFS(Lektionen[[#This Row],[Bearbeitungsdauer_abgewichen]]&gt;0.6,"viel länger",Lektionen[[#This Row],[Bearbeitungsdauer_abgewichen]]&gt;0.3,"länger",Lektionen[[#This Row],[Bearbeitungsdauer_abgewichen]]&lt;-0.3,"kürzer",TRUE,"keine Abweichung")</f>
        <v>keine Abweichung</v>
      </c>
      <c r="I3300">
        <v>3</v>
      </c>
    </row>
    <row r="3301" spans="1:9" hidden="1" x14ac:dyDescent="0.3">
      <c r="A3301" s="13">
        <v>510</v>
      </c>
      <c r="B3301" s="4">
        <v>4</v>
      </c>
      <c r="C3301" t="s">
        <v>531</v>
      </c>
      <c r="D3301" t="s">
        <v>530</v>
      </c>
      <c r="E3301">
        <v>30</v>
      </c>
      <c r="F3301">
        <v>26</v>
      </c>
      <c r="G3301" s="8">
        <f>Lektionen[[#This Row],[Bearbeitungsdauer_real]]/Lektionen[[#This Row],[Bearbeitungsdauer_geschätzt]]-1</f>
        <v>-0.1333333333333333</v>
      </c>
      <c r="H3301" s="8" t="str" cm="1">
        <f t="array" ref="H3301">_xlfn.IFS(Lektionen[[#This Row],[Bearbeitungsdauer_abgewichen]]&gt;0.6,"viel länger",Lektionen[[#This Row],[Bearbeitungsdauer_abgewichen]]&gt;0.3,"länger",Lektionen[[#This Row],[Bearbeitungsdauer_abgewichen]]&lt;-0.3,"kürzer",TRUE,"keine Abweichung")</f>
        <v>keine Abweichung</v>
      </c>
      <c r="I3301">
        <v>4</v>
      </c>
    </row>
    <row r="3302" spans="1:9" x14ac:dyDescent="0.3">
      <c r="A3302" s="13">
        <v>510</v>
      </c>
      <c r="B3302" s="4">
        <v>5</v>
      </c>
      <c r="C3302" t="s">
        <v>532</v>
      </c>
      <c r="D3302" t="s">
        <v>530</v>
      </c>
      <c r="E3302">
        <v>30</v>
      </c>
      <c r="F3302">
        <v>43</v>
      </c>
      <c r="G3302" s="8">
        <f>Lektionen[[#This Row],[Bearbeitungsdauer_real]]/Lektionen[[#This Row],[Bearbeitungsdauer_geschätzt]]-1</f>
        <v>0.43333333333333335</v>
      </c>
      <c r="H3302" s="8" t="str" cm="1">
        <f t="array" ref="H3302">_xlfn.IFS(Lektionen[[#This Row],[Bearbeitungsdauer_abgewichen]]&gt;0.6,"viel länger",Lektionen[[#This Row],[Bearbeitungsdauer_abgewichen]]&gt;0.3,"länger",Lektionen[[#This Row],[Bearbeitungsdauer_abgewichen]]&lt;-0.3,"kürzer",TRUE,"keine Abweichung")</f>
        <v>länger</v>
      </c>
      <c r="I3302">
        <v>4</v>
      </c>
    </row>
    <row r="3303" spans="1:9" hidden="1" x14ac:dyDescent="0.3">
      <c r="A3303" s="13">
        <v>510</v>
      </c>
      <c r="B3303" s="4">
        <v>6</v>
      </c>
      <c r="C3303" t="s">
        <v>533</v>
      </c>
      <c r="D3303" t="s">
        <v>534</v>
      </c>
      <c r="E3303">
        <v>5</v>
      </c>
      <c r="F3303">
        <v>2</v>
      </c>
      <c r="G3303" s="8">
        <f>Lektionen[[#This Row],[Bearbeitungsdauer_real]]/Lektionen[[#This Row],[Bearbeitungsdauer_geschätzt]]-1</f>
        <v>-0.6</v>
      </c>
      <c r="H3303" s="8" t="str" cm="1">
        <f t="array" ref="H3303">_xlfn.IFS(Lektionen[[#This Row],[Bearbeitungsdauer_abgewichen]]&gt;0.6,"viel länger",Lektionen[[#This Row],[Bearbeitungsdauer_abgewichen]]&gt;0.3,"länger",Lektionen[[#This Row],[Bearbeitungsdauer_abgewichen]]&lt;-0.3,"kürzer",TRUE,"keine Abweichung")</f>
        <v>kürzer</v>
      </c>
      <c r="I3303">
        <v>1</v>
      </c>
    </row>
    <row r="3304" spans="1:9" hidden="1" x14ac:dyDescent="0.3">
      <c r="A3304" s="13">
        <v>510</v>
      </c>
      <c r="B3304" s="4">
        <v>7</v>
      </c>
      <c r="C3304" t="s">
        <v>535</v>
      </c>
      <c r="D3304" t="s">
        <v>536</v>
      </c>
      <c r="E3304">
        <v>10</v>
      </c>
      <c r="F3304">
        <v>9</v>
      </c>
      <c r="G3304" s="8">
        <f>Lektionen[[#This Row],[Bearbeitungsdauer_real]]/Lektionen[[#This Row],[Bearbeitungsdauer_geschätzt]]-1</f>
        <v>-9.9999999999999978E-2</v>
      </c>
      <c r="H3304" s="8" t="str" cm="1">
        <f t="array" ref="H3304">_xlfn.IFS(Lektionen[[#This Row],[Bearbeitungsdauer_abgewichen]]&gt;0.6,"viel länger",Lektionen[[#This Row],[Bearbeitungsdauer_abgewichen]]&gt;0.3,"länger",Lektionen[[#This Row],[Bearbeitungsdauer_abgewichen]]&lt;-0.3,"kürzer",TRUE,"keine Abweichung")</f>
        <v>keine Abweichung</v>
      </c>
      <c r="I3304">
        <v>3</v>
      </c>
    </row>
    <row r="3305" spans="1:9" hidden="1" x14ac:dyDescent="0.3">
      <c r="A3305" s="13">
        <v>510</v>
      </c>
      <c r="B3305" s="4">
        <v>8</v>
      </c>
      <c r="C3305" t="s">
        <v>537</v>
      </c>
      <c r="D3305" t="s">
        <v>527</v>
      </c>
      <c r="E3305">
        <v>5</v>
      </c>
      <c r="F3305">
        <v>5</v>
      </c>
      <c r="G3305" s="8">
        <f>Lektionen[[#This Row],[Bearbeitungsdauer_real]]/Lektionen[[#This Row],[Bearbeitungsdauer_geschätzt]]-1</f>
        <v>0</v>
      </c>
      <c r="H3305" s="8" t="str" cm="1">
        <f t="array" ref="H3305">_xlfn.IFS(Lektionen[[#This Row],[Bearbeitungsdauer_abgewichen]]&gt;0.6,"viel länger",Lektionen[[#This Row],[Bearbeitungsdauer_abgewichen]]&gt;0.3,"länger",Lektionen[[#This Row],[Bearbeitungsdauer_abgewichen]]&lt;-0.3,"kürzer",TRUE,"keine Abweichung")</f>
        <v>keine Abweichung</v>
      </c>
      <c r="I3305">
        <v>1</v>
      </c>
    </row>
    <row r="3306" spans="1:9" hidden="1" x14ac:dyDescent="0.3">
      <c r="A3306" s="13">
        <v>511</v>
      </c>
      <c r="B3306" s="4">
        <v>1</v>
      </c>
      <c r="C3306" t="s">
        <v>526</v>
      </c>
      <c r="D3306" t="s">
        <v>527</v>
      </c>
      <c r="E3306">
        <v>4</v>
      </c>
      <c r="F3306">
        <v>4</v>
      </c>
      <c r="G3306" s="8">
        <f>Lektionen[[#This Row],[Bearbeitungsdauer_real]]/Lektionen[[#This Row],[Bearbeitungsdauer_geschätzt]]-1</f>
        <v>0</v>
      </c>
      <c r="H3306" s="8" t="str" cm="1">
        <f t="array" ref="H3306">_xlfn.IFS(Lektionen[[#This Row],[Bearbeitungsdauer_abgewichen]]&gt;0.6,"viel länger",Lektionen[[#This Row],[Bearbeitungsdauer_abgewichen]]&gt;0.3,"länger",Lektionen[[#This Row],[Bearbeitungsdauer_abgewichen]]&lt;-0.3,"kürzer",TRUE,"keine Abweichung")</f>
        <v>keine Abweichung</v>
      </c>
      <c r="I3306">
        <v>1</v>
      </c>
    </row>
    <row r="3307" spans="1:9" hidden="1" x14ac:dyDescent="0.3">
      <c r="A3307" s="13">
        <v>511</v>
      </c>
      <c r="B3307" s="4">
        <v>2</v>
      </c>
      <c r="C3307" t="s">
        <v>528</v>
      </c>
      <c r="D3307" t="s">
        <v>529</v>
      </c>
      <c r="E3307">
        <v>15</v>
      </c>
      <c r="F3307">
        <v>17</v>
      </c>
      <c r="G3307" s="8">
        <f>Lektionen[[#This Row],[Bearbeitungsdauer_real]]/Lektionen[[#This Row],[Bearbeitungsdauer_geschätzt]]-1</f>
        <v>0.1333333333333333</v>
      </c>
      <c r="H3307" s="8" t="str" cm="1">
        <f t="array" ref="H3307">_xlfn.IFS(Lektionen[[#This Row],[Bearbeitungsdauer_abgewichen]]&gt;0.6,"viel länger",Lektionen[[#This Row],[Bearbeitungsdauer_abgewichen]]&gt;0.3,"länger",Lektionen[[#This Row],[Bearbeitungsdauer_abgewichen]]&lt;-0.3,"kürzer",TRUE,"keine Abweichung")</f>
        <v>keine Abweichung</v>
      </c>
      <c r="I3307">
        <v>2</v>
      </c>
    </row>
    <row r="3308" spans="1:9" hidden="1" x14ac:dyDescent="0.3">
      <c r="A3308" s="13">
        <v>511</v>
      </c>
      <c r="B3308" s="4">
        <v>3</v>
      </c>
      <c r="C3308" t="s">
        <v>552</v>
      </c>
      <c r="D3308" t="s">
        <v>530</v>
      </c>
      <c r="E3308">
        <v>30</v>
      </c>
      <c r="F3308">
        <v>25</v>
      </c>
      <c r="G3308" s="8">
        <f>Lektionen[[#This Row],[Bearbeitungsdauer_real]]/Lektionen[[#This Row],[Bearbeitungsdauer_geschätzt]]-1</f>
        <v>-0.16666666666666663</v>
      </c>
      <c r="H3308" s="8" t="str" cm="1">
        <f t="array" ref="H3308">_xlfn.IFS(Lektionen[[#This Row],[Bearbeitungsdauer_abgewichen]]&gt;0.6,"viel länger",Lektionen[[#This Row],[Bearbeitungsdauer_abgewichen]]&gt;0.3,"länger",Lektionen[[#This Row],[Bearbeitungsdauer_abgewichen]]&lt;-0.3,"kürzer",TRUE,"keine Abweichung")</f>
        <v>keine Abweichung</v>
      </c>
      <c r="I3308">
        <v>3</v>
      </c>
    </row>
    <row r="3309" spans="1:9" hidden="1" x14ac:dyDescent="0.3">
      <c r="A3309" s="13">
        <v>511</v>
      </c>
      <c r="B3309" s="4">
        <v>4</v>
      </c>
      <c r="C3309" t="s">
        <v>531</v>
      </c>
      <c r="D3309" t="s">
        <v>530</v>
      </c>
      <c r="E3309">
        <v>30</v>
      </c>
      <c r="F3309">
        <v>25</v>
      </c>
      <c r="G3309" s="8">
        <f>Lektionen[[#This Row],[Bearbeitungsdauer_real]]/Lektionen[[#This Row],[Bearbeitungsdauer_geschätzt]]-1</f>
        <v>-0.16666666666666663</v>
      </c>
      <c r="H3309" s="8" t="str" cm="1">
        <f t="array" ref="H3309">_xlfn.IFS(Lektionen[[#This Row],[Bearbeitungsdauer_abgewichen]]&gt;0.6,"viel länger",Lektionen[[#This Row],[Bearbeitungsdauer_abgewichen]]&gt;0.3,"länger",Lektionen[[#This Row],[Bearbeitungsdauer_abgewichen]]&lt;-0.3,"kürzer",TRUE,"keine Abweichung")</f>
        <v>keine Abweichung</v>
      </c>
      <c r="I3309">
        <v>3</v>
      </c>
    </row>
    <row r="3310" spans="1:9" x14ac:dyDescent="0.3">
      <c r="A3310" s="13">
        <v>511</v>
      </c>
      <c r="B3310" s="4">
        <v>5</v>
      </c>
      <c r="C3310" t="s">
        <v>532</v>
      </c>
      <c r="D3310" t="s">
        <v>530</v>
      </c>
      <c r="E3310">
        <v>30</v>
      </c>
      <c r="F3310">
        <v>43</v>
      </c>
      <c r="G3310" s="8">
        <f>Lektionen[[#This Row],[Bearbeitungsdauer_real]]/Lektionen[[#This Row],[Bearbeitungsdauer_geschätzt]]-1</f>
        <v>0.43333333333333335</v>
      </c>
      <c r="H3310" s="8" t="str" cm="1">
        <f t="array" ref="H3310">_xlfn.IFS(Lektionen[[#This Row],[Bearbeitungsdauer_abgewichen]]&gt;0.6,"viel länger",Lektionen[[#This Row],[Bearbeitungsdauer_abgewichen]]&gt;0.3,"länger",Lektionen[[#This Row],[Bearbeitungsdauer_abgewichen]]&lt;-0.3,"kürzer",TRUE,"keine Abweichung")</f>
        <v>länger</v>
      </c>
      <c r="I3310">
        <v>4</v>
      </c>
    </row>
    <row r="3311" spans="1:9" hidden="1" x14ac:dyDescent="0.3">
      <c r="A3311" s="13">
        <v>511</v>
      </c>
      <c r="B3311" s="4">
        <v>6</v>
      </c>
      <c r="C3311" t="s">
        <v>533</v>
      </c>
      <c r="D3311" t="s">
        <v>534</v>
      </c>
      <c r="E3311">
        <v>5</v>
      </c>
      <c r="F3311">
        <v>1</v>
      </c>
      <c r="G3311" s="8">
        <f>Lektionen[[#This Row],[Bearbeitungsdauer_real]]/Lektionen[[#This Row],[Bearbeitungsdauer_geschätzt]]-1</f>
        <v>-0.8</v>
      </c>
      <c r="H3311" s="8" t="str" cm="1">
        <f t="array" ref="H3311">_xlfn.IFS(Lektionen[[#This Row],[Bearbeitungsdauer_abgewichen]]&gt;0.6,"viel länger",Lektionen[[#This Row],[Bearbeitungsdauer_abgewichen]]&gt;0.3,"länger",Lektionen[[#This Row],[Bearbeitungsdauer_abgewichen]]&lt;-0.3,"kürzer",TRUE,"keine Abweichung")</f>
        <v>kürzer</v>
      </c>
      <c r="I3311">
        <v>1</v>
      </c>
    </row>
    <row r="3312" spans="1:9" hidden="1" x14ac:dyDescent="0.3">
      <c r="A3312" s="13">
        <v>511</v>
      </c>
      <c r="B3312" s="4">
        <v>7</v>
      </c>
      <c r="C3312" t="s">
        <v>535</v>
      </c>
      <c r="D3312" t="s">
        <v>536</v>
      </c>
      <c r="E3312">
        <v>10</v>
      </c>
      <c r="F3312">
        <v>10</v>
      </c>
      <c r="G3312" s="8">
        <f>Lektionen[[#This Row],[Bearbeitungsdauer_real]]/Lektionen[[#This Row],[Bearbeitungsdauer_geschätzt]]-1</f>
        <v>0</v>
      </c>
      <c r="H3312" s="8" t="str" cm="1">
        <f t="array" ref="H3312">_xlfn.IFS(Lektionen[[#This Row],[Bearbeitungsdauer_abgewichen]]&gt;0.6,"viel länger",Lektionen[[#This Row],[Bearbeitungsdauer_abgewichen]]&gt;0.3,"länger",Lektionen[[#This Row],[Bearbeitungsdauer_abgewichen]]&lt;-0.3,"kürzer",TRUE,"keine Abweichung")</f>
        <v>keine Abweichung</v>
      </c>
      <c r="I3312">
        <v>3</v>
      </c>
    </row>
    <row r="3313" spans="1:9" hidden="1" x14ac:dyDescent="0.3">
      <c r="A3313" s="13">
        <v>511</v>
      </c>
      <c r="B3313" s="4">
        <v>8</v>
      </c>
      <c r="C3313" t="s">
        <v>537</v>
      </c>
      <c r="D3313" t="s">
        <v>527</v>
      </c>
      <c r="E3313">
        <v>5</v>
      </c>
      <c r="F3313">
        <v>5</v>
      </c>
      <c r="G3313" s="8">
        <f>Lektionen[[#This Row],[Bearbeitungsdauer_real]]/Lektionen[[#This Row],[Bearbeitungsdauer_geschätzt]]-1</f>
        <v>0</v>
      </c>
      <c r="H3313" s="8" t="str" cm="1">
        <f t="array" ref="H3313">_xlfn.IFS(Lektionen[[#This Row],[Bearbeitungsdauer_abgewichen]]&gt;0.6,"viel länger",Lektionen[[#This Row],[Bearbeitungsdauer_abgewichen]]&gt;0.3,"länger",Lektionen[[#This Row],[Bearbeitungsdauer_abgewichen]]&lt;-0.3,"kürzer",TRUE,"keine Abweichung")</f>
        <v>keine Abweichung</v>
      </c>
      <c r="I3313">
        <v>1</v>
      </c>
    </row>
    <row r="3314" spans="1:9" hidden="1" x14ac:dyDescent="0.3">
      <c r="A3314" s="13">
        <v>513</v>
      </c>
      <c r="B3314" s="4">
        <v>1</v>
      </c>
      <c r="C3314" t="s">
        <v>526</v>
      </c>
      <c r="D3314" t="s">
        <v>527</v>
      </c>
      <c r="E3314">
        <v>4</v>
      </c>
      <c r="F3314">
        <v>4</v>
      </c>
      <c r="G3314" s="8">
        <f>Lektionen[[#This Row],[Bearbeitungsdauer_real]]/Lektionen[[#This Row],[Bearbeitungsdauer_geschätzt]]-1</f>
        <v>0</v>
      </c>
      <c r="H3314" s="8" t="str" cm="1">
        <f t="array" ref="H3314">_xlfn.IFS(Lektionen[[#This Row],[Bearbeitungsdauer_abgewichen]]&gt;0.6,"viel länger",Lektionen[[#This Row],[Bearbeitungsdauer_abgewichen]]&gt;0.3,"länger",Lektionen[[#This Row],[Bearbeitungsdauer_abgewichen]]&lt;-0.3,"kürzer",TRUE,"keine Abweichung")</f>
        <v>keine Abweichung</v>
      </c>
      <c r="I3314">
        <v>1</v>
      </c>
    </row>
    <row r="3315" spans="1:9" hidden="1" x14ac:dyDescent="0.3">
      <c r="A3315" s="13">
        <v>513</v>
      </c>
      <c r="B3315" s="4">
        <v>2</v>
      </c>
      <c r="C3315" t="s">
        <v>528</v>
      </c>
      <c r="D3315" t="s">
        <v>529</v>
      </c>
      <c r="E3315">
        <v>15</v>
      </c>
      <c r="F3315">
        <v>17</v>
      </c>
      <c r="G3315" s="8">
        <f>Lektionen[[#This Row],[Bearbeitungsdauer_real]]/Lektionen[[#This Row],[Bearbeitungsdauer_geschätzt]]-1</f>
        <v>0.1333333333333333</v>
      </c>
      <c r="H3315" s="8" t="str" cm="1">
        <f t="array" ref="H3315">_xlfn.IFS(Lektionen[[#This Row],[Bearbeitungsdauer_abgewichen]]&gt;0.6,"viel länger",Lektionen[[#This Row],[Bearbeitungsdauer_abgewichen]]&gt;0.3,"länger",Lektionen[[#This Row],[Bearbeitungsdauer_abgewichen]]&lt;-0.3,"kürzer",TRUE,"keine Abweichung")</f>
        <v>keine Abweichung</v>
      </c>
      <c r="I3315">
        <v>2</v>
      </c>
    </row>
    <row r="3316" spans="1:9" hidden="1" x14ac:dyDescent="0.3">
      <c r="A3316" s="13">
        <v>513</v>
      </c>
      <c r="B3316" s="4">
        <v>3</v>
      </c>
      <c r="C3316" t="s">
        <v>552</v>
      </c>
      <c r="D3316" t="s">
        <v>530</v>
      </c>
      <c r="E3316">
        <v>30</v>
      </c>
      <c r="F3316">
        <v>28</v>
      </c>
      <c r="G3316" s="8">
        <f>Lektionen[[#This Row],[Bearbeitungsdauer_real]]/Lektionen[[#This Row],[Bearbeitungsdauer_geschätzt]]-1</f>
        <v>-6.6666666666666652E-2</v>
      </c>
      <c r="H3316" s="8" t="str" cm="1">
        <f t="array" ref="H3316">_xlfn.IFS(Lektionen[[#This Row],[Bearbeitungsdauer_abgewichen]]&gt;0.6,"viel länger",Lektionen[[#This Row],[Bearbeitungsdauer_abgewichen]]&gt;0.3,"länger",Lektionen[[#This Row],[Bearbeitungsdauer_abgewichen]]&lt;-0.3,"kürzer",TRUE,"keine Abweichung")</f>
        <v>keine Abweichung</v>
      </c>
      <c r="I3316">
        <v>3</v>
      </c>
    </row>
    <row r="3317" spans="1:9" hidden="1" x14ac:dyDescent="0.3">
      <c r="A3317" s="13">
        <v>513</v>
      </c>
      <c r="B3317" s="4">
        <v>4</v>
      </c>
      <c r="C3317" t="s">
        <v>531</v>
      </c>
      <c r="D3317" t="s">
        <v>530</v>
      </c>
      <c r="E3317">
        <v>30</v>
      </c>
      <c r="F3317">
        <v>18</v>
      </c>
      <c r="G3317" s="8">
        <f>Lektionen[[#This Row],[Bearbeitungsdauer_real]]/Lektionen[[#This Row],[Bearbeitungsdauer_geschätzt]]-1</f>
        <v>-0.4</v>
      </c>
      <c r="H3317" s="8" t="str" cm="1">
        <f t="array" ref="H3317">_xlfn.IFS(Lektionen[[#This Row],[Bearbeitungsdauer_abgewichen]]&gt;0.6,"viel länger",Lektionen[[#This Row],[Bearbeitungsdauer_abgewichen]]&gt;0.3,"länger",Lektionen[[#This Row],[Bearbeitungsdauer_abgewichen]]&lt;-0.3,"kürzer",TRUE,"keine Abweichung")</f>
        <v>kürzer</v>
      </c>
      <c r="I3317">
        <v>3</v>
      </c>
    </row>
    <row r="3318" spans="1:9" x14ac:dyDescent="0.3">
      <c r="A3318" s="13">
        <v>513</v>
      </c>
      <c r="B3318" s="4">
        <v>5</v>
      </c>
      <c r="C3318" t="s">
        <v>532</v>
      </c>
      <c r="D3318" t="s">
        <v>530</v>
      </c>
      <c r="E3318">
        <v>30</v>
      </c>
      <c r="F3318">
        <v>48</v>
      </c>
      <c r="G3318" s="8">
        <f>Lektionen[[#This Row],[Bearbeitungsdauer_real]]/Lektionen[[#This Row],[Bearbeitungsdauer_geschätzt]]-1</f>
        <v>0.60000000000000009</v>
      </c>
      <c r="H3318" s="8" t="str" cm="1">
        <f t="array" ref="H3318">_xlfn.IFS(Lektionen[[#This Row],[Bearbeitungsdauer_abgewichen]]&gt;0.6,"viel länger",Lektionen[[#This Row],[Bearbeitungsdauer_abgewichen]]&gt;0.3,"länger",Lektionen[[#This Row],[Bearbeitungsdauer_abgewichen]]&lt;-0.3,"kürzer",TRUE,"keine Abweichung")</f>
        <v>länger</v>
      </c>
      <c r="I3318">
        <v>3</v>
      </c>
    </row>
    <row r="3319" spans="1:9" hidden="1" x14ac:dyDescent="0.3">
      <c r="A3319" s="13">
        <v>513</v>
      </c>
      <c r="B3319" s="4">
        <v>6</v>
      </c>
      <c r="C3319" t="s">
        <v>533</v>
      </c>
      <c r="D3319" t="s">
        <v>534</v>
      </c>
      <c r="E3319">
        <v>5</v>
      </c>
      <c r="F3319">
        <v>2</v>
      </c>
      <c r="G3319" s="8">
        <f>Lektionen[[#This Row],[Bearbeitungsdauer_real]]/Lektionen[[#This Row],[Bearbeitungsdauer_geschätzt]]-1</f>
        <v>-0.6</v>
      </c>
      <c r="H3319" s="8" t="str" cm="1">
        <f t="array" ref="H3319">_xlfn.IFS(Lektionen[[#This Row],[Bearbeitungsdauer_abgewichen]]&gt;0.6,"viel länger",Lektionen[[#This Row],[Bearbeitungsdauer_abgewichen]]&gt;0.3,"länger",Lektionen[[#This Row],[Bearbeitungsdauer_abgewichen]]&lt;-0.3,"kürzer",TRUE,"keine Abweichung")</f>
        <v>kürzer</v>
      </c>
      <c r="I3319">
        <v>2</v>
      </c>
    </row>
    <row r="3320" spans="1:9" hidden="1" x14ac:dyDescent="0.3">
      <c r="A3320" s="13">
        <v>513</v>
      </c>
      <c r="B3320" s="4">
        <v>7</v>
      </c>
      <c r="C3320" t="s">
        <v>535</v>
      </c>
      <c r="D3320" t="s">
        <v>536</v>
      </c>
      <c r="E3320">
        <v>10</v>
      </c>
      <c r="F3320">
        <v>9</v>
      </c>
      <c r="G3320" s="8">
        <f>Lektionen[[#This Row],[Bearbeitungsdauer_real]]/Lektionen[[#This Row],[Bearbeitungsdauer_geschätzt]]-1</f>
        <v>-9.9999999999999978E-2</v>
      </c>
      <c r="H3320" s="8" t="str" cm="1">
        <f t="array" ref="H3320">_xlfn.IFS(Lektionen[[#This Row],[Bearbeitungsdauer_abgewichen]]&gt;0.6,"viel länger",Lektionen[[#This Row],[Bearbeitungsdauer_abgewichen]]&gt;0.3,"länger",Lektionen[[#This Row],[Bearbeitungsdauer_abgewichen]]&lt;-0.3,"kürzer",TRUE,"keine Abweichung")</f>
        <v>keine Abweichung</v>
      </c>
      <c r="I3320">
        <v>3</v>
      </c>
    </row>
    <row r="3321" spans="1:9" hidden="1" x14ac:dyDescent="0.3">
      <c r="A3321" s="13">
        <v>513</v>
      </c>
      <c r="B3321" s="4">
        <v>8</v>
      </c>
      <c r="C3321" t="s">
        <v>537</v>
      </c>
      <c r="D3321" t="s">
        <v>527</v>
      </c>
      <c r="E3321">
        <v>5</v>
      </c>
      <c r="F3321">
        <v>5</v>
      </c>
      <c r="G3321" s="8">
        <f>Lektionen[[#This Row],[Bearbeitungsdauer_real]]/Lektionen[[#This Row],[Bearbeitungsdauer_geschätzt]]-1</f>
        <v>0</v>
      </c>
      <c r="H3321" s="8" t="str" cm="1">
        <f t="array" ref="H3321">_xlfn.IFS(Lektionen[[#This Row],[Bearbeitungsdauer_abgewichen]]&gt;0.6,"viel länger",Lektionen[[#This Row],[Bearbeitungsdauer_abgewichen]]&gt;0.3,"länger",Lektionen[[#This Row],[Bearbeitungsdauer_abgewichen]]&lt;-0.3,"kürzer",TRUE,"keine Abweichung")</f>
        <v>keine Abweichung</v>
      </c>
      <c r="I3321">
        <v>1</v>
      </c>
    </row>
    <row r="3322" spans="1:9" hidden="1" x14ac:dyDescent="0.3">
      <c r="A3322" s="13">
        <v>515</v>
      </c>
      <c r="B3322" s="4">
        <v>1</v>
      </c>
      <c r="C3322" t="s">
        <v>526</v>
      </c>
      <c r="D3322" t="s">
        <v>527</v>
      </c>
      <c r="E3322">
        <v>4</v>
      </c>
      <c r="F3322">
        <v>7</v>
      </c>
      <c r="G3322" s="8">
        <f>Lektionen[[#This Row],[Bearbeitungsdauer_real]]/Lektionen[[#This Row],[Bearbeitungsdauer_geschätzt]]-1</f>
        <v>0.75</v>
      </c>
      <c r="H3322" s="8" t="str" cm="1">
        <f t="array" ref="H3322">_xlfn.IFS(Lektionen[[#This Row],[Bearbeitungsdauer_abgewichen]]&gt;0.6,"viel länger",Lektionen[[#This Row],[Bearbeitungsdauer_abgewichen]]&gt;0.3,"länger",Lektionen[[#This Row],[Bearbeitungsdauer_abgewichen]]&lt;-0.3,"kürzer",TRUE,"keine Abweichung")</f>
        <v>viel länger</v>
      </c>
      <c r="I3322">
        <v>1</v>
      </c>
    </row>
    <row r="3323" spans="1:9" hidden="1" x14ac:dyDescent="0.3">
      <c r="A3323" s="13">
        <v>515</v>
      </c>
      <c r="B3323" s="4">
        <v>2</v>
      </c>
      <c r="C3323" t="s">
        <v>528</v>
      </c>
      <c r="D3323" t="s">
        <v>529</v>
      </c>
      <c r="E3323">
        <v>15</v>
      </c>
      <c r="F3323">
        <v>16</v>
      </c>
      <c r="G3323" s="8">
        <f>Lektionen[[#This Row],[Bearbeitungsdauer_real]]/Lektionen[[#This Row],[Bearbeitungsdauer_geschätzt]]-1</f>
        <v>6.6666666666666652E-2</v>
      </c>
      <c r="H3323" s="8" t="str" cm="1">
        <f t="array" ref="H3323">_xlfn.IFS(Lektionen[[#This Row],[Bearbeitungsdauer_abgewichen]]&gt;0.6,"viel länger",Lektionen[[#This Row],[Bearbeitungsdauer_abgewichen]]&gt;0.3,"länger",Lektionen[[#This Row],[Bearbeitungsdauer_abgewichen]]&lt;-0.3,"kürzer",TRUE,"keine Abweichung")</f>
        <v>keine Abweichung</v>
      </c>
      <c r="I3323">
        <v>2</v>
      </c>
    </row>
    <row r="3324" spans="1:9" hidden="1" x14ac:dyDescent="0.3">
      <c r="A3324" s="13">
        <v>515</v>
      </c>
      <c r="B3324" s="4">
        <v>3</v>
      </c>
      <c r="C3324" t="s">
        <v>552</v>
      </c>
      <c r="D3324" t="s">
        <v>530</v>
      </c>
      <c r="E3324">
        <v>30</v>
      </c>
      <c r="F3324">
        <v>29</v>
      </c>
      <c r="G3324" s="8">
        <f>Lektionen[[#This Row],[Bearbeitungsdauer_real]]/Lektionen[[#This Row],[Bearbeitungsdauer_geschätzt]]-1</f>
        <v>-3.3333333333333326E-2</v>
      </c>
      <c r="H3324" s="8" t="str" cm="1">
        <f t="array" ref="H3324">_xlfn.IFS(Lektionen[[#This Row],[Bearbeitungsdauer_abgewichen]]&gt;0.6,"viel länger",Lektionen[[#This Row],[Bearbeitungsdauer_abgewichen]]&gt;0.3,"länger",Lektionen[[#This Row],[Bearbeitungsdauer_abgewichen]]&lt;-0.3,"kürzer",TRUE,"keine Abweichung")</f>
        <v>keine Abweichung</v>
      </c>
      <c r="I3324">
        <v>3</v>
      </c>
    </row>
    <row r="3325" spans="1:9" hidden="1" x14ac:dyDescent="0.3">
      <c r="A3325" s="13">
        <v>515</v>
      </c>
      <c r="B3325" s="4">
        <v>4</v>
      </c>
      <c r="C3325" t="s">
        <v>531</v>
      </c>
      <c r="D3325" t="s">
        <v>530</v>
      </c>
      <c r="E3325">
        <v>30</v>
      </c>
      <c r="F3325">
        <v>27</v>
      </c>
      <c r="G3325" s="8">
        <f>Lektionen[[#This Row],[Bearbeitungsdauer_real]]/Lektionen[[#This Row],[Bearbeitungsdauer_geschätzt]]-1</f>
        <v>-9.9999999999999978E-2</v>
      </c>
      <c r="H3325" s="8" t="str" cm="1">
        <f t="array" ref="H3325">_xlfn.IFS(Lektionen[[#This Row],[Bearbeitungsdauer_abgewichen]]&gt;0.6,"viel länger",Lektionen[[#This Row],[Bearbeitungsdauer_abgewichen]]&gt;0.3,"länger",Lektionen[[#This Row],[Bearbeitungsdauer_abgewichen]]&lt;-0.3,"kürzer",TRUE,"keine Abweichung")</f>
        <v>keine Abweichung</v>
      </c>
      <c r="I3325">
        <v>4</v>
      </c>
    </row>
    <row r="3326" spans="1:9" x14ac:dyDescent="0.3">
      <c r="A3326" s="13">
        <v>515</v>
      </c>
      <c r="B3326" s="4">
        <v>5</v>
      </c>
      <c r="C3326" t="s">
        <v>532</v>
      </c>
      <c r="D3326" t="s">
        <v>530</v>
      </c>
      <c r="E3326">
        <v>30</v>
      </c>
      <c r="F3326">
        <v>51</v>
      </c>
      <c r="G3326" s="8">
        <f>Lektionen[[#This Row],[Bearbeitungsdauer_real]]/Lektionen[[#This Row],[Bearbeitungsdauer_geschätzt]]-1</f>
        <v>0.7</v>
      </c>
      <c r="H3326" s="8" t="str" cm="1">
        <f t="array" ref="H3326">_xlfn.IFS(Lektionen[[#This Row],[Bearbeitungsdauer_abgewichen]]&gt;0.6,"viel länger",Lektionen[[#This Row],[Bearbeitungsdauer_abgewichen]]&gt;0.3,"länger",Lektionen[[#This Row],[Bearbeitungsdauer_abgewichen]]&lt;-0.3,"kürzer",TRUE,"keine Abweichung")</f>
        <v>viel länger</v>
      </c>
      <c r="I3326">
        <v>3</v>
      </c>
    </row>
    <row r="3327" spans="1:9" hidden="1" x14ac:dyDescent="0.3">
      <c r="A3327" s="13">
        <v>515</v>
      </c>
      <c r="B3327" s="4">
        <v>6</v>
      </c>
      <c r="C3327" t="s">
        <v>533</v>
      </c>
      <c r="D3327" t="s">
        <v>534</v>
      </c>
      <c r="E3327">
        <v>5</v>
      </c>
      <c r="F3327">
        <v>1</v>
      </c>
      <c r="G3327" s="8">
        <f>Lektionen[[#This Row],[Bearbeitungsdauer_real]]/Lektionen[[#This Row],[Bearbeitungsdauer_geschätzt]]-1</f>
        <v>-0.8</v>
      </c>
      <c r="H3327" s="8" t="str" cm="1">
        <f t="array" ref="H3327">_xlfn.IFS(Lektionen[[#This Row],[Bearbeitungsdauer_abgewichen]]&gt;0.6,"viel länger",Lektionen[[#This Row],[Bearbeitungsdauer_abgewichen]]&gt;0.3,"länger",Lektionen[[#This Row],[Bearbeitungsdauer_abgewichen]]&lt;-0.3,"kürzer",TRUE,"keine Abweichung")</f>
        <v>kürzer</v>
      </c>
      <c r="I3327">
        <v>3</v>
      </c>
    </row>
    <row r="3328" spans="1:9" hidden="1" x14ac:dyDescent="0.3">
      <c r="A3328" s="13">
        <v>515</v>
      </c>
      <c r="B3328" s="4">
        <v>7</v>
      </c>
      <c r="C3328" t="s">
        <v>535</v>
      </c>
      <c r="D3328" t="s">
        <v>536</v>
      </c>
      <c r="E3328">
        <v>10</v>
      </c>
      <c r="F3328">
        <v>12</v>
      </c>
      <c r="G3328" s="8">
        <f>Lektionen[[#This Row],[Bearbeitungsdauer_real]]/Lektionen[[#This Row],[Bearbeitungsdauer_geschätzt]]-1</f>
        <v>0.19999999999999996</v>
      </c>
      <c r="H3328" s="8" t="str" cm="1">
        <f t="array" ref="H3328">_xlfn.IFS(Lektionen[[#This Row],[Bearbeitungsdauer_abgewichen]]&gt;0.6,"viel länger",Lektionen[[#This Row],[Bearbeitungsdauer_abgewichen]]&gt;0.3,"länger",Lektionen[[#This Row],[Bearbeitungsdauer_abgewichen]]&lt;-0.3,"kürzer",TRUE,"keine Abweichung")</f>
        <v>keine Abweichung</v>
      </c>
      <c r="I3328">
        <v>3</v>
      </c>
    </row>
    <row r="3329" spans="1:9" hidden="1" x14ac:dyDescent="0.3">
      <c r="A3329" s="13">
        <v>515</v>
      </c>
      <c r="B3329" s="4">
        <v>8</v>
      </c>
      <c r="C3329" t="s">
        <v>537</v>
      </c>
      <c r="D3329" t="s">
        <v>527</v>
      </c>
      <c r="E3329">
        <v>5</v>
      </c>
      <c r="F3329">
        <v>5</v>
      </c>
      <c r="G3329" s="8">
        <f>Lektionen[[#This Row],[Bearbeitungsdauer_real]]/Lektionen[[#This Row],[Bearbeitungsdauer_geschätzt]]-1</f>
        <v>0</v>
      </c>
      <c r="H3329" s="8" t="str" cm="1">
        <f t="array" ref="H3329">_xlfn.IFS(Lektionen[[#This Row],[Bearbeitungsdauer_abgewichen]]&gt;0.6,"viel länger",Lektionen[[#This Row],[Bearbeitungsdauer_abgewichen]]&gt;0.3,"länger",Lektionen[[#This Row],[Bearbeitungsdauer_abgewichen]]&lt;-0.3,"kürzer",TRUE,"keine Abweichung")</f>
        <v>keine Abweichung</v>
      </c>
      <c r="I3329">
        <v>1</v>
      </c>
    </row>
    <row r="3330" spans="1:9" hidden="1" x14ac:dyDescent="0.3">
      <c r="A3330" s="13">
        <v>516</v>
      </c>
      <c r="B3330" s="4">
        <v>1</v>
      </c>
      <c r="C3330" t="s">
        <v>526</v>
      </c>
      <c r="D3330" t="s">
        <v>527</v>
      </c>
      <c r="E3330">
        <v>4</v>
      </c>
      <c r="F3330">
        <v>4</v>
      </c>
      <c r="G3330" s="8">
        <f>Lektionen[[#This Row],[Bearbeitungsdauer_real]]/Lektionen[[#This Row],[Bearbeitungsdauer_geschätzt]]-1</f>
        <v>0</v>
      </c>
      <c r="H3330" s="8" t="str" cm="1">
        <f t="array" ref="H3330">_xlfn.IFS(Lektionen[[#This Row],[Bearbeitungsdauer_abgewichen]]&gt;0.6,"viel länger",Lektionen[[#This Row],[Bearbeitungsdauer_abgewichen]]&gt;0.3,"länger",Lektionen[[#This Row],[Bearbeitungsdauer_abgewichen]]&lt;-0.3,"kürzer",TRUE,"keine Abweichung")</f>
        <v>keine Abweichung</v>
      </c>
      <c r="I3330">
        <v>1</v>
      </c>
    </row>
    <row r="3331" spans="1:9" hidden="1" x14ac:dyDescent="0.3">
      <c r="A3331" s="13">
        <v>516</v>
      </c>
      <c r="B3331" s="4">
        <v>2</v>
      </c>
      <c r="C3331" t="s">
        <v>528</v>
      </c>
      <c r="D3331" t="s">
        <v>529</v>
      </c>
      <c r="E3331">
        <v>15</v>
      </c>
      <c r="F3331">
        <v>18</v>
      </c>
      <c r="G3331" s="8">
        <f>Lektionen[[#This Row],[Bearbeitungsdauer_real]]/Lektionen[[#This Row],[Bearbeitungsdauer_geschätzt]]-1</f>
        <v>0.19999999999999996</v>
      </c>
      <c r="H3331" s="8" t="str" cm="1">
        <f t="array" ref="H3331">_xlfn.IFS(Lektionen[[#This Row],[Bearbeitungsdauer_abgewichen]]&gt;0.6,"viel länger",Lektionen[[#This Row],[Bearbeitungsdauer_abgewichen]]&gt;0.3,"länger",Lektionen[[#This Row],[Bearbeitungsdauer_abgewichen]]&lt;-0.3,"kürzer",TRUE,"keine Abweichung")</f>
        <v>keine Abweichung</v>
      </c>
      <c r="I3331">
        <v>1</v>
      </c>
    </row>
    <row r="3332" spans="1:9" hidden="1" x14ac:dyDescent="0.3">
      <c r="A3332" s="13">
        <v>516</v>
      </c>
      <c r="B3332" s="4">
        <v>3</v>
      </c>
      <c r="C3332" t="s">
        <v>552</v>
      </c>
      <c r="D3332" t="s">
        <v>530</v>
      </c>
      <c r="E3332">
        <v>30</v>
      </c>
      <c r="F3332">
        <v>28</v>
      </c>
      <c r="G3332" s="8">
        <f>Lektionen[[#This Row],[Bearbeitungsdauer_real]]/Lektionen[[#This Row],[Bearbeitungsdauer_geschätzt]]-1</f>
        <v>-6.6666666666666652E-2</v>
      </c>
      <c r="H3332" s="8" t="str" cm="1">
        <f t="array" ref="H3332">_xlfn.IFS(Lektionen[[#This Row],[Bearbeitungsdauer_abgewichen]]&gt;0.6,"viel länger",Lektionen[[#This Row],[Bearbeitungsdauer_abgewichen]]&gt;0.3,"länger",Lektionen[[#This Row],[Bearbeitungsdauer_abgewichen]]&lt;-0.3,"kürzer",TRUE,"keine Abweichung")</f>
        <v>keine Abweichung</v>
      </c>
      <c r="I3332">
        <v>2</v>
      </c>
    </row>
    <row r="3333" spans="1:9" hidden="1" x14ac:dyDescent="0.3">
      <c r="A3333" s="13">
        <v>516</v>
      </c>
      <c r="B3333" s="4">
        <v>4</v>
      </c>
      <c r="C3333" t="s">
        <v>531</v>
      </c>
      <c r="D3333" t="s">
        <v>530</v>
      </c>
      <c r="E3333">
        <v>30</v>
      </c>
      <c r="F3333">
        <v>27</v>
      </c>
      <c r="G3333" s="8">
        <f>Lektionen[[#This Row],[Bearbeitungsdauer_real]]/Lektionen[[#This Row],[Bearbeitungsdauer_geschätzt]]-1</f>
        <v>-9.9999999999999978E-2</v>
      </c>
      <c r="H3333" s="8" t="str" cm="1">
        <f t="array" ref="H3333">_xlfn.IFS(Lektionen[[#This Row],[Bearbeitungsdauer_abgewichen]]&gt;0.6,"viel länger",Lektionen[[#This Row],[Bearbeitungsdauer_abgewichen]]&gt;0.3,"länger",Lektionen[[#This Row],[Bearbeitungsdauer_abgewichen]]&lt;-0.3,"kürzer",TRUE,"keine Abweichung")</f>
        <v>keine Abweichung</v>
      </c>
      <c r="I3333">
        <v>3</v>
      </c>
    </row>
    <row r="3334" spans="1:9" x14ac:dyDescent="0.3">
      <c r="A3334" s="13">
        <v>516</v>
      </c>
      <c r="B3334" s="4">
        <v>5</v>
      </c>
      <c r="C3334" t="s">
        <v>532</v>
      </c>
      <c r="D3334" t="s">
        <v>530</v>
      </c>
      <c r="E3334">
        <v>30</v>
      </c>
      <c r="F3334">
        <v>42</v>
      </c>
      <c r="G3334" s="8">
        <f>Lektionen[[#This Row],[Bearbeitungsdauer_real]]/Lektionen[[#This Row],[Bearbeitungsdauer_geschätzt]]-1</f>
        <v>0.39999999999999991</v>
      </c>
      <c r="H3334" s="8" t="str" cm="1">
        <f t="array" ref="H3334">_xlfn.IFS(Lektionen[[#This Row],[Bearbeitungsdauer_abgewichen]]&gt;0.6,"viel länger",Lektionen[[#This Row],[Bearbeitungsdauer_abgewichen]]&gt;0.3,"länger",Lektionen[[#This Row],[Bearbeitungsdauer_abgewichen]]&lt;-0.3,"kürzer",TRUE,"keine Abweichung")</f>
        <v>länger</v>
      </c>
      <c r="I3334">
        <v>4</v>
      </c>
    </row>
    <row r="3335" spans="1:9" hidden="1" x14ac:dyDescent="0.3">
      <c r="A3335" s="13">
        <v>516</v>
      </c>
      <c r="B3335" s="4">
        <v>6</v>
      </c>
      <c r="C3335" t="s">
        <v>533</v>
      </c>
      <c r="D3335" t="s">
        <v>534</v>
      </c>
      <c r="E3335">
        <v>5</v>
      </c>
      <c r="F3335">
        <v>1</v>
      </c>
      <c r="G3335" s="8">
        <f>Lektionen[[#This Row],[Bearbeitungsdauer_real]]/Lektionen[[#This Row],[Bearbeitungsdauer_geschätzt]]-1</f>
        <v>-0.8</v>
      </c>
      <c r="H3335" s="8" t="str" cm="1">
        <f t="array" ref="H3335">_xlfn.IFS(Lektionen[[#This Row],[Bearbeitungsdauer_abgewichen]]&gt;0.6,"viel länger",Lektionen[[#This Row],[Bearbeitungsdauer_abgewichen]]&gt;0.3,"länger",Lektionen[[#This Row],[Bearbeitungsdauer_abgewichen]]&lt;-0.3,"kürzer",TRUE,"keine Abweichung")</f>
        <v>kürzer</v>
      </c>
      <c r="I3335">
        <v>2</v>
      </c>
    </row>
    <row r="3336" spans="1:9" hidden="1" x14ac:dyDescent="0.3">
      <c r="A3336" s="13">
        <v>516</v>
      </c>
      <c r="B3336" s="4">
        <v>7</v>
      </c>
      <c r="C3336" t="s">
        <v>535</v>
      </c>
      <c r="D3336" t="s">
        <v>536</v>
      </c>
      <c r="E3336">
        <v>10</v>
      </c>
      <c r="F3336">
        <v>10</v>
      </c>
      <c r="G3336" s="8">
        <f>Lektionen[[#This Row],[Bearbeitungsdauer_real]]/Lektionen[[#This Row],[Bearbeitungsdauer_geschätzt]]-1</f>
        <v>0</v>
      </c>
      <c r="H3336" s="8" t="str" cm="1">
        <f t="array" ref="H3336">_xlfn.IFS(Lektionen[[#This Row],[Bearbeitungsdauer_abgewichen]]&gt;0.6,"viel länger",Lektionen[[#This Row],[Bearbeitungsdauer_abgewichen]]&gt;0.3,"länger",Lektionen[[#This Row],[Bearbeitungsdauer_abgewichen]]&lt;-0.3,"kürzer",TRUE,"keine Abweichung")</f>
        <v>keine Abweichung</v>
      </c>
      <c r="I3336">
        <v>3</v>
      </c>
    </row>
    <row r="3337" spans="1:9" hidden="1" x14ac:dyDescent="0.3">
      <c r="A3337" s="13">
        <v>516</v>
      </c>
      <c r="B3337" s="4">
        <v>8</v>
      </c>
      <c r="C3337" t="s">
        <v>537</v>
      </c>
      <c r="D3337" t="s">
        <v>527</v>
      </c>
      <c r="E3337">
        <v>5</v>
      </c>
      <c r="F3337">
        <v>6</v>
      </c>
      <c r="G3337" s="8">
        <f>Lektionen[[#This Row],[Bearbeitungsdauer_real]]/Lektionen[[#This Row],[Bearbeitungsdauer_geschätzt]]-1</f>
        <v>0.19999999999999996</v>
      </c>
      <c r="H3337" s="8" t="str" cm="1">
        <f t="array" ref="H3337">_xlfn.IFS(Lektionen[[#This Row],[Bearbeitungsdauer_abgewichen]]&gt;0.6,"viel länger",Lektionen[[#This Row],[Bearbeitungsdauer_abgewichen]]&gt;0.3,"länger",Lektionen[[#This Row],[Bearbeitungsdauer_abgewichen]]&lt;-0.3,"kürzer",TRUE,"keine Abweichung")</f>
        <v>keine Abweichung</v>
      </c>
      <c r="I3337">
        <v>1</v>
      </c>
    </row>
    <row r="3338" spans="1:9" hidden="1" x14ac:dyDescent="0.3">
      <c r="A3338" s="13">
        <v>517</v>
      </c>
      <c r="B3338" s="4">
        <v>1</v>
      </c>
      <c r="C3338" t="s">
        <v>526</v>
      </c>
      <c r="D3338" t="s">
        <v>527</v>
      </c>
      <c r="E3338">
        <v>4</v>
      </c>
      <c r="F3338">
        <v>4</v>
      </c>
      <c r="G3338" s="8">
        <f>Lektionen[[#This Row],[Bearbeitungsdauer_real]]/Lektionen[[#This Row],[Bearbeitungsdauer_geschätzt]]-1</f>
        <v>0</v>
      </c>
      <c r="H3338" s="8" t="str" cm="1">
        <f t="array" ref="H3338">_xlfn.IFS(Lektionen[[#This Row],[Bearbeitungsdauer_abgewichen]]&gt;0.6,"viel länger",Lektionen[[#This Row],[Bearbeitungsdauer_abgewichen]]&gt;0.3,"länger",Lektionen[[#This Row],[Bearbeitungsdauer_abgewichen]]&lt;-0.3,"kürzer",TRUE,"keine Abweichung")</f>
        <v>keine Abweichung</v>
      </c>
      <c r="I3338">
        <v>1</v>
      </c>
    </row>
    <row r="3339" spans="1:9" hidden="1" x14ac:dyDescent="0.3">
      <c r="A3339" s="13">
        <v>517</v>
      </c>
      <c r="B3339" s="4">
        <v>2</v>
      </c>
      <c r="C3339" t="s">
        <v>528</v>
      </c>
      <c r="D3339" t="s">
        <v>529</v>
      </c>
      <c r="E3339">
        <v>15</v>
      </c>
      <c r="F3339">
        <v>17</v>
      </c>
      <c r="G3339" s="8">
        <f>Lektionen[[#This Row],[Bearbeitungsdauer_real]]/Lektionen[[#This Row],[Bearbeitungsdauer_geschätzt]]-1</f>
        <v>0.1333333333333333</v>
      </c>
      <c r="H3339" s="8" t="str" cm="1">
        <f t="array" ref="H3339">_xlfn.IFS(Lektionen[[#This Row],[Bearbeitungsdauer_abgewichen]]&gt;0.6,"viel länger",Lektionen[[#This Row],[Bearbeitungsdauer_abgewichen]]&gt;0.3,"länger",Lektionen[[#This Row],[Bearbeitungsdauer_abgewichen]]&lt;-0.3,"kürzer",TRUE,"keine Abweichung")</f>
        <v>keine Abweichung</v>
      </c>
      <c r="I3339">
        <v>1</v>
      </c>
    </row>
    <row r="3340" spans="1:9" hidden="1" x14ac:dyDescent="0.3">
      <c r="A3340" s="13">
        <v>517</v>
      </c>
      <c r="B3340" s="4">
        <v>3</v>
      </c>
      <c r="C3340" t="s">
        <v>552</v>
      </c>
      <c r="D3340" t="s">
        <v>530</v>
      </c>
      <c r="E3340">
        <v>30</v>
      </c>
      <c r="F3340">
        <v>28</v>
      </c>
      <c r="G3340" s="8">
        <f>Lektionen[[#This Row],[Bearbeitungsdauer_real]]/Lektionen[[#This Row],[Bearbeitungsdauer_geschätzt]]-1</f>
        <v>-6.6666666666666652E-2</v>
      </c>
      <c r="H3340" s="8" t="str" cm="1">
        <f t="array" ref="H3340">_xlfn.IFS(Lektionen[[#This Row],[Bearbeitungsdauer_abgewichen]]&gt;0.6,"viel länger",Lektionen[[#This Row],[Bearbeitungsdauer_abgewichen]]&gt;0.3,"länger",Lektionen[[#This Row],[Bearbeitungsdauer_abgewichen]]&lt;-0.3,"kürzer",TRUE,"keine Abweichung")</f>
        <v>keine Abweichung</v>
      </c>
      <c r="I3340">
        <v>2</v>
      </c>
    </row>
    <row r="3341" spans="1:9" hidden="1" x14ac:dyDescent="0.3">
      <c r="A3341" s="13">
        <v>517</v>
      </c>
      <c r="B3341" s="4">
        <v>4</v>
      </c>
      <c r="C3341" t="s">
        <v>531</v>
      </c>
      <c r="D3341" t="s">
        <v>530</v>
      </c>
      <c r="E3341">
        <v>30</v>
      </c>
      <c r="F3341">
        <v>25</v>
      </c>
      <c r="G3341" s="8">
        <f>Lektionen[[#This Row],[Bearbeitungsdauer_real]]/Lektionen[[#This Row],[Bearbeitungsdauer_geschätzt]]-1</f>
        <v>-0.16666666666666663</v>
      </c>
      <c r="H3341" s="8" t="str" cm="1">
        <f t="array" ref="H3341">_xlfn.IFS(Lektionen[[#This Row],[Bearbeitungsdauer_abgewichen]]&gt;0.6,"viel länger",Lektionen[[#This Row],[Bearbeitungsdauer_abgewichen]]&gt;0.3,"länger",Lektionen[[#This Row],[Bearbeitungsdauer_abgewichen]]&lt;-0.3,"kürzer",TRUE,"keine Abweichung")</f>
        <v>keine Abweichung</v>
      </c>
      <c r="I3341">
        <v>3</v>
      </c>
    </row>
    <row r="3342" spans="1:9" x14ac:dyDescent="0.3">
      <c r="A3342" s="13">
        <v>517</v>
      </c>
      <c r="B3342" s="4">
        <v>5</v>
      </c>
      <c r="C3342" t="s">
        <v>532</v>
      </c>
      <c r="D3342" t="s">
        <v>530</v>
      </c>
      <c r="E3342">
        <v>30</v>
      </c>
      <c r="F3342">
        <v>46</v>
      </c>
      <c r="G3342" s="8">
        <f>Lektionen[[#This Row],[Bearbeitungsdauer_real]]/Lektionen[[#This Row],[Bearbeitungsdauer_geschätzt]]-1</f>
        <v>0.53333333333333344</v>
      </c>
      <c r="H3342" s="8" t="str" cm="1">
        <f t="array" ref="H3342">_xlfn.IFS(Lektionen[[#This Row],[Bearbeitungsdauer_abgewichen]]&gt;0.6,"viel länger",Lektionen[[#This Row],[Bearbeitungsdauer_abgewichen]]&gt;0.3,"länger",Lektionen[[#This Row],[Bearbeitungsdauer_abgewichen]]&lt;-0.3,"kürzer",TRUE,"keine Abweichung")</f>
        <v>länger</v>
      </c>
      <c r="I3342">
        <v>3</v>
      </c>
    </row>
    <row r="3343" spans="1:9" hidden="1" x14ac:dyDescent="0.3">
      <c r="A3343" s="13">
        <v>517</v>
      </c>
      <c r="B3343" s="4">
        <v>6</v>
      </c>
      <c r="C3343" t="s">
        <v>533</v>
      </c>
      <c r="D3343" t="s">
        <v>534</v>
      </c>
      <c r="E3343">
        <v>5</v>
      </c>
      <c r="F3343">
        <v>1</v>
      </c>
      <c r="G3343" s="8">
        <f>Lektionen[[#This Row],[Bearbeitungsdauer_real]]/Lektionen[[#This Row],[Bearbeitungsdauer_geschätzt]]-1</f>
        <v>-0.8</v>
      </c>
      <c r="H3343" s="8" t="str" cm="1">
        <f t="array" ref="H3343">_xlfn.IFS(Lektionen[[#This Row],[Bearbeitungsdauer_abgewichen]]&gt;0.6,"viel länger",Lektionen[[#This Row],[Bearbeitungsdauer_abgewichen]]&gt;0.3,"länger",Lektionen[[#This Row],[Bearbeitungsdauer_abgewichen]]&lt;-0.3,"kürzer",TRUE,"keine Abweichung")</f>
        <v>kürzer</v>
      </c>
      <c r="I3343">
        <v>2</v>
      </c>
    </row>
    <row r="3344" spans="1:9" hidden="1" x14ac:dyDescent="0.3">
      <c r="A3344" s="13">
        <v>517</v>
      </c>
      <c r="B3344" s="4">
        <v>7</v>
      </c>
      <c r="C3344" t="s">
        <v>535</v>
      </c>
      <c r="D3344" t="s">
        <v>536</v>
      </c>
      <c r="E3344">
        <v>10</v>
      </c>
      <c r="F3344">
        <v>9</v>
      </c>
      <c r="G3344" s="8">
        <f>Lektionen[[#This Row],[Bearbeitungsdauer_real]]/Lektionen[[#This Row],[Bearbeitungsdauer_geschätzt]]-1</f>
        <v>-9.9999999999999978E-2</v>
      </c>
      <c r="H3344" s="8" t="str" cm="1">
        <f t="array" ref="H3344">_xlfn.IFS(Lektionen[[#This Row],[Bearbeitungsdauer_abgewichen]]&gt;0.6,"viel länger",Lektionen[[#This Row],[Bearbeitungsdauer_abgewichen]]&gt;0.3,"länger",Lektionen[[#This Row],[Bearbeitungsdauer_abgewichen]]&lt;-0.3,"kürzer",TRUE,"keine Abweichung")</f>
        <v>keine Abweichung</v>
      </c>
      <c r="I3344">
        <v>3</v>
      </c>
    </row>
    <row r="3345" spans="1:9" hidden="1" x14ac:dyDescent="0.3">
      <c r="A3345" s="13">
        <v>517</v>
      </c>
      <c r="B3345" s="4">
        <v>8</v>
      </c>
      <c r="C3345" t="s">
        <v>537</v>
      </c>
      <c r="D3345" t="s">
        <v>527</v>
      </c>
      <c r="E3345">
        <v>5</v>
      </c>
      <c r="F3345">
        <v>5</v>
      </c>
      <c r="G3345" s="8">
        <f>Lektionen[[#This Row],[Bearbeitungsdauer_real]]/Lektionen[[#This Row],[Bearbeitungsdauer_geschätzt]]-1</f>
        <v>0</v>
      </c>
      <c r="H3345" s="8" t="str" cm="1">
        <f t="array" ref="H3345">_xlfn.IFS(Lektionen[[#This Row],[Bearbeitungsdauer_abgewichen]]&gt;0.6,"viel länger",Lektionen[[#This Row],[Bearbeitungsdauer_abgewichen]]&gt;0.3,"länger",Lektionen[[#This Row],[Bearbeitungsdauer_abgewichen]]&lt;-0.3,"kürzer",TRUE,"keine Abweichung")</f>
        <v>keine Abweichung</v>
      </c>
      <c r="I3345">
        <v>2</v>
      </c>
    </row>
    <row r="3346" spans="1:9" hidden="1" x14ac:dyDescent="0.3">
      <c r="A3346" s="13">
        <v>518</v>
      </c>
      <c r="B3346" s="4">
        <v>1</v>
      </c>
      <c r="C3346" t="s">
        <v>526</v>
      </c>
      <c r="D3346" t="s">
        <v>527</v>
      </c>
      <c r="E3346">
        <v>4</v>
      </c>
      <c r="F3346">
        <v>4</v>
      </c>
      <c r="G3346" s="8">
        <f>Lektionen[[#This Row],[Bearbeitungsdauer_real]]/Lektionen[[#This Row],[Bearbeitungsdauer_geschätzt]]-1</f>
        <v>0</v>
      </c>
      <c r="H3346" s="8" t="str" cm="1">
        <f t="array" ref="H3346">_xlfn.IFS(Lektionen[[#This Row],[Bearbeitungsdauer_abgewichen]]&gt;0.6,"viel länger",Lektionen[[#This Row],[Bearbeitungsdauer_abgewichen]]&gt;0.3,"länger",Lektionen[[#This Row],[Bearbeitungsdauer_abgewichen]]&lt;-0.3,"kürzer",TRUE,"keine Abweichung")</f>
        <v>keine Abweichung</v>
      </c>
      <c r="I3346">
        <v>1</v>
      </c>
    </row>
    <row r="3347" spans="1:9" hidden="1" x14ac:dyDescent="0.3">
      <c r="A3347" s="13">
        <v>518</v>
      </c>
      <c r="B3347" s="4">
        <v>2</v>
      </c>
      <c r="C3347" t="s">
        <v>528</v>
      </c>
      <c r="D3347" t="s">
        <v>529</v>
      </c>
      <c r="E3347">
        <v>15</v>
      </c>
      <c r="F3347">
        <v>19</v>
      </c>
      <c r="G3347" s="8">
        <f>Lektionen[[#This Row],[Bearbeitungsdauer_real]]/Lektionen[[#This Row],[Bearbeitungsdauer_geschätzt]]-1</f>
        <v>0.26666666666666661</v>
      </c>
      <c r="H3347" s="8" t="str" cm="1">
        <f t="array" ref="H3347">_xlfn.IFS(Lektionen[[#This Row],[Bearbeitungsdauer_abgewichen]]&gt;0.6,"viel länger",Lektionen[[#This Row],[Bearbeitungsdauer_abgewichen]]&gt;0.3,"länger",Lektionen[[#This Row],[Bearbeitungsdauer_abgewichen]]&lt;-0.3,"kürzer",TRUE,"keine Abweichung")</f>
        <v>keine Abweichung</v>
      </c>
      <c r="I3347">
        <v>1</v>
      </c>
    </row>
    <row r="3348" spans="1:9" hidden="1" x14ac:dyDescent="0.3">
      <c r="A3348" s="13">
        <v>518</v>
      </c>
      <c r="B3348" s="4">
        <v>3</v>
      </c>
      <c r="C3348" t="s">
        <v>552</v>
      </c>
      <c r="D3348" t="s">
        <v>530</v>
      </c>
      <c r="E3348">
        <v>30</v>
      </c>
      <c r="F3348">
        <v>28</v>
      </c>
      <c r="G3348" s="8">
        <f>Lektionen[[#This Row],[Bearbeitungsdauer_real]]/Lektionen[[#This Row],[Bearbeitungsdauer_geschätzt]]-1</f>
        <v>-6.6666666666666652E-2</v>
      </c>
      <c r="H3348" s="8" t="str" cm="1">
        <f t="array" ref="H3348">_xlfn.IFS(Lektionen[[#This Row],[Bearbeitungsdauer_abgewichen]]&gt;0.6,"viel länger",Lektionen[[#This Row],[Bearbeitungsdauer_abgewichen]]&gt;0.3,"länger",Lektionen[[#This Row],[Bearbeitungsdauer_abgewichen]]&lt;-0.3,"kürzer",TRUE,"keine Abweichung")</f>
        <v>keine Abweichung</v>
      </c>
      <c r="I3348">
        <v>3</v>
      </c>
    </row>
    <row r="3349" spans="1:9" hidden="1" x14ac:dyDescent="0.3">
      <c r="A3349" s="13">
        <v>518</v>
      </c>
      <c r="B3349" s="4">
        <v>4</v>
      </c>
      <c r="C3349" t="s">
        <v>531</v>
      </c>
      <c r="D3349" t="s">
        <v>530</v>
      </c>
      <c r="E3349">
        <v>30</v>
      </c>
      <c r="F3349">
        <v>25</v>
      </c>
      <c r="G3349" s="8">
        <f>Lektionen[[#This Row],[Bearbeitungsdauer_real]]/Lektionen[[#This Row],[Bearbeitungsdauer_geschätzt]]-1</f>
        <v>-0.16666666666666663</v>
      </c>
      <c r="H3349" s="8" t="str" cm="1">
        <f t="array" ref="H3349">_xlfn.IFS(Lektionen[[#This Row],[Bearbeitungsdauer_abgewichen]]&gt;0.6,"viel länger",Lektionen[[#This Row],[Bearbeitungsdauer_abgewichen]]&gt;0.3,"länger",Lektionen[[#This Row],[Bearbeitungsdauer_abgewichen]]&lt;-0.3,"kürzer",TRUE,"keine Abweichung")</f>
        <v>keine Abweichung</v>
      </c>
      <c r="I3349">
        <v>3</v>
      </c>
    </row>
    <row r="3350" spans="1:9" x14ac:dyDescent="0.3">
      <c r="A3350" s="13">
        <v>518</v>
      </c>
      <c r="B3350" s="4">
        <v>5</v>
      </c>
      <c r="C3350" t="s">
        <v>532</v>
      </c>
      <c r="D3350" t="s">
        <v>530</v>
      </c>
      <c r="E3350">
        <v>30</v>
      </c>
      <c r="F3350">
        <v>44</v>
      </c>
      <c r="G3350" s="8">
        <f>Lektionen[[#This Row],[Bearbeitungsdauer_real]]/Lektionen[[#This Row],[Bearbeitungsdauer_geschätzt]]-1</f>
        <v>0.46666666666666656</v>
      </c>
      <c r="H3350" s="8" t="str" cm="1">
        <f t="array" ref="H3350">_xlfn.IFS(Lektionen[[#This Row],[Bearbeitungsdauer_abgewichen]]&gt;0.6,"viel länger",Lektionen[[#This Row],[Bearbeitungsdauer_abgewichen]]&gt;0.3,"länger",Lektionen[[#This Row],[Bearbeitungsdauer_abgewichen]]&lt;-0.3,"kürzer",TRUE,"keine Abweichung")</f>
        <v>länger</v>
      </c>
      <c r="I3350">
        <v>4</v>
      </c>
    </row>
    <row r="3351" spans="1:9" hidden="1" x14ac:dyDescent="0.3">
      <c r="A3351" s="13">
        <v>518</v>
      </c>
      <c r="B3351" s="4">
        <v>6</v>
      </c>
      <c r="C3351" t="s">
        <v>533</v>
      </c>
      <c r="D3351" t="s">
        <v>534</v>
      </c>
      <c r="E3351">
        <v>5</v>
      </c>
      <c r="F3351">
        <v>3</v>
      </c>
      <c r="G3351" s="8">
        <f>Lektionen[[#This Row],[Bearbeitungsdauer_real]]/Lektionen[[#This Row],[Bearbeitungsdauer_geschätzt]]-1</f>
        <v>-0.4</v>
      </c>
      <c r="H3351" s="8" t="str" cm="1">
        <f t="array" ref="H3351">_xlfn.IFS(Lektionen[[#This Row],[Bearbeitungsdauer_abgewichen]]&gt;0.6,"viel länger",Lektionen[[#This Row],[Bearbeitungsdauer_abgewichen]]&gt;0.3,"länger",Lektionen[[#This Row],[Bearbeitungsdauer_abgewichen]]&lt;-0.3,"kürzer",TRUE,"keine Abweichung")</f>
        <v>kürzer</v>
      </c>
      <c r="I3351">
        <v>2</v>
      </c>
    </row>
    <row r="3352" spans="1:9" hidden="1" x14ac:dyDescent="0.3">
      <c r="A3352" s="13">
        <v>518</v>
      </c>
      <c r="B3352" s="4">
        <v>7</v>
      </c>
      <c r="C3352" t="s">
        <v>535</v>
      </c>
      <c r="D3352" t="s">
        <v>536</v>
      </c>
      <c r="E3352">
        <v>10</v>
      </c>
      <c r="F3352">
        <v>9</v>
      </c>
      <c r="G3352" s="8">
        <f>Lektionen[[#This Row],[Bearbeitungsdauer_real]]/Lektionen[[#This Row],[Bearbeitungsdauer_geschätzt]]-1</f>
        <v>-9.9999999999999978E-2</v>
      </c>
      <c r="H3352" s="8" t="str" cm="1">
        <f t="array" ref="H3352">_xlfn.IFS(Lektionen[[#This Row],[Bearbeitungsdauer_abgewichen]]&gt;0.6,"viel länger",Lektionen[[#This Row],[Bearbeitungsdauer_abgewichen]]&gt;0.3,"länger",Lektionen[[#This Row],[Bearbeitungsdauer_abgewichen]]&lt;-0.3,"kürzer",TRUE,"keine Abweichung")</f>
        <v>keine Abweichung</v>
      </c>
      <c r="I3352">
        <v>3</v>
      </c>
    </row>
    <row r="3353" spans="1:9" hidden="1" x14ac:dyDescent="0.3">
      <c r="A3353" s="13">
        <v>518</v>
      </c>
      <c r="B3353" s="4">
        <v>8</v>
      </c>
      <c r="C3353" t="s">
        <v>537</v>
      </c>
      <c r="D3353" t="s">
        <v>527</v>
      </c>
      <c r="E3353">
        <v>5</v>
      </c>
      <c r="F3353">
        <v>5</v>
      </c>
      <c r="G3353" s="8">
        <f>Lektionen[[#This Row],[Bearbeitungsdauer_real]]/Lektionen[[#This Row],[Bearbeitungsdauer_geschätzt]]-1</f>
        <v>0</v>
      </c>
      <c r="H3353" s="8" t="str" cm="1">
        <f t="array" ref="H3353">_xlfn.IFS(Lektionen[[#This Row],[Bearbeitungsdauer_abgewichen]]&gt;0.6,"viel länger",Lektionen[[#This Row],[Bearbeitungsdauer_abgewichen]]&gt;0.3,"länger",Lektionen[[#This Row],[Bearbeitungsdauer_abgewichen]]&lt;-0.3,"kürzer",TRUE,"keine Abweichung")</f>
        <v>keine Abweichung</v>
      </c>
      <c r="I3353">
        <v>1</v>
      </c>
    </row>
    <row r="3354" spans="1:9" hidden="1" x14ac:dyDescent="0.3">
      <c r="A3354" s="13">
        <v>520</v>
      </c>
      <c r="B3354" s="4">
        <v>1</v>
      </c>
      <c r="C3354" t="s">
        <v>526</v>
      </c>
      <c r="D3354" t="s">
        <v>527</v>
      </c>
      <c r="E3354">
        <v>4</v>
      </c>
      <c r="F3354">
        <v>4</v>
      </c>
      <c r="G3354" s="8">
        <f>Lektionen[[#This Row],[Bearbeitungsdauer_real]]/Lektionen[[#This Row],[Bearbeitungsdauer_geschätzt]]-1</f>
        <v>0</v>
      </c>
      <c r="H3354" s="8" t="str" cm="1">
        <f t="array" ref="H3354">_xlfn.IFS(Lektionen[[#This Row],[Bearbeitungsdauer_abgewichen]]&gt;0.6,"viel länger",Lektionen[[#This Row],[Bearbeitungsdauer_abgewichen]]&gt;0.3,"länger",Lektionen[[#This Row],[Bearbeitungsdauer_abgewichen]]&lt;-0.3,"kürzer",TRUE,"keine Abweichung")</f>
        <v>keine Abweichung</v>
      </c>
      <c r="I3354">
        <v>1</v>
      </c>
    </row>
    <row r="3355" spans="1:9" hidden="1" x14ac:dyDescent="0.3">
      <c r="A3355" s="13">
        <v>520</v>
      </c>
      <c r="B3355" s="4">
        <v>2</v>
      </c>
      <c r="C3355" t="s">
        <v>528</v>
      </c>
      <c r="D3355" t="s">
        <v>529</v>
      </c>
      <c r="E3355">
        <v>15</v>
      </c>
      <c r="F3355">
        <v>18</v>
      </c>
      <c r="G3355" s="8">
        <f>Lektionen[[#This Row],[Bearbeitungsdauer_real]]/Lektionen[[#This Row],[Bearbeitungsdauer_geschätzt]]-1</f>
        <v>0.19999999999999996</v>
      </c>
      <c r="H3355" s="8" t="str" cm="1">
        <f t="array" ref="H3355">_xlfn.IFS(Lektionen[[#This Row],[Bearbeitungsdauer_abgewichen]]&gt;0.6,"viel länger",Lektionen[[#This Row],[Bearbeitungsdauer_abgewichen]]&gt;0.3,"länger",Lektionen[[#This Row],[Bearbeitungsdauer_abgewichen]]&lt;-0.3,"kürzer",TRUE,"keine Abweichung")</f>
        <v>keine Abweichung</v>
      </c>
      <c r="I3355">
        <v>1</v>
      </c>
    </row>
    <row r="3356" spans="1:9" hidden="1" x14ac:dyDescent="0.3">
      <c r="A3356" s="13">
        <v>520</v>
      </c>
      <c r="B3356" s="4">
        <v>3</v>
      </c>
      <c r="C3356" t="s">
        <v>552</v>
      </c>
      <c r="D3356" t="s">
        <v>530</v>
      </c>
      <c r="E3356">
        <v>30</v>
      </c>
      <c r="F3356">
        <v>28</v>
      </c>
      <c r="G3356" s="8">
        <f>Lektionen[[#This Row],[Bearbeitungsdauer_real]]/Lektionen[[#This Row],[Bearbeitungsdauer_geschätzt]]-1</f>
        <v>-6.6666666666666652E-2</v>
      </c>
      <c r="H3356" s="8" t="str" cm="1">
        <f t="array" ref="H3356">_xlfn.IFS(Lektionen[[#This Row],[Bearbeitungsdauer_abgewichen]]&gt;0.6,"viel länger",Lektionen[[#This Row],[Bearbeitungsdauer_abgewichen]]&gt;0.3,"länger",Lektionen[[#This Row],[Bearbeitungsdauer_abgewichen]]&lt;-0.3,"kürzer",TRUE,"keine Abweichung")</f>
        <v>keine Abweichung</v>
      </c>
      <c r="I3356">
        <v>3</v>
      </c>
    </row>
    <row r="3357" spans="1:9" hidden="1" x14ac:dyDescent="0.3">
      <c r="A3357" s="13">
        <v>520</v>
      </c>
      <c r="B3357" s="4">
        <v>4</v>
      </c>
      <c r="C3357" t="s">
        <v>531</v>
      </c>
      <c r="D3357" t="s">
        <v>530</v>
      </c>
      <c r="E3357">
        <v>30</v>
      </c>
      <c r="F3357">
        <v>26</v>
      </c>
      <c r="G3357" s="8">
        <f>Lektionen[[#This Row],[Bearbeitungsdauer_real]]/Lektionen[[#This Row],[Bearbeitungsdauer_geschätzt]]-1</f>
        <v>-0.1333333333333333</v>
      </c>
      <c r="H3357" s="8" t="str" cm="1">
        <f t="array" ref="H3357">_xlfn.IFS(Lektionen[[#This Row],[Bearbeitungsdauer_abgewichen]]&gt;0.6,"viel länger",Lektionen[[#This Row],[Bearbeitungsdauer_abgewichen]]&gt;0.3,"länger",Lektionen[[#This Row],[Bearbeitungsdauer_abgewichen]]&lt;-0.3,"kürzer",TRUE,"keine Abweichung")</f>
        <v>keine Abweichung</v>
      </c>
      <c r="I3357">
        <v>3</v>
      </c>
    </row>
    <row r="3358" spans="1:9" x14ac:dyDescent="0.3">
      <c r="A3358" s="13">
        <v>520</v>
      </c>
      <c r="B3358" s="4">
        <v>5</v>
      </c>
      <c r="C3358" t="s">
        <v>532</v>
      </c>
      <c r="D3358" t="s">
        <v>530</v>
      </c>
      <c r="E3358">
        <v>30</v>
      </c>
      <c r="F3358">
        <v>35</v>
      </c>
      <c r="G3358" s="8">
        <f>Lektionen[[#This Row],[Bearbeitungsdauer_real]]/Lektionen[[#This Row],[Bearbeitungsdauer_geschätzt]]-1</f>
        <v>0.16666666666666674</v>
      </c>
      <c r="H3358" s="8" t="str" cm="1">
        <f t="array" ref="H3358">_xlfn.IFS(Lektionen[[#This Row],[Bearbeitungsdauer_abgewichen]]&gt;0.6,"viel länger",Lektionen[[#This Row],[Bearbeitungsdauer_abgewichen]]&gt;0.3,"länger",Lektionen[[#This Row],[Bearbeitungsdauer_abgewichen]]&lt;-0.3,"kürzer",TRUE,"keine Abweichung")</f>
        <v>keine Abweichung</v>
      </c>
      <c r="I3358">
        <v>4</v>
      </c>
    </row>
    <row r="3359" spans="1:9" hidden="1" x14ac:dyDescent="0.3">
      <c r="A3359" s="13">
        <v>520</v>
      </c>
      <c r="B3359" s="4">
        <v>6</v>
      </c>
      <c r="C3359" t="s">
        <v>533</v>
      </c>
      <c r="D3359" t="s">
        <v>534</v>
      </c>
      <c r="E3359">
        <v>5</v>
      </c>
      <c r="F3359">
        <v>2</v>
      </c>
      <c r="G3359" s="8">
        <f>Lektionen[[#This Row],[Bearbeitungsdauer_real]]/Lektionen[[#This Row],[Bearbeitungsdauer_geschätzt]]-1</f>
        <v>-0.6</v>
      </c>
      <c r="H3359" s="8" t="str" cm="1">
        <f t="array" ref="H3359">_xlfn.IFS(Lektionen[[#This Row],[Bearbeitungsdauer_abgewichen]]&gt;0.6,"viel länger",Lektionen[[#This Row],[Bearbeitungsdauer_abgewichen]]&gt;0.3,"länger",Lektionen[[#This Row],[Bearbeitungsdauer_abgewichen]]&lt;-0.3,"kürzer",TRUE,"keine Abweichung")</f>
        <v>kürzer</v>
      </c>
      <c r="I3359">
        <v>2</v>
      </c>
    </row>
    <row r="3360" spans="1:9" hidden="1" x14ac:dyDescent="0.3">
      <c r="A3360" s="13">
        <v>520</v>
      </c>
      <c r="B3360" s="4">
        <v>7</v>
      </c>
      <c r="C3360" t="s">
        <v>535</v>
      </c>
      <c r="D3360" t="s">
        <v>536</v>
      </c>
      <c r="E3360">
        <v>10</v>
      </c>
      <c r="F3360">
        <v>8</v>
      </c>
      <c r="G3360" s="8">
        <f>Lektionen[[#This Row],[Bearbeitungsdauer_real]]/Lektionen[[#This Row],[Bearbeitungsdauer_geschätzt]]-1</f>
        <v>-0.19999999999999996</v>
      </c>
      <c r="H3360" s="8" t="str" cm="1">
        <f t="array" ref="H3360">_xlfn.IFS(Lektionen[[#This Row],[Bearbeitungsdauer_abgewichen]]&gt;0.6,"viel länger",Lektionen[[#This Row],[Bearbeitungsdauer_abgewichen]]&gt;0.3,"länger",Lektionen[[#This Row],[Bearbeitungsdauer_abgewichen]]&lt;-0.3,"kürzer",TRUE,"keine Abweichung")</f>
        <v>keine Abweichung</v>
      </c>
      <c r="I3360">
        <v>3</v>
      </c>
    </row>
    <row r="3361" spans="1:9" hidden="1" x14ac:dyDescent="0.3">
      <c r="A3361" s="13">
        <v>520</v>
      </c>
      <c r="B3361" s="4">
        <v>8</v>
      </c>
      <c r="C3361" t="s">
        <v>537</v>
      </c>
      <c r="D3361" t="s">
        <v>527</v>
      </c>
      <c r="E3361">
        <v>5</v>
      </c>
      <c r="F3361">
        <v>5</v>
      </c>
      <c r="G3361" s="8">
        <f>Lektionen[[#This Row],[Bearbeitungsdauer_real]]/Lektionen[[#This Row],[Bearbeitungsdauer_geschätzt]]-1</f>
        <v>0</v>
      </c>
      <c r="H3361" s="8" t="str" cm="1">
        <f t="array" ref="H3361">_xlfn.IFS(Lektionen[[#This Row],[Bearbeitungsdauer_abgewichen]]&gt;0.6,"viel länger",Lektionen[[#This Row],[Bearbeitungsdauer_abgewichen]]&gt;0.3,"länger",Lektionen[[#This Row],[Bearbeitungsdauer_abgewichen]]&lt;-0.3,"kürzer",TRUE,"keine Abweichung")</f>
        <v>keine Abweichung</v>
      </c>
      <c r="I3361">
        <v>1</v>
      </c>
    </row>
    <row r="3362" spans="1:9" hidden="1" x14ac:dyDescent="0.3">
      <c r="A3362" s="13">
        <v>521</v>
      </c>
      <c r="B3362" s="4">
        <v>1</v>
      </c>
      <c r="C3362" t="s">
        <v>526</v>
      </c>
      <c r="D3362" t="s">
        <v>527</v>
      </c>
      <c r="E3362">
        <v>4</v>
      </c>
      <c r="F3362">
        <v>4</v>
      </c>
      <c r="G3362" s="8">
        <f>Lektionen[[#This Row],[Bearbeitungsdauer_real]]/Lektionen[[#This Row],[Bearbeitungsdauer_geschätzt]]-1</f>
        <v>0</v>
      </c>
      <c r="H3362" s="8" t="str" cm="1">
        <f t="array" ref="H3362">_xlfn.IFS(Lektionen[[#This Row],[Bearbeitungsdauer_abgewichen]]&gt;0.6,"viel länger",Lektionen[[#This Row],[Bearbeitungsdauer_abgewichen]]&gt;0.3,"länger",Lektionen[[#This Row],[Bearbeitungsdauer_abgewichen]]&lt;-0.3,"kürzer",TRUE,"keine Abweichung")</f>
        <v>keine Abweichung</v>
      </c>
      <c r="I3362">
        <v>1</v>
      </c>
    </row>
    <row r="3363" spans="1:9" hidden="1" x14ac:dyDescent="0.3">
      <c r="A3363" s="13">
        <v>521</v>
      </c>
      <c r="B3363" s="4">
        <v>2</v>
      </c>
      <c r="C3363" t="s">
        <v>528</v>
      </c>
      <c r="D3363" t="s">
        <v>529</v>
      </c>
      <c r="E3363">
        <v>15</v>
      </c>
      <c r="F3363">
        <v>19</v>
      </c>
      <c r="G3363" s="8">
        <f>Lektionen[[#This Row],[Bearbeitungsdauer_real]]/Lektionen[[#This Row],[Bearbeitungsdauer_geschätzt]]-1</f>
        <v>0.26666666666666661</v>
      </c>
      <c r="H3363" s="8" t="str" cm="1">
        <f t="array" ref="H3363">_xlfn.IFS(Lektionen[[#This Row],[Bearbeitungsdauer_abgewichen]]&gt;0.6,"viel länger",Lektionen[[#This Row],[Bearbeitungsdauer_abgewichen]]&gt;0.3,"länger",Lektionen[[#This Row],[Bearbeitungsdauer_abgewichen]]&lt;-0.3,"kürzer",TRUE,"keine Abweichung")</f>
        <v>keine Abweichung</v>
      </c>
      <c r="I3363">
        <v>2</v>
      </c>
    </row>
    <row r="3364" spans="1:9" hidden="1" x14ac:dyDescent="0.3">
      <c r="A3364" s="13">
        <v>521</v>
      </c>
      <c r="B3364" s="4">
        <v>3</v>
      </c>
      <c r="C3364" t="s">
        <v>552</v>
      </c>
      <c r="D3364" t="s">
        <v>530</v>
      </c>
      <c r="E3364">
        <v>30</v>
      </c>
      <c r="F3364">
        <v>29</v>
      </c>
      <c r="G3364" s="8">
        <f>Lektionen[[#This Row],[Bearbeitungsdauer_real]]/Lektionen[[#This Row],[Bearbeitungsdauer_geschätzt]]-1</f>
        <v>-3.3333333333333326E-2</v>
      </c>
      <c r="H3364" s="8" t="str" cm="1">
        <f t="array" ref="H3364">_xlfn.IFS(Lektionen[[#This Row],[Bearbeitungsdauer_abgewichen]]&gt;0.6,"viel länger",Lektionen[[#This Row],[Bearbeitungsdauer_abgewichen]]&gt;0.3,"länger",Lektionen[[#This Row],[Bearbeitungsdauer_abgewichen]]&lt;-0.3,"kürzer",TRUE,"keine Abweichung")</f>
        <v>keine Abweichung</v>
      </c>
      <c r="I3364">
        <v>2</v>
      </c>
    </row>
    <row r="3365" spans="1:9" hidden="1" x14ac:dyDescent="0.3">
      <c r="A3365" s="13">
        <v>521</v>
      </c>
      <c r="B3365" s="4">
        <v>4</v>
      </c>
      <c r="C3365" t="s">
        <v>531</v>
      </c>
      <c r="D3365" t="s">
        <v>530</v>
      </c>
      <c r="E3365">
        <v>30</v>
      </c>
      <c r="F3365">
        <v>24</v>
      </c>
      <c r="G3365" s="8">
        <f>Lektionen[[#This Row],[Bearbeitungsdauer_real]]/Lektionen[[#This Row],[Bearbeitungsdauer_geschätzt]]-1</f>
        <v>-0.19999999999999996</v>
      </c>
      <c r="H3365" s="8" t="str" cm="1">
        <f t="array" ref="H3365">_xlfn.IFS(Lektionen[[#This Row],[Bearbeitungsdauer_abgewichen]]&gt;0.6,"viel länger",Lektionen[[#This Row],[Bearbeitungsdauer_abgewichen]]&gt;0.3,"länger",Lektionen[[#This Row],[Bearbeitungsdauer_abgewichen]]&lt;-0.3,"kürzer",TRUE,"keine Abweichung")</f>
        <v>keine Abweichung</v>
      </c>
      <c r="I3365">
        <v>3</v>
      </c>
    </row>
    <row r="3366" spans="1:9" x14ac:dyDescent="0.3">
      <c r="A3366" s="13">
        <v>521</v>
      </c>
      <c r="B3366" s="4">
        <v>5</v>
      </c>
      <c r="C3366" t="s">
        <v>532</v>
      </c>
      <c r="D3366" t="s">
        <v>530</v>
      </c>
      <c r="E3366">
        <v>30</v>
      </c>
      <c r="F3366">
        <v>47</v>
      </c>
      <c r="G3366" s="8">
        <f>Lektionen[[#This Row],[Bearbeitungsdauer_real]]/Lektionen[[#This Row],[Bearbeitungsdauer_geschätzt]]-1</f>
        <v>0.56666666666666665</v>
      </c>
      <c r="H3366" s="8" t="str" cm="1">
        <f t="array" ref="H3366">_xlfn.IFS(Lektionen[[#This Row],[Bearbeitungsdauer_abgewichen]]&gt;0.6,"viel länger",Lektionen[[#This Row],[Bearbeitungsdauer_abgewichen]]&gt;0.3,"länger",Lektionen[[#This Row],[Bearbeitungsdauer_abgewichen]]&lt;-0.3,"kürzer",TRUE,"keine Abweichung")</f>
        <v>länger</v>
      </c>
      <c r="I3366">
        <v>4</v>
      </c>
    </row>
    <row r="3367" spans="1:9" hidden="1" x14ac:dyDescent="0.3">
      <c r="A3367" s="13">
        <v>521</v>
      </c>
      <c r="B3367" s="4">
        <v>6</v>
      </c>
      <c r="C3367" t="s">
        <v>533</v>
      </c>
      <c r="D3367" t="s">
        <v>534</v>
      </c>
      <c r="E3367">
        <v>5</v>
      </c>
      <c r="F3367">
        <v>1</v>
      </c>
      <c r="G3367" s="8">
        <f>Lektionen[[#This Row],[Bearbeitungsdauer_real]]/Lektionen[[#This Row],[Bearbeitungsdauer_geschätzt]]-1</f>
        <v>-0.8</v>
      </c>
      <c r="H3367" s="8" t="str" cm="1">
        <f t="array" ref="H3367">_xlfn.IFS(Lektionen[[#This Row],[Bearbeitungsdauer_abgewichen]]&gt;0.6,"viel länger",Lektionen[[#This Row],[Bearbeitungsdauer_abgewichen]]&gt;0.3,"länger",Lektionen[[#This Row],[Bearbeitungsdauer_abgewichen]]&lt;-0.3,"kürzer",TRUE,"keine Abweichung")</f>
        <v>kürzer</v>
      </c>
      <c r="I3367">
        <v>2</v>
      </c>
    </row>
    <row r="3368" spans="1:9" hidden="1" x14ac:dyDescent="0.3">
      <c r="A3368" s="13">
        <v>521</v>
      </c>
      <c r="B3368" s="4">
        <v>7</v>
      </c>
      <c r="C3368" t="s">
        <v>535</v>
      </c>
      <c r="D3368" t="s">
        <v>536</v>
      </c>
      <c r="E3368">
        <v>10</v>
      </c>
      <c r="F3368">
        <v>10</v>
      </c>
      <c r="G3368" s="8">
        <f>Lektionen[[#This Row],[Bearbeitungsdauer_real]]/Lektionen[[#This Row],[Bearbeitungsdauer_geschätzt]]-1</f>
        <v>0</v>
      </c>
      <c r="H3368" s="8" t="str" cm="1">
        <f t="array" ref="H3368">_xlfn.IFS(Lektionen[[#This Row],[Bearbeitungsdauer_abgewichen]]&gt;0.6,"viel länger",Lektionen[[#This Row],[Bearbeitungsdauer_abgewichen]]&gt;0.3,"länger",Lektionen[[#This Row],[Bearbeitungsdauer_abgewichen]]&lt;-0.3,"kürzer",TRUE,"keine Abweichung")</f>
        <v>keine Abweichung</v>
      </c>
      <c r="I3368">
        <v>3</v>
      </c>
    </row>
    <row r="3369" spans="1:9" hidden="1" x14ac:dyDescent="0.3">
      <c r="A3369" s="13">
        <v>521</v>
      </c>
      <c r="B3369" s="4">
        <v>8</v>
      </c>
      <c r="C3369" t="s">
        <v>537</v>
      </c>
      <c r="D3369" t="s">
        <v>527</v>
      </c>
      <c r="E3369">
        <v>5</v>
      </c>
      <c r="F3369">
        <v>5</v>
      </c>
      <c r="G3369" s="8">
        <f>Lektionen[[#This Row],[Bearbeitungsdauer_real]]/Lektionen[[#This Row],[Bearbeitungsdauer_geschätzt]]-1</f>
        <v>0</v>
      </c>
      <c r="H3369" s="8" t="str" cm="1">
        <f t="array" ref="H3369">_xlfn.IFS(Lektionen[[#This Row],[Bearbeitungsdauer_abgewichen]]&gt;0.6,"viel länger",Lektionen[[#This Row],[Bearbeitungsdauer_abgewichen]]&gt;0.3,"länger",Lektionen[[#This Row],[Bearbeitungsdauer_abgewichen]]&lt;-0.3,"kürzer",TRUE,"keine Abweichung")</f>
        <v>keine Abweichung</v>
      </c>
      <c r="I3369">
        <v>2</v>
      </c>
    </row>
    <row r="3370" spans="1:9" hidden="1" x14ac:dyDescent="0.3">
      <c r="A3370" s="13">
        <v>522</v>
      </c>
      <c r="B3370" s="4">
        <v>1</v>
      </c>
      <c r="C3370" t="s">
        <v>526</v>
      </c>
      <c r="D3370" t="s">
        <v>527</v>
      </c>
      <c r="E3370">
        <v>4</v>
      </c>
      <c r="F3370">
        <v>4</v>
      </c>
      <c r="G3370" s="8">
        <f>Lektionen[[#This Row],[Bearbeitungsdauer_real]]/Lektionen[[#This Row],[Bearbeitungsdauer_geschätzt]]-1</f>
        <v>0</v>
      </c>
      <c r="H3370" s="8" t="str" cm="1">
        <f t="array" ref="H3370">_xlfn.IFS(Lektionen[[#This Row],[Bearbeitungsdauer_abgewichen]]&gt;0.6,"viel länger",Lektionen[[#This Row],[Bearbeitungsdauer_abgewichen]]&gt;0.3,"länger",Lektionen[[#This Row],[Bearbeitungsdauer_abgewichen]]&lt;-0.3,"kürzer",TRUE,"keine Abweichung")</f>
        <v>keine Abweichung</v>
      </c>
      <c r="I3370">
        <v>1</v>
      </c>
    </row>
    <row r="3371" spans="1:9" hidden="1" x14ac:dyDescent="0.3">
      <c r="A3371" s="13">
        <v>522</v>
      </c>
      <c r="B3371" s="4">
        <v>2</v>
      </c>
      <c r="C3371" t="s">
        <v>528</v>
      </c>
      <c r="D3371" t="s">
        <v>529</v>
      </c>
      <c r="E3371">
        <v>15</v>
      </c>
      <c r="F3371">
        <v>18</v>
      </c>
      <c r="G3371" s="8">
        <f>Lektionen[[#This Row],[Bearbeitungsdauer_real]]/Lektionen[[#This Row],[Bearbeitungsdauer_geschätzt]]-1</f>
        <v>0.19999999999999996</v>
      </c>
      <c r="H3371" s="8" t="str" cm="1">
        <f t="array" ref="H3371">_xlfn.IFS(Lektionen[[#This Row],[Bearbeitungsdauer_abgewichen]]&gt;0.6,"viel länger",Lektionen[[#This Row],[Bearbeitungsdauer_abgewichen]]&gt;0.3,"länger",Lektionen[[#This Row],[Bearbeitungsdauer_abgewichen]]&lt;-0.3,"kürzer",TRUE,"keine Abweichung")</f>
        <v>keine Abweichung</v>
      </c>
      <c r="I3371">
        <v>2</v>
      </c>
    </row>
    <row r="3372" spans="1:9" hidden="1" x14ac:dyDescent="0.3">
      <c r="A3372" s="13">
        <v>522</v>
      </c>
      <c r="B3372" s="4">
        <v>3</v>
      </c>
      <c r="C3372" t="s">
        <v>552</v>
      </c>
      <c r="D3372" t="s">
        <v>530</v>
      </c>
      <c r="E3372">
        <v>30</v>
      </c>
      <c r="F3372">
        <v>30</v>
      </c>
      <c r="G3372" s="8">
        <f>Lektionen[[#This Row],[Bearbeitungsdauer_real]]/Lektionen[[#This Row],[Bearbeitungsdauer_geschätzt]]-1</f>
        <v>0</v>
      </c>
      <c r="H3372" s="8" t="str" cm="1">
        <f t="array" ref="H3372">_xlfn.IFS(Lektionen[[#This Row],[Bearbeitungsdauer_abgewichen]]&gt;0.6,"viel länger",Lektionen[[#This Row],[Bearbeitungsdauer_abgewichen]]&gt;0.3,"länger",Lektionen[[#This Row],[Bearbeitungsdauer_abgewichen]]&lt;-0.3,"kürzer",TRUE,"keine Abweichung")</f>
        <v>keine Abweichung</v>
      </c>
      <c r="I3372">
        <v>2</v>
      </c>
    </row>
    <row r="3373" spans="1:9" hidden="1" x14ac:dyDescent="0.3">
      <c r="A3373" s="13">
        <v>522</v>
      </c>
      <c r="B3373" s="4">
        <v>4</v>
      </c>
      <c r="C3373" t="s">
        <v>531</v>
      </c>
      <c r="D3373" t="s">
        <v>530</v>
      </c>
      <c r="E3373">
        <v>30</v>
      </c>
      <c r="F3373">
        <v>25</v>
      </c>
      <c r="G3373" s="8">
        <f>Lektionen[[#This Row],[Bearbeitungsdauer_real]]/Lektionen[[#This Row],[Bearbeitungsdauer_geschätzt]]-1</f>
        <v>-0.16666666666666663</v>
      </c>
      <c r="H3373" s="8" t="str" cm="1">
        <f t="array" ref="H3373">_xlfn.IFS(Lektionen[[#This Row],[Bearbeitungsdauer_abgewichen]]&gt;0.6,"viel länger",Lektionen[[#This Row],[Bearbeitungsdauer_abgewichen]]&gt;0.3,"länger",Lektionen[[#This Row],[Bearbeitungsdauer_abgewichen]]&lt;-0.3,"kürzer",TRUE,"keine Abweichung")</f>
        <v>keine Abweichung</v>
      </c>
      <c r="I3373">
        <v>3</v>
      </c>
    </row>
    <row r="3374" spans="1:9" x14ac:dyDescent="0.3">
      <c r="A3374" s="13">
        <v>522</v>
      </c>
      <c r="B3374" s="4">
        <v>5</v>
      </c>
      <c r="C3374" t="s">
        <v>532</v>
      </c>
      <c r="D3374" t="s">
        <v>530</v>
      </c>
      <c r="E3374">
        <v>30</v>
      </c>
      <c r="F3374">
        <v>49</v>
      </c>
      <c r="G3374" s="8">
        <f>Lektionen[[#This Row],[Bearbeitungsdauer_real]]/Lektionen[[#This Row],[Bearbeitungsdauer_geschätzt]]-1</f>
        <v>0.6333333333333333</v>
      </c>
      <c r="H3374" s="8" t="str" cm="1">
        <f t="array" ref="H3374">_xlfn.IFS(Lektionen[[#This Row],[Bearbeitungsdauer_abgewichen]]&gt;0.6,"viel länger",Lektionen[[#This Row],[Bearbeitungsdauer_abgewichen]]&gt;0.3,"länger",Lektionen[[#This Row],[Bearbeitungsdauer_abgewichen]]&lt;-0.3,"kürzer",TRUE,"keine Abweichung")</f>
        <v>viel länger</v>
      </c>
      <c r="I3374">
        <v>3</v>
      </c>
    </row>
    <row r="3375" spans="1:9" hidden="1" x14ac:dyDescent="0.3">
      <c r="A3375" s="13">
        <v>522</v>
      </c>
      <c r="B3375" s="4">
        <v>6</v>
      </c>
      <c r="C3375" t="s">
        <v>533</v>
      </c>
      <c r="D3375" t="s">
        <v>534</v>
      </c>
      <c r="E3375">
        <v>5</v>
      </c>
      <c r="F3375">
        <v>2</v>
      </c>
      <c r="G3375" s="8">
        <f>Lektionen[[#This Row],[Bearbeitungsdauer_real]]/Lektionen[[#This Row],[Bearbeitungsdauer_geschätzt]]-1</f>
        <v>-0.6</v>
      </c>
      <c r="H3375" s="8" t="str" cm="1">
        <f t="array" ref="H3375">_xlfn.IFS(Lektionen[[#This Row],[Bearbeitungsdauer_abgewichen]]&gt;0.6,"viel länger",Lektionen[[#This Row],[Bearbeitungsdauer_abgewichen]]&gt;0.3,"länger",Lektionen[[#This Row],[Bearbeitungsdauer_abgewichen]]&lt;-0.3,"kürzer",TRUE,"keine Abweichung")</f>
        <v>kürzer</v>
      </c>
      <c r="I3375">
        <v>2</v>
      </c>
    </row>
    <row r="3376" spans="1:9" hidden="1" x14ac:dyDescent="0.3">
      <c r="A3376" s="13">
        <v>522</v>
      </c>
      <c r="B3376" s="4">
        <v>7</v>
      </c>
      <c r="C3376" t="s">
        <v>535</v>
      </c>
      <c r="D3376" t="s">
        <v>536</v>
      </c>
      <c r="E3376">
        <v>10</v>
      </c>
      <c r="F3376">
        <v>9</v>
      </c>
      <c r="G3376" s="8">
        <f>Lektionen[[#This Row],[Bearbeitungsdauer_real]]/Lektionen[[#This Row],[Bearbeitungsdauer_geschätzt]]-1</f>
        <v>-9.9999999999999978E-2</v>
      </c>
      <c r="H3376" s="8" t="str" cm="1">
        <f t="array" ref="H3376">_xlfn.IFS(Lektionen[[#This Row],[Bearbeitungsdauer_abgewichen]]&gt;0.6,"viel länger",Lektionen[[#This Row],[Bearbeitungsdauer_abgewichen]]&gt;0.3,"länger",Lektionen[[#This Row],[Bearbeitungsdauer_abgewichen]]&lt;-0.3,"kürzer",TRUE,"keine Abweichung")</f>
        <v>keine Abweichung</v>
      </c>
      <c r="I3376">
        <v>3</v>
      </c>
    </row>
    <row r="3377" spans="1:9" hidden="1" x14ac:dyDescent="0.3">
      <c r="A3377" s="13">
        <v>522</v>
      </c>
      <c r="B3377" s="4">
        <v>8</v>
      </c>
      <c r="C3377" t="s">
        <v>537</v>
      </c>
      <c r="D3377" t="s">
        <v>527</v>
      </c>
      <c r="E3377">
        <v>5</v>
      </c>
      <c r="F3377">
        <v>5</v>
      </c>
      <c r="G3377" s="8">
        <f>Lektionen[[#This Row],[Bearbeitungsdauer_real]]/Lektionen[[#This Row],[Bearbeitungsdauer_geschätzt]]-1</f>
        <v>0</v>
      </c>
      <c r="H3377" s="8" t="str" cm="1">
        <f t="array" ref="H3377">_xlfn.IFS(Lektionen[[#This Row],[Bearbeitungsdauer_abgewichen]]&gt;0.6,"viel länger",Lektionen[[#This Row],[Bearbeitungsdauer_abgewichen]]&gt;0.3,"länger",Lektionen[[#This Row],[Bearbeitungsdauer_abgewichen]]&lt;-0.3,"kürzer",TRUE,"keine Abweichung")</f>
        <v>keine Abweichung</v>
      </c>
      <c r="I3377">
        <v>1</v>
      </c>
    </row>
    <row r="3378" spans="1:9" hidden="1" x14ac:dyDescent="0.3">
      <c r="A3378" s="13">
        <v>523</v>
      </c>
      <c r="B3378" s="4">
        <v>1</v>
      </c>
      <c r="C3378" t="s">
        <v>526</v>
      </c>
      <c r="D3378" t="s">
        <v>527</v>
      </c>
      <c r="E3378">
        <v>4</v>
      </c>
      <c r="F3378">
        <v>4</v>
      </c>
      <c r="G3378" s="8">
        <f>Lektionen[[#This Row],[Bearbeitungsdauer_real]]/Lektionen[[#This Row],[Bearbeitungsdauer_geschätzt]]-1</f>
        <v>0</v>
      </c>
      <c r="H3378" s="8" t="str" cm="1">
        <f t="array" ref="H3378">_xlfn.IFS(Lektionen[[#This Row],[Bearbeitungsdauer_abgewichen]]&gt;0.6,"viel länger",Lektionen[[#This Row],[Bearbeitungsdauer_abgewichen]]&gt;0.3,"länger",Lektionen[[#This Row],[Bearbeitungsdauer_abgewichen]]&lt;-0.3,"kürzer",TRUE,"keine Abweichung")</f>
        <v>keine Abweichung</v>
      </c>
      <c r="I3378">
        <v>1</v>
      </c>
    </row>
    <row r="3379" spans="1:9" hidden="1" x14ac:dyDescent="0.3">
      <c r="A3379" s="13">
        <v>523</v>
      </c>
      <c r="B3379" s="4">
        <v>2</v>
      </c>
      <c r="C3379" t="s">
        <v>528</v>
      </c>
      <c r="D3379" t="s">
        <v>529</v>
      </c>
      <c r="E3379">
        <v>15</v>
      </c>
      <c r="F3379">
        <v>18</v>
      </c>
      <c r="G3379" s="8">
        <f>Lektionen[[#This Row],[Bearbeitungsdauer_real]]/Lektionen[[#This Row],[Bearbeitungsdauer_geschätzt]]-1</f>
        <v>0.19999999999999996</v>
      </c>
      <c r="H3379" s="8" t="str" cm="1">
        <f t="array" ref="H3379">_xlfn.IFS(Lektionen[[#This Row],[Bearbeitungsdauer_abgewichen]]&gt;0.6,"viel länger",Lektionen[[#This Row],[Bearbeitungsdauer_abgewichen]]&gt;0.3,"länger",Lektionen[[#This Row],[Bearbeitungsdauer_abgewichen]]&lt;-0.3,"kürzer",TRUE,"keine Abweichung")</f>
        <v>keine Abweichung</v>
      </c>
      <c r="I3379">
        <v>2</v>
      </c>
    </row>
    <row r="3380" spans="1:9" hidden="1" x14ac:dyDescent="0.3">
      <c r="A3380" s="13">
        <v>523</v>
      </c>
      <c r="B3380" s="4">
        <v>3</v>
      </c>
      <c r="C3380" t="s">
        <v>552</v>
      </c>
      <c r="D3380" t="s">
        <v>530</v>
      </c>
      <c r="E3380">
        <v>30</v>
      </c>
      <c r="F3380">
        <v>29</v>
      </c>
      <c r="G3380" s="8">
        <f>Lektionen[[#This Row],[Bearbeitungsdauer_real]]/Lektionen[[#This Row],[Bearbeitungsdauer_geschätzt]]-1</f>
        <v>-3.3333333333333326E-2</v>
      </c>
      <c r="H3380" s="8" t="str" cm="1">
        <f t="array" ref="H3380">_xlfn.IFS(Lektionen[[#This Row],[Bearbeitungsdauer_abgewichen]]&gt;0.6,"viel länger",Lektionen[[#This Row],[Bearbeitungsdauer_abgewichen]]&gt;0.3,"länger",Lektionen[[#This Row],[Bearbeitungsdauer_abgewichen]]&lt;-0.3,"kürzer",TRUE,"keine Abweichung")</f>
        <v>keine Abweichung</v>
      </c>
      <c r="I3380">
        <v>2</v>
      </c>
    </row>
    <row r="3381" spans="1:9" hidden="1" x14ac:dyDescent="0.3">
      <c r="A3381" s="13">
        <v>523</v>
      </c>
      <c r="B3381" s="4">
        <v>4</v>
      </c>
      <c r="C3381" t="s">
        <v>531</v>
      </c>
      <c r="D3381" t="s">
        <v>530</v>
      </c>
      <c r="E3381">
        <v>30</v>
      </c>
      <c r="F3381">
        <v>24</v>
      </c>
      <c r="G3381" s="8">
        <f>Lektionen[[#This Row],[Bearbeitungsdauer_real]]/Lektionen[[#This Row],[Bearbeitungsdauer_geschätzt]]-1</f>
        <v>-0.19999999999999996</v>
      </c>
      <c r="H3381" s="8" t="str" cm="1">
        <f t="array" ref="H3381">_xlfn.IFS(Lektionen[[#This Row],[Bearbeitungsdauer_abgewichen]]&gt;0.6,"viel länger",Lektionen[[#This Row],[Bearbeitungsdauer_abgewichen]]&gt;0.3,"länger",Lektionen[[#This Row],[Bearbeitungsdauer_abgewichen]]&lt;-0.3,"kürzer",TRUE,"keine Abweichung")</f>
        <v>keine Abweichung</v>
      </c>
      <c r="I3381">
        <v>3</v>
      </c>
    </row>
    <row r="3382" spans="1:9" x14ac:dyDescent="0.3">
      <c r="A3382" s="13">
        <v>523</v>
      </c>
      <c r="B3382" s="4">
        <v>5</v>
      </c>
      <c r="C3382" t="s">
        <v>532</v>
      </c>
      <c r="D3382" t="s">
        <v>530</v>
      </c>
      <c r="E3382">
        <v>30</v>
      </c>
      <c r="F3382">
        <v>50</v>
      </c>
      <c r="G3382" s="8">
        <f>Lektionen[[#This Row],[Bearbeitungsdauer_real]]/Lektionen[[#This Row],[Bearbeitungsdauer_geschätzt]]-1</f>
        <v>0.66666666666666674</v>
      </c>
      <c r="H3382" s="8" t="str" cm="1">
        <f t="array" ref="H3382">_xlfn.IFS(Lektionen[[#This Row],[Bearbeitungsdauer_abgewichen]]&gt;0.6,"viel länger",Lektionen[[#This Row],[Bearbeitungsdauer_abgewichen]]&gt;0.3,"länger",Lektionen[[#This Row],[Bearbeitungsdauer_abgewichen]]&lt;-0.3,"kürzer",TRUE,"keine Abweichung")</f>
        <v>viel länger</v>
      </c>
      <c r="I3382">
        <v>3</v>
      </c>
    </row>
    <row r="3383" spans="1:9" hidden="1" x14ac:dyDescent="0.3">
      <c r="A3383" s="13">
        <v>523</v>
      </c>
      <c r="B3383" s="4">
        <v>6</v>
      </c>
      <c r="C3383" t="s">
        <v>533</v>
      </c>
      <c r="D3383" t="s">
        <v>534</v>
      </c>
      <c r="E3383">
        <v>5</v>
      </c>
      <c r="F3383">
        <v>1</v>
      </c>
      <c r="G3383" s="8">
        <f>Lektionen[[#This Row],[Bearbeitungsdauer_real]]/Lektionen[[#This Row],[Bearbeitungsdauer_geschätzt]]-1</f>
        <v>-0.8</v>
      </c>
      <c r="H3383" s="8" t="str" cm="1">
        <f t="array" ref="H3383">_xlfn.IFS(Lektionen[[#This Row],[Bearbeitungsdauer_abgewichen]]&gt;0.6,"viel länger",Lektionen[[#This Row],[Bearbeitungsdauer_abgewichen]]&gt;0.3,"länger",Lektionen[[#This Row],[Bearbeitungsdauer_abgewichen]]&lt;-0.3,"kürzer",TRUE,"keine Abweichung")</f>
        <v>kürzer</v>
      </c>
      <c r="I3383">
        <v>1</v>
      </c>
    </row>
    <row r="3384" spans="1:9" hidden="1" x14ac:dyDescent="0.3">
      <c r="A3384" s="13">
        <v>523</v>
      </c>
      <c r="B3384" s="4">
        <v>7</v>
      </c>
      <c r="C3384" t="s">
        <v>535</v>
      </c>
      <c r="D3384" t="s">
        <v>536</v>
      </c>
      <c r="E3384">
        <v>10</v>
      </c>
      <c r="F3384">
        <v>8</v>
      </c>
      <c r="G3384" s="8">
        <f>Lektionen[[#This Row],[Bearbeitungsdauer_real]]/Lektionen[[#This Row],[Bearbeitungsdauer_geschätzt]]-1</f>
        <v>-0.19999999999999996</v>
      </c>
      <c r="H3384" s="8" t="str" cm="1">
        <f t="array" ref="H3384">_xlfn.IFS(Lektionen[[#This Row],[Bearbeitungsdauer_abgewichen]]&gt;0.6,"viel länger",Lektionen[[#This Row],[Bearbeitungsdauer_abgewichen]]&gt;0.3,"länger",Lektionen[[#This Row],[Bearbeitungsdauer_abgewichen]]&lt;-0.3,"kürzer",TRUE,"keine Abweichung")</f>
        <v>keine Abweichung</v>
      </c>
      <c r="I3384">
        <v>3</v>
      </c>
    </row>
    <row r="3385" spans="1:9" hidden="1" x14ac:dyDescent="0.3">
      <c r="A3385" s="13">
        <v>523</v>
      </c>
      <c r="B3385" s="4">
        <v>8</v>
      </c>
      <c r="C3385" t="s">
        <v>537</v>
      </c>
      <c r="D3385" t="s">
        <v>527</v>
      </c>
      <c r="E3385">
        <v>5</v>
      </c>
      <c r="F3385">
        <v>5</v>
      </c>
      <c r="G3385" s="8">
        <f>Lektionen[[#This Row],[Bearbeitungsdauer_real]]/Lektionen[[#This Row],[Bearbeitungsdauer_geschätzt]]-1</f>
        <v>0</v>
      </c>
      <c r="H3385" s="8" t="str" cm="1">
        <f t="array" ref="H3385">_xlfn.IFS(Lektionen[[#This Row],[Bearbeitungsdauer_abgewichen]]&gt;0.6,"viel länger",Lektionen[[#This Row],[Bearbeitungsdauer_abgewichen]]&gt;0.3,"länger",Lektionen[[#This Row],[Bearbeitungsdauer_abgewichen]]&lt;-0.3,"kürzer",TRUE,"keine Abweichung")</f>
        <v>keine Abweichung</v>
      </c>
      <c r="I3385">
        <v>1</v>
      </c>
    </row>
    <row r="3386" spans="1:9" hidden="1" x14ac:dyDescent="0.3">
      <c r="A3386" s="13">
        <v>524</v>
      </c>
      <c r="B3386" s="4">
        <v>1</v>
      </c>
      <c r="C3386" t="s">
        <v>526</v>
      </c>
      <c r="D3386" t="s">
        <v>527</v>
      </c>
      <c r="E3386">
        <v>4</v>
      </c>
      <c r="F3386">
        <v>4</v>
      </c>
      <c r="G3386" s="8">
        <f>Lektionen[[#This Row],[Bearbeitungsdauer_real]]/Lektionen[[#This Row],[Bearbeitungsdauer_geschätzt]]-1</f>
        <v>0</v>
      </c>
      <c r="H3386" s="8" t="str" cm="1">
        <f t="array" ref="H3386">_xlfn.IFS(Lektionen[[#This Row],[Bearbeitungsdauer_abgewichen]]&gt;0.6,"viel länger",Lektionen[[#This Row],[Bearbeitungsdauer_abgewichen]]&gt;0.3,"länger",Lektionen[[#This Row],[Bearbeitungsdauer_abgewichen]]&lt;-0.3,"kürzer",TRUE,"keine Abweichung")</f>
        <v>keine Abweichung</v>
      </c>
      <c r="I3386">
        <v>1</v>
      </c>
    </row>
    <row r="3387" spans="1:9" hidden="1" x14ac:dyDescent="0.3">
      <c r="A3387" s="13">
        <v>524</v>
      </c>
      <c r="B3387" s="4">
        <v>2</v>
      </c>
      <c r="C3387" t="s">
        <v>528</v>
      </c>
      <c r="D3387" t="s">
        <v>529</v>
      </c>
      <c r="E3387">
        <v>15</v>
      </c>
      <c r="F3387">
        <v>18</v>
      </c>
      <c r="G3387" s="8">
        <f>Lektionen[[#This Row],[Bearbeitungsdauer_real]]/Lektionen[[#This Row],[Bearbeitungsdauer_geschätzt]]-1</f>
        <v>0.19999999999999996</v>
      </c>
      <c r="H3387" s="8" t="str" cm="1">
        <f t="array" ref="H3387">_xlfn.IFS(Lektionen[[#This Row],[Bearbeitungsdauer_abgewichen]]&gt;0.6,"viel länger",Lektionen[[#This Row],[Bearbeitungsdauer_abgewichen]]&gt;0.3,"länger",Lektionen[[#This Row],[Bearbeitungsdauer_abgewichen]]&lt;-0.3,"kürzer",TRUE,"keine Abweichung")</f>
        <v>keine Abweichung</v>
      </c>
      <c r="I3387">
        <v>2</v>
      </c>
    </row>
    <row r="3388" spans="1:9" hidden="1" x14ac:dyDescent="0.3">
      <c r="A3388" s="13">
        <v>524</v>
      </c>
      <c r="B3388" s="4">
        <v>3</v>
      </c>
      <c r="C3388" t="s">
        <v>552</v>
      </c>
      <c r="D3388" t="s">
        <v>530</v>
      </c>
      <c r="E3388">
        <v>30</v>
      </c>
      <c r="F3388">
        <v>30</v>
      </c>
      <c r="G3388" s="8">
        <f>Lektionen[[#This Row],[Bearbeitungsdauer_real]]/Lektionen[[#This Row],[Bearbeitungsdauer_geschätzt]]-1</f>
        <v>0</v>
      </c>
      <c r="H3388" s="8" t="str" cm="1">
        <f t="array" ref="H3388">_xlfn.IFS(Lektionen[[#This Row],[Bearbeitungsdauer_abgewichen]]&gt;0.6,"viel länger",Lektionen[[#This Row],[Bearbeitungsdauer_abgewichen]]&gt;0.3,"länger",Lektionen[[#This Row],[Bearbeitungsdauer_abgewichen]]&lt;-0.3,"kürzer",TRUE,"keine Abweichung")</f>
        <v>keine Abweichung</v>
      </c>
      <c r="I3388">
        <v>3</v>
      </c>
    </row>
    <row r="3389" spans="1:9" hidden="1" x14ac:dyDescent="0.3">
      <c r="A3389" s="13">
        <v>524</v>
      </c>
      <c r="B3389" s="4">
        <v>4</v>
      </c>
      <c r="C3389" t="s">
        <v>531</v>
      </c>
      <c r="D3389" t="s">
        <v>530</v>
      </c>
      <c r="E3389">
        <v>30</v>
      </c>
      <c r="F3389">
        <v>21</v>
      </c>
      <c r="G3389" s="8">
        <f>Lektionen[[#This Row],[Bearbeitungsdauer_real]]/Lektionen[[#This Row],[Bearbeitungsdauer_geschätzt]]-1</f>
        <v>-0.30000000000000004</v>
      </c>
      <c r="H3389" s="8" t="str" cm="1">
        <f t="array" ref="H3389">_xlfn.IFS(Lektionen[[#This Row],[Bearbeitungsdauer_abgewichen]]&gt;0.6,"viel länger",Lektionen[[#This Row],[Bearbeitungsdauer_abgewichen]]&gt;0.3,"länger",Lektionen[[#This Row],[Bearbeitungsdauer_abgewichen]]&lt;-0.3,"kürzer",TRUE,"keine Abweichung")</f>
        <v>keine Abweichung</v>
      </c>
      <c r="I3389">
        <v>2</v>
      </c>
    </row>
    <row r="3390" spans="1:9" x14ac:dyDescent="0.3">
      <c r="A3390" s="13">
        <v>524</v>
      </c>
      <c r="B3390" s="4">
        <v>5</v>
      </c>
      <c r="C3390" t="s">
        <v>532</v>
      </c>
      <c r="D3390" t="s">
        <v>530</v>
      </c>
      <c r="E3390">
        <v>30</v>
      </c>
      <c r="F3390">
        <v>46</v>
      </c>
      <c r="G3390" s="8">
        <f>Lektionen[[#This Row],[Bearbeitungsdauer_real]]/Lektionen[[#This Row],[Bearbeitungsdauer_geschätzt]]-1</f>
        <v>0.53333333333333344</v>
      </c>
      <c r="H3390" s="8" t="str" cm="1">
        <f t="array" ref="H3390">_xlfn.IFS(Lektionen[[#This Row],[Bearbeitungsdauer_abgewichen]]&gt;0.6,"viel länger",Lektionen[[#This Row],[Bearbeitungsdauer_abgewichen]]&gt;0.3,"länger",Lektionen[[#This Row],[Bearbeitungsdauer_abgewichen]]&lt;-0.3,"kürzer",TRUE,"keine Abweichung")</f>
        <v>länger</v>
      </c>
      <c r="I3390">
        <v>3</v>
      </c>
    </row>
    <row r="3391" spans="1:9" hidden="1" x14ac:dyDescent="0.3">
      <c r="A3391" s="13">
        <v>524</v>
      </c>
      <c r="B3391" s="4">
        <v>6</v>
      </c>
      <c r="C3391" t="s">
        <v>533</v>
      </c>
      <c r="D3391" t="s">
        <v>534</v>
      </c>
      <c r="E3391">
        <v>5</v>
      </c>
      <c r="F3391">
        <v>1</v>
      </c>
      <c r="G3391" s="8">
        <f>Lektionen[[#This Row],[Bearbeitungsdauer_real]]/Lektionen[[#This Row],[Bearbeitungsdauer_geschätzt]]-1</f>
        <v>-0.8</v>
      </c>
      <c r="H3391" s="8" t="str" cm="1">
        <f t="array" ref="H3391">_xlfn.IFS(Lektionen[[#This Row],[Bearbeitungsdauer_abgewichen]]&gt;0.6,"viel länger",Lektionen[[#This Row],[Bearbeitungsdauer_abgewichen]]&gt;0.3,"länger",Lektionen[[#This Row],[Bearbeitungsdauer_abgewichen]]&lt;-0.3,"kürzer",TRUE,"keine Abweichung")</f>
        <v>kürzer</v>
      </c>
      <c r="I3391">
        <v>2</v>
      </c>
    </row>
    <row r="3392" spans="1:9" hidden="1" x14ac:dyDescent="0.3">
      <c r="A3392" s="13">
        <v>524</v>
      </c>
      <c r="B3392" s="4">
        <v>7</v>
      </c>
      <c r="C3392" t="s">
        <v>535</v>
      </c>
      <c r="D3392" t="s">
        <v>536</v>
      </c>
      <c r="E3392">
        <v>10</v>
      </c>
      <c r="F3392">
        <v>10</v>
      </c>
      <c r="G3392" s="8">
        <f>Lektionen[[#This Row],[Bearbeitungsdauer_real]]/Lektionen[[#This Row],[Bearbeitungsdauer_geschätzt]]-1</f>
        <v>0</v>
      </c>
      <c r="H3392" s="8" t="str" cm="1">
        <f t="array" ref="H3392">_xlfn.IFS(Lektionen[[#This Row],[Bearbeitungsdauer_abgewichen]]&gt;0.6,"viel länger",Lektionen[[#This Row],[Bearbeitungsdauer_abgewichen]]&gt;0.3,"länger",Lektionen[[#This Row],[Bearbeitungsdauer_abgewichen]]&lt;-0.3,"kürzer",TRUE,"keine Abweichung")</f>
        <v>keine Abweichung</v>
      </c>
      <c r="I3392">
        <v>4</v>
      </c>
    </row>
    <row r="3393" spans="1:9" hidden="1" x14ac:dyDescent="0.3">
      <c r="A3393" s="13">
        <v>524</v>
      </c>
      <c r="B3393" s="4">
        <v>8</v>
      </c>
      <c r="C3393" t="s">
        <v>537</v>
      </c>
      <c r="D3393" t="s">
        <v>527</v>
      </c>
      <c r="E3393">
        <v>5</v>
      </c>
      <c r="F3393">
        <v>5</v>
      </c>
      <c r="G3393" s="8">
        <f>Lektionen[[#This Row],[Bearbeitungsdauer_real]]/Lektionen[[#This Row],[Bearbeitungsdauer_geschätzt]]-1</f>
        <v>0</v>
      </c>
      <c r="H3393" s="8" t="str" cm="1">
        <f t="array" ref="H3393">_xlfn.IFS(Lektionen[[#This Row],[Bearbeitungsdauer_abgewichen]]&gt;0.6,"viel länger",Lektionen[[#This Row],[Bearbeitungsdauer_abgewichen]]&gt;0.3,"länger",Lektionen[[#This Row],[Bearbeitungsdauer_abgewichen]]&lt;-0.3,"kürzer",TRUE,"keine Abweichung")</f>
        <v>keine Abweichung</v>
      </c>
      <c r="I3393">
        <v>1</v>
      </c>
    </row>
    <row r="3394" spans="1:9" hidden="1" x14ac:dyDescent="0.3">
      <c r="A3394" s="13">
        <v>526</v>
      </c>
      <c r="B3394" s="4">
        <v>1</v>
      </c>
      <c r="C3394" t="s">
        <v>526</v>
      </c>
      <c r="D3394" t="s">
        <v>527</v>
      </c>
      <c r="E3394">
        <v>4</v>
      </c>
      <c r="F3394">
        <v>4</v>
      </c>
      <c r="G3394" s="8">
        <f>Lektionen[[#This Row],[Bearbeitungsdauer_real]]/Lektionen[[#This Row],[Bearbeitungsdauer_geschätzt]]-1</f>
        <v>0</v>
      </c>
      <c r="H3394" s="8" t="str" cm="1">
        <f t="array" ref="H3394">_xlfn.IFS(Lektionen[[#This Row],[Bearbeitungsdauer_abgewichen]]&gt;0.6,"viel länger",Lektionen[[#This Row],[Bearbeitungsdauer_abgewichen]]&gt;0.3,"länger",Lektionen[[#This Row],[Bearbeitungsdauer_abgewichen]]&lt;-0.3,"kürzer",TRUE,"keine Abweichung")</f>
        <v>keine Abweichung</v>
      </c>
      <c r="I3394">
        <v>1</v>
      </c>
    </row>
    <row r="3395" spans="1:9" hidden="1" x14ac:dyDescent="0.3">
      <c r="A3395" s="13">
        <v>526</v>
      </c>
      <c r="B3395" s="4">
        <v>2</v>
      </c>
      <c r="C3395" t="s">
        <v>528</v>
      </c>
      <c r="D3395" t="s">
        <v>529</v>
      </c>
      <c r="E3395">
        <v>15</v>
      </c>
      <c r="F3395">
        <v>19</v>
      </c>
      <c r="G3395" s="8">
        <f>Lektionen[[#This Row],[Bearbeitungsdauer_real]]/Lektionen[[#This Row],[Bearbeitungsdauer_geschätzt]]-1</f>
        <v>0.26666666666666661</v>
      </c>
      <c r="H3395" s="8" t="str" cm="1">
        <f t="array" ref="H3395">_xlfn.IFS(Lektionen[[#This Row],[Bearbeitungsdauer_abgewichen]]&gt;0.6,"viel länger",Lektionen[[#This Row],[Bearbeitungsdauer_abgewichen]]&gt;0.3,"länger",Lektionen[[#This Row],[Bearbeitungsdauer_abgewichen]]&lt;-0.3,"kürzer",TRUE,"keine Abweichung")</f>
        <v>keine Abweichung</v>
      </c>
      <c r="I3395">
        <v>2</v>
      </c>
    </row>
    <row r="3396" spans="1:9" hidden="1" x14ac:dyDescent="0.3">
      <c r="A3396" s="13">
        <v>526</v>
      </c>
      <c r="B3396" s="4">
        <v>3</v>
      </c>
      <c r="C3396" t="s">
        <v>552</v>
      </c>
      <c r="D3396" t="s">
        <v>530</v>
      </c>
      <c r="E3396">
        <v>30</v>
      </c>
      <c r="F3396">
        <v>29</v>
      </c>
      <c r="G3396" s="8">
        <f>Lektionen[[#This Row],[Bearbeitungsdauer_real]]/Lektionen[[#This Row],[Bearbeitungsdauer_geschätzt]]-1</f>
        <v>-3.3333333333333326E-2</v>
      </c>
      <c r="H3396" s="8" t="str" cm="1">
        <f t="array" ref="H3396">_xlfn.IFS(Lektionen[[#This Row],[Bearbeitungsdauer_abgewichen]]&gt;0.6,"viel länger",Lektionen[[#This Row],[Bearbeitungsdauer_abgewichen]]&gt;0.3,"länger",Lektionen[[#This Row],[Bearbeitungsdauer_abgewichen]]&lt;-0.3,"kürzer",TRUE,"keine Abweichung")</f>
        <v>keine Abweichung</v>
      </c>
      <c r="I3396">
        <v>2</v>
      </c>
    </row>
    <row r="3397" spans="1:9" hidden="1" x14ac:dyDescent="0.3">
      <c r="A3397" s="13">
        <v>526</v>
      </c>
      <c r="B3397" s="4">
        <v>4</v>
      </c>
      <c r="C3397" t="s">
        <v>531</v>
      </c>
      <c r="D3397" t="s">
        <v>530</v>
      </c>
      <c r="E3397">
        <v>30</v>
      </c>
      <c r="F3397">
        <v>39</v>
      </c>
      <c r="G3397" s="8">
        <f>Lektionen[[#This Row],[Bearbeitungsdauer_real]]/Lektionen[[#This Row],[Bearbeitungsdauer_geschätzt]]-1</f>
        <v>0.30000000000000004</v>
      </c>
      <c r="H3397" s="8" t="str" cm="1">
        <f t="array" ref="H3397">_xlfn.IFS(Lektionen[[#This Row],[Bearbeitungsdauer_abgewichen]]&gt;0.6,"viel länger",Lektionen[[#This Row],[Bearbeitungsdauer_abgewichen]]&gt;0.3,"länger",Lektionen[[#This Row],[Bearbeitungsdauer_abgewichen]]&lt;-0.3,"kürzer",TRUE,"keine Abweichung")</f>
        <v>keine Abweichung</v>
      </c>
      <c r="I3397">
        <v>4</v>
      </c>
    </row>
    <row r="3398" spans="1:9" x14ac:dyDescent="0.3">
      <c r="A3398" s="13">
        <v>526</v>
      </c>
      <c r="B3398" s="4">
        <v>5</v>
      </c>
      <c r="C3398" t="s">
        <v>532</v>
      </c>
      <c r="D3398" t="s">
        <v>530</v>
      </c>
      <c r="E3398">
        <v>30</v>
      </c>
      <c r="F3398">
        <v>43</v>
      </c>
      <c r="G3398" s="8">
        <f>Lektionen[[#This Row],[Bearbeitungsdauer_real]]/Lektionen[[#This Row],[Bearbeitungsdauer_geschätzt]]-1</f>
        <v>0.43333333333333335</v>
      </c>
      <c r="H3398" s="8" t="str" cm="1">
        <f t="array" ref="H3398">_xlfn.IFS(Lektionen[[#This Row],[Bearbeitungsdauer_abgewichen]]&gt;0.6,"viel länger",Lektionen[[#This Row],[Bearbeitungsdauer_abgewichen]]&gt;0.3,"länger",Lektionen[[#This Row],[Bearbeitungsdauer_abgewichen]]&lt;-0.3,"kürzer",TRUE,"keine Abweichung")</f>
        <v>länger</v>
      </c>
      <c r="I3398">
        <v>4</v>
      </c>
    </row>
    <row r="3399" spans="1:9" hidden="1" x14ac:dyDescent="0.3">
      <c r="A3399" s="13">
        <v>526</v>
      </c>
      <c r="B3399" s="4">
        <v>6</v>
      </c>
      <c r="C3399" t="s">
        <v>533</v>
      </c>
      <c r="D3399" t="s">
        <v>534</v>
      </c>
      <c r="E3399">
        <v>5</v>
      </c>
      <c r="F3399">
        <v>3</v>
      </c>
      <c r="G3399" s="8">
        <f>Lektionen[[#This Row],[Bearbeitungsdauer_real]]/Lektionen[[#This Row],[Bearbeitungsdauer_geschätzt]]-1</f>
        <v>-0.4</v>
      </c>
      <c r="H3399" s="8" t="str" cm="1">
        <f t="array" ref="H3399">_xlfn.IFS(Lektionen[[#This Row],[Bearbeitungsdauer_abgewichen]]&gt;0.6,"viel länger",Lektionen[[#This Row],[Bearbeitungsdauer_abgewichen]]&gt;0.3,"länger",Lektionen[[#This Row],[Bearbeitungsdauer_abgewichen]]&lt;-0.3,"kürzer",TRUE,"keine Abweichung")</f>
        <v>kürzer</v>
      </c>
      <c r="I3399">
        <v>2</v>
      </c>
    </row>
    <row r="3400" spans="1:9" hidden="1" x14ac:dyDescent="0.3">
      <c r="A3400" s="13">
        <v>526</v>
      </c>
      <c r="B3400" s="4">
        <v>7</v>
      </c>
      <c r="C3400" t="s">
        <v>535</v>
      </c>
      <c r="D3400" t="s">
        <v>536</v>
      </c>
      <c r="E3400">
        <v>10</v>
      </c>
      <c r="F3400">
        <v>9</v>
      </c>
      <c r="G3400" s="8">
        <f>Lektionen[[#This Row],[Bearbeitungsdauer_real]]/Lektionen[[#This Row],[Bearbeitungsdauer_geschätzt]]-1</f>
        <v>-9.9999999999999978E-2</v>
      </c>
      <c r="H3400" s="8" t="str" cm="1">
        <f t="array" ref="H3400">_xlfn.IFS(Lektionen[[#This Row],[Bearbeitungsdauer_abgewichen]]&gt;0.6,"viel länger",Lektionen[[#This Row],[Bearbeitungsdauer_abgewichen]]&gt;0.3,"länger",Lektionen[[#This Row],[Bearbeitungsdauer_abgewichen]]&lt;-0.3,"kürzer",TRUE,"keine Abweichung")</f>
        <v>keine Abweichung</v>
      </c>
      <c r="I3400">
        <v>3</v>
      </c>
    </row>
    <row r="3401" spans="1:9" hidden="1" x14ac:dyDescent="0.3">
      <c r="A3401" s="13">
        <v>526</v>
      </c>
      <c r="B3401" s="4">
        <v>8</v>
      </c>
      <c r="C3401" t="s">
        <v>537</v>
      </c>
      <c r="D3401" t="s">
        <v>527</v>
      </c>
      <c r="E3401">
        <v>5</v>
      </c>
      <c r="F3401">
        <v>5</v>
      </c>
      <c r="G3401" s="8">
        <f>Lektionen[[#This Row],[Bearbeitungsdauer_real]]/Lektionen[[#This Row],[Bearbeitungsdauer_geschätzt]]-1</f>
        <v>0</v>
      </c>
      <c r="H3401" s="8" t="str" cm="1">
        <f t="array" ref="H3401">_xlfn.IFS(Lektionen[[#This Row],[Bearbeitungsdauer_abgewichen]]&gt;0.6,"viel länger",Lektionen[[#This Row],[Bearbeitungsdauer_abgewichen]]&gt;0.3,"länger",Lektionen[[#This Row],[Bearbeitungsdauer_abgewichen]]&lt;-0.3,"kürzer",TRUE,"keine Abweichung")</f>
        <v>keine Abweichung</v>
      </c>
      <c r="I3401">
        <v>1</v>
      </c>
    </row>
    <row r="3402" spans="1:9" hidden="1" x14ac:dyDescent="0.3">
      <c r="A3402" s="13">
        <v>527</v>
      </c>
      <c r="B3402" s="4">
        <v>1</v>
      </c>
      <c r="C3402" t="s">
        <v>526</v>
      </c>
      <c r="D3402" t="s">
        <v>527</v>
      </c>
      <c r="E3402">
        <v>4</v>
      </c>
      <c r="F3402">
        <v>4</v>
      </c>
      <c r="G3402" s="8">
        <f>Lektionen[[#This Row],[Bearbeitungsdauer_real]]/Lektionen[[#This Row],[Bearbeitungsdauer_geschätzt]]-1</f>
        <v>0</v>
      </c>
      <c r="H3402" s="8" t="str" cm="1">
        <f t="array" ref="H3402">_xlfn.IFS(Lektionen[[#This Row],[Bearbeitungsdauer_abgewichen]]&gt;0.6,"viel länger",Lektionen[[#This Row],[Bearbeitungsdauer_abgewichen]]&gt;0.3,"länger",Lektionen[[#This Row],[Bearbeitungsdauer_abgewichen]]&lt;-0.3,"kürzer",TRUE,"keine Abweichung")</f>
        <v>keine Abweichung</v>
      </c>
      <c r="I3402">
        <v>1</v>
      </c>
    </row>
    <row r="3403" spans="1:9" hidden="1" x14ac:dyDescent="0.3">
      <c r="A3403" s="13">
        <v>527</v>
      </c>
      <c r="B3403" s="4">
        <v>2</v>
      </c>
      <c r="C3403" t="s">
        <v>528</v>
      </c>
      <c r="D3403" t="s">
        <v>529</v>
      </c>
      <c r="E3403">
        <v>15</v>
      </c>
      <c r="F3403">
        <v>20</v>
      </c>
      <c r="G3403" s="8">
        <f>Lektionen[[#This Row],[Bearbeitungsdauer_real]]/Lektionen[[#This Row],[Bearbeitungsdauer_geschätzt]]-1</f>
        <v>0.33333333333333326</v>
      </c>
      <c r="H3403" s="8" t="str" cm="1">
        <f t="array" ref="H3403">_xlfn.IFS(Lektionen[[#This Row],[Bearbeitungsdauer_abgewichen]]&gt;0.6,"viel länger",Lektionen[[#This Row],[Bearbeitungsdauer_abgewichen]]&gt;0.3,"länger",Lektionen[[#This Row],[Bearbeitungsdauer_abgewichen]]&lt;-0.3,"kürzer",TRUE,"keine Abweichung")</f>
        <v>länger</v>
      </c>
      <c r="I3403">
        <v>1</v>
      </c>
    </row>
    <row r="3404" spans="1:9" hidden="1" x14ac:dyDescent="0.3">
      <c r="A3404" s="13">
        <v>527</v>
      </c>
      <c r="B3404" s="4">
        <v>3</v>
      </c>
      <c r="C3404" t="s">
        <v>552</v>
      </c>
      <c r="D3404" t="s">
        <v>530</v>
      </c>
      <c r="E3404">
        <v>30</v>
      </c>
      <c r="F3404">
        <v>29</v>
      </c>
      <c r="G3404" s="8">
        <f>Lektionen[[#This Row],[Bearbeitungsdauer_real]]/Lektionen[[#This Row],[Bearbeitungsdauer_geschätzt]]-1</f>
        <v>-3.3333333333333326E-2</v>
      </c>
      <c r="H3404" s="8" t="str" cm="1">
        <f t="array" ref="H3404">_xlfn.IFS(Lektionen[[#This Row],[Bearbeitungsdauer_abgewichen]]&gt;0.6,"viel länger",Lektionen[[#This Row],[Bearbeitungsdauer_abgewichen]]&gt;0.3,"länger",Lektionen[[#This Row],[Bearbeitungsdauer_abgewichen]]&lt;-0.3,"kürzer",TRUE,"keine Abweichung")</f>
        <v>keine Abweichung</v>
      </c>
      <c r="I3404">
        <v>2</v>
      </c>
    </row>
    <row r="3405" spans="1:9" hidden="1" x14ac:dyDescent="0.3">
      <c r="A3405" s="13">
        <v>527</v>
      </c>
      <c r="B3405" s="4">
        <v>4</v>
      </c>
      <c r="C3405" t="s">
        <v>531</v>
      </c>
      <c r="D3405" t="s">
        <v>530</v>
      </c>
      <c r="E3405">
        <v>30</v>
      </c>
      <c r="F3405">
        <v>31</v>
      </c>
      <c r="G3405" s="8">
        <f>Lektionen[[#This Row],[Bearbeitungsdauer_real]]/Lektionen[[#This Row],[Bearbeitungsdauer_geschätzt]]-1</f>
        <v>3.3333333333333437E-2</v>
      </c>
      <c r="H3405" s="8" t="str" cm="1">
        <f t="array" ref="H3405">_xlfn.IFS(Lektionen[[#This Row],[Bearbeitungsdauer_abgewichen]]&gt;0.6,"viel länger",Lektionen[[#This Row],[Bearbeitungsdauer_abgewichen]]&gt;0.3,"länger",Lektionen[[#This Row],[Bearbeitungsdauer_abgewichen]]&lt;-0.3,"kürzer",TRUE,"keine Abweichung")</f>
        <v>keine Abweichung</v>
      </c>
      <c r="I3405">
        <v>3</v>
      </c>
    </row>
    <row r="3406" spans="1:9" x14ac:dyDescent="0.3">
      <c r="A3406" s="13">
        <v>527</v>
      </c>
      <c r="B3406" s="4">
        <v>5</v>
      </c>
      <c r="C3406" t="s">
        <v>532</v>
      </c>
      <c r="D3406" t="s">
        <v>530</v>
      </c>
      <c r="E3406">
        <v>30</v>
      </c>
      <c r="F3406">
        <v>44</v>
      </c>
      <c r="G3406" s="8">
        <f>Lektionen[[#This Row],[Bearbeitungsdauer_real]]/Lektionen[[#This Row],[Bearbeitungsdauer_geschätzt]]-1</f>
        <v>0.46666666666666656</v>
      </c>
      <c r="H3406" s="8" t="str" cm="1">
        <f t="array" ref="H3406">_xlfn.IFS(Lektionen[[#This Row],[Bearbeitungsdauer_abgewichen]]&gt;0.6,"viel länger",Lektionen[[#This Row],[Bearbeitungsdauer_abgewichen]]&gt;0.3,"länger",Lektionen[[#This Row],[Bearbeitungsdauer_abgewichen]]&lt;-0.3,"kürzer",TRUE,"keine Abweichung")</f>
        <v>länger</v>
      </c>
      <c r="I3406">
        <v>3</v>
      </c>
    </row>
    <row r="3407" spans="1:9" hidden="1" x14ac:dyDescent="0.3">
      <c r="A3407" s="13">
        <v>527</v>
      </c>
      <c r="B3407" s="4">
        <v>6</v>
      </c>
      <c r="C3407" t="s">
        <v>533</v>
      </c>
      <c r="D3407" t="s">
        <v>534</v>
      </c>
      <c r="E3407">
        <v>5</v>
      </c>
      <c r="F3407">
        <v>1</v>
      </c>
      <c r="G3407" s="8">
        <f>Lektionen[[#This Row],[Bearbeitungsdauer_real]]/Lektionen[[#This Row],[Bearbeitungsdauer_geschätzt]]-1</f>
        <v>-0.8</v>
      </c>
      <c r="H3407" s="8" t="str" cm="1">
        <f t="array" ref="H3407">_xlfn.IFS(Lektionen[[#This Row],[Bearbeitungsdauer_abgewichen]]&gt;0.6,"viel länger",Lektionen[[#This Row],[Bearbeitungsdauer_abgewichen]]&gt;0.3,"länger",Lektionen[[#This Row],[Bearbeitungsdauer_abgewichen]]&lt;-0.3,"kürzer",TRUE,"keine Abweichung")</f>
        <v>kürzer</v>
      </c>
      <c r="I3407">
        <v>3</v>
      </c>
    </row>
    <row r="3408" spans="1:9" hidden="1" x14ac:dyDescent="0.3">
      <c r="A3408" s="13">
        <v>527</v>
      </c>
      <c r="B3408" s="4">
        <v>7</v>
      </c>
      <c r="C3408" t="s">
        <v>535</v>
      </c>
      <c r="D3408" t="s">
        <v>536</v>
      </c>
      <c r="E3408">
        <v>10</v>
      </c>
      <c r="F3408">
        <v>9</v>
      </c>
      <c r="G3408" s="8">
        <f>Lektionen[[#This Row],[Bearbeitungsdauer_real]]/Lektionen[[#This Row],[Bearbeitungsdauer_geschätzt]]-1</f>
        <v>-9.9999999999999978E-2</v>
      </c>
      <c r="H3408" s="8" t="str" cm="1">
        <f t="array" ref="H3408">_xlfn.IFS(Lektionen[[#This Row],[Bearbeitungsdauer_abgewichen]]&gt;0.6,"viel länger",Lektionen[[#This Row],[Bearbeitungsdauer_abgewichen]]&gt;0.3,"länger",Lektionen[[#This Row],[Bearbeitungsdauer_abgewichen]]&lt;-0.3,"kürzer",TRUE,"keine Abweichung")</f>
        <v>keine Abweichung</v>
      </c>
      <c r="I3408">
        <v>3</v>
      </c>
    </row>
    <row r="3409" spans="1:9" hidden="1" x14ac:dyDescent="0.3">
      <c r="A3409" s="13">
        <v>527</v>
      </c>
      <c r="B3409" s="4">
        <v>8</v>
      </c>
      <c r="C3409" t="s">
        <v>537</v>
      </c>
      <c r="D3409" t="s">
        <v>527</v>
      </c>
      <c r="E3409">
        <v>5</v>
      </c>
      <c r="F3409">
        <v>5</v>
      </c>
      <c r="G3409" s="8">
        <f>Lektionen[[#This Row],[Bearbeitungsdauer_real]]/Lektionen[[#This Row],[Bearbeitungsdauer_geschätzt]]-1</f>
        <v>0</v>
      </c>
      <c r="H3409" s="8" t="str" cm="1">
        <f t="array" ref="H3409">_xlfn.IFS(Lektionen[[#This Row],[Bearbeitungsdauer_abgewichen]]&gt;0.6,"viel länger",Lektionen[[#This Row],[Bearbeitungsdauer_abgewichen]]&gt;0.3,"länger",Lektionen[[#This Row],[Bearbeitungsdauer_abgewichen]]&lt;-0.3,"kürzer",TRUE,"keine Abweichung")</f>
        <v>keine Abweichung</v>
      </c>
      <c r="I3409">
        <v>1</v>
      </c>
    </row>
    <row r="3410" spans="1:9" hidden="1" x14ac:dyDescent="0.3">
      <c r="A3410" s="13">
        <v>528</v>
      </c>
      <c r="B3410" s="4">
        <v>1</v>
      </c>
      <c r="C3410" t="s">
        <v>526</v>
      </c>
      <c r="D3410" t="s">
        <v>527</v>
      </c>
      <c r="E3410">
        <v>4</v>
      </c>
      <c r="F3410">
        <v>4</v>
      </c>
      <c r="G3410" s="8">
        <f>Lektionen[[#This Row],[Bearbeitungsdauer_real]]/Lektionen[[#This Row],[Bearbeitungsdauer_geschätzt]]-1</f>
        <v>0</v>
      </c>
      <c r="H3410" s="8" t="str" cm="1">
        <f t="array" ref="H3410">_xlfn.IFS(Lektionen[[#This Row],[Bearbeitungsdauer_abgewichen]]&gt;0.6,"viel länger",Lektionen[[#This Row],[Bearbeitungsdauer_abgewichen]]&gt;0.3,"länger",Lektionen[[#This Row],[Bearbeitungsdauer_abgewichen]]&lt;-0.3,"kürzer",TRUE,"keine Abweichung")</f>
        <v>keine Abweichung</v>
      </c>
      <c r="I3410">
        <v>2</v>
      </c>
    </row>
    <row r="3411" spans="1:9" hidden="1" x14ac:dyDescent="0.3">
      <c r="A3411" s="13">
        <v>528</v>
      </c>
      <c r="B3411" s="4">
        <v>2</v>
      </c>
      <c r="C3411" t="s">
        <v>528</v>
      </c>
      <c r="D3411" t="s">
        <v>529</v>
      </c>
      <c r="E3411">
        <v>15</v>
      </c>
      <c r="F3411">
        <v>15</v>
      </c>
      <c r="G3411" s="8">
        <f>Lektionen[[#This Row],[Bearbeitungsdauer_real]]/Lektionen[[#This Row],[Bearbeitungsdauer_geschätzt]]-1</f>
        <v>0</v>
      </c>
      <c r="H3411" s="8" t="str" cm="1">
        <f t="array" ref="H3411">_xlfn.IFS(Lektionen[[#This Row],[Bearbeitungsdauer_abgewichen]]&gt;0.6,"viel länger",Lektionen[[#This Row],[Bearbeitungsdauer_abgewichen]]&gt;0.3,"länger",Lektionen[[#This Row],[Bearbeitungsdauer_abgewichen]]&lt;-0.3,"kürzer",TRUE,"keine Abweichung")</f>
        <v>keine Abweichung</v>
      </c>
      <c r="I3411">
        <v>1</v>
      </c>
    </row>
    <row r="3412" spans="1:9" hidden="1" x14ac:dyDescent="0.3">
      <c r="A3412" s="13">
        <v>528</v>
      </c>
      <c r="B3412" s="4">
        <v>3</v>
      </c>
      <c r="C3412" t="s">
        <v>552</v>
      </c>
      <c r="D3412" t="s">
        <v>530</v>
      </c>
      <c r="E3412">
        <v>30</v>
      </c>
      <c r="F3412">
        <v>27</v>
      </c>
      <c r="G3412" s="8">
        <f>Lektionen[[#This Row],[Bearbeitungsdauer_real]]/Lektionen[[#This Row],[Bearbeitungsdauer_geschätzt]]-1</f>
        <v>-9.9999999999999978E-2</v>
      </c>
      <c r="H3412" s="8" t="str" cm="1">
        <f t="array" ref="H3412">_xlfn.IFS(Lektionen[[#This Row],[Bearbeitungsdauer_abgewichen]]&gt;0.6,"viel länger",Lektionen[[#This Row],[Bearbeitungsdauer_abgewichen]]&gt;0.3,"länger",Lektionen[[#This Row],[Bearbeitungsdauer_abgewichen]]&lt;-0.3,"kürzer",TRUE,"keine Abweichung")</f>
        <v>keine Abweichung</v>
      </c>
      <c r="I3412">
        <v>2</v>
      </c>
    </row>
    <row r="3413" spans="1:9" hidden="1" x14ac:dyDescent="0.3">
      <c r="A3413" s="13">
        <v>528</v>
      </c>
      <c r="B3413" s="4">
        <v>4</v>
      </c>
      <c r="C3413" t="s">
        <v>531</v>
      </c>
      <c r="D3413" t="s">
        <v>530</v>
      </c>
      <c r="E3413">
        <v>30</v>
      </c>
      <c r="F3413">
        <v>36</v>
      </c>
      <c r="G3413" s="8">
        <f>Lektionen[[#This Row],[Bearbeitungsdauer_real]]/Lektionen[[#This Row],[Bearbeitungsdauer_geschätzt]]-1</f>
        <v>0.19999999999999996</v>
      </c>
      <c r="H3413" s="8" t="str" cm="1">
        <f t="array" ref="H3413">_xlfn.IFS(Lektionen[[#This Row],[Bearbeitungsdauer_abgewichen]]&gt;0.6,"viel länger",Lektionen[[#This Row],[Bearbeitungsdauer_abgewichen]]&gt;0.3,"länger",Lektionen[[#This Row],[Bearbeitungsdauer_abgewichen]]&lt;-0.3,"kürzer",TRUE,"keine Abweichung")</f>
        <v>keine Abweichung</v>
      </c>
      <c r="I3413">
        <v>4</v>
      </c>
    </row>
    <row r="3414" spans="1:9" x14ac:dyDescent="0.3">
      <c r="A3414" s="13">
        <v>528</v>
      </c>
      <c r="B3414" s="4">
        <v>5</v>
      </c>
      <c r="C3414" t="s">
        <v>532</v>
      </c>
      <c r="D3414" t="s">
        <v>530</v>
      </c>
      <c r="E3414">
        <v>30</v>
      </c>
      <c r="F3414">
        <v>52</v>
      </c>
      <c r="G3414" s="8">
        <f>Lektionen[[#This Row],[Bearbeitungsdauer_real]]/Lektionen[[#This Row],[Bearbeitungsdauer_geschätzt]]-1</f>
        <v>0.73333333333333339</v>
      </c>
      <c r="H3414" s="8" t="str" cm="1">
        <f t="array" ref="H3414">_xlfn.IFS(Lektionen[[#This Row],[Bearbeitungsdauer_abgewichen]]&gt;0.6,"viel länger",Lektionen[[#This Row],[Bearbeitungsdauer_abgewichen]]&gt;0.3,"länger",Lektionen[[#This Row],[Bearbeitungsdauer_abgewichen]]&lt;-0.3,"kürzer",TRUE,"keine Abweichung")</f>
        <v>viel länger</v>
      </c>
      <c r="I3414">
        <v>4</v>
      </c>
    </row>
    <row r="3415" spans="1:9" hidden="1" x14ac:dyDescent="0.3">
      <c r="A3415" s="13">
        <v>528</v>
      </c>
      <c r="B3415" s="4">
        <v>6</v>
      </c>
      <c r="C3415" t="s">
        <v>533</v>
      </c>
      <c r="D3415" t="s">
        <v>534</v>
      </c>
      <c r="E3415">
        <v>5</v>
      </c>
      <c r="F3415">
        <v>2</v>
      </c>
      <c r="G3415" s="8">
        <f>Lektionen[[#This Row],[Bearbeitungsdauer_real]]/Lektionen[[#This Row],[Bearbeitungsdauer_geschätzt]]-1</f>
        <v>-0.6</v>
      </c>
      <c r="H3415" s="8" t="str" cm="1">
        <f t="array" ref="H3415">_xlfn.IFS(Lektionen[[#This Row],[Bearbeitungsdauer_abgewichen]]&gt;0.6,"viel länger",Lektionen[[#This Row],[Bearbeitungsdauer_abgewichen]]&gt;0.3,"länger",Lektionen[[#This Row],[Bearbeitungsdauer_abgewichen]]&lt;-0.3,"kürzer",TRUE,"keine Abweichung")</f>
        <v>kürzer</v>
      </c>
      <c r="I3415">
        <v>2</v>
      </c>
    </row>
    <row r="3416" spans="1:9" hidden="1" x14ac:dyDescent="0.3">
      <c r="A3416" s="13">
        <v>528</v>
      </c>
      <c r="B3416" s="4">
        <v>7</v>
      </c>
      <c r="C3416" t="s">
        <v>535</v>
      </c>
      <c r="D3416" t="s">
        <v>536</v>
      </c>
      <c r="E3416">
        <v>10</v>
      </c>
      <c r="F3416">
        <v>10</v>
      </c>
      <c r="G3416" s="8">
        <f>Lektionen[[#This Row],[Bearbeitungsdauer_real]]/Lektionen[[#This Row],[Bearbeitungsdauer_geschätzt]]-1</f>
        <v>0</v>
      </c>
      <c r="H3416" s="8" t="str" cm="1">
        <f t="array" ref="H3416">_xlfn.IFS(Lektionen[[#This Row],[Bearbeitungsdauer_abgewichen]]&gt;0.6,"viel länger",Lektionen[[#This Row],[Bearbeitungsdauer_abgewichen]]&gt;0.3,"länger",Lektionen[[#This Row],[Bearbeitungsdauer_abgewichen]]&lt;-0.3,"kürzer",TRUE,"keine Abweichung")</f>
        <v>keine Abweichung</v>
      </c>
      <c r="I3416">
        <v>4</v>
      </c>
    </row>
    <row r="3417" spans="1:9" hidden="1" x14ac:dyDescent="0.3">
      <c r="A3417" s="13">
        <v>528</v>
      </c>
      <c r="B3417" s="4">
        <v>8</v>
      </c>
      <c r="C3417" t="s">
        <v>537</v>
      </c>
      <c r="D3417" t="s">
        <v>527</v>
      </c>
      <c r="E3417">
        <v>5</v>
      </c>
      <c r="F3417">
        <v>5</v>
      </c>
      <c r="G3417" s="8">
        <f>Lektionen[[#This Row],[Bearbeitungsdauer_real]]/Lektionen[[#This Row],[Bearbeitungsdauer_geschätzt]]-1</f>
        <v>0</v>
      </c>
      <c r="H3417" s="8" t="str" cm="1">
        <f t="array" ref="H3417">_xlfn.IFS(Lektionen[[#This Row],[Bearbeitungsdauer_abgewichen]]&gt;0.6,"viel länger",Lektionen[[#This Row],[Bearbeitungsdauer_abgewichen]]&gt;0.3,"länger",Lektionen[[#This Row],[Bearbeitungsdauer_abgewichen]]&lt;-0.3,"kürzer",TRUE,"keine Abweichung")</f>
        <v>keine Abweichung</v>
      </c>
      <c r="I3417">
        <v>1</v>
      </c>
    </row>
    <row r="3418" spans="1:9" hidden="1" x14ac:dyDescent="0.3">
      <c r="A3418" s="13">
        <v>529</v>
      </c>
      <c r="B3418" s="4">
        <v>1</v>
      </c>
      <c r="C3418" t="s">
        <v>526</v>
      </c>
      <c r="D3418" t="s">
        <v>527</v>
      </c>
      <c r="E3418">
        <v>4</v>
      </c>
      <c r="F3418">
        <v>4</v>
      </c>
      <c r="G3418" s="8">
        <f>Lektionen[[#This Row],[Bearbeitungsdauer_real]]/Lektionen[[#This Row],[Bearbeitungsdauer_geschätzt]]-1</f>
        <v>0</v>
      </c>
      <c r="H3418" s="8" t="str" cm="1">
        <f t="array" ref="H3418">_xlfn.IFS(Lektionen[[#This Row],[Bearbeitungsdauer_abgewichen]]&gt;0.6,"viel länger",Lektionen[[#This Row],[Bearbeitungsdauer_abgewichen]]&gt;0.3,"länger",Lektionen[[#This Row],[Bearbeitungsdauer_abgewichen]]&lt;-0.3,"kürzer",TRUE,"keine Abweichung")</f>
        <v>keine Abweichung</v>
      </c>
      <c r="I3418">
        <v>1</v>
      </c>
    </row>
    <row r="3419" spans="1:9" hidden="1" x14ac:dyDescent="0.3">
      <c r="A3419" s="13">
        <v>529</v>
      </c>
      <c r="B3419" s="4">
        <v>2</v>
      </c>
      <c r="C3419" t="s">
        <v>528</v>
      </c>
      <c r="D3419" t="s">
        <v>529</v>
      </c>
      <c r="E3419">
        <v>15</v>
      </c>
      <c r="F3419">
        <v>18</v>
      </c>
      <c r="G3419" s="8">
        <f>Lektionen[[#This Row],[Bearbeitungsdauer_real]]/Lektionen[[#This Row],[Bearbeitungsdauer_geschätzt]]-1</f>
        <v>0.19999999999999996</v>
      </c>
      <c r="H3419" s="8" t="str" cm="1">
        <f t="array" ref="H3419">_xlfn.IFS(Lektionen[[#This Row],[Bearbeitungsdauer_abgewichen]]&gt;0.6,"viel länger",Lektionen[[#This Row],[Bearbeitungsdauer_abgewichen]]&gt;0.3,"länger",Lektionen[[#This Row],[Bearbeitungsdauer_abgewichen]]&lt;-0.3,"kürzer",TRUE,"keine Abweichung")</f>
        <v>keine Abweichung</v>
      </c>
      <c r="I3419">
        <v>2</v>
      </c>
    </row>
    <row r="3420" spans="1:9" hidden="1" x14ac:dyDescent="0.3">
      <c r="A3420" s="13">
        <v>529</v>
      </c>
      <c r="B3420" s="4">
        <v>3</v>
      </c>
      <c r="C3420" t="s">
        <v>552</v>
      </c>
      <c r="D3420" t="s">
        <v>530</v>
      </c>
      <c r="E3420">
        <v>30</v>
      </c>
      <c r="F3420">
        <v>29</v>
      </c>
      <c r="G3420" s="8">
        <f>Lektionen[[#This Row],[Bearbeitungsdauer_real]]/Lektionen[[#This Row],[Bearbeitungsdauer_geschätzt]]-1</f>
        <v>-3.3333333333333326E-2</v>
      </c>
      <c r="H3420" s="8" t="str" cm="1">
        <f t="array" ref="H3420">_xlfn.IFS(Lektionen[[#This Row],[Bearbeitungsdauer_abgewichen]]&gt;0.6,"viel länger",Lektionen[[#This Row],[Bearbeitungsdauer_abgewichen]]&gt;0.3,"länger",Lektionen[[#This Row],[Bearbeitungsdauer_abgewichen]]&lt;-0.3,"kürzer",TRUE,"keine Abweichung")</f>
        <v>keine Abweichung</v>
      </c>
      <c r="I3420">
        <v>3</v>
      </c>
    </row>
    <row r="3421" spans="1:9" hidden="1" x14ac:dyDescent="0.3">
      <c r="A3421" s="13">
        <v>529</v>
      </c>
      <c r="B3421" s="4">
        <v>4</v>
      </c>
      <c r="C3421" t="s">
        <v>531</v>
      </c>
      <c r="D3421" t="s">
        <v>530</v>
      </c>
      <c r="E3421">
        <v>30</v>
      </c>
      <c r="F3421">
        <v>26</v>
      </c>
      <c r="G3421" s="8">
        <f>Lektionen[[#This Row],[Bearbeitungsdauer_real]]/Lektionen[[#This Row],[Bearbeitungsdauer_geschätzt]]-1</f>
        <v>-0.1333333333333333</v>
      </c>
      <c r="H3421" s="8" t="str" cm="1">
        <f t="array" ref="H3421">_xlfn.IFS(Lektionen[[#This Row],[Bearbeitungsdauer_abgewichen]]&gt;0.6,"viel länger",Lektionen[[#This Row],[Bearbeitungsdauer_abgewichen]]&gt;0.3,"länger",Lektionen[[#This Row],[Bearbeitungsdauer_abgewichen]]&lt;-0.3,"kürzer",TRUE,"keine Abweichung")</f>
        <v>keine Abweichung</v>
      </c>
      <c r="I3421">
        <v>2</v>
      </c>
    </row>
    <row r="3422" spans="1:9" x14ac:dyDescent="0.3">
      <c r="A3422" s="13">
        <v>529</v>
      </c>
      <c r="B3422" s="4">
        <v>5</v>
      </c>
      <c r="C3422" t="s">
        <v>532</v>
      </c>
      <c r="D3422" t="s">
        <v>530</v>
      </c>
      <c r="E3422">
        <v>30</v>
      </c>
      <c r="F3422">
        <v>37</v>
      </c>
      <c r="G3422" s="8">
        <f>Lektionen[[#This Row],[Bearbeitungsdauer_real]]/Lektionen[[#This Row],[Bearbeitungsdauer_geschätzt]]-1</f>
        <v>0.23333333333333339</v>
      </c>
      <c r="H3422" s="8" t="str" cm="1">
        <f t="array" ref="H3422">_xlfn.IFS(Lektionen[[#This Row],[Bearbeitungsdauer_abgewichen]]&gt;0.6,"viel länger",Lektionen[[#This Row],[Bearbeitungsdauer_abgewichen]]&gt;0.3,"länger",Lektionen[[#This Row],[Bearbeitungsdauer_abgewichen]]&lt;-0.3,"kürzer",TRUE,"keine Abweichung")</f>
        <v>keine Abweichung</v>
      </c>
      <c r="I3422">
        <v>4</v>
      </c>
    </row>
    <row r="3423" spans="1:9" hidden="1" x14ac:dyDescent="0.3">
      <c r="A3423" s="13">
        <v>529</v>
      </c>
      <c r="B3423" s="4">
        <v>6</v>
      </c>
      <c r="C3423" t="s">
        <v>533</v>
      </c>
      <c r="D3423" t="s">
        <v>534</v>
      </c>
      <c r="E3423">
        <v>5</v>
      </c>
      <c r="F3423">
        <v>2</v>
      </c>
      <c r="G3423" s="8">
        <f>Lektionen[[#This Row],[Bearbeitungsdauer_real]]/Lektionen[[#This Row],[Bearbeitungsdauer_geschätzt]]-1</f>
        <v>-0.6</v>
      </c>
      <c r="H3423" s="8" t="str" cm="1">
        <f t="array" ref="H3423">_xlfn.IFS(Lektionen[[#This Row],[Bearbeitungsdauer_abgewichen]]&gt;0.6,"viel länger",Lektionen[[#This Row],[Bearbeitungsdauer_abgewichen]]&gt;0.3,"länger",Lektionen[[#This Row],[Bearbeitungsdauer_abgewichen]]&lt;-0.3,"kürzer",TRUE,"keine Abweichung")</f>
        <v>kürzer</v>
      </c>
      <c r="I3423">
        <v>3</v>
      </c>
    </row>
    <row r="3424" spans="1:9" hidden="1" x14ac:dyDescent="0.3">
      <c r="A3424" s="13">
        <v>529</v>
      </c>
      <c r="B3424" s="4">
        <v>7</v>
      </c>
      <c r="C3424" t="s">
        <v>535</v>
      </c>
      <c r="D3424" t="s">
        <v>536</v>
      </c>
      <c r="E3424">
        <v>10</v>
      </c>
      <c r="F3424">
        <v>9</v>
      </c>
      <c r="G3424" s="8">
        <f>Lektionen[[#This Row],[Bearbeitungsdauer_real]]/Lektionen[[#This Row],[Bearbeitungsdauer_geschätzt]]-1</f>
        <v>-9.9999999999999978E-2</v>
      </c>
      <c r="H3424" s="8" t="str" cm="1">
        <f t="array" ref="H3424">_xlfn.IFS(Lektionen[[#This Row],[Bearbeitungsdauer_abgewichen]]&gt;0.6,"viel länger",Lektionen[[#This Row],[Bearbeitungsdauer_abgewichen]]&gt;0.3,"länger",Lektionen[[#This Row],[Bearbeitungsdauer_abgewichen]]&lt;-0.3,"kürzer",TRUE,"keine Abweichung")</f>
        <v>keine Abweichung</v>
      </c>
      <c r="I3424">
        <v>3</v>
      </c>
    </row>
    <row r="3425" spans="1:9" hidden="1" x14ac:dyDescent="0.3">
      <c r="A3425" s="13">
        <v>529</v>
      </c>
      <c r="B3425" s="4">
        <v>8</v>
      </c>
      <c r="C3425" t="s">
        <v>537</v>
      </c>
      <c r="D3425" t="s">
        <v>527</v>
      </c>
      <c r="E3425">
        <v>5</v>
      </c>
      <c r="F3425">
        <v>5</v>
      </c>
      <c r="G3425" s="8">
        <f>Lektionen[[#This Row],[Bearbeitungsdauer_real]]/Lektionen[[#This Row],[Bearbeitungsdauer_geschätzt]]-1</f>
        <v>0</v>
      </c>
      <c r="H3425" s="8" t="str" cm="1">
        <f t="array" ref="H3425">_xlfn.IFS(Lektionen[[#This Row],[Bearbeitungsdauer_abgewichen]]&gt;0.6,"viel länger",Lektionen[[#This Row],[Bearbeitungsdauer_abgewichen]]&gt;0.3,"länger",Lektionen[[#This Row],[Bearbeitungsdauer_abgewichen]]&lt;-0.3,"kürzer",TRUE,"keine Abweichung")</f>
        <v>keine Abweichung</v>
      </c>
      <c r="I3425">
        <v>1</v>
      </c>
    </row>
    <row r="3426" spans="1:9" hidden="1" x14ac:dyDescent="0.3">
      <c r="A3426" s="13">
        <v>530</v>
      </c>
      <c r="B3426" s="4">
        <v>1</v>
      </c>
      <c r="C3426" t="s">
        <v>526</v>
      </c>
      <c r="D3426" t="s">
        <v>527</v>
      </c>
      <c r="E3426">
        <v>4</v>
      </c>
      <c r="F3426">
        <v>4</v>
      </c>
      <c r="G3426" s="8">
        <f>Lektionen[[#This Row],[Bearbeitungsdauer_real]]/Lektionen[[#This Row],[Bearbeitungsdauer_geschätzt]]-1</f>
        <v>0</v>
      </c>
      <c r="H3426" s="8" t="str" cm="1">
        <f t="array" ref="H3426">_xlfn.IFS(Lektionen[[#This Row],[Bearbeitungsdauer_abgewichen]]&gt;0.6,"viel länger",Lektionen[[#This Row],[Bearbeitungsdauer_abgewichen]]&gt;0.3,"länger",Lektionen[[#This Row],[Bearbeitungsdauer_abgewichen]]&lt;-0.3,"kürzer",TRUE,"keine Abweichung")</f>
        <v>keine Abweichung</v>
      </c>
      <c r="I3426">
        <v>1</v>
      </c>
    </row>
    <row r="3427" spans="1:9" hidden="1" x14ac:dyDescent="0.3">
      <c r="A3427" s="13">
        <v>530</v>
      </c>
      <c r="B3427" s="4">
        <v>2</v>
      </c>
      <c r="C3427" t="s">
        <v>528</v>
      </c>
      <c r="D3427" t="s">
        <v>529</v>
      </c>
      <c r="E3427">
        <v>15</v>
      </c>
      <c r="F3427">
        <v>20</v>
      </c>
      <c r="G3427" s="8">
        <f>Lektionen[[#This Row],[Bearbeitungsdauer_real]]/Lektionen[[#This Row],[Bearbeitungsdauer_geschätzt]]-1</f>
        <v>0.33333333333333326</v>
      </c>
      <c r="H3427" s="8" t="str" cm="1">
        <f t="array" ref="H3427">_xlfn.IFS(Lektionen[[#This Row],[Bearbeitungsdauer_abgewichen]]&gt;0.6,"viel länger",Lektionen[[#This Row],[Bearbeitungsdauer_abgewichen]]&gt;0.3,"länger",Lektionen[[#This Row],[Bearbeitungsdauer_abgewichen]]&lt;-0.3,"kürzer",TRUE,"keine Abweichung")</f>
        <v>länger</v>
      </c>
      <c r="I3427">
        <v>2</v>
      </c>
    </row>
    <row r="3428" spans="1:9" hidden="1" x14ac:dyDescent="0.3">
      <c r="A3428" s="13">
        <v>530</v>
      </c>
      <c r="B3428" s="4">
        <v>3</v>
      </c>
      <c r="C3428" t="s">
        <v>552</v>
      </c>
      <c r="D3428" t="s">
        <v>530</v>
      </c>
      <c r="E3428">
        <v>30</v>
      </c>
      <c r="F3428">
        <v>27</v>
      </c>
      <c r="G3428" s="8">
        <f>Lektionen[[#This Row],[Bearbeitungsdauer_real]]/Lektionen[[#This Row],[Bearbeitungsdauer_geschätzt]]-1</f>
        <v>-9.9999999999999978E-2</v>
      </c>
      <c r="H3428" s="8" t="str" cm="1">
        <f t="array" ref="H3428">_xlfn.IFS(Lektionen[[#This Row],[Bearbeitungsdauer_abgewichen]]&gt;0.6,"viel länger",Lektionen[[#This Row],[Bearbeitungsdauer_abgewichen]]&gt;0.3,"länger",Lektionen[[#This Row],[Bearbeitungsdauer_abgewichen]]&lt;-0.3,"kürzer",TRUE,"keine Abweichung")</f>
        <v>keine Abweichung</v>
      </c>
      <c r="I3428">
        <v>2</v>
      </c>
    </row>
    <row r="3429" spans="1:9" hidden="1" x14ac:dyDescent="0.3">
      <c r="A3429" s="13">
        <v>530</v>
      </c>
      <c r="B3429" s="4">
        <v>4</v>
      </c>
      <c r="C3429" t="s">
        <v>531</v>
      </c>
      <c r="D3429" t="s">
        <v>530</v>
      </c>
      <c r="E3429">
        <v>30</v>
      </c>
      <c r="F3429">
        <v>30</v>
      </c>
      <c r="G3429" s="8">
        <f>Lektionen[[#This Row],[Bearbeitungsdauer_real]]/Lektionen[[#This Row],[Bearbeitungsdauer_geschätzt]]-1</f>
        <v>0</v>
      </c>
      <c r="H3429" s="8" t="str" cm="1">
        <f t="array" ref="H3429">_xlfn.IFS(Lektionen[[#This Row],[Bearbeitungsdauer_abgewichen]]&gt;0.6,"viel länger",Lektionen[[#This Row],[Bearbeitungsdauer_abgewichen]]&gt;0.3,"länger",Lektionen[[#This Row],[Bearbeitungsdauer_abgewichen]]&lt;-0.3,"kürzer",TRUE,"keine Abweichung")</f>
        <v>keine Abweichung</v>
      </c>
      <c r="I3429">
        <v>3</v>
      </c>
    </row>
    <row r="3430" spans="1:9" x14ac:dyDescent="0.3">
      <c r="A3430" s="13">
        <v>530</v>
      </c>
      <c r="B3430" s="4">
        <v>5</v>
      </c>
      <c r="C3430" t="s">
        <v>532</v>
      </c>
      <c r="D3430" t="s">
        <v>530</v>
      </c>
      <c r="E3430">
        <v>30</v>
      </c>
      <c r="F3430">
        <v>44</v>
      </c>
      <c r="G3430" s="8">
        <f>Lektionen[[#This Row],[Bearbeitungsdauer_real]]/Lektionen[[#This Row],[Bearbeitungsdauer_geschätzt]]-1</f>
        <v>0.46666666666666656</v>
      </c>
      <c r="H3430" s="8" t="str" cm="1">
        <f t="array" ref="H3430">_xlfn.IFS(Lektionen[[#This Row],[Bearbeitungsdauer_abgewichen]]&gt;0.6,"viel länger",Lektionen[[#This Row],[Bearbeitungsdauer_abgewichen]]&gt;0.3,"länger",Lektionen[[#This Row],[Bearbeitungsdauer_abgewichen]]&lt;-0.3,"kürzer",TRUE,"keine Abweichung")</f>
        <v>länger</v>
      </c>
      <c r="I3430">
        <v>4</v>
      </c>
    </row>
    <row r="3431" spans="1:9" hidden="1" x14ac:dyDescent="0.3">
      <c r="A3431" s="13">
        <v>530</v>
      </c>
      <c r="B3431" s="4">
        <v>6</v>
      </c>
      <c r="C3431" t="s">
        <v>533</v>
      </c>
      <c r="D3431" t="s">
        <v>534</v>
      </c>
      <c r="E3431">
        <v>5</v>
      </c>
      <c r="F3431">
        <v>4</v>
      </c>
      <c r="G3431" s="8">
        <f>Lektionen[[#This Row],[Bearbeitungsdauer_real]]/Lektionen[[#This Row],[Bearbeitungsdauer_geschätzt]]-1</f>
        <v>-0.19999999999999996</v>
      </c>
      <c r="H3431" s="8" t="str" cm="1">
        <f t="array" ref="H3431">_xlfn.IFS(Lektionen[[#This Row],[Bearbeitungsdauer_abgewichen]]&gt;0.6,"viel länger",Lektionen[[#This Row],[Bearbeitungsdauer_abgewichen]]&gt;0.3,"länger",Lektionen[[#This Row],[Bearbeitungsdauer_abgewichen]]&lt;-0.3,"kürzer",TRUE,"keine Abweichung")</f>
        <v>keine Abweichung</v>
      </c>
      <c r="I3431">
        <v>2</v>
      </c>
    </row>
    <row r="3432" spans="1:9" hidden="1" x14ac:dyDescent="0.3">
      <c r="A3432" s="13">
        <v>530</v>
      </c>
      <c r="B3432" s="4">
        <v>7</v>
      </c>
      <c r="C3432" t="s">
        <v>535</v>
      </c>
      <c r="D3432" t="s">
        <v>536</v>
      </c>
      <c r="E3432">
        <v>10</v>
      </c>
      <c r="F3432">
        <v>11</v>
      </c>
      <c r="G3432" s="8">
        <f>Lektionen[[#This Row],[Bearbeitungsdauer_real]]/Lektionen[[#This Row],[Bearbeitungsdauer_geschätzt]]-1</f>
        <v>0.10000000000000009</v>
      </c>
      <c r="H3432" s="8" t="str" cm="1">
        <f t="array" ref="H3432">_xlfn.IFS(Lektionen[[#This Row],[Bearbeitungsdauer_abgewichen]]&gt;0.6,"viel länger",Lektionen[[#This Row],[Bearbeitungsdauer_abgewichen]]&gt;0.3,"länger",Lektionen[[#This Row],[Bearbeitungsdauer_abgewichen]]&lt;-0.3,"kürzer",TRUE,"keine Abweichung")</f>
        <v>keine Abweichung</v>
      </c>
      <c r="I3432">
        <v>3</v>
      </c>
    </row>
    <row r="3433" spans="1:9" hidden="1" x14ac:dyDescent="0.3">
      <c r="A3433" s="13">
        <v>530</v>
      </c>
      <c r="B3433" s="4">
        <v>8</v>
      </c>
      <c r="C3433" t="s">
        <v>537</v>
      </c>
      <c r="D3433" t="s">
        <v>527</v>
      </c>
      <c r="E3433">
        <v>5</v>
      </c>
      <c r="F3433">
        <v>7</v>
      </c>
      <c r="G3433" s="8">
        <f>Lektionen[[#This Row],[Bearbeitungsdauer_real]]/Lektionen[[#This Row],[Bearbeitungsdauer_geschätzt]]-1</f>
        <v>0.39999999999999991</v>
      </c>
      <c r="H3433" s="8" t="str" cm="1">
        <f t="array" ref="H3433">_xlfn.IFS(Lektionen[[#This Row],[Bearbeitungsdauer_abgewichen]]&gt;0.6,"viel länger",Lektionen[[#This Row],[Bearbeitungsdauer_abgewichen]]&gt;0.3,"länger",Lektionen[[#This Row],[Bearbeitungsdauer_abgewichen]]&lt;-0.3,"kürzer",TRUE,"keine Abweichung")</f>
        <v>länger</v>
      </c>
      <c r="I3433">
        <v>1</v>
      </c>
    </row>
    <row r="3434" spans="1:9" hidden="1" x14ac:dyDescent="0.3">
      <c r="A3434" s="13">
        <v>531</v>
      </c>
      <c r="B3434" s="4">
        <v>1</v>
      </c>
      <c r="C3434" t="s">
        <v>526</v>
      </c>
      <c r="D3434" t="s">
        <v>527</v>
      </c>
      <c r="E3434">
        <v>4</v>
      </c>
      <c r="F3434">
        <v>4</v>
      </c>
      <c r="G3434" s="8">
        <f>Lektionen[[#This Row],[Bearbeitungsdauer_real]]/Lektionen[[#This Row],[Bearbeitungsdauer_geschätzt]]-1</f>
        <v>0</v>
      </c>
      <c r="H3434" s="8" t="str" cm="1">
        <f t="array" ref="H3434">_xlfn.IFS(Lektionen[[#This Row],[Bearbeitungsdauer_abgewichen]]&gt;0.6,"viel länger",Lektionen[[#This Row],[Bearbeitungsdauer_abgewichen]]&gt;0.3,"länger",Lektionen[[#This Row],[Bearbeitungsdauer_abgewichen]]&lt;-0.3,"kürzer",TRUE,"keine Abweichung")</f>
        <v>keine Abweichung</v>
      </c>
      <c r="I3434">
        <v>1</v>
      </c>
    </row>
    <row r="3435" spans="1:9" hidden="1" x14ac:dyDescent="0.3">
      <c r="A3435" s="13">
        <v>531</v>
      </c>
      <c r="B3435" s="4">
        <v>2</v>
      </c>
      <c r="C3435" t="s">
        <v>528</v>
      </c>
      <c r="D3435" t="s">
        <v>529</v>
      </c>
      <c r="E3435">
        <v>15</v>
      </c>
      <c r="F3435">
        <v>16</v>
      </c>
      <c r="G3435" s="8">
        <f>Lektionen[[#This Row],[Bearbeitungsdauer_real]]/Lektionen[[#This Row],[Bearbeitungsdauer_geschätzt]]-1</f>
        <v>6.6666666666666652E-2</v>
      </c>
      <c r="H3435" s="8" t="str" cm="1">
        <f t="array" ref="H3435">_xlfn.IFS(Lektionen[[#This Row],[Bearbeitungsdauer_abgewichen]]&gt;0.6,"viel länger",Lektionen[[#This Row],[Bearbeitungsdauer_abgewichen]]&gt;0.3,"länger",Lektionen[[#This Row],[Bearbeitungsdauer_abgewichen]]&lt;-0.3,"kürzer",TRUE,"keine Abweichung")</f>
        <v>keine Abweichung</v>
      </c>
      <c r="I3435">
        <v>1</v>
      </c>
    </row>
    <row r="3436" spans="1:9" hidden="1" x14ac:dyDescent="0.3">
      <c r="A3436" s="13">
        <v>531</v>
      </c>
      <c r="B3436" s="4">
        <v>3</v>
      </c>
      <c r="C3436" t="s">
        <v>552</v>
      </c>
      <c r="D3436" t="s">
        <v>530</v>
      </c>
      <c r="E3436">
        <v>30</v>
      </c>
      <c r="F3436">
        <v>28</v>
      </c>
      <c r="G3436" s="8">
        <f>Lektionen[[#This Row],[Bearbeitungsdauer_real]]/Lektionen[[#This Row],[Bearbeitungsdauer_geschätzt]]-1</f>
        <v>-6.6666666666666652E-2</v>
      </c>
      <c r="H3436" s="8" t="str" cm="1">
        <f t="array" ref="H3436">_xlfn.IFS(Lektionen[[#This Row],[Bearbeitungsdauer_abgewichen]]&gt;0.6,"viel länger",Lektionen[[#This Row],[Bearbeitungsdauer_abgewichen]]&gt;0.3,"länger",Lektionen[[#This Row],[Bearbeitungsdauer_abgewichen]]&lt;-0.3,"kürzer",TRUE,"keine Abweichung")</f>
        <v>keine Abweichung</v>
      </c>
      <c r="I3436">
        <v>2</v>
      </c>
    </row>
    <row r="3437" spans="1:9" hidden="1" x14ac:dyDescent="0.3">
      <c r="A3437" s="13">
        <v>531</v>
      </c>
      <c r="B3437" s="4">
        <v>4</v>
      </c>
      <c r="C3437" t="s">
        <v>531</v>
      </c>
      <c r="D3437" t="s">
        <v>530</v>
      </c>
      <c r="E3437">
        <v>30</v>
      </c>
      <c r="F3437">
        <v>21</v>
      </c>
      <c r="G3437" s="8">
        <f>Lektionen[[#This Row],[Bearbeitungsdauer_real]]/Lektionen[[#This Row],[Bearbeitungsdauer_geschätzt]]-1</f>
        <v>-0.30000000000000004</v>
      </c>
      <c r="H3437" s="8" t="str" cm="1">
        <f t="array" ref="H3437">_xlfn.IFS(Lektionen[[#This Row],[Bearbeitungsdauer_abgewichen]]&gt;0.6,"viel länger",Lektionen[[#This Row],[Bearbeitungsdauer_abgewichen]]&gt;0.3,"länger",Lektionen[[#This Row],[Bearbeitungsdauer_abgewichen]]&lt;-0.3,"kürzer",TRUE,"keine Abweichung")</f>
        <v>keine Abweichung</v>
      </c>
      <c r="I3437">
        <v>3</v>
      </c>
    </row>
    <row r="3438" spans="1:9" x14ac:dyDescent="0.3">
      <c r="A3438" s="13">
        <v>531</v>
      </c>
      <c r="B3438" s="4">
        <v>5</v>
      </c>
      <c r="C3438" t="s">
        <v>532</v>
      </c>
      <c r="D3438" t="s">
        <v>530</v>
      </c>
      <c r="E3438">
        <v>30</v>
      </c>
      <c r="F3438">
        <v>50</v>
      </c>
      <c r="G3438" s="8">
        <f>Lektionen[[#This Row],[Bearbeitungsdauer_real]]/Lektionen[[#This Row],[Bearbeitungsdauer_geschätzt]]-1</f>
        <v>0.66666666666666674</v>
      </c>
      <c r="H3438" s="8" t="str" cm="1">
        <f t="array" ref="H3438">_xlfn.IFS(Lektionen[[#This Row],[Bearbeitungsdauer_abgewichen]]&gt;0.6,"viel länger",Lektionen[[#This Row],[Bearbeitungsdauer_abgewichen]]&gt;0.3,"länger",Lektionen[[#This Row],[Bearbeitungsdauer_abgewichen]]&lt;-0.3,"kürzer",TRUE,"keine Abweichung")</f>
        <v>viel länger</v>
      </c>
      <c r="I3438">
        <v>4</v>
      </c>
    </row>
    <row r="3439" spans="1:9" hidden="1" x14ac:dyDescent="0.3">
      <c r="A3439" s="13">
        <v>531</v>
      </c>
      <c r="B3439" s="4">
        <v>6</v>
      </c>
      <c r="C3439" t="s">
        <v>533</v>
      </c>
      <c r="D3439" t="s">
        <v>534</v>
      </c>
      <c r="E3439">
        <v>5</v>
      </c>
      <c r="F3439">
        <v>1</v>
      </c>
      <c r="G3439" s="8">
        <f>Lektionen[[#This Row],[Bearbeitungsdauer_real]]/Lektionen[[#This Row],[Bearbeitungsdauer_geschätzt]]-1</f>
        <v>-0.8</v>
      </c>
      <c r="H3439" s="8" t="str" cm="1">
        <f t="array" ref="H3439">_xlfn.IFS(Lektionen[[#This Row],[Bearbeitungsdauer_abgewichen]]&gt;0.6,"viel länger",Lektionen[[#This Row],[Bearbeitungsdauer_abgewichen]]&gt;0.3,"länger",Lektionen[[#This Row],[Bearbeitungsdauer_abgewichen]]&lt;-0.3,"kürzer",TRUE,"keine Abweichung")</f>
        <v>kürzer</v>
      </c>
      <c r="I3439">
        <v>2</v>
      </c>
    </row>
    <row r="3440" spans="1:9" hidden="1" x14ac:dyDescent="0.3">
      <c r="A3440" s="13">
        <v>531</v>
      </c>
      <c r="B3440" s="4">
        <v>7</v>
      </c>
      <c r="C3440" t="s">
        <v>535</v>
      </c>
      <c r="D3440" t="s">
        <v>536</v>
      </c>
      <c r="E3440">
        <v>10</v>
      </c>
      <c r="F3440">
        <v>9</v>
      </c>
      <c r="G3440" s="8">
        <f>Lektionen[[#This Row],[Bearbeitungsdauer_real]]/Lektionen[[#This Row],[Bearbeitungsdauer_geschätzt]]-1</f>
        <v>-9.9999999999999978E-2</v>
      </c>
      <c r="H3440" s="8" t="str" cm="1">
        <f t="array" ref="H3440">_xlfn.IFS(Lektionen[[#This Row],[Bearbeitungsdauer_abgewichen]]&gt;0.6,"viel länger",Lektionen[[#This Row],[Bearbeitungsdauer_abgewichen]]&gt;0.3,"länger",Lektionen[[#This Row],[Bearbeitungsdauer_abgewichen]]&lt;-0.3,"kürzer",TRUE,"keine Abweichung")</f>
        <v>keine Abweichung</v>
      </c>
      <c r="I3440">
        <v>3</v>
      </c>
    </row>
    <row r="3441" spans="1:9" hidden="1" x14ac:dyDescent="0.3">
      <c r="A3441" s="13">
        <v>531</v>
      </c>
      <c r="B3441" s="4">
        <v>8</v>
      </c>
      <c r="C3441" t="s">
        <v>537</v>
      </c>
      <c r="D3441" t="s">
        <v>527</v>
      </c>
      <c r="E3441">
        <v>5</v>
      </c>
      <c r="F3441">
        <v>8</v>
      </c>
      <c r="G3441" s="8">
        <f>Lektionen[[#This Row],[Bearbeitungsdauer_real]]/Lektionen[[#This Row],[Bearbeitungsdauer_geschätzt]]-1</f>
        <v>0.60000000000000009</v>
      </c>
      <c r="H3441" s="8" t="str" cm="1">
        <f t="array" ref="H3441">_xlfn.IFS(Lektionen[[#This Row],[Bearbeitungsdauer_abgewichen]]&gt;0.6,"viel länger",Lektionen[[#This Row],[Bearbeitungsdauer_abgewichen]]&gt;0.3,"länger",Lektionen[[#This Row],[Bearbeitungsdauer_abgewichen]]&lt;-0.3,"kürzer",TRUE,"keine Abweichung")</f>
        <v>länger</v>
      </c>
      <c r="I3441">
        <v>1</v>
      </c>
    </row>
    <row r="3442" spans="1:9" hidden="1" x14ac:dyDescent="0.3">
      <c r="A3442" s="13">
        <v>532</v>
      </c>
      <c r="B3442" s="4">
        <v>1</v>
      </c>
      <c r="C3442" t="s">
        <v>526</v>
      </c>
      <c r="D3442" t="s">
        <v>527</v>
      </c>
      <c r="E3442">
        <v>4</v>
      </c>
      <c r="F3442">
        <v>4</v>
      </c>
      <c r="G3442" s="8">
        <f>Lektionen[[#This Row],[Bearbeitungsdauer_real]]/Lektionen[[#This Row],[Bearbeitungsdauer_geschätzt]]-1</f>
        <v>0</v>
      </c>
      <c r="H3442" s="8" t="str" cm="1">
        <f t="array" ref="H3442">_xlfn.IFS(Lektionen[[#This Row],[Bearbeitungsdauer_abgewichen]]&gt;0.6,"viel länger",Lektionen[[#This Row],[Bearbeitungsdauer_abgewichen]]&gt;0.3,"länger",Lektionen[[#This Row],[Bearbeitungsdauer_abgewichen]]&lt;-0.3,"kürzer",TRUE,"keine Abweichung")</f>
        <v>keine Abweichung</v>
      </c>
      <c r="I3442">
        <v>1</v>
      </c>
    </row>
    <row r="3443" spans="1:9" hidden="1" x14ac:dyDescent="0.3">
      <c r="A3443" s="13">
        <v>532</v>
      </c>
      <c r="B3443" s="4">
        <v>2</v>
      </c>
      <c r="C3443" t="s">
        <v>528</v>
      </c>
      <c r="D3443" t="s">
        <v>529</v>
      </c>
      <c r="E3443">
        <v>15</v>
      </c>
      <c r="F3443">
        <v>15</v>
      </c>
      <c r="G3443" s="8">
        <f>Lektionen[[#This Row],[Bearbeitungsdauer_real]]/Lektionen[[#This Row],[Bearbeitungsdauer_geschätzt]]-1</f>
        <v>0</v>
      </c>
      <c r="H3443" s="8" t="str" cm="1">
        <f t="array" ref="H3443">_xlfn.IFS(Lektionen[[#This Row],[Bearbeitungsdauer_abgewichen]]&gt;0.6,"viel länger",Lektionen[[#This Row],[Bearbeitungsdauer_abgewichen]]&gt;0.3,"länger",Lektionen[[#This Row],[Bearbeitungsdauer_abgewichen]]&lt;-0.3,"kürzer",TRUE,"keine Abweichung")</f>
        <v>keine Abweichung</v>
      </c>
      <c r="I3443">
        <v>2</v>
      </c>
    </row>
    <row r="3444" spans="1:9" hidden="1" x14ac:dyDescent="0.3">
      <c r="A3444" s="13">
        <v>532</v>
      </c>
      <c r="B3444" s="4">
        <v>3</v>
      </c>
      <c r="C3444" t="s">
        <v>552</v>
      </c>
      <c r="D3444" t="s">
        <v>530</v>
      </c>
      <c r="E3444">
        <v>30</v>
      </c>
      <c r="F3444">
        <v>28</v>
      </c>
      <c r="G3444" s="8">
        <f>Lektionen[[#This Row],[Bearbeitungsdauer_real]]/Lektionen[[#This Row],[Bearbeitungsdauer_geschätzt]]-1</f>
        <v>-6.6666666666666652E-2</v>
      </c>
      <c r="H3444" s="8" t="str" cm="1">
        <f t="array" ref="H3444">_xlfn.IFS(Lektionen[[#This Row],[Bearbeitungsdauer_abgewichen]]&gt;0.6,"viel länger",Lektionen[[#This Row],[Bearbeitungsdauer_abgewichen]]&gt;0.3,"länger",Lektionen[[#This Row],[Bearbeitungsdauer_abgewichen]]&lt;-0.3,"kürzer",TRUE,"keine Abweichung")</f>
        <v>keine Abweichung</v>
      </c>
      <c r="I3444">
        <v>3</v>
      </c>
    </row>
    <row r="3445" spans="1:9" hidden="1" x14ac:dyDescent="0.3">
      <c r="A3445" s="13">
        <v>532</v>
      </c>
      <c r="B3445" s="4">
        <v>4</v>
      </c>
      <c r="C3445" t="s">
        <v>531</v>
      </c>
      <c r="D3445" t="s">
        <v>530</v>
      </c>
      <c r="E3445">
        <v>30</v>
      </c>
      <c r="F3445">
        <v>32</v>
      </c>
      <c r="G3445" s="8">
        <f>Lektionen[[#This Row],[Bearbeitungsdauer_real]]/Lektionen[[#This Row],[Bearbeitungsdauer_geschätzt]]-1</f>
        <v>6.6666666666666652E-2</v>
      </c>
      <c r="H3445" s="8" t="str" cm="1">
        <f t="array" ref="H3445">_xlfn.IFS(Lektionen[[#This Row],[Bearbeitungsdauer_abgewichen]]&gt;0.6,"viel länger",Lektionen[[#This Row],[Bearbeitungsdauer_abgewichen]]&gt;0.3,"länger",Lektionen[[#This Row],[Bearbeitungsdauer_abgewichen]]&lt;-0.3,"kürzer",TRUE,"keine Abweichung")</f>
        <v>keine Abweichung</v>
      </c>
      <c r="I3445">
        <v>3</v>
      </c>
    </row>
    <row r="3446" spans="1:9" x14ac:dyDescent="0.3">
      <c r="A3446" s="13">
        <v>532</v>
      </c>
      <c r="B3446" s="4">
        <v>5</v>
      </c>
      <c r="C3446" t="s">
        <v>532</v>
      </c>
      <c r="D3446" t="s">
        <v>530</v>
      </c>
      <c r="E3446">
        <v>30</v>
      </c>
      <c r="F3446">
        <v>47</v>
      </c>
      <c r="G3446" s="8">
        <f>Lektionen[[#This Row],[Bearbeitungsdauer_real]]/Lektionen[[#This Row],[Bearbeitungsdauer_geschätzt]]-1</f>
        <v>0.56666666666666665</v>
      </c>
      <c r="H3446" s="8" t="str" cm="1">
        <f t="array" ref="H3446">_xlfn.IFS(Lektionen[[#This Row],[Bearbeitungsdauer_abgewichen]]&gt;0.6,"viel länger",Lektionen[[#This Row],[Bearbeitungsdauer_abgewichen]]&gt;0.3,"länger",Lektionen[[#This Row],[Bearbeitungsdauer_abgewichen]]&lt;-0.3,"kürzer",TRUE,"keine Abweichung")</f>
        <v>länger</v>
      </c>
      <c r="I3446">
        <v>4</v>
      </c>
    </row>
    <row r="3447" spans="1:9" hidden="1" x14ac:dyDescent="0.3">
      <c r="A3447" s="13">
        <v>532</v>
      </c>
      <c r="B3447" s="4">
        <v>6</v>
      </c>
      <c r="C3447" t="s">
        <v>533</v>
      </c>
      <c r="D3447" t="s">
        <v>534</v>
      </c>
      <c r="E3447">
        <v>5</v>
      </c>
      <c r="F3447">
        <v>1</v>
      </c>
      <c r="G3447" s="8">
        <f>Lektionen[[#This Row],[Bearbeitungsdauer_real]]/Lektionen[[#This Row],[Bearbeitungsdauer_geschätzt]]-1</f>
        <v>-0.8</v>
      </c>
      <c r="H3447" s="8" t="str" cm="1">
        <f t="array" ref="H3447">_xlfn.IFS(Lektionen[[#This Row],[Bearbeitungsdauer_abgewichen]]&gt;0.6,"viel länger",Lektionen[[#This Row],[Bearbeitungsdauer_abgewichen]]&gt;0.3,"länger",Lektionen[[#This Row],[Bearbeitungsdauer_abgewichen]]&lt;-0.3,"kürzer",TRUE,"keine Abweichung")</f>
        <v>kürzer</v>
      </c>
      <c r="I3447">
        <v>3</v>
      </c>
    </row>
    <row r="3448" spans="1:9" hidden="1" x14ac:dyDescent="0.3">
      <c r="A3448" s="13">
        <v>532</v>
      </c>
      <c r="B3448" s="4">
        <v>7</v>
      </c>
      <c r="C3448" t="s">
        <v>535</v>
      </c>
      <c r="D3448" t="s">
        <v>536</v>
      </c>
      <c r="E3448">
        <v>10</v>
      </c>
      <c r="F3448">
        <v>8</v>
      </c>
      <c r="G3448" s="8">
        <f>Lektionen[[#This Row],[Bearbeitungsdauer_real]]/Lektionen[[#This Row],[Bearbeitungsdauer_geschätzt]]-1</f>
        <v>-0.19999999999999996</v>
      </c>
      <c r="H3448" s="8" t="str" cm="1">
        <f t="array" ref="H3448">_xlfn.IFS(Lektionen[[#This Row],[Bearbeitungsdauer_abgewichen]]&gt;0.6,"viel länger",Lektionen[[#This Row],[Bearbeitungsdauer_abgewichen]]&gt;0.3,"länger",Lektionen[[#This Row],[Bearbeitungsdauer_abgewichen]]&lt;-0.3,"kürzer",TRUE,"keine Abweichung")</f>
        <v>keine Abweichung</v>
      </c>
      <c r="I3448">
        <v>3</v>
      </c>
    </row>
    <row r="3449" spans="1:9" hidden="1" x14ac:dyDescent="0.3">
      <c r="A3449" s="13">
        <v>532</v>
      </c>
      <c r="B3449" s="4">
        <v>8</v>
      </c>
      <c r="C3449" t="s">
        <v>537</v>
      </c>
      <c r="D3449" t="s">
        <v>527</v>
      </c>
      <c r="E3449">
        <v>5</v>
      </c>
      <c r="F3449">
        <v>5</v>
      </c>
      <c r="G3449" s="8">
        <f>Lektionen[[#This Row],[Bearbeitungsdauer_real]]/Lektionen[[#This Row],[Bearbeitungsdauer_geschätzt]]-1</f>
        <v>0</v>
      </c>
      <c r="H3449" s="8" t="str" cm="1">
        <f t="array" ref="H3449">_xlfn.IFS(Lektionen[[#This Row],[Bearbeitungsdauer_abgewichen]]&gt;0.6,"viel länger",Lektionen[[#This Row],[Bearbeitungsdauer_abgewichen]]&gt;0.3,"länger",Lektionen[[#This Row],[Bearbeitungsdauer_abgewichen]]&lt;-0.3,"kürzer",TRUE,"keine Abweichung")</f>
        <v>keine Abweichung</v>
      </c>
      <c r="I3449">
        <v>2</v>
      </c>
    </row>
    <row r="3450" spans="1:9" hidden="1" x14ac:dyDescent="0.3">
      <c r="A3450" s="13">
        <v>533</v>
      </c>
      <c r="B3450" s="4">
        <v>1</v>
      </c>
      <c r="C3450" t="s">
        <v>526</v>
      </c>
      <c r="D3450" t="s">
        <v>527</v>
      </c>
      <c r="E3450">
        <v>4</v>
      </c>
      <c r="F3450">
        <v>4</v>
      </c>
      <c r="G3450" s="8">
        <f>Lektionen[[#This Row],[Bearbeitungsdauer_real]]/Lektionen[[#This Row],[Bearbeitungsdauer_geschätzt]]-1</f>
        <v>0</v>
      </c>
      <c r="H3450" s="8" t="str" cm="1">
        <f t="array" ref="H3450">_xlfn.IFS(Lektionen[[#This Row],[Bearbeitungsdauer_abgewichen]]&gt;0.6,"viel länger",Lektionen[[#This Row],[Bearbeitungsdauer_abgewichen]]&gt;0.3,"länger",Lektionen[[#This Row],[Bearbeitungsdauer_abgewichen]]&lt;-0.3,"kürzer",TRUE,"keine Abweichung")</f>
        <v>keine Abweichung</v>
      </c>
      <c r="I3450">
        <v>1</v>
      </c>
    </row>
    <row r="3451" spans="1:9" hidden="1" x14ac:dyDescent="0.3">
      <c r="A3451" s="13">
        <v>533</v>
      </c>
      <c r="B3451" s="4">
        <v>2</v>
      </c>
      <c r="C3451" t="s">
        <v>528</v>
      </c>
      <c r="D3451" t="s">
        <v>529</v>
      </c>
      <c r="E3451">
        <v>15</v>
      </c>
      <c r="F3451">
        <v>16</v>
      </c>
      <c r="G3451" s="8">
        <f>Lektionen[[#This Row],[Bearbeitungsdauer_real]]/Lektionen[[#This Row],[Bearbeitungsdauer_geschätzt]]-1</f>
        <v>6.6666666666666652E-2</v>
      </c>
      <c r="H3451" s="8" t="str" cm="1">
        <f t="array" ref="H3451">_xlfn.IFS(Lektionen[[#This Row],[Bearbeitungsdauer_abgewichen]]&gt;0.6,"viel länger",Lektionen[[#This Row],[Bearbeitungsdauer_abgewichen]]&gt;0.3,"länger",Lektionen[[#This Row],[Bearbeitungsdauer_abgewichen]]&lt;-0.3,"kürzer",TRUE,"keine Abweichung")</f>
        <v>keine Abweichung</v>
      </c>
      <c r="I3451">
        <v>2</v>
      </c>
    </row>
    <row r="3452" spans="1:9" hidden="1" x14ac:dyDescent="0.3">
      <c r="A3452" s="13">
        <v>533</v>
      </c>
      <c r="B3452" s="4">
        <v>3</v>
      </c>
      <c r="C3452" t="s">
        <v>552</v>
      </c>
      <c r="D3452" t="s">
        <v>530</v>
      </c>
      <c r="E3452">
        <v>30</v>
      </c>
      <c r="F3452">
        <v>28</v>
      </c>
      <c r="G3452" s="8">
        <f>Lektionen[[#This Row],[Bearbeitungsdauer_real]]/Lektionen[[#This Row],[Bearbeitungsdauer_geschätzt]]-1</f>
        <v>-6.6666666666666652E-2</v>
      </c>
      <c r="H3452" s="8" t="str" cm="1">
        <f t="array" ref="H3452">_xlfn.IFS(Lektionen[[#This Row],[Bearbeitungsdauer_abgewichen]]&gt;0.6,"viel länger",Lektionen[[#This Row],[Bearbeitungsdauer_abgewichen]]&gt;0.3,"länger",Lektionen[[#This Row],[Bearbeitungsdauer_abgewichen]]&lt;-0.3,"kürzer",TRUE,"keine Abweichung")</f>
        <v>keine Abweichung</v>
      </c>
      <c r="I3452">
        <v>3</v>
      </c>
    </row>
    <row r="3453" spans="1:9" hidden="1" x14ac:dyDescent="0.3">
      <c r="A3453" s="13">
        <v>533</v>
      </c>
      <c r="B3453" s="4">
        <v>4</v>
      </c>
      <c r="C3453" t="s">
        <v>531</v>
      </c>
      <c r="D3453" t="s">
        <v>530</v>
      </c>
      <c r="E3453">
        <v>30</v>
      </c>
      <c r="F3453">
        <v>29</v>
      </c>
      <c r="G3453" s="8">
        <f>Lektionen[[#This Row],[Bearbeitungsdauer_real]]/Lektionen[[#This Row],[Bearbeitungsdauer_geschätzt]]-1</f>
        <v>-3.3333333333333326E-2</v>
      </c>
      <c r="H3453" s="8" t="str" cm="1">
        <f t="array" ref="H3453">_xlfn.IFS(Lektionen[[#This Row],[Bearbeitungsdauer_abgewichen]]&gt;0.6,"viel länger",Lektionen[[#This Row],[Bearbeitungsdauer_abgewichen]]&gt;0.3,"länger",Lektionen[[#This Row],[Bearbeitungsdauer_abgewichen]]&lt;-0.3,"kürzer",TRUE,"keine Abweichung")</f>
        <v>keine Abweichung</v>
      </c>
      <c r="I3453">
        <v>3</v>
      </c>
    </row>
    <row r="3454" spans="1:9" x14ac:dyDescent="0.3">
      <c r="A3454" s="13">
        <v>533</v>
      </c>
      <c r="B3454" s="4">
        <v>5</v>
      </c>
      <c r="C3454" t="s">
        <v>532</v>
      </c>
      <c r="D3454" t="s">
        <v>530</v>
      </c>
      <c r="E3454">
        <v>30</v>
      </c>
      <c r="F3454">
        <v>41</v>
      </c>
      <c r="G3454" s="8">
        <f>Lektionen[[#This Row],[Bearbeitungsdauer_real]]/Lektionen[[#This Row],[Bearbeitungsdauer_geschätzt]]-1</f>
        <v>0.3666666666666667</v>
      </c>
      <c r="H3454" s="8" t="str" cm="1">
        <f t="array" ref="H3454">_xlfn.IFS(Lektionen[[#This Row],[Bearbeitungsdauer_abgewichen]]&gt;0.6,"viel länger",Lektionen[[#This Row],[Bearbeitungsdauer_abgewichen]]&gt;0.3,"länger",Lektionen[[#This Row],[Bearbeitungsdauer_abgewichen]]&lt;-0.3,"kürzer",TRUE,"keine Abweichung")</f>
        <v>länger</v>
      </c>
      <c r="I3454">
        <v>4</v>
      </c>
    </row>
    <row r="3455" spans="1:9" hidden="1" x14ac:dyDescent="0.3">
      <c r="A3455" s="13">
        <v>533</v>
      </c>
      <c r="B3455" s="4">
        <v>6</v>
      </c>
      <c r="C3455" t="s">
        <v>533</v>
      </c>
      <c r="D3455" t="s">
        <v>534</v>
      </c>
      <c r="E3455">
        <v>5</v>
      </c>
      <c r="F3455">
        <v>1</v>
      </c>
      <c r="G3455" s="8">
        <f>Lektionen[[#This Row],[Bearbeitungsdauer_real]]/Lektionen[[#This Row],[Bearbeitungsdauer_geschätzt]]-1</f>
        <v>-0.8</v>
      </c>
      <c r="H3455" s="8" t="str" cm="1">
        <f t="array" ref="H3455">_xlfn.IFS(Lektionen[[#This Row],[Bearbeitungsdauer_abgewichen]]&gt;0.6,"viel länger",Lektionen[[#This Row],[Bearbeitungsdauer_abgewichen]]&gt;0.3,"länger",Lektionen[[#This Row],[Bearbeitungsdauer_abgewichen]]&lt;-0.3,"kürzer",TRUE,"keine Abweichung")</f>
        <v>kürzer</v>
      </c>
      <c r="I3455">
        <v>2</v>
      </c>
    </row>
    <row r="3456" spans="1:9" hidden="1" x14ac:dyDescent="0.3">
      <c r="A3456" s="13">
        <v>533</v>
      </c>
      <c r="B3456" s="4">
        <v>7</v>
      </c>
      <c r="C3456" t="s">
        <v>535</v>
      </c>
      <c r="D3456" t="s">
        <v>536</v>
      </c>
      <c r="E3456">
        <v>10</v>
      </c>
      <c r="F3456">
        <v>9</v>
      </c>
      <c r="G3456" s="8">
        <f>Lektionen[[#This Row],[Bearbeitungsdauer_real]]/Lektionen[[#This Row],[Bearbeitungsdauer_geschätzt]]-1</f>
        <v>-9.9999999999999978E-2</v>
      </c>
      <c r="H3456" s="8" t="str" cm="1">
        <f t="array" ref="H3456">_xlfn.IFS(Lektionen[[#This Row],[Bearbeitungsdauer_abgewichen]]&gt;0.6,"viel länger",Lektionen[[#This Row],[Bearbeitungsdauer_abgewichen]]&gt;0.3,"länger",Lektionen[[#This Row],[Bearbeitungsdauer_abgewichen]]&lt;-0.3,"kürzer",TRUE,"keine Abweichung")</f>
        <v>keine Abweichung</v>
      </c>
      <c r="I3456">
        <v>4</v>
      </c>
    </row>
    <row r="3457" spans="1:9" hidden="1" x14ac:dyDescent="0.3">
      <c r="A3457" s="13">
        <v>533</v>
      </c>
      <c r="B3457" s="4">
        <v>8</v>
      </c>
      <c r="C3457" t="s">
        <v>537</v>
      </c>
      <c r="D3457" t="s">
        <v>527</v>
      </c>
      <c r="E3457">
        <v>5</v>
      </c>
      <c r="F3457">
        <v>7</v>
      </c>
      <c r="G3457" s="8">
        <f>Lektionen[[#This Row],[Bearbeitungsdauer_real]]/Lektionen[[#This Row],[Bearbeitungsdauer_geschätzt]]-1</f>
        <v>0.39999999999999991</v>
      </c>
      <c r="H3457" s="8" t="str" cm="1">
        <f t="array" ref="H3457">_xlfn.IFS(Lektionen[[#This Row],[Bearbeitungsdauer_abgewichen]]&gt;0.6,"viel länger",Lektionen[[#This Row],[Bearbeitungsdauer_abgewichen]]&gt;0.3,"länger",Lektionen[[#This Row],[Bearbeitungsdauer_abgewichen]]&lt;-0.3,"kürzer",TRUE,"keine Abweichung")</f>
        <v>länger</v>
      </c>
      <c r="I3457">
        <v>1</v>
      </c>
    </row>
    <row r="3458" spans="1:9" hidden="1" x14ac:dyDescent="0.3">
      <c r="A3458" s="13">
        <v>535</v>
      </c>
      <c r="B3458" s="4">
        <v>1</v>
      </c>
      <c r="C3458" t="s">
        <v>526</v>
      </c>
      <c r="D3458" t="s">
        <v>527</v>
      </c>
      <c r="E3458">
        <v>4</v>
      </c>
      <c r="F3458">
        <v>4</v>
      </c>
      <c r="G3458" s="8">
        <f>Lektionen[[#This Row],[Bearbeitungsdauer_real]]/Lektionen[[#This Row],[Bearbeitungsdauer_geschätzt]]-1</f>
        <v>0</v>
      </c>
      <c r="H3458" s="8" t="str" cm="1">
        <f t="array" ref="H3458">_xlfn.IFS(Lektionen[[#This Row],[Bearbeitungsdauer_abgewichen]]&gt;0.6,"viel länger",Lektionen[[#This Row],[Bearbeitungsdauer_abgewichen]]&gt;0.3,"länger",Lektionen[[#This Row],[Bearbeitungsdauer_abgewichen]]&lt;-0.3,"kürzer",TRUE,"keine Abweichung")</f>
        <v>keine Abweichung</v>
      </c>
      <c r="I3458">
        <v>2</v>
      </c>
    </row>
    <row r="3459" spans="1:9" hidden="1" x14ac:dyDescent="0.3">
      <c r="A3459" s="13">
        <v>535</v>
      </c>
      <c r="B3459" s="4">
        <v>2</v>
      </c>
      <c r="C3459" t="s">
        <v>528</v>
      </c>
      <c r="D3459" t="s">
        <v>529</v>
      </c>
      <c r="E3459">
        <v>15</v>
      </c>
      <c r="F3459">
        <v>18</v>
      </c>
      <c r="G3459" s="8">
        <f>Lektionen[[#This Row],[Bearbeitungsdauer_real]]/Lektionen[[#This Row],[Bearbeitungsdauer_geschätzt]]-1</f>
        <v>0.19999999999999996</v>
      </c>
      <c r="H3459" s="8" t="str" cm="1">
        <f t="array" ref="H3459">_xlfn.IFS(Lektionen[[#This Row],[Bearbeitungsdauer_abgewichen]]&gt;0.6,"viel länger",Lektionen[[#This Row],[Bearbeitungsdauer_abgewichen]]&gt;0.3,"länger",Lektionen[[#This Row],[Bearbeitungsdauer_abgewichen]]&lt;-0.3,"kürzer",TRUE,"keine Abweichung")</f>
        <v>keine Abweichung</v>
      </c>
      <c r="I3459">
        <v>2</v>
      </c>
    </row>
    <row r="3460" spans="1:9" hidden="1" x14ac:dyDescent="0.3">
      <c r="A3460" s="13">
        <v>535</v>
      </c>
      <c r="B3460" s="4">
        <v>3</v>
      </c>
      <c r="C3460" t="s">
        <v>552</v>
      </c>
      <c r="D3460" t="s">
        <v>530</v>
      </c>
      <c r="E3460">
        <v>30</v>
      </c>
      <c r="F3460">
        <v>30</v>
      </c>
      <c r="G3460" s="8">
        <f>Lektionen[[#This Row],[Bearbeitungsdauer_real]]/Lektionen[[#This Row],[Bearbeitungsdauer_geschätzt]]-1</f>
        <v>0</v>
      </c>
      <c r="H3460" s="8" t="str" cm="1">
        <f t="array" ref="H3460">_xlfn.IFS(Lektionen[[#This Row],[Bearbeitungsdauer_abgewichen]]&gt;0.6,"viel länger",Lektionen[[#This Row],[Bearbeitungsdauer_abgewichen]]&gt;0.3,"länger",Lektionen[[#This Row],[Bearbeitungsdauer_abgewichen]]&lt;-0.3,"kürzer",TRUE,"keine Abweichung")</f>
        <v>keine Abweichung</v>
      </c>
      <c r="I3460">
        <v>3</v>
      </c>
    </row>
    <row r="3461" spans="1:9" hidden="1" x14ac:dyDescent="0.3">
      <c r="A3461" s="13">
        <v>535</v>
      </c>
      <c r="B3461" s="4">
        <v>4</v>
      </c>
      <c r="C3461" t="s">
        <v>531</v>
      </c>
      <c r="D3461" t="s">
        <v>530</v>
      </c>
      <c r="E3461">
        <v>30</v>
      </c>
      <c r="F3461">
        <v>19</v>
      </c>
      <c r="G3461" s="8">
        <f>Lektionen[[#This Row],[Bearbeitungsdauer_real]]/Lektionen[[#This Row],[Bearbeitungsdauer_geschätzt]]-1</f>
        <v>-0.3666666666666667</v>
      </c>
      <c r="H3461" s="8" t="str" cm="1">
        <f t="array" ref="H3461">_xlfn.IFS(Lektionen[[#This Row],[Bearbeitungsdauer_abgewichen]]&gt;0.6,"viel länger",Lektionen[[#This Row],[Bearbeitungsdauer_abgewichen]]&gt;0.3,"länger",Lektionen[[#This Row],[Bearbeitungsdauer_abgewichen]]&lt;-0.3,"kürzer",TRUE,"keine Abweichung")</f>
        <v>kürzer</v>
      </c>
      <c r="I3461">
        <v>3</v>
      </c>
    </row>
    <row r="3462" spans="1:9" x14ac:dyDescent="0.3">
      <c r="A3462" s="13">
        <v>535</v>
      </c>
      <c r="B3462" s="4">
        <v>5</v>
      </c>
      <c r="C3462" t="s">
        <v>532</v>
      </c>
      <c r="D3462" t="s">
        <v>530</v>
      </c>
      <c r="E3462">
        <v>30</v>
      </c>
      <c r="F3462">
        <v>46</v>
      </c>
      <c r="G3462" s="8">
        <f>Lektionen[[#This Row],[Bearbeitungsdauer_real]]/Lektionen[[#This Row],[Bearbeitungsdauer_geschätzt]]-1</f>
        <v>0.53333333333333344</v>
      </c>
      <c r="H3462" s="8" t="str" cm="1">
        <f t="array" ref="H3462">_xlfn.IFS(Lektionen[[#This Row],[Bearbeitungsdauer_abgewichen]]&gt;0.6,"viel länger",Lektionen[[#This Row],[Bearbeitungsdauer_abgewichen]]&gt;0.3,"länger",Lektionen[[#This Row],[Bearbeitungsdauer_abgewichen]]&lt;-0.3,"kürzer",TRUE,"keine Abweichung")</f>
        <v>länger</v>
      </c>
      <c r="I3462">
        <v>5</v>
      </c>
    </row>
    <row r="3463" spans="1:9" hidden="1" x14ac:dyDescent="0.3">
      <c r="A3463" s="13">
        <v>535</v>
      </c>
      <c r="B3463" s="4">
        <v>6</v>
      </c>
      <c r="C3463" t="s">
        <v>533</v>
      </c>
      <c r="D3463" t="s">
        <v>534</v>
      </c>
      <c r="E3463">
        <v>5</v>
      </c>
      <c r="F3463">
        <v>1</v>
      </c>
      <c r="G3463" s="8">
        <f>Lektionen[[#This Row],[Bearbeitungsdauer_real]]/Lektionen[[#This Row],[Bearbeitungsdauer_geschätzt]]-1</f>
        <v>-0.8</v>
      </c>
      <c r="H3463" s="8" t="str" cm="1">
        <f t="array" ref="H3463">_xlfn.IFS(Lektionen[[#This Row],[Bearbeitungsdauer_abgewichen]]&gt;0.6,"viel länger",Lektionen[[#This Row],[Bearbeitungsdauer_abgewichen]]&gt;0.3,"länger",Lektionen[[#This Row],[Bearbeitungsdauer_abgewichen]]&lt;-0.3,"kürzer",TRUE,"keine Abweichung")</f>
        <v>kürzer</v>
      </c>
      <c r="I3463">
        <v>3</v>
      </c>
    </row>
    <row r="3464" spans="1:9" hidden="1" x14ac:dyDescent="0.3">
      <c r="A3464" s="13">
        <v>535</v>
      </c>
      <c r="B3464" s="4">
        <v>7</v>
      </c>
      <c r="C3464" t="s">
        <v>535</v>
      </c>
      <c r="D3464" t="s">
        <v>536</v>
      </c>
      <c r="E3464">
        <v>10</v>
      </c>
      <c r="F3464">
        <v>10</v>
      </c>
      <c r="G3464" s="8">
        <f>Lektionen[[#This Row],[Bearbeitungsdauer_real]]/Lektionen[[#This Row],[Bearbeitungsdauer_geschätzt]]-1</f>
        <v>0</v>
      </c>
      <c r="H3464" s="8" t="str" cm="1">
        <f t="array" ref="H3464">_xlfn.IFS(Lektionen[[#This Row],[Bearbeitungsdauer_abgewichen]]&gt;0.6,"viel länger",Lektionen[[#This Row],[Bearbeitungsdauer_abgewichen]]&gt;0.3,"länger",Lektionen[[#This Row],[Bearbeitungsdauer_abgewichen]]&lt;-0.3,"kürzer",TRUE,"keine Abweichung")</f>
        <v>keine Abweichung</v>
      </c>
      <c r="I3464">
        <v>3</v>
      </c>
    </row>
    <row r="3465" spans="1:9" hidden="1" x14ac:dyDescent="0.3">
      <c r="A3465" s="13">
        <v>535</v>
      </c>
      <c r="B3465" s="4">
        <v>8</v>
      </c>
      <c r="C3465" t="s">
        <v>537</v>
      </c>
      <c r="D3465" t="s">
        <v>527</v>
      </c>
      <c r="E3465">
        <v>5</v>
      </c>
      <c r="F3465">
        <v>5</v>
      </c>
      <c r="G3465" s="8">
        <f>Lektionen[[#This Row],[Bearbeitungsdauer_real]]/Lektionen[[#This Row],[Bearbeitungsdauer_geschätzt]]-1</f>
        <v>0</v>
      </c>
      <c r="H3465" s="8" t="str" cm="1">
        <f t="array" ref="H3465">_xlfn.IFS(Lektionen[[#This Row],[Bearbeitungsdauer_abgewichen]]&gt;0.6,"viel länger",Lektionen[[#This Row],[Bearbeitungsdauer_abgewichen]]&gt;0.3,"länger",Lektionen[[#This Row],[Bearbeitungsdauer_abgewichen]]&lt;-0.3,"kürzer",TRUE,"keine Abweichung")</f>
        <v>keine Abweichung</v>
      </c>
      <c r="I3465">
        <v>1</v>
      </c>
    </row>
    <row r="3466" spans="1:9" hidden="1" x14ac:dyDescent="0.3">
      <c r="A3466" s="13">
        <v>537</v>
      </c>
      <c r="B3466" s="4">
        <v>1</v>
      </c>
      <c r="C3466" t="s">
        <v>526</v>
      </c>
      <c r="D3466" t="s">
        <v>527</v>
      </c>
      <c r="E3466">
        <v>4</v>
      </c>
      <c r="F3466">
        <v>4</v>
      </c>
      <c r="G3466" s="8">
        <f>Lektionen[[#This Row],[Bearbeitungsdauer_real]]/Lektionen[[#This Row],[Bearbeitungsdauer_geschätzt]]-1</f>
        <v>0</v>
      </c>
      <c r="H3466" s="8" t="str" cm="1">
        <f t="array" ref="H3466">_xlfn.IFS(Lektionen[[#This Row],[Bearbeitungsdauer_abgewichen]]&gt;0.6,"viel länger",Lektionen[[#This Row],[Bearbeitungsdauer_abgewichen]]&gt;0.3,"länger",Lektionen[[#This Row],[Bearbeitungsdauer_abgewichen]]&lt;-0.3,"kürzer",TRUE,"keine Abweichung")</f>
        <v>keine Abweichung</v>
      </c>
      <c r="I3466">
        <v>1</v>
      </c>
    </row>
    <row r="3467" spans="1:9" hidden="1" x14ac:dyDescent="0.3">
      <c r="A3467" s="13">
        <v>537</v>
      </c>
      <c r="B3467" s="4">
        <v>2</v>
      </c>
      <c r="C3467" t="s">
        <v>528</v>
      </c>
      <c r="D3467" t="s">
        <v>529</v>
      </c>
      <c r="E3467">
        <v>15</v>
      </c>
      <c r="F3467">
        <v>16</v>
      </c>
      <c r="G3467" s="8">
        <f>Lektionen[[#This Row],[Bearbeitungsdauer_real]]/Lektionen[[#This Row],[Bearbeitungsdauer_geschätzt]]-1</f>
        <v>6.6666666666666652E-2</v>
      </c>
      <c r="H3467" s="8" t="str" cm="1">
        <f t="array" ref="H3467">_xlfn.IFS(Lektionen[[#This Row],[Bearbeitungsdauer_abgewichen]]&gt;0.6,"viel länger",Lektionen[[#This Row],[Bearbeitungsdauer_abgewichen]]&gt;0.3,"länger",Lektionen[[#This Row],[Bearbeitungsdauer_abgewichen]]&lt;-0.3,"kürzer",TRUE,"keine Abweichung")</f>
        <v>keine Abweichung</v>
      </c>
      <c r="I3467">
        <v>1</v>
      </c>
    </row>
    <row r="3468" spans="1:9" hidden="1" x14ac:dyDescent="0.3">
      <c r="A3468" s="13">
        <v>537</v>
      </c>
      <c r="B3468" s="4">
        <v>3</v>
      </c>
      <c r="C3468" t="s">
        <v>552</v>
      </c>
      <c r="D3468" t="s">
        <v>530</v>
      </c>
      <c r="E3468">
        <v>30</v>
      </c>
      <c r="F3468">
        <v>28</v>
      </c>
      <c r="G3468" s="8">
        <f>Lektionen[[#This Row],[Bearbeitungsdauer_real]]/Lektionen[[#This Row],[Bearbeitungsdauer_geschätzt]]-1</f>
        <v>-6.6666666666666652E-2</v>
      </c>
      <c r="H3468" s="8" t="str" cm="1">
        <f t="array" ref="H3468">_xlfn.IFS(Lektionen[[#This Row],[Bearbeitungsdauer_abgewichen]]&gt;0.6,"viel länger",Lektionen[[#This Row],[Bearbeitungsdauer_abgewichen]]&gt;0.3,"länger",Lektionen[[#This Row],[Bearbeitungsdauer_abgewichen]]&lt;-0.3,"kürzer",TRUE,"keine Abweichung")</f>
        <v>keine Abweichung</v>
      </c>
      <c r="I3468">
        <v>2</v>
      </c>
    </row>
    <row r="3469" spans="1:9" hidden="1" x14ac:dyDescent="0.3">
      <c r="A3469" s="13">
        <v>537</v>
      </c>
      <c r="B3469" s="4">
        <v>4</v>
      </c>
      <c r="C3469" t="s">
        <v>531</v>
      </c>
      <c r="D3469" t="s">
        <v>530</v>
      </c>
      <c r="E3469">
        <v>30</v>
      </c>
      <c r="F3469">
        <v>28</v>
      </c>
      <c r="G3469" s="8">
        <f>Lektionen[[#This Row],[Bearbeitungsdauer_real]]/Lektionen[[#This Row],[Bearbeitungsdauer_geschätzt]]-1</f>
        <v>-6.6666666666666652E-2</v>
      </c>
      <c r="H3469" s="8" t="str" cm="1">
        <f t="array" ref="H3469">_xlfn.IFS(Lektionen[[#This Row],[Bearbeitungsdauer_abgewichen]]&gt;0.6,"viel länger",Lektionen[[#This Row],[Bearbeitungsdauer_abgewichen]]&gt;0.3,"länger",Lektionen[[#This Row],[Bearbeitungsdauer_abgewichen]]&lt;-0.3,"kürzer",TRUE,"keine Abweichung")</f>
        <v>keine Abweichung</v>
      </c>
      <c r="I3469">
        <v>4</v>
      </c>
    </row>
    <row r="3470" spans="1:9" x14ac:dyDescent="0.3">
      <c r="A3470" s="13">
        <v>537</v>
      </c>
      <c r="B3470" s="4">
        <v>5</v>
      </c>
      <c r="C3470" t="s">
        <v>532</v>
      </c>
      <c r="D3470" t="s">
        <v>530</v>
      </c>
      <c r="E3470">
        <v>30</v>
      </c>
      <c r="F3470">
        <v>46</v>
      </c>
      <c r="G3470" s="8">
        <f>Lektionen[[#This Row],[Bearbeitungsdauer_real]]/Lektionen[[#This Row],[Bearbeitungsdauer_geschätzt]]-1</f>
        <v>0.53333333333333344</v>
      </c>
      <c r="H3470" s="8" t="str" cm="1">
        <f t="array" ref="H3470">_xlfn.IFS(Lektionen[[#This Row],[Bearbeitungsdauer_abgewichen]]&gt;0.6,"viel länger",Lektionen[[#This Row],[Bearbeitungsdauer_abgewichen]]&gt;0.3,"länger",Lektionen[[#This Row],[Bearbeitungsdauer_abgewichen]]&lt;-0.3,"kürzer",TRUE,"keine Abweichung")</f>
        <v>länger</v>
      </c>
      <c r="I3470">
        <v>3</v>
      </c>
    </row>
    <row r="3471" spans="1:9" hidden="1" x14ac:dyDescent="0.3">
      <c r="A3471" s="13">
        <v>537</v>
      </c>
      <c r="B3471" s="4">
        <v>6</v>
      </c>
      <c r="C3471" t="s">
        <v>533</v>
      </c>
      <c r="D3471" t="s">
        <v>534</v>
      </c>
      <c r="E3471">
        <v>5</v>
      </c>
      <c r="F3471">
        <v>2</v>
      </c>
      <c r="G3471" s="8">
        <f>Lektionen[[#This Row],[Bearbeitungsdauer_real]]/Lektionen[[#This Row],[Bearbeitungsdauer_geschätzt]]-1</f>
        <v>-0.6</v>
      </c>
      <c r="H3471" s="8" t="str" cm="1">
        <f t="array" ref="H3471">_xlfn.IFS(Lektionen[[#This Row],[Bearbeitungsdauer_abgewichen]]&gt;0.6,"viel länger",Lektionen[[#This Row],[Bearbeitungsdauer_abgewichen]]&gt;0.3,"länger",Lektionen[[#This Row],[Bearbeitungsdauer_abgewichen]]&lt;-0.3,"kürzer",TRUE,"keine Abweichung")</f>
        <v>kürzer</v>
      </c>
      <c r="I3471">
        <v>2</v>
      </c>
    </row>
    <row r="3472" spans="1:9" hidden="1" x14ac:dyDescent="0.3">
      <c r="A3472" s="13">
        <v>537</v>
      </c>
      <c r="B3472" s="4">
        <v>7</v>
      </c>
      <c r="C3472" t="s">
        <v>535</v>
      </c>
      <c r="D3472" t="s">
        <v>536</v>
      </c>
      <c r="E3472">
        <v>10</v>
      </c>
      <c r="F3472">
        <v>11</v>
      </c>
      <c r="G3472" s="8">
        <f>Lektionen[[#This Row],[Bearbeitungsdauer_real]]/Lektionen[[#This Row],[Bearbeitungsdauer_geschätzt]]-1</f>
        <v>0.10000000000000009</v>
      </c>
      <c r="H3472" s="8" t="str" cm="1">
        <f t="array" ref="H3472">_xlfn.IFS(Lektionen[[#This Row],[Bearbeitungsdauer_abgewichen]]&gt;0.6,"viel länger",Lektionen[[#This Row],[Bearbeitungsdauer_abgewichen]]&gt;0.3,"länger",Lektionen[[#This Row],[Bearbeitungsdauer_abgewichen]]&lt;-0.3,"kürzer",TRUE,"keine Abweichung")</f>
        <v>keine Abweichung</v>
      </c>
      <c r="I3472">
        <v>3</v>
      </c>
    </row>
    <row r="3473" spans="1:9" hidden="1" x14ac:dyDescent="0.3">
      <c r="A3473" s="13">
        <v>537</v>
      </c>
      <c r="B3473" s="4">
        <v>8</v>
      </c>
      <c r="C3473" t="s">
        <v>537</v>
      </c>
      <c r="D3473" t="s">
        <v>527</v>
      </c>
      <c r="E3473">
        <v>5</v>
      </c>
      <c r="F3473">
        <v>6</v>
      </c>
      <c r="G3473" s="8">
        <f>Lektionen[[#This Row],[Bearbeitungsdauer_real]]/Lektionen[[#This Row],[Bearbeitungsdauer_geschätzt]]-1</f>
        <v>0.19999999999999996</v>
      </c>
      <c r="H3473" s="8" t="str" cm="1">
        <f t="array" ref="H3473">_xlfn.IFS(Lektionen[[#This Row],[Bearbeitungsdauer_abgewichen]]&gt;0.6,"viel länger",Lektionen[[#This Row],[Bearbeitungsdauer_abgewichen]]&gt;0.3,"länger",Lektionen[[#This Row],[Bearbeitungsdauer_abgewichen]]&lt;-0.3,"kürzer",TRUE,"keine Abweichung")</f>
        <v>keine Abweichung</v>
      </c>
      <c r="I3473">
        <v>1</v>
      </c>
    </row>
    <row r="3474" spans="1:9" hidden="1" x14ac:dyDescent="0.3">
      <c r="A3474" s="13">
        <v>538</v>
      </c>
      <c r="B3474" s="4">
        <v>1</v>
      </c>
      <c r="C3474" t="s">
        <v>526</v>
      </c>
      <c r="D3474" t="s">
        <v>527</v>
      </c>
      <c r="E3474">
        <v>4</v>
      </c>
      <c r="F3474">
        <v>4</v>
      </c>
      <c r="G3474" s="8">
        <f>Lektionen[[#This Row],[Bearbeitungsdauer_real]]/Lektionen[[#This Row],[Bearbeitungsdauer_geschätzt]]-1</f>
        <v>0</v>
      </c>
      <c r="H3474" s="8" t="str" cm="1">
        <f t="array" ref="H3474">_xlfn.IFS(Lektionen[[#This Row],[Bearbeitungsdauer_abgewichen]]&gt;0.6,"viel länger",Lektionen[[#This Row],[Bearbeitungsdauer_abgewichen]]&gt;0.3,"länger",Lektionen[[#This Row],[Bearbeitungsdauer_abgewichen]]&lt;-0.3,"kürzer",TRUE,"keine Abweichung")</f>
        <v>keine Abweichung</v>
      </c>
      <c r="I3474">
        <v>1</v>
      </c>
    </row>
    <row r="3475" spans="1:9" hidden="1" x14ac:dyDescent="0.3">
      <c r="A3475" s="13">
        <v>538</v>
      </c>
      <c r="B3475" s="4">
        <v>2</v>
      </c>
      <c r="C3475" t="s">
        <v>528</v>
      </c>
      <c r="D3475" t="s">
        <v>529</v>
      </c>
      <c r="E3475">
        <v>15</v>
      </c>
      <c r="F3475">
        <v>17</v>
      </c>
      <c r="G3475" s="8">
        <f>Lektionen[[#This Row],[Bearbeitungsdauer_real]]/Lektionen[[#This Row],[Bearbeitungsdauer_geschätzt]]-1</f>
        <v>0.1333333333333333</v>
      </c>
      <c r="H3475" s="8" t="str" cm="1">
        <f t="array" ref="H3475">_xlfn.IFS(Lektionen[[#This Row],[Bearbeitungsdauer_abgewichen]]&gt;0.6,"viel länger",Lektionen[[#This Row],[Bearbeitungsdauer_abgewichen]]&gt;0.3,"länger",Lektionen[[#This Row],[Bearbeitungsdauer_abgewichen]]&lt;-0.3,"kürzer",TRUE,"keine Abweichung")</f>
        <v>keine Abweichung</v>
      </c>
      <c r="I3475">
        <v>2</v>
      </c>
    </row>
    <row r="3476" spans="1:9" hidden="1" x14ac:dyDescent="0.3">
      <c r="A3476" s="13">
        <v>538</v>
      </c>
      <c r="B3476" s="4">
        <v>3</v>
      </c>
      <c r="C3476" t="s">
        <v>552</v>
      </c>
      <c r="D3476" t="s">
        <v>530</v>
      </c>
      <c r="E3476">
        <v>30</v>
      </c>
      <c r="F3476">
        <v>28</v>
      </c>
      <c r="G3476" s="8">
        <f>Lektionen[[#This Row],[Bearbeitungsdauer_real]]/Lektionen[[#This Row],[Bearbeitungsdauer_geschätzt]]-1</f>
        <v>-6.6666666666666652E-2</v>
      </c>
      <c r="H3476" s="8" t="str" cm="1">
        <f t="array" ref="H3476">_xlfn.IFS(Lektionen[[#This Row],[Bearbeitungsdauer_abgewichen]]&gt;0.6,"viel länger",Lektionen[[#This Row],[Bearbeitungsdauer_abgewichen]]&gt;0.3,"länger",Lektionen[[#This Row],[Bearbeitungsdauer_abgewichen]]&lt;-0.3,"kürzer",TRUE,"keine Abweichung")</f>
        <v>keine Abweichung</v>
      </c>
      <c r="I3476">
        <v>3</v>
      </c>
    </row>
    <row r="3477" spans="1:9" hidden="1" x14ac:dyDescent="0.3">
      <c r="A3477" s="13">
        <v>538</v>
      </c>
      <c r="B3477" s="4">
        <v>4</v>
      </c>
      <c r="C3477" t="s">
        <v>531</v>
      </c>
      <c r="D3477" t="s">
        <v>530</v>
      </c>
      <c r="E3477">
        <v>30</v>
      </c>
      <c r="F3477">
        <v>22</v>
      </c>
      <c r="G3477" s="8">
        <f>Lektionen[[#This Row],[Bearbeitungsdauer_real]]/Lektionen[[#This Row],[Bearbeitungsdauer_geschätzt]]-1</f>
        <v>-0.26666666666666672</v>
      </c>
      <c r="H3477" s="8" t="str" cm="1">
        <f t="array" ref="H3477">_xlfn.IFS(Lektionen[[#This Row],[Bearbeitungsdauer_abgewichen]]&gt;0.6,"viel länger",Lektionen[[#This Row],[Bearbeitungsdauer_abgewichen]]&gt;0.3,"länger",Lektionen[[#This Row],[Bearbeitungsdauer_abgewichen]]&lt;-0.3,"kürzer",TRUE,"keine Abweichung")</f>
        <v>keine Abweichung</v>
      </c>
      <c r="I3477">
        <v>3</v>
      </c>
    </row>
    <row r="3478" spans="1:9" x14ac:dyDescent="0.3">
      <c r="A3478" s="13">
        <v>538</v>
      </c>
      <c r="B3478" s="4">
        <v>5</v>
      </c>
      <c r="C3478" t="s">
        <v>532</v>
      </c>
      <c r="D3478" t="s">
        <v>530</v>
      </c>
      <c r="E3478">
        <v>30</v>
      </c>
      <c r="F3478">
        <v>42</v>
      </c>
      <c r="G3478" s="8">
        <f>Lektionen[[#This Row],[Bearbeitungsdauer_real]]/Lektionen[[#This Row],[Bearbeitungsdauer_geschätzt]]-1</f>
        <v>0.39999999999999991</v>
      </c>
      <c r="H3478" s="8" t="str" cm="1">
        <f t="array" ref="H3478">_xlfn.IFS(Lektionen[[#This Row],[Bearbeitungsdauer_abgewichen]]&gt;0.6,"viel länger",Lektionen[[#This Row],[Bearbeitungsdauer_abgewichen]]&gt;0.3,"länger",Lektionen[[#This Row],[Bearbeitungsdauer_abgewichen]]&lt;-0.3,"kürzer",TRUE,"keine Abweichung")</f>
        <v>länger</v>
      </c>
      <c r="I3478">
        <v>4</v>
      </c>
    </row>
    <row r="3479" spans="1:9" hidden="1" x14ac:dyDescent="0.3">
      <c r="A3479" s="13">
        <v>538</v>
      </c>
      <c r="B3479" s="4">
        <v>6</v>
      </c>
      <c r="C3479" t="s">
        <v>533</v>
      </c>
      <c r="D3479" t="s">
        <v>534</v>
      </c>
      <c r="E3479">
        <v>5</v>
      </c>
      <c r="F3479">
        <v>1</v>
      </c>
      <c r="G3479" s="8">
        <f>Lektionen[[#This Row],[Bearbeitungsdauer_real]]/Lektionen[[#This Row],[Bearbeitungsdauer_geschätzt]]-1</f>
        <v>-0.8</v>
      </c>
      <c r="H3479" s="8" t="str" cm="1">
        <f t="array" ref="H3479">_xlfn.IFS(Lektionen[[#This Row],[Bearbeitungsdauer_abgewichen]]&gt;0.6,"viel länger",Lektionen[[#This Row],[Bearbeitungsdauer_abgewichen]]&gt;0.3,"länger",Lektionen[[#This Row],[Bearbeitungsdauer_abgewichen]]&lt;-0.3,"kürzer",TRUE,"keine Abweichung")</f>
        <v>kürzer</v>
      </c>
      <c r="I3479">
        <v>2</v>
      </c>
    </row>
    <row r="3480" spans="1:9" hidden="1" x14ac:dyDescent="0.3">
      <c r="A3480" s="13">
        <v>538</v>
      </c>
      <c r="B3480" s="4">
        <v>7</v>
      </c>
      <c r="C3480" t="s">
        <v>535</v>
      </c>
      <c r="D3480" t="s">
        <v>536</v>
      </c>
      <c r="E3480">
        <v>10</v>
      </c>
      <c r="F3480">
        <v>10</v>
      </c>
      <c r="G3480" s="8">
        <f>Lektionen[[#This Row],[Bearbeitungsdauer_real]]/Lektionen[[#This Row],[Bearbeitungsdauer_geschätzt]]-1</f>
        <v>0</v>
      </c>
      <c r="H3480" s="8" t="str" cm="1">
        <f t="array" ref="H3480">_xlfn.IFS(Lektionen[[#This Row],[Bearbeitungsdauer_abgewichen]]&gt;0.6,"viel länger",Lektionen[[#This Row],[Bearbeitungsdauer_abgewichen]]&gt;0.3,"länger",Lektionen[[#This Row],[Bearbeitungsdauer_abgewichen]]&lt;-0.3,"kürzer",TRUE,"keine Abweichung")</f>
        <v>keine Abweichung</v>
      </c>
      <c r="I3480">
        <v>3</v>
      </c>
    </row>
    <row r="3481" spans="1:9" hidden="1" x14ac:dyDescent="0.3">
      <c r="A3481" s="13">
        <v>538</v>
      </c>
      <c r="B3481" s="4">
        <v>8</v>
      </c>
      <c r="C3481" t="s">
        <v>537</v>
      </c>
      <c r="D3481" t="s">
        <v>527</v>
      </c>
      <c r="E3481">
        <v>5</v>
      </c>
      <c r="F3481">
        <v>5</v>
      </c>
      <c r="G3481" s="8">
        <f>Lektionen[[#This Row],[Bearbeitungsdauer_real]]/Lektionen[[#This Row],[Bearbeitungsdauer_geschätzt]]-1</f>
        <v>0</v>
      </c>
      <c r="H3481" s="8" t="str" cm="1">
        <f t="array" ref="H3481">_xlfn.IFS(Lektionen[[#This Row],[Bearbeitungsdauer_abgewichen]]&gt;0.6,"viel länger",Lektionen[[#This Row],[Bearbeitungsdauer_abgewichen]]&gt;0.3,"länger",Lektionen[[#This Row],[Bearbeitungsdauer_abgewichen]]&lt;-0.3,"kürzer",TRUE,"keine Abweichung")</f>
        <v>keine Abweichung</v>
      </c>
      <c r="I3481">
        <v>1</v>
      </c>
    </row>
    <row r="3482" spans="1:9" hidden="1" x14ac:dyDescent="0.3">
      <c r="A3482" s="13">
        <v>539</v>
      </c>
      <c r="B3482" s="4">
        <v>1</v>
      </c>
      <c r="C3482" t="s">
        <v>526</v>
      </c>
      <c r="D3482" t="s">
        <v>527</v>
      </c>
      <c r="E3482">
        <v>4</v>
      </c>
      <c r="F3482">
        <v>4</v>
      </c>
      <c r="G3482" s="8">
        <f>Lektionen[[#This Row],[Bearbeitungsdauer_real]]/Lektionen[[#This Row],[Bearbeitungsdauer_geschätzt]]-1</f>
        <v>0</v>
      </c>
      <c r="H3482" s="8" t="str" cm="1">
        <f t="array" ref="H3482">_xlfn.IFS(Lektionen[[#This Row],[Bearbeitungsdauer_abgewichen]]&gt;0.6,"viel länger",Lektionen[[#This Row],[Bearbeitungsdauer_abgewichen]]&gt;0.3,"länger",Lektionen[[#This Row],[Bearbeitungsdauer_abgewichen]]&lt;-0.3,"kürzer",TRUE,"keine Abweichung")</f>
        <v>keine Abweichung</v>
      </c>
      <c r="I3482">
        <v>1</v>
      </c>
    </row>
    <row r="3483" spans="1:9" hidden="1" x14ac:dyDescent="0.3">
      <c r="A3483" s="13">
        <v>539</v>
      </c>
      <c r="B3483" s="4">
        <v>2</v>
      </c>
      <c r="C3483" t="s">
        <v>528</v>
      </c>
      <c r="D3483" t="s">
        <v>529</v>
      </c>
      <c r="E3483">
        <v>15</v>
      </c>
      <c r="F3483">
        <v>18</v>
      </c>
      <c r="G3483" s="8">
        <f>Lektionen[[#This Row],[Bearbeitungsdauer_real]]/Lektionen[[#This Row],[Bearbeitungsdauer_geschätzt]]-1</f>
        <v>0.19999999999999996</v>
      </c>
      <c r="H3483" s="8" t="str" cm="1">
        <f t="array" ref="H3483">_xlfn.IFS(Lektionen[[#This Row],[Bearbeitungsdauer_abgewichen]]&gt;0.6,"viel länger",Lektionen[[#This Row],[Bearbeitungsdauer_abgewichen]]&gt;0.3,"länger",Lektionen[[#This Row],[Bearbeitungsdauer_abgewichen]]&lt;-0.3,"kürzer",TRUE,"keine Abweichung")</f>
        <v>keine Abweichung</v>
      </c>
      <c r="I3483">
        <v>1</v>
      </c>
    </row>
    <row r="3484" spans="1:9" hidden="1" x14ac:dyDescent="0.3">
      <c r="A3484" s="13">
        <v>539</v>
      </c>
      <c r="B3484" s="4">
        <v>3</v>
      </c>
      <c r="C3484" t="s">
        <v>552</v>
      </c>
      <c r="D3484" t="s">
        <v>530</v>
      </c>
      <c r="E3484">
        <v>30</v>
      </c>
      <c r="F3484">
        <v>29</v>
      </c>
      <c r="G3484" s="8">
        <f>Lektionen[[#This Row],[Bearbeitungsdauer_real]]/Lektionen[[#This Row],[Bearbeitungsdauer_geschätzt]]-1</f>
        <v>-3.3333333333333326E-2</v>
      </c>
      <c r="H3484" s="8" t="str" cm="1">
        <f t="array" ref="H3484">_xlfn.IFS(Lektionen[[#This Row],[Bearbeitungsdauer_abgewichen]]&gt;0.6,"viel länger",Lektionen[[#This Row],[Bearbeitungsdauer_abgewichen]]&gt;0.3,"länger",Lektionen[[#This Row],[Bearbeitungsdauer_abgewichen]]&lt;-0.3,"kürzer",TRUE,"keine Abweichung")</f>
        <v>keine Abweichung</v>
      </c>
      <c r="I3484">
        <v>2</v>
      </c>
    </row>
    <row r="3485" spans="1:9" hidden="1" x14ac:dyDescent="0.3">
      <c r="A3485" s="13">
        <v>539</v>
      </c>
      <c r="B3485" s="4">
        <v>4</v>
      </c>
      <c r="C3485" t="s">
        <v>531</v>
      </c>
      <c r="D3485" t="s">
        <v>530</v>
      </c>
      <c r="E3485">
        <v>30</v>
      </c>
      <c r="F3485">
        <v>23</v>
      </c>
      <c r="G3485" s="8">
        <f>Lektionen[[#This Row],[Bearbeitungsdauer_real]]/Lektionen[[#This Row],[Bearbeitungsdauer_geschätzt]]-1</f>
        <v>-0.23333333333333328</v>
      </c>
      <c r="H3485" s="8" t="str" cm="1">
        <f t="array" ref="H3485">_xlfn.IFS(Lektionen[[#This Row],[Bearbeitungsdauer_abgewichen]]&gt;0.6,"viel länger",Lektionen[[#This Row],[Bearbeitungsdauer_abgewichen]]&gt;0.3,"länger",Lektionen[[#This Row],[Bearbeitungsdauer_abgewichen]]&lt;-0.3,"kürzer",TRUE,"keine Abweichung")</f>
        <v>keine Abweichung</v>
      </c>
      <c r="I3485">
        <v>3</v>
      </c>
    </row>
    <row r="3486" spans="1:9" x14ac:dyDescent="0.3">
      <c r="A3486" s="13">
        <v>539</v>
      </c>
      <c r="B3486" s="4">
        <v>5</v>
      </c>
      <c r="C3486" t="s">
        <v>532</v>
      </c>
      <c r="D3486" t="s">
        <v>530</v>
      </c>
      <c r="E3486">
        <v>30</v>
      </c>
      <c r="F3486">
        <v>44</v>
      </c>
      <c r="G3486" s="8">
        <f>Lektionen[[#This Row],[Bearbeitungsdauer_real]]/Lektionen[[#This Row],[Bearbeitungsdauer_geschätzt]]-1</f>
        <v>0.46666666666666656</v>
      </c>
      <c r="H3486" s="8" t="str" cm="1">
        <f t="array" ref="H3486">_xlfn.IFS(Lektionen[[#This Row],[Bearbeitungsdauer_abgewichen]]&gt;0.6,"viel länger",Lektionen[[#This Row],[Bearbeitungsdauer_abgewichen]]&gt;0.3,"länger",Lektionen[[#This Row],[Bearbeitungsdauer_abgewichen]]&lt;-0.3,"kürzer",TRUE,"keine Abweichung")</f>
        <v>länger</v>
      </c>
      <c r="I3486">
        <v>4</v>
      </c>
    </row>
    <row r="3487" spans="1:9" hidden="1" x14ac:dyDescent="0.3">
      <c r="A3487" s="13">
        <v>539</v>
      </c>
      <c r="B3487" s="4">
        <v>6</v>
      </c>
      <c r="C3487" t="s">
        <v>533</v>
      </c>
      <c r="D3487" t="s">
        <v>534</v>
      </c>
      <c r="E3487">
        <v>5</v>
      </c>
      <c r="F3487">
        <v>2</v>
      </c>
      <c r="G3487" s="8">
        <f>Lektionen[[#This Row],[Bearbeitungsdauer_real]]/Lektionen[[#This Row],[Bearbeitungsdauer_geschätzt]]-1</f>
        <v>-0.6</v>
      </c>
      <c r="H3487" s="8" t="str" cm="1">
        <f t="array" ref="H3487">_xlfn.IFS(Lektionen[[#This Row],[Bearbeitungsdauer_abgewichen]]&gt;0.6,"viel länger",Lektionen[[#This Row],[Bearbeitungsdauer_abgewichen]]&gt;0.3,"länger",Lektionen[[#This Row],[Bearbeitungsdauer_abgewichen]]&lt;-0.3,"kürzer",TRUE,"keine Abweichung")</f>
        <v>kürzer</v>
      </c>
      <c r="I3487">
        <v>1</v>
      </c>
    </row>
    <row r="3488" spans="1:9" hidden="1" x14ac:dyDescent="0.3">
      <c r="A3488" s="13">
        <v>539</v>
      </c>
      <c r="B3488" s="4">
        <v>7</v>
      </c>
      <c r="C3488" t="s">
        <v>535</v>
      </c>
      <c r="D3488" t="s">
        <v>536</v>
      </c>
      <c r="E3488">
        <v>10</v>
      </c>
      <c r="F3488">
        <v>11</v>
      </c>
      <c r="G3488" s="8">
        <f>Lektionen[[#This Row],[Bearbeitungsdauer_real]]/Lektionen[[#This Row],[Bearbeitungsdauer_geschätzt]]-1</f>
        <v>0.10000000000000009</v>
      </c>
      <c r="H3488" s="8" t="str" cm="1">
        <f t="array" ref="H3488">_xlfn.IFS(Lektionen[[#This Row],[Bearbeitungsdauer_abgewichen]]&gt;0.6,"viel länger",Lektionen[[#This Row],[Bearbeitungsdauer_abgewichen]]&gt;0.3,"länger",Lektionen[[#This Row],[Bearbeitungsdauer_abgewichen]]&lt;-0.3,"kürzer",TRUE,"keine Abweichung")</f>
        <v>keine Abweichung</v>
      </c>
      <c r="I3488">
        <v>4</v>
      </c>
    </row>
    <row r="3489" spans="1:9" hidden="1" x14ac:dyDescent="0.3">
      <c r="A3489" s="13">
        <v>539</v>
      </c>
      <c r="B3489" s="4">
        <v>8</v>
      </c>
      <c r="C3489" t="s">
        <v>537</v>
      </c>
      <c r="D3489" t="s">
        <v>527</v>
      </c>
      <c r="E3489">
        <v>5</v>
      </c>
      <c r="F3489">
        <v>5</v>
      </c>
      <c r="G3489" s="8">
        <f>Lektionen[[#This Row],[Bearbeitungsdauer_real]]/Lektionen[[#This Row],[Bearbeitungsdauer_geschätzt]]-1</f>
        <v>0</v>
      </c>
      <c r="H3489" s="8" t="str" cm="1">
        <f t="array" ref="H3489">_xlfn.IFS(Lektionen[[#This Row],[Bearbeitungsdauer_abgewichen]]&gt;0.6,"viel länger",Lektionen[[#This Row],[Bearbeitungsdauer_abgewichen]]&gt;0.3,"länger",Lektionen[[#This Row],[Bearbeitungsdauer_abgewichen]]&lt;-0.3,"kürzer",TRUE,"keine Abweichung")</f>
        <v>keine Abweichung</v>
      </c>
      <c r="I3489">
        <v>1</v>
      </c>
    </row>
    <row r="3490" spans="1:9" hidden="1" x14ac:dyDescent="0.3">
      <c r="A3490" s="13">
        <v>540</v>
      </c>
      <c r="B3490" s="4">
        <v>1</v>
      </c>
      <c r="C3490" t="s">
        <v>526</v>
      </c>
      <c r="D3490" t="s">
        <v>527</v>
      </c>
      <c r="E3490">
        <v>4</v>
      </c>
      <c r="F3490">
        <v>4</v>
      </c>
      <c r="G3490" s="8">
        <f>Lektionen[[#This Row],[Bearbeitungsdauer_real]]/Lektionen[[#This Row],[Bearbeitungsdauer_geschätzt]]-1</f>
        <v>0</v>
      </c>
      <c r="H3490" s="8" t="str" cm="1">
        <f t="array" ref="H3490">_xlfn.IFS(Lektionen[[#This Row],[Bearbeitungsdauer_abgewichen]]&gt;0.6,"viel länger",Lektionen[[#This Row],[Bearbeitungsdauer_abgewichen]]&gt;0.3,"länger",Lektionen[[#This Row],[Bearbeitungsdauer_abgewichen]]&lt;-0.3,"kürzer",TRUE,"keine Abweichung")</f>
        <v>keine Abweichung</v>
      </c>
      <c r="I3490">
        <v>1</v>
      </c>
    </row>
    <row r="3491" spans="1:9" hidden="1" x14ac:dyDescent="0.3">
      <c r="A3491" s="13">
        <v>540</v>
      </c>
      <c r="B3491" s="4">
        <v>2</v>
      </c>
      <c r="C3491" t="s">
        <v>528</v>
      </c>
      <c r="D3491" t="s">
        <v>529</v>
      </c>
      <c r="E3491">
        <v>15</v>
      </c>
      <c r="F3491">
        <v>17</v>
      </c>
      <c r="G3491" s="8">
        <f>Lektionen[[#This Row],[Bearbeitungsdauer_real]]/Lektionen[[#This Row],[Bearbeitungsdauer_geschätzt]]-1</f>
        <v>0.1333333333333333</v>
      </c>
      <c r="H3491" s="8" t="str" cm="1">
        <f t="array" ref="H3491">_xlfn.IFS(Lektionen[[#This Row],[Bearbeitungsdauer_abgewichen]]&gt;0.6,"viel länger",Lektionen[[#This Row],[Bearbeitungsdauer_abgewichen]]&gt;0.3,"länger",Lektionen[[#This Row],[Bearbeitungsdauer_abgewichen]]&lt;-0.3,"kürzer",TRUE,"keine Abweichung")</f>
        <v>keine Abweichung</v>
      </c>
      <c r="I3491">
        <v>1</v>
      </c>
    </row>
    <row r="3492" spans="1:9" hidden="1" x14ac:dyDescent="0.3">
      <c r="A3492" s="13">
        <v>540</v>
      </c>
      <c r="B3492" s="4">
        <v>3</v>
      </c>
      <c r="C3492" t="s">
        <v>552</v>
      </c>
      <c r="D3492" t="s">
        <v>530</v>
      </c>
      <c r="E3492">
        <v>30</v>
      </c>
      <c r="F3492">
        <v>29</v>
      </c>
      <c r="G3492" s="8">
        <f>Lektionen[[#This Row],[Bearbeitungsdauer_real]]/Lektionen[[#This Row],[Bearbeitungsdauer_geschätzt]]-1</f>
        <v>-3.3333333333333326E-2</v>
      </c>
      <c r="H3492" s="8" t="str" cm="1">
        <f t="array" ref="H3492">_xlfn.IFS(Lektionen[[#This Row],[Bearbeitungsdauer_abgewichen]]&gt;0.6,"viel länger",Lektionen[[#This Row],[Bearbeitungsdauer_abgewichen]]&gt;0.3,"länger",Lektionen[[#This Row],[Bearbeitungsdauer_abgewichen]]&lt;-0.3,"kürzer",TRUE,"keine Abweichung")</f>
        <v>keine Abweichung</v>
      </c>
      <c r="I3492">
        <v>2</v>
      </c>
    </row>
    <row r="3493" spans="1:9" hidden="1" x14ac:dyDescent="0.3">
      <c r="A3493" s="13">
        <v>540</v>
      </c>
      <c r="B3493" s="4">
        <v>4</v>
      </c>
      <c r="C3493" t="s">
        <v>531</v>
      </c>
      <c r="D3493" t="s">
        <v>530</v>
      </c>
      <c r="E3493">
        <v>30</v>
      </c>
      <c r="F3493">
        <v>16</v>
      </c>
      <c r="G3493" s="8">
        <f>Lektionen[[#This Row],[Bearbeitungsdauer_real]]/Lektionen[[#This Row],[Bearbeitungsdauer_geschätzt]]-1</f>
        <v>-0.46666666666666667</v>
      </c>
      <c r="H3493" s="8" t="str" cm="1">
        <f t="array" ref="H3493">_xlfn.IFS(Lektionen[[#This Row],[Bearbeitungsdauer_abgewichen]]&gt;0.6,"viel länger",Lektionen[[#This Row],[Bearbeitungsdauer_abgewichen]]&gt;0.3,"länger",Lektionen[[#This Row],[Bearbeitungsdauer_abgewichen]]&lt;-0.3,"kürzer",TRUE,"keine Abweichung")</f>
        <v>kürzer</v>
      </c>
      <c r="I3493">
        <v>3</v>
      </c>
    </row>
    <row r="3494" spans="1:9" x14ac:dyDescent="0.3">
      <c r="A3494" s="13">
        <v>540</v>
      </c>
      <c r="B3494" s="4">
        <v>5</v>
      </c>
      <c r="C3494" t="s">
        <v>532</v>
      </c>
      <c r="D3494" t="s">
        <v>530</v>
      </c>
      <c r="E3494">
        <v>30</v>
      </c>
      <c r="F3494">
        <v>46</v>
      </c>
      <c r="G3494" s="8">
        <f>Lektionen[[#This Row],[Bearbeitungsdauer_real]]/Lektionen[[#This Row],[Bearbeitungsdauer_geschätzt]]-1</f>
        <v>0.53333333333333344</v>
      </c>
      <c r="H3494" s="8" t="str" cm="1">
        <f t="array" ref="H3494">_xlfn.IFS(Lektionen[[#This Row],[Bearbeitungsdauer_abgewichen]]&gt;0.6,"viel länger",Lektionen[[#This Row],[Bearbeitungsdauer_abgewichen]]&gt;0.3,"länger",Lektionen[[#This Row],[Bearbeitungsdauer_abgewichen]]&lt;-0.3,"kürzer",TRUE,"keine Abweichung")</f>
        <v>länger</v>
      </c>
      <c r="I3494">
        <v>3</v>
      </c>
    </row>
    <row r="3495" spans="1:9" hidden="1" x14ac:dyDescent="0.3">
      <c r="A3495" s="13">
        <v>540</v>
      </c>
      <c r="B3495" s="4">
        <v>6</v>
      </c>
      <c r="C3495" t="s">
        <v>533</v>
      </c>
      <c r="D3495" t="s">
        <v>534</v>
      </c>
      <c r="E3495">
        <v>5</v>
      </c>
      <c r="F3495">
        <v>1</v>
      </c>
      <c r="G3495" s="8">
        <f>Lektionen[[#This Row],[Bearbeitungsdauer_real]]/Lektionen[[#This Row],[Bearbeitungsdauer_geschätzt]]-1</f>
        <v>-0.8</v>
      </c>
      <c r="H3495" s="8" t="str" cm="1">
        <f t="array" ref="H3495">_xlfn.IFS(Lektionen[[#This Row],[Bearbeitungsdauer_abgewichen]]&gt;0.6,"viel länger",Lektionen[[#This Row],[Bearbeitungsdauer_abgewichen]]&gt;0.3,"länger",Lektionen[[#This Row],[Bearbeitungsdauer_abgewichen]]&lt;-0.3,"kürzer",TRUE,"keine Abweichung")</f>
        <v>kürzer</v>
      </c>
      <c r="I3495">
        <v>2</v>
      </c>
    </row>
    <row r="3496" spans="1:9" hidden="1" x14ac:dyDescent="0.3">
      <c r="A3496" s="13">
        <v>540</v>
      </c>
      <c r="B3496" s="4">
        <v>7</v>
      </c>
      <c r="C3496" t="s">
        <v>535</v>
      </c>
      <c r="D3496" t="s">
        <v>536</v>
      </c>
      <c r="E3496">
        <v>10</v>
      </c>
      <c r="F3496">
        <v>9</v>
      </c>
      <c r="G3496" s="8">
        <f>Lektionen[[#This Row],[Bearbeitungsdauer_real]]/Lektionen[[#This Row],[Bearbeitungsdauer_geschätzt]]-1</f>
        <v>-9.9999999999999978E-2</v>
      </c>
      <c r="H3496" s="8" t="str" cm="1">
        <f t="array" ref="H3496">_xlfn.IFS(Lektionen[[#This Row],[Bearbeitungsdauer_abgewichen]]&gt;0.6,"viel länger",Lektionen[[#This Row],[Bearbeitungsdauer_abgewichen]]&gt;0.3,"länger",Lektionen[[#This Row],[Bearbeitungsdauer_abgewichen]]&lt;-0.3,"kürzer",TRUE,"keine Abweichung")</f>
        <v>keine Abweichung</v>
      </c>
      <c r="I3496">
        <v>3</v>
      </c>
    </row>
    <row r="3497" spans="1:9" hidden="1" x14ac:dyDescent="0.3">
      <c r="A3497" s="13">
        <v>540</v>
      </c>
      <c r="B3497" s="4">
        <v>8</v>
      </c>
      <c r="C3497" t="s">
        <v>537</v>
      </c>
      <c r="D3497" t="s">
        <v>527</v>
      </c>
      <c r="E3497">
        <v>5</v>
      </c>
      <c r="F3497">
        <v>9</v>
      </c>
      <c r="G3497" s="8">
        <f>Lektionen[[#This Row],[Bearbeitungsdauer_real]]/Lektionen[[#This Row],[Bearbeitungsdauer_geschätzt]]-1</f>
        <v>0.8</v>
      </c>
      <c r="H3497" s="8" t="str" cm="1">
        <f t="array" ref="H3497">_xlfn.IFS(Lektionen[[#This Row],[Bearbeitungsdauer_abgewichen]]&gt;0.6,"viel länger",Lektionen[[#This Row],[Bearbeitungsdauer_abgewichen]]&gt;0.3,"länger",Lektionen[[#This Row],[Bearbeitungsdauer_abgewichen]]&lt;-0.3,"kürzer",TRUE,"keine Abweichung")</f>
        <v>viel länger</v>
      </c>
      <c r="I3497">
        <v>1</v>
      </c>
    </row>
    <row r="3498" spans="1:9" hidden="1" x14ac:dyDescent="0.3">
      <c r="A3498" s="13">
        <v>541</v>
      </c>
      <c r="B3498" s="4">
        <v>1</v>
      </c>
      <c r="C3498" t="s">
        <v>526</v>
      </c>
      <c r="D3498" t="s">
        <v>527</v>
      </c>
      <c r="E3498">
        <v>4</v>
      </c>
      <c r="F3498">
        <v>4</v>
      </c>
      <c r="G3498" s="8">
        <f>Lektionen[[#This Row],[Bearbeitungsdauer_real]]/Lektionen[[#This Row],[Bearbeitungsdauer_geschätzt]]-1</f>
        <v>0</v>
      </c>
      <c r="H3498" s="8" t="str" cm="1">
        <f t="array" ref="H3498">_xlfn.IFS(Lektionen[[#This Row],[Bearbeitungsdauer_abgewichen]]&gt;0.6,"viel länger",Lektionen[[#This Row],[Bearbeitungsdauer_abgewichen]]&gt;0.3,"länger",Lektionen[[#This Row],[Bearbeitungsdauer_abgewichen]]&lt;-0.3,"kürzer",TRUE,"keine Abweichung")</f>
        <v>keine Abweichung</v>
      </c>
      <c r="I3498">
        <v>1</v>
      </c>
    </row>
    <row r="3499" spans="1:9" hidden="1" x14ac:dyDescent="0.3">
      <c r="A3499" s="13">
        <v>541</v>
      </c>
      <c r="B3499" s="4">
        <v>2</v>
      </c>
      <c r="C3499" t="s">
        <v>528</v>
      </c>
      <c r="D3499" t="s">
        <v>529</v>
      </c>
      <c r="E3499">
        <v>15</v>
      </c>
      <c r="F3499">
        <v>18</v>
      </c>
      <c r="G3499" s="8">
        <f>Lektionen[[#This Row],[Bearbeitungsdauer_real]]/Lektionen[[#This Row],[Bearbeitungsdauer_geschätzt]]-1</f>
        <v>0.19999999999999996</v>
      </c>
      <c r="H3499" s="8" t="str" cm="1">
        <f t="array" ref="H3499">_xlfn.IFS(Lektionen[[#This Row],[Bearbeitungsdauer_abgewichen]]&gt;0.6,"viel länger",Lektionen[[#This Row],[Bearbeitungsdauer_abgewichen]]&gt;0.3,"länger",Lektionen[[#This Row],[Bearbeitungsdauer_abgewichen]]&lt;-0.3,"kürzer",TRUE,"keine Abweichung")</f>
        <v>keine Abweichung</v>
      </c>
      <c r="I3499">
        <v>1</v>
      </c>
    </row>
    <row r="3500" spans="1:9" hidden="1" x14ac:dyDescent="0.3">
      <c r="A3500" s="13">
        <v>541</v>
      </c>
      <c r="B3500" s="4">
        <v>3</v>
      </c>
      <c r="C3500" t="s">
        <v>552</v>
      </c>
      <c r="D3500" t="s">
        <v>530</v>
      </c>
      <c r="E3500">
        <v>30</v>
      </c>
      <c r="F3500">
        <v>29</v>
      </c>
      <c r="G3500" s="8">
        <f>Lektionen[[#This Row],[Bearbeitungsdauer_real]]/Lektionen[[#This Row],[Bearbeitungsdauer_geschätzt]]-1</f>
        <v>-3.3333333333333326E-2</v>
      </c>
      <c r="H3500" s="8" t="str" cm="1">
        <f t="array" ref="H3500">_xlfn.IFS(Lektionen[[#This Row],[Bearbeitungsdauer_abgewichen]]&gt;0.6,"viel länger",Lektionen[[#This Row],[Bearbeitungsdauer_abgewichen]]&gt;0.3,"länger",Lektionen[[#This Row],[Bearbeitungsdauer_abgewichen]]&lt;-0.3,"kürzer",TRUE,"keine Abweichung")</f>
        <v>keine Abweichung</v>
      </c>
      <c r="I3500">
        <v>2</v>
      </c>
    </row>
    <row r="3501" spans="1:9" hidden="1" x14ac:dyDescent="0.3">
      <c r="A3501" s="13">
        <v>541</v>
      </c>
      <c r="B3501" s="4">
        <v>4</v>
      </c>
      <c r="C3501" t="s">
        <v>531</v>
      </c>
      <c r="D3501" t="s">
        <v>530</v>
      </c>
      <c r="E3501">
        <v>30</v>
      </c>
      <c r="F3501">
        <v>31</v>
      </c>
      <c r="G3501" s="8">
        <f>Lektionen[[#This Row],[Bearbeitungsdauer_real]]/Lektionen[[#This Row],[Bearbeitungsdauer_geschätzt]]-1</f>
        <v>3.3333333333333437E-2</v>
      </c>
      <c r="H3501" s="8" t="str" cm="1">
        <f t="array" ref="H3501">_xlfn.IFS(Lektionen[[#This Row],[Bearbeitungsdauer_abgewichen]]&gt;0.6,"viel länger",Lektionen[[#This Row],[Bearbeitungsdauer_abgewichen]]&gt;0.3,"länger",Lektionen[[#This Row],[Bearbeitungsdauer_abgewichen]]&lt;-0.3,"kürzer",TRUE,"keine Abweichung")</f>
        <v>keine Abweichung</v>
      </c>
      <c r="I3501">
        <v>4</v>
      </c>
    </row>
    <row r="3502" spans="1:9" x14ac:dyDescent="0.3">
      <c r="A3502" s="13">
        <v>541</v>
      </c>
      <c r="B3502" s="4">
        <v>5</v>
      </c>
      <c r="C3502" t="s">
        <v>532</v>
      </c>
      <c r="D3502" t="s">
        <v>530</v>
      </c>
      <c r="E3502">
        <v>30</v>
      </c>
      <c r="F3502">
        <v>48</v>
      </c>
      <c r="G3502" s="8">
        <f>Lektionen[[#This Row],[Bearbeitungsdauer_real]]/Lektionen[[#This Row],[Bearbeitungsdauer_geschätzt]]-1</f>
        <v>0.60000000000000009</v>
      </c>
      <c r="H3502" s="8" t="str" cm="1">
        <f t="array" ref="H3502">_xlfn.IFS(Lektionen[[#This Row],[Bearbeitungsdauer_abgewichen]]&gt;0.6,"viel länger",Lektionen[[#This Row],[Bearbeitungsdauer_abgewichen]]&gt;0.3,"länger",Lektionen[[#This Row],[Bearbeitungsdauer_abgewichen]]&lt;-0.3,"kürzer",TRUE,"keine Abweichung")</f>
        <v>länger</v>
      </c>
      <c r="I3502">
        <v>3</v>
      </c>
    </row>
    <row r="3503" spans="1:9" hidden="1" x14ac:dyDescent="0.3">
      <c r="A3503" s="13">
        <v>541</v>
      </c>
      <c r="B3503" s="4">
        <v>6</v>
      </c>
      <c r="C3503" t="s">
        <v>533</v>
      </c>
      <c r="D3503" t="s">
        <v>534</v>
      </c>
      <c r="E3503">
        <v>5</v>
      </c>
      <c r="F3503">
        <v>1</v>
      </c>
      <c r="G3503" s="8">
        <f>Lektionen[[#This Row],[Bearbeitungsdauer_real]]/Lektionen[[#This Row],[Bearbeitungsdauer_geschätzt]]-1</f>
        <v>-0.8</v>
      </c>
      <c r="H3503" s="8" t="str" cm="1">
        <f t="array" ref="H3503">_xlfn.IFS(Lektionen[[#This Row],[Bearbeitungsdauer_abgewichen]]&gt;0.6,"viel länger",Lektionen[[#This Row],[Bearbeitungsdauer_abgewichen]]&gt;0.3,"länger",Lektionen[[#This Row],[Bearbeitungsdauer_abgewichen]]&lt;-0.3,"kürzer",TRUE,"keine Abweichung")</f>
        <v>kürzer</v>
      </c>
      <c r="I3503">
        <v>3</v>
      </c>
    </row>
    <row r="3504" spans="1:9" hidden="1" x14ac:dyDescent="0.3">
      <c r="A3504" s="13">
        <v>541</v>
      </c>
      <c r="B3504" s="4">
        <v>7</v>
      </c>
      <c r="C3504" t="s">
        <v>535</v>
      </c>
      <c r="D3504" t="s">
        <v>536</v>
      </c>
      <c r="E3504">
        <v>10</v>
      </c>
      <c r="F3504">
        <v>11</v>
      </c>
      <c r="G3504" s="8">
        <f>Lektionen[[#This Row],[Bearbeitungsdauer_real]]/Lektionen[[#This Row],[Bearbeitungsdauer_geschätzt]]-1</f>
        <v>0.10000000000000009</v>
      </c>
      <c r="H3504" s="8" t="str" cm="1">
        <f t="array" ref="H3504">_xlfn.IFS(Lektionen[[#This Row],[Bearbeitungsdauer_abgewichen]]&gt;0.6,"viel länger",Lektionen[[#This Row],[Bearbeitungsdauer_abgewichen]]&gt;0.3,"länger",Lektionen[[#This Row],[Bearbeitungsdauer_abgewichen]]&lt;-0.3,"kürzer",TRUE,"keine Abweichung")</f>
        <v>keine Abweichung</v>
      </c>
      <c r="I3504">
        <v>3</v>
      </c>
    </row>
    <row r="3505" spans="1:9" hidden="1" x14ac:dyDescent="0.3">
      <c r="A3505" s="13">
        <v>541</v>
      </c>
      <c r="B3505" s="4">
        <v>8</v>
      </c>
      <c r="C3505" t="s">
        <v>537</v>
      </c>
      <c r="D3505" t="s">
        <v>527</v>
      </c>
      <c r="E3505">
        <v>5</v>
      </c>
      <c r="F3505">
        <v>8</v>
      </c>
      <c r="G3505" s="8">
        <f>Lektionen[[#This Row],[Bearbeitungsdauer_real]]/Lektionen[[#This Row],[Bearbeitungsdauer_geschätzt]]-1</f>
        <v>0.60000000000000009</v>
      </c>
      <c r="H3505" s="8" t="str" cm="1">
        <f t="array" ref="H3505">_xlfn.IFS(Lektionen[[#This Row],[Bearbeitungsdauer_abgewichen]]&gt;0.6,"viel länger",Lektionen[[#This Row],[Bearbeitungsdauer_abgewichen]]&gt;0.3,"länger",Lektionen[[#This Row],[Bearbeitungsdauer_abgewichen]]&lt;-0.3,"kürzer",TRUE,"keine Abweichung")</f>
        <v>länger</v>
      </c>
      <c r="I3505">
        <v>1</v>
      </c>
    </row>
    <row r="3506" spans="1:9" hidden="1" x14ac:dyDescent="0.3">
      <c r="A3506" s="13">
        <v>542</v>
      </c>
      <c r="B3506" s="4">
        <v>1</v>
      </c>
      <c r="C3506" t="s">
        <v>526</v>
      </c>
      <c r="D3506" t="s">
        <v>527</v>
      </c>
      <c r="E3506">
        <v>4</v>
      </c>
      <c r="F3506">
        <v>5</v>
      </c>
      <c r="G3506" s="8">
        <f>Lektionen[[#This Row],[Bearbeitungsdauer_real]]/Lektionen[[#This Row],[Bearbeitungsdauer_geschätzt]]-1</f>
        <v>0.25</v>
      </c>
      <c r="H3506" s="8" t="str" cm="1">
        <f t="array" ref="H3506">_xlfn.IFS(Lektionen[[#This Row],[Bearbeitungsdauer_abgewichen]]&gt;0.6,"viel länger",Lektionen[[#This Row],[Bearbeitungsdauer_abgewichen]]&gt;0.3,"länger",Lektionen[[#This Row],[Bearbeitungsdauer_abgewichen]]&lt;-0.3,"kürzer",TRUE,"keine Abweichung")</f>
        <v>keine Abweichung</v>
      </c>
      <c r="I3506">
        <v>1</v>
      </c>
    </row>
    <row r="3507" spans="1:9" hidden="1" x14ac:dyDescent="0.3">
      <c r="A3507" s="13">
        <v>542</v>
      </c>
      <c r="B3507" s="4">
        <v>2</v>
      </c>
      <c r="C3507" t="s">
        <v>528</v>
      </c>
      <c r="D3507" t="s">
        <v>529</v>
      </c>
      <c r="E3507">
        <v>15</v>
      </c>
      <c r="F3507">
        <v>19</v>
      </c>
      <c r="G3507" s="8">
        <f>Lektionen[[#This Row],[Bearbeitungsdauer_real]]/Lektionen[[#This Row],[Bearbeitungsdauer_geschätzt]]-1</f>
        <v>0.26666666666666661</v>
      </c>
      <c r="H3507" s="8" t="str" cm="1">
        <f t="array" ref="H3507">_xlfn.IFS(Lektionen[[#This Row],[Bearbeitungsdauer_abgewichen]]&gt;0.6,"viel länger",Lektionen[[#This Row],[Bearbeitungsdauer_abgewichen]]&gt;0.3,"länger",Lektionen[[#This Row],[Bearbeitungsdauer_abgewichen]]&lt;-0.3,"kürzer",TRUE,"keine Abweichung")</f>
        <v>keine Abweichung</v>
      </c>
      <c r="I3507">
        <v>2</v>
      </c>
    </row>
    <row r="3508" spans="1:9" hidden="1" x14ac:dyDescent="0.3">
      <c r="A3508" s="13">
        <v>542</v>
      </c>
      <c r="B3508" s="4">
        <v>3</v>
      </c>
      <c r="C3508" t="s">
        <v>552</v>
      </c>
      <c r="D3508" t="s">
        <v>530</v>
      </c>
      <c r="E3508">
        <v>30</v>
      </c>
      <c r="F3508">
        <v>30</v>
      </c>
      <c r="G3508" s="8">
        <f>Lektionen[[#This Row],[Bearbeitungsdauer_real]]/Lektionen[[#This Row],[Bearbeitungsdauer_geschätzt]]-1</f>
        <v>0</v>
      </c>
      <c r="H3508" s="8" t="str" cm="1">
        <f t="array" ref="H3508">_xlfn.IFS(Lektionen[[#This Row],[Bearbeitungsdauer_abgewichen]]&gt;0.6,"viel länger",Lektionen[[#This Row],[Bearbeitungsdauer_abgewichen]]&gt;0.3,"länger",Lektionen[[#This Row],[Bearbeitungsdauer_abgewichen]]&lt;-0.3,"kürzer",TRUE,"keine Abweichung")</f>
        <v>keine Abweichung</v>
      </c>
      <c r="I3508">
        <v>3</v>
      </c>
    </row>
    <row r="3509" spans="1:9" hidden="1" x14ac:dyDescent="0.3">
      <c r="A3509" s="13">
        <v>542</v>
      </c>
      <c r="B3509" s="4">
        <v>4</v>
      </c>
      <c r="C3509" t="s">
        <v>531</v>
      </c>
      <c r="D3509" t="s">
        <v>530</v>
      </c>
      <c r="E3509">
        <v>30</v>
      </c>
      <c r="F3509">
        <v>25</v>
      </c>
      <c r="G3509" s="8">
        <f>Lektionen[[#This Row],[Bearbeitungsdauer_real]]/Lektionen[[#This Row],[Bearbeitungsdauer_geschätzt]]-1</f>
        <v>-0.16666666666666663</v>
      </c>
      <c r="H3509" s="8" t="str" cm="1">
        <f t="array" ref="H3509">_xlfn.IFS(Lektionen[[#This Row],[Bearbeitungsdauer_abgewichen]]&gt;0.6,"viel länger",Lektionen[[#This Row],[Bearbeitungsdauer_abgewichen]]&gt;0.3,"länger",Lektionen[[#This Row],[Bearbeitungsdauer_abgewichen]]&lt;-0.3,"kürzer",TRUE,"keine Abweichung")</f>
        <v>keine Abweichung</v>
      </c>
      <c r="I3509">
        <v>3</v>
      </c>
    </row>
    <row r="3510" spans="1:9" x14ac:dyDescent="0.3">
      <c r="A3510" s="13">
        <v>542</v>
      </c>
      <c r="B3510" s="4">
        <v>5</v>
      </c>
      <c r="C3510" t="s">
        <v>532</v>
      </c>
      <c r="D3510" t="s">
        <v>530</v>
      </c>
      <c r="E3510">
        <v>30</v>
      </c>
      <c r="F3510">
        <v>49</v>
      </c>
      <c r="G3510" s="8">
        <f>Lektionen[[#This Row],[Bearbeitungsdauer_real]]/Lektionen[[#This Row],[Bearbeitungsdauer_geschätzt]]-1</f>
        <v>0.6333333333333333</v>
      </c>
      <c r="H3510" s="8" t="str" cm="1">
        <f t="array" ref="H3510">_xlfn.IFS(Lektionen[[#This Row],[Bearbeitungsdauer_abgewichen]]&gt;0.6,"viel länger",Lektionen[[#This Row],[Bearbeitungsdauer_abgewichen]]&gt;0.3,"länger",Lektionen[[#This Row],[Bearbeitungsdauer_abgewichen]]&lt;-0.3,"kürzer",TRUE,"keine Abweichung")</f>
        <v>viel länger</v>
      </c>
      <c r="I3510">
        <v>4</v>
      </c>
    </row>
    <row r="3511" spans="1:9" hidden="1" x14ac:dyDescent="0.3">
      <c r="A3511" s="13">
        <v>542</v>
      </c>
      <c r="B3511" s="4">
        <v>6</v>
      </c>
      <c r="C3511" t="s">
        <v>533</v>
      </c>
      <c r="D3511" t="s">
        <v>534</v>
      </c>
      <c r="E3511">
        <v>5</v>
      </c>
      <c r="F3511">
        <v>2</v>
      </c>
      <c r="G3511" s="8">
        <f>Lektionen[[#This Row],[Bearbeitungsdauer_real]]/Lektionen[[#This Row],[Bearbeitungsdauer_geschätzt]]-1</f>
        <v>-0.6</v>
      </c>
      <c r="H3511" s="8" t="str" cm="1">
        <f t="array" ref="H3511">_xlfn.IFS(Lektionen[[#This Row],[Bearbeitungsdauer_abgewichen]]&gt;0.6,"viel länger",Lektionen[[#This Row],[Bearbeitungsdauer_abgewichen]]&gt;0.3,"länger",Lektionen[[#This Row],[Bearbeitungsdauer_abgewichen]]&lt;-0.3,"kürzer",TRUE,"keine Abweichung")</f>
        <v>kürzer</v>
      </c>
      <c r="I3511">
        <v>2</v>
      </c>
    </row>
    <row r="3512" spans="1:9" hidden="1" x14ac:dyDescent="0.3">
      <c r="A3512" s="13">
        <v>542</v>
      </c>
      <c r="B3512" s="4">
        <v>7</v>
      </c>
      <c r="C3512" t="s">
        <v>535</v>
      </c>
      <c r="D3512" t="s">
        <v>536</v>
      </c>
      <c r="E3512">
        <v>10</v>
      </c>
      <c r="F3512">
        <v>9</v>
      </c>
      <c r="G3512" s="8">
        <f>Lektionen[[#This Row],[Bearbeitungsdauer_real]]/Lektionen[[#This Row],[Bearbeitungsdauer_geschätzt]]-1</f>
        <v>-9.9999999999999978E-2</v>
      </c>
      <c r="H3512" s="8" t="str" cm="1">
        <f t="array" ref="H3512">_xlfn.IFS(Lektionen[[#This Row],[Bearbeitungsdauer_abgewichen]]&gt;0.6,"viel länger",Lektionen[[#This Row],[Bearbeitungsdauer_abgewichen]]&gt;0.3,"länger",Lektionen[[#This Row],[Bearbeitungsdauer_abgewichen]]&lt;-0.3,"kürzer",TRUE,"keine Abweichung")</f>
        <v>keine Abweichung</v>
      </c>
      <c r="I3512">
        <v>4</v>
      </c>
    </row>
    <row r="3513" spans="1:9" hidden="1" x14ac:dyDescent="0.3">
      <c r="A3513" s="13">
        <v>542</v>
      </c>
      <c r="B3513" s="4">
        <v>8</v>
      </c>
      <c r="C3513" t="s">
        <v>537</v>
      </c>
      <c r="D3513" t="s">
        <v>527</v>
      </c>
      <c r="E3513">
        <v>5</v>
      </c>
      <c r="F3513">
        <v>6</v>
      </c>
      <c r="G3513" s="8">
        <f>Lektionen[[#This Row],[Bearbeitungsdauer_real]]/Lektionen[[#This Row],[Bearbeitungsdauer_geschätzt]]-1</f>
        <v>0.19999999999999996</v>
      </c>
      <c r="H3513" s="8" t="str" cm="1">
        <f t="array" ref="H3513">_xlfn.IFS(Lektionen[[#This Row],[Bearbeitungsdauer_abgewichen]]&gt;0.6,"viel länger",Lektionen[[#This Row],[Bearbeitungsdauer_abgewichen]]&gt;0.3,"länger",Lektionen[[#This Row],[Bearbeitungsdauer_abgewichen]]&lt;-0.3,"kürzer",TRUE,"keine Abweichung")</f>
        <v>keine Abweichung</v>
      </c>
      <c r="I3513">
        <v>1</v>
      </c>
    </row>
    <row r="3514" spans="1:9" hidden="1" x14ac:dyDescent="0.3">
      <c r="A3514" s="13">
        <v>543</v>
      </c>
      <c r="B3514" s="4">
        <v>1</v>
      </c>
      <c r="C3514" t="s">
        <v>526</v>
      </c>
      <c r="D3514" t="s">
        <v>527</v>
      </c>
      <c r="E3514">
        <v>4</v>
      </c>
      <c r="F3514">
        <v>4</v>
      </c>
      <c r="G3514" s="8">
        <f>Lektionen[[#This Row],[Bearbeitungsdauer_real]]/Lektionen[[#This Row],[Bearbeitungsdauer_geschätzt]]-1</f>
        <v>0</v>
      </c>
      <c r="H3514" s="8" t="str" cm="1">
        <f t="array" ref="H3514">_xlfn.IFS(Lektionen[[#This Row],[Bearbeitungsdauer_abgewichen]]&gt;0.6,"viel länger",Lektionen[[#This Row],[Bearbeitungsdauer_abgewichen]]&gt;0.3,"länger",Lektionen[[#This Row],[Bearbeitungsdauer_abgewichen]]&lt;-0.3,"kürzer",TRUE,"keine Abweichung")</f>
        <v>keine Abweichung</v>
      </c>
      <c r="I3514">
        <v>1</v>
      </c>
    </row>
    <row r="3515" spans="1:9" hidden="1" x14ac:dyDescent="0.3">
      <c r="A3515" s="13">
        <v>543</v>
      </c>
      <c r="B3515" s="4">
        <v>2</v>
      </c>
      <c r="C3515" t="s">
        <v>528</v>
      </c>
      <c r="D3515" t="s">
        <v>529</v>
      </c>
      <c r="E3515">
        <v>15</v>
      </c>
      <c r="F3515">
        <v>16</v>
      </c>
      <c r="G3515" s="8">
        <f>Lektionen[[#This Row],[Bearbeitungsdauer_real]]/Lektionen[[#This Row],[Bearbeitungsdauer_geschätzt]]-1</f>
        <v>6.6666666666666652E-2</v>
      </c>
      <c r="H3515" s="8" t="str" cm="1">
        <f t="array" ref="H3515">_xlfn.IFS(Lektionen[[#This Row],[Bearbeitungsdauer_abgewichen]]&gt;0.6,"viel länger",Lektionen[[#This Row],[Bearbeitungsdauer_abgewichen]]&gt;0.3,"länger",Lektionen[[#This Row],[Bearbeitungsdauer_abgewichen]]&lt;-0.3,"kürzer",TRUE,"keine Abweichung")</f>
        <v>keine Abweichung</v>
      </c>
      <c r="I3515">
        <v>1</v>
      </c>
    </row>
    <row r="3516" spans="1:9" hidden="1" x14ac:dyDescent="0.3">
      <c r="A3516" s="13">
        <v>543</v>
      </c>
      <c r="B3516" s="4">
        <v>3</v>
      </c>
      <c r="C3516" t="s">
        <v>552</v>
      </c>
      <c r="D3516" t="s">
        <v>530</v>
      </c>
      <c r="E3516">
        <v>30</v>
      </c>
      <c r="F3516">
        <v>27</v>
      </c>
      <c r="G3516" s="8">
        <f>Lektionen[[#This Row],[Bearbeitungsdauer_real]]/Lektionen[[#This Row],[Bearbeitungsdauer_geschätzt]]-1</f>
        <v>-9.9999999999999978E-2</v>
      </c>
      <c r="H3516" s="8" t="str" cm="1">
        <f t="array" ref="H3516">_xlfn.IFS(Lektionen[[#This Row],[Bearbeitungsdauer_abgewichen]]&gt;0.6,"viel länger",Lektionen[[#This Row],[Bearbeitungsdauer_abgewichen]]&gt;0.3,"länger",Lektionen[[#This Row],[Bearbeitungsdauer_abgewichen]]&lt;-0.3,"kürzer",TRUE,"keine Abweichung")</f>
        <v>keine Abweichung</v>
      </c>
      <c r="I3516">
        <v>3</v>
      </c>
    </row>
    <row r="3517" spans="1:9" hidden="1" x14ac:dyDescent="0.3">
      <c r="A3517" s="13">
        <v>543</v>
      </c>
      <c r="B3517" s="4">
        <v>4</v>
      </c>
      <c r="C3517" t="s">
        <v>531</v>
      </c>
      <c r="D3517" t="s">
        <v>530</v>
      </c>
      <c r="E3517">
        <v>30</v>
      </c>
      <c r="F3517">
        <v>24</v>
      </c>
      <c r="G3517" s="8">
        <f>Lektionen[[#This Row],[Bearbeitungsdauer_real]]/Lektionen[[#This Row],[Bearbeitungsdauer_geschätzt]]-1</f>
        <v>-0.19999999999999996</v>
      </c>
      <c r="H3517" s="8" t="str" cm="1">
        <f t="array" ref="H3517">_xlfn.IFS(Lektionen[[#This Row],[Bearbeitungsdauer_abgewichen]]&gt;0.6,"viel länger",Lektionen[[#This Row],[Bearbeitungsdauer_abgewichen]]&gt;0.3,"länger",Lektionen[[#This Row],[Bearbeitungsdauer_abgewichen]]&lt;-0.3,"kürzer",TRUE,"keine Abweichung")</f>
        <v>keine Abweichung</v>
      </c>
      <c r="I3517">
        <v>3</v>
      </c>
    </row>
    <row r="3518" spans="1:9" x14ac:dyDescent="0.3">
      <c r="A3518" s="13">
        <v>543</v>
      </c>
      <c r="B3518" s="4">
        <v>5</v>
      </c>
      <c r="C3518" t="s">
        <v>532</v>
      </c>
      <c r="D3518" t="s">
        <v>530</v>
      </c>
      <c r="E3518">
        <v>30</v>
      </c>
      <c r="F3518">
        <v>46</v>
      </c>
      <c r="G3518" s="8">
        <f>Lektionen[[#This Row],[Bearbeitungsdauer_real]]/Lektionen[[#This Row],[Bearbeitungsdauer_geschätzt]]-1</f>
        <v>0.53333333333333344</v>
      </c>
      <c r="H3518" s="8" t="str" cm="1">
        <f t="array" ref="H3518">_xlfn.IFS(Lektionen[[#This Row],[Bearbeitungsdauer_abgewichen]]&gt;0.6,"viel länger",Lektionen[[#This Row],[Bearbeitungsdauer_abgewichen]]&gt;0.3,"länger",Lektionen[[#This Row],[Bearbeitungsdauer_abgewichen]]&lt;-0.3,"kürzer",TRUE,"keine Abweichung")</f>
        <v>länger</v>
      </c>
      <c r="I3518">
        <v>4</v>
      </c>
    </row>
    <row r="3519" spans="1:9" hidden="1" x14ac:dyDescent="0.3">
      <c r="A3519" s="13">
        <v>543</v>
      </c>
      <c r="B3519" s="4">
        <v>6</v>
      </c>
      <c r="C3519" t="s">
        <v>533</v>
      </c>
      <c r="D3519" t="s">
        <v>534</v>
      </c>
      <c r="E3519">
        <v>5</v>
      </c>
      <c r="F3519">
        <v>1</v>
      </c>
      <c r="G3519" s="8">
        <f>Lektionen[[#This Row],[Bearbeitungsdauer_real]]/Lektionen[[#This Row],[Bearbeitungsdauer_geschätzt]]-1</f>
        <v>-0.8</v>
      </c>
      <c r="H3519" s="8" t="str" cm="1">
        <f t="array" ref="H3519">_xlfn.IFS(Lektionen[[#This Row],[Bearbeitungsdauer_abgewichen]]&gt;0.6,"viel länger",Lektionen[[#This Row],[Bearbeitungsdauer_abgewichen]]&gt;0.3,"länger",Lektionen[[#This Row],[Bearbeitungsdauer_abgewichen]]&lt;-0.3,"kürzer",TRUE,"keine Abweichung")</f>
        <v>kürzer</v>
      </c>
      <c r="I3519">
        <v>2</v>
      </c>
    </row>
    <row r="3520" spans="1:9" hidden="1" x14ac:dyDescent="0.3">
      <c r="A3520" s="13">
        <v>543</v>
      </c>
      <c r="B3520" s="4">
        <v>7</v>
      </c>
      <c r="C3520" t="s">
        <v>535</v>
      </c>
      <c r="D3520" t="s">
        <v>536</v>
      </c>
      <c r="E3520">
        <v>10</v>
      </c>
      <c r="F3520">
        <v>10</v>
      </c>
      <c r="G3520" s="8">
        <f>Lektionen[[#This Row],[Bearbeitungsdauer_real]]/Lektionen[[#This Row],[Bearbeitungsdauer_geschätzt]]-1</f>
        <v>0</v>
      </c>
      <c r="H3520" s="8" t="str" cm="1">
        <f t="array" ref="H3520">_xlfn.IFS(Lektionen[[#This Row],[Bearbeitungsdauer_abgewichen]]&gt;0.6,"viel länger",Lektionen[[#This Row],[Bearbeitungsdauer_abgewichen]]&gt;0.3,"länger",Lektionen[[#This Row],[Bearbeitungsdauer_abgewichen]]&lt;-0.3,"kürzer",TRUE,"keine Abweichung")</f>
        <v>keine Abweichung</v>
      </c>
      <c r="I3520">
        <v>3</v>
      </c>
    </row>
    <row r="3521" spans="1:9" hidden="1" x14ac:dyDescent="0.3">
      <c r="A3521" s="13">
        <v>543</v>
      </c>
      <c r="B3521" s="4">
        <v>8</v>
      </c>
      <c r="C3521" t="s">
        <v>537</v>
      </c>
      <c r="D3521" t="s">
        <v>527</v>
      </c>
      <c r="E3521">
        <v>5</v>
      </c>
      <c r="F3521">
        <v>5</v>
      </c>
      <c r="G3521" s="8">
        <f>Lektionen[[#This Row],[Bearbeitungsdauer_real]]/Lektionen[[#This Row],[Bearbeitungsdauer_geschätzt]]-1</f>
        <v>0</v>
      </c>
      <c r="H3521" s="8" t="str" cm="1">
        <f t="array" ref="H3521">_xlfn.IFS(Lektionen[[#This Row],[Bearbeitungsdauer_abgewichen]]&gt;0.6,"viel länger",Lektionen[[#This Row],[Bearbeitungsdauer_abgewichen]]&gt;0.3,"länger",Lektionen[[#This Row],[Bearbeitungsdauer_abgewichen]]&lt;-0.3,"kürzer",TRUE,"keine Abweichung")</f>
        <v>keine Abweichung</v>
      </c>
      <c r="I3521">
        <v>1</v>
      </c>
    </row>
    <row r="3522" spans="1:9" hidden="1" x14ac:dyDescent="0.3">
      <c r="A3522" s="13">
        <v>544</v>
      </c>
      <c r="B3522" s="4">
        <v>1</v>
      </c>
      <c r="C3522" t="s">
        <v>526</v>
      </c>
      <c r="D3522" t="s">
        <v>527</v>
      </c>
      <c r="E3522">
        <v>4</v>
      </c>
      <c r="F3522">
        <v>4</v>
      </c>
      <c r="G3522" s="8">
        <f>Lektionen[[#This Row],[Bearbeitungsdauer_real]]/Lektionen[[#This Row],[Bearbeitungsdauer_geschätzt]]-1</f>
        <v>0</v>
      </c>
      <c r="H3522" s="8" t="str" cm="1">
        <f t="array" ref="H3522">_xlfn.IFS(Lektionen[[#This Row],[Bearbeitungsdauer_abgewichen]]&gt;0.6,"viel länger",Lektionen[[#This Row],[Bearbeitungsdauer_abgewichen]]&gt;0.3,"länger",Lektionen[[#This Row],[Bearbeitungsdauer_abgewichen]]&lt;-0.3,"kürzer",TRUE,"keine Abweichung")</f>
        <v>keine Abweichung</v>
      </c>
      <c r="I3522">
        <v>2</v>
      </c>
    </row>
    <row r="3523" spans="1:9" hidden="1" x14ac:dyDescent="0.3">
      <c r="A3523" s="13">
        <v>544</v>
      </c>
      <c r="B3523" s="4">
        <v>2</v>
      </c>
      <c r="C3523" t="s">
        <v>528</v>
      </c>
      <c r="D3523" t="s">
        <v>529</v>
      </c>
      <c r="E3523">
        <v>15</v>
      </c>
      <c r="F3523">
        <v>20</v>
      </c>
      <c r="G3523" s="8">
        <f>Lektionen[[#This Row],[Bearbeitungsdauer_real]]/Lektionen[[#This Row],[Bearbeitungsdauer_geschätzt]]-1</f>
        <v>0.33333333333333326</v>
      </c>
      <c r="H3523" s="8" t="str" cm="1">
        <f t="array" ref="H3523">_xlfn.IFS(Lektionen[[#This Row],[Bearbeitungsdauer_abgewichen]]&gt;0.6,"viel länger",Lektionen[[#This Row],[Bearbeitungsdauer_abgewichen]]&gt;0.3,"länger",Lektionen[[#This Row],[Bearbeitungsdauer_abgewichen]]&lt;-0.3,"kürzer",TRUE,"keine Abweichung")</f>
        <v>länger</v>
      </c>
      <c r="I3523">
        <v>2</v>
      </c>
    </row>
    <row r="3524" spans="1:9" hidden="1" x14ac:dyDescent="0.3">
      <c r="A3524" s="13">
        <v>544</v>
      </c>
      <c r="B3524" s="4">
        <v>3</v>
      </c>
      <c r="C3524" t="s">
        <v>552</v>
      </c>
      <c r="D3524" t="s">
        <v>530</v>
      </c>
      <c r="E3524">
        <v>30</v>
      </c>
      <c r="F3524">
        <v>28</v>
      </c>
      <c r="G3524" s="8">
        <f>Lektionen[[#This Row],[Bearbeitungsdauer_real]]/Lektionen[[#This Row],[Bearbeitungsdauer_geschätzt]]-1</f>
        <v>-6.6666666666666652E-2</v>
      </c>
      <c r="H3524" s="8" t="str" cm="1">
        <f t="array" ref="H3524">_xlfn.IFS(Lektionen[[#This Row],[Bearbeitungsdauer_abgewichen]]&gt;0.6,"viel länger",Lektionen[[#This Row],[Bearbeitungsdauer_abgewichen]]&gt;0.3,"länger",Lektionen[[#This Row],[Bearbeitungsdauer_abgewichen]]&lt;-0.3,"kürzer",TRUE,"keine Abweichung")</f>
        <v>keine Abweichung</v>
      </c>
      <c r="I3524">
        <v>2</v>
      </c>
    </row>
    <row r="3525" spans="1:9" hidden="1" x14ac:dyDescent="0.3">
      <c r="A3525" s="13">
        <v>544</v>
      </c>
      <c r="B3525" s="4">
        <v>4</v>
      </c>
      <c r="C3525" t="s">
        <v>531</v>
      </c>
      <c r="D3525" t="s">
        <v>530</v>
      </c>
      <c r="E3525">
        <v>30</v>
      </c>
      <c r="F3525">
        <v>32</v>
      </c>
      <c r="G3525" s="8">
        <f>Lektionen[[#This Row],[Bearbeitungsdauer_real]]/Lektionen[[#This Row],[Bearbeitungsdauer_geschätzt]]-1</f>
        <v>6.6666666666666652E-2</v>
      </c>
      <c r="H3525" s="8" t="str" cm="1">
        <f t="array" ref="H3525">_xlfn.IFS(Lektionen[[#This Row],[Bearbeitungsdauer_abgewichen]]&gt;0.6,"viel länger",Lektionen[[#This Row],[Bearbeitungsdauer_abgewichen]]&gt;0.3,"länger",Lektionen[[#This Row],[Bearbeitungsdauer_abgewichen]]&lt;-0.3,"kürzer",TRUE,"keine Abweichung")</f>
        <v>keine Abweichung</v>
      </c>
      <c r="I3525">
        <v>3</v>
      </c>
    </row>
    <row r="3526" spans="1:9" x14ac:dyDescent="0.3">
      <c r="A3526" s="13">
        <v>544</v>
      </c>
      <c r="B3526" s="4">
        <v>5</v>
      </c>
      <c r="C3526" t="s">
        <v>532</v>
      </c>
      <c r="D3526" t="s">
        <v>530</v>
      </c>
      <c r="E3526">
        <v>30</v>
      </c>
      <c r="F3526">
        <v>54</v>
      </c>
      <c r="G3526" s="8">
        <f>Lektionen[[#This Row],[Bearbeitungsdauer_real]]/Lektionen[[#This Row],[Bearbeitungsdauer_geschätzt]]-1</f>
        <v>0.8</v>
      </c>
      <c r="H3526" s="8" t="str" cm="1">
        <f t="array" ref="H3526">_xlfn.IFS(Lektionen[[#This Row],[Bearbeitungsdauer_abgewichen]]&gt;0.6,"viel länger",Lektionen[[#This Row],[Bearbeitungsdauer_abgewichen]]&gt;0.3,"länger",Lektionen[[#This Row],[Bearbeitungsdauer_abgewichen]]&lt;-0.3,"kürzer",TRUE,"keine Abweichung")</f>
        <v>viel länger</v>
      </c>
      <c r="I3526">
        <v>3</v>
      </c>
    </row>
    <row r="3527" spans="1:9" hidden="1" x14ac:dyDescent="0.3">
      <c r="A3527" s="13">
        <v>544</v>
      </c>
      <c r="B3527" s="4">
        <v>6</v>
      </c>
      <c r="C3527" t="s">
        <v>533</v>
      </c>
      <c r="D3527" t="s">
        <v>534</v>
      </c>
      <c r="E3527">
        <v>5</v>
      </c>
      <c r="F3527">
        <v>1</v>
      </c>
      <c r="G3527" s="8">
        <f>Lektionen[[#This Row],[Bearbeitungsdauer_real]]/Lektionen[[#This Row],[Bearbeitungsdauer_geschätzt]]-1</f>
        <v>-0.8</v>
      </c>
      <c r="H3527" s="8" t="str" cm="1">
        <f t="array" ref="H3527">_xlfn.IFS(Lektionen[[#This Row],[Bearbeitungsdauer_abgewichen]]&gt;0.6,"viel länger",Lektionen[[#This Row],[Bearbeitungsdauer_abgewichen]]&gt;0.3,"länger",Lektionen[[#This Row],[Bearbeitungsdauer_abgewichen]]&lt;-0.3,"kürzer",TRUE,"keine Abweichung")</f>
        <v>kürzer</v>
      </c>
      <c r="I3527">
        <v>1</v>
      </c>
    </row>
    <row r="3528" spans="1:9" hidden="1" x14ac:dyDescent="0.3">
      <c r="A3528" s="13">
        <v>544</v>
      </c>
      <c r="B3528" s="4">
        <v>7</v>
      </c>
      <c r="C3528" t="s">
        <v>535</v>
      </c>
      <c r="D3528" t="s">
        <v>536</v>
      </c>
      <c r="E3528">
        <v>10</v>
      </c>
      <c r="F3528">
        <v>10</v>
      </c>
      <c r="G3528" s="8">
        <f>Lektionen[[#This Row],[Bearbeitungsdauer_real]]/Lektionen[[#This Row],[Bearbeitungsdauer_geschätzt]]-1</f>
        <v>0</v>
      </c>
      <c r="H3528" s="8" t="str" cm="1">
        <f t="array" ref="H3528">_xlfn.IFS(Lektionen[[#This Row],[Bearbeitungsdauer_abgewichen]]&gt;0.6,"viel länger",Lektionen[[#This Row],[Bearbeitungsdauer_abgewichen]]&gt;0.3,"länger",Lektionen[[#This Row],[Bearbeitungsdauer_abgewichen]]&lt;-0.3,"kürzer",TRUE,"keine Abweichung")</f>
        <v>keine Abweichung</v>
      </c>
      <c r="I3528">
        <v>3</v>
      </c>
    </row>
    <row r="3529" spans="1:9" hidden="1" x14ac:dyDescent="0.3">
      <c r="A3529" s="13">
        <v>544</v>
      </c>
      <c r="B3529" s="4">
        <v>8</v>
      </c>
      <c r="C3529" t="s">
        <v>537</v>
      </c>
      <c r="D3529" t="s">
        <v>527</v>
      </c>
      <c r="E3529">
        <v>5</v>
      </c>
      <c r="F3529">
        <v>8</v>
      </c>
      <c r="G3529" s="8">
        <f>Lektionen[[#This Row],[Bearbeitungsdauer_real]]/Lektionen[[#This Row],[Bearbeitungsdauer_geschätzt]]-1</f>
        <v>0.60000000000000009</v>
      </c>
      <c r="H3529" s="8" t="str" cm="1">
        <f t="array" ref="H3529">_xlfn.IFS(Lektionen[[#This Row],[Bearbeitungsdauer_abgewichen]]&gt;0.6,"viel länger",Lektionen[[#This Row],[Bearbeitungsdauer_abgewichen]]&gt;0.3,"länger",Lektionen[[#This Row],[Bearbeitungsdauer_abgewichen]]&lt;-0.3,"kürzer",TRUE,"keine Abweichung")</f>
        <v>länger</v>
      </c>
      <c r="I3529">
        <v>1</v>
      </c>
    </row>
    <row r="3530" spans="1:9" hidden="1" x14ac:dyDescent="0.3">
      <c r="A3530" s="13">
        <v>547</v>
      </c>
      <c r="B3530" s="4">
        <v>1</v>
      </c>
      <c r="C3530" t="s">
        <v>526</v>
      </c>
      <c r="D3530" t="s">
        <v>527</v>
      </c>
      <c r="E3530">
        <v>4</v>
      </c>
      <c r="F3530">
        <v>6</v>
      </c>
      <c r="G3530" s="8">
        <f>Lektionen[[#This Row],[Bearbeitungsdauer_real]]/Lektionen[[#This Row],[Bearbeitungsdauer_geschätzt]]-1</f>
        <v>0.5</v>
      </c>
      <c r="H3530" s="8" t="str" cm="1">
        <f t="array" ref="H3530">_xlfn.IFS(Lektionen[[#This Row],[Bearbeitungsdauer_abgewichen]]&gt;0.6,"viel länger",Lektionen[[#This Row],[Bearbeitungsdauer_abgewichen]]&gt;0.3,"länger",Lektionen[[#This Row],[Bearbeitungsdauer_abgewichen]]&lt;-0.3,"kürzer",TRUE,"keine Abweichung")</f>
        <v>länger</v>
      </c>
      <c r="I3530">
        <v>2</v>
      </c>
    </row>
    <row r="3531" spans="1:9" hidden="1" x14ac:dyDescent="0.3">
      <c r="A3531" s="13">
        <v>547</v>
      </c>
      <c r="B3531" s="4">
        <v>2</v>
      </c>
      <c r="C3531" t="s">
        <v>528</v>
      </c>
      <c r="D3531" t="s">
        <v>529</v>
      </c>
      <c r="E3531">
        <v>15</v>
      </c>
      <c r="F3531">
        <v>15</v>
      </c>
      <c r="G3531" s="8">
        <f>Lektionen[[#This Row],[Bearbeitungsdauer_real]]/Lektionen[[#This Row],[Bearbeitungsdauer_geschätzt]]-1</f>
        <v>0</v>
      </c>
      <c r="H3531" s="8" t="str" cm="1">
        <f t="array" ref="H3531">_xlfn.IFS(Lektionen[[#This Row],[Bearbeitungsdauer_abgewichen]]&gt;0.6,"viel länger",Lektionen[[#This Row],[Bearbeitungsdauer_abgewichen]]&gt;0.3,"länger",Lektionen[[#This Row],[Bearbeitungsdauer_abgewichen]]&lt;-0.3,"kürzer",TRUE,"keine Abweichung")</f>
        <v>keine Abweichung</v>
      </c>
      <c r="I3531">
        <v>1</v>
      </c>
    </row>
    <row r="3532" spans="1:9" hidden="1" x14ac:dyDescent="0.3">
      <c r="A3532" s="13">
        <v>547</v>
      </c>
      <c r="B3532" s="4">
        <v>3</v>
      </c>
      <c r="C3532" t="s">
        <v>552</v>
      </c>
      <c r="D3532" t="s">
        <v>530</v>
      </c>
      <c r="E3532">
        <v>30</v>
      </c>
      <c r="F3532">
        <v>29</v>
      </c>
      <c r="G3532" s="8">
        <f>Lektionen[[#This Row],[Bearbeitungsdauer_real]]/Lektionen[[#This Row],[Bearbeitungsdauer_geschätzt]]-1</f>
        <v>-3.3333333333333326E-2</v>
      </c>
      <c r="H3532" s="8" t="str" cm="1">
        <f t="array" ref="H3532">_xlfn.IFS(Lektionen[[#This Row],[Bearbeitungsdauer_abgewichen]]&gt;0.6,"viel länger",Lektionen[[#This Row],[Bearbeitungsdauer_abgewichen]]&gt;0.3,"länger",Lektionen[[#This Row],[Bearbeitungsdauer_abgewichen]]&lt;-0.3,"kürzer",TRUE,"keine Abweichung")</f>
        <v>keine Abweichung</v>
      </c>
      <c r="I3532">
        <v>3</v>
      </c>
    </row>
    <row r="3533" spans="1:9" hidden="1" x14ac:dyDescent="0.3">
      <c r="A3533" s="13">
        <v>547</v>
      </c>
      <c r="B3533" s="4">
        <v>4</v>
      </c>
      <c r="C3533" t="s">
        <v>531</v>
      </c>
      <c r="D3533" t="s">
        <v>530</v>
      </c>
      <c r="E3533">
        <v>30</v>
      </c>
      <c r="F3533">
        <v>25</v>
      </c>
      <c r="G3533" s="8">
        <f>Lektionen[[#This Row],[Bearbeitungsdauer_real]]/Lektionen[[#This Row],[Bearbeitungsdauer_geschätzt]]-1</f>
        <v>-0.16666666666666663</v>
      </c>
      <c r="H3533" s="8" t="str" cm="1">
        <f t="array" ref="H3533">_xlfn.IFS(Lektionen[[#This Row],[Bearbeitungsdauer_abgewichen]]&gt;0.6,"viel länger",Lektionen[[#This Row],[Bearbeitungsdauer_abgewichen]]&gt;0.3,"länger",Lektionen[[#This Row],[Bearbeitungsdauer_abgewichen]]&lt;-0.3,"kürzer",TRUE,"keine Abweichung")</f>
        <v>keine Abweichung</v>
      </c>
      <c r="I3533">
        <v>2</v>
      </c>
    </row>
    <row r="3534" spans="1:9" x14ac:dyDescent="0.3">
      <c r="A3534" s="13">
        <v>547</v>
      </c>
      <c r="B3534" s="4">
        <v>5</v>
      </c>
      <c r="C3534" t="s">
        <v>532</v>
      </c>
      <c r="D3534" t="s">
        <v>530</v>
      </c>
      <c r="E3534">
        <v>30</v>
      </c>
      <c r="F3534">
        <v>45</v>
      </c>
      <c r="G3534" s="8">
        <f>Lektionen[[#This Row],[Bearbeitungsdauer_real]]/Lektionen[[#This Row],[Bearbeitungsdauer_geschätzt]]-1</f>
        <v>0.5</v>
      </c>
      <c r="H3534" s="8" t="str" cm="1">
        <f t="array" ref="H3534">_xlfn.IFS(Lektionen[[#This Row],[Bearbeitungsdauer_abgewichen]]&gt;0.6,"viel länger",Lektionen[[#This Row],[Bearbeitungsdauer_abgewichen]]&gt;0.3,"länger",Lektionen[[#This Row],[Bearbeitungsdauer_abgewichen]]&lt;-0.3,"kürzer",TRUE,"keine Abweichung")</f>
        <v>länger</v>
      </c>
      <c r="I3534">
        <v>4</v>
      </c>
    </row>
    <row r="3535" spans="1:9" hidden="1" x14ac:dyDescent="0.3">
      <c r="A3535" s="13">
        <v>547</v>
      </c>
      <c r="B3535" s="4">
        <v>6</v>
      </c>
      <c r="C3535" t="s">
        <v>533</v>
      </c>
      <c r="D3535" t="s">
        <v>534</v>
      </c>
      <c r="E3535">
        <v>5</v>
      </c>
      <c r="F3535">
        <v>1</v>
      </c>
      <c r="G3535" s="8">
        <f>Lektionen[[#This Row],[Bearbeitungsdauer_real]]/Lektionen[[#This Row],[Bearbeitungsdauer_geschätzt]]-1</f>
        <v>-0.8</v>
      </c>
      <c r="H3535" s="8" t="str" cm="1">
        <f t="array" ref="H3535">_xlfn.IFS(Lektionen[[#This Row],[Bearbeitungsdauer_abgewichen]]&gt;0.6,"viel länger",Lektionen[[#This Row],[Bearbeitungsdauer_abgewichen]]&gt;0.3,"länger",Lektionen[[#This Row],[Bearbeitungsdauer_abgewichen]]&lt;-0.3,"kürzer",TRUE,"keine Abweichung")</f>
        <v>kürzer</v>
      </c>
      <c r="I3535">
        <v>2</v>
      </c>
    </row>
    <row r="3536" spans="1:9" hidden="1" x14ac:dyDescent="0.3">
      <c r="A3536" s="13">
        <v>547</v>
      </c>
      <c r="B3536" s="4">
        <v>7</v>
      </c>
      <c r="C3536" t="s">
        <v>535</v>
      </c>
      <c r="D3536" t="s">
        <v>536</v>
      </c>
      <c r="E3536">
        <v>10</v>
      </c>
      <c r="F3536">
        <v>10</v>
      </c>
      <c r="G3536" s="8">
        <f>Lektionen[[#This Row],[Bearbeitungsdauer_real]]/Lektionen[[#This Row],[Bearbeitungsdauer_geschätzt]]-1</f>
        <v>0</v>
      </c>
      <c r="H3536" s="8" t="str" cm="1">
        <f t="array" ref="H3536">_xlfn.IFS(Lektionen[[#This Row],[Bearbeitungsdauer_abgewichen]]&gt;0.6,"viel länger",Lektionen[[#This Row],[Bearbeitungsdauer_abgewichen]]&gt;0.3,"länger",Lektionen[[#This Row],[Bearbeitungsdauer_abgewichen]]&lt;-0.3,"kürzer",TRUE,"keine Abweichung")</f>
        <v>keine Abweichung</v>
      </c>
      <c r="I3536">
        <v>4</v>
      </c>
    </row>
    <row r="3537" spans="1:9" hidden="1" x14ac:dyDescent="0.3">
      <c r="A3537" s="13">
        <v>547</v>
      </c>
      <c r="B3537" s="4">
        <v>8</v>
      </c>
      <c r="C3537" t="s">
        <v>537</v>
      </c>
      <c r="D3537" t="s">
        <v>527</v>
      </c>
      <c r="E3537">
        <v>5</v>
      </c>
      <c r="F3537">
        <v>5</v>
      </c>
      <c r="G3537" s="8">
        <f>Lektionen[[#This Row],[Bearbeitungsdauer_real]]/Lektionen[[#This Row],[Bearbeitungsdauer_geschätzt]]-1</f>
        <v>0</v>
      </c>
      <c r="H3537" s="8" t="str" cm="1">
        <f t="array" ref="H3537">_xlfn.IFS(Lektionen[[#This Row],[Bearbeitungsdauer_abgewichen]]&gt;0.6,"viel länger",Lektionen[[#This Row],[Bearbeitungsdauer_abgewichen]]&gt;0.3,"länger",Lektionen[[#This Row],[Bearbeitungsdauer_abgewichen]]&lt;-0.3,"kürzer",TRUE,"keine Abweichung")</f>
        <v>keine Abweichung</v>
      </c>
      <c r="I3537">
        <v>1</v>
      </c>
    </row>
    <row r="3538" spans="1:9" hidden="1" x14ac:dyDescent="0.3">
      <c r="A3538" s="13">
        <v>548</v>
      </c>
      <c r="B3538" s="4">
        <v>1</v>
      </c>
      <c r="C3538" t="s">
        <v>526</v>
      </c>
      <c r="D3538" t="s">
        <v>527</v>
      </c>
      <c r="E3538">
        <v>4</v>
      </c>
      <c r="F3538">
        <v>4</v>
      </c>
      <c r="G3538" s="8">
        <f>Lektionen[[#This Row],[Bearbeitungsdauer_real]]/Lektionen[[#This Row],[Bearbeitungsdauer_geschätzt]]-1</f>
        <v>0</v>
      </c>
      <c r="H3538" s="8" t="str" cm="1">
        <f t="array" ref="H3538">_xlfn.IFS(Lektionen[[#This Row],[Bearbeitungsdauer_abgewichen]]&gt;0.6,"viel länger",Lektionen[[#This Row],[Bearbeitungsdauer_abgewichen]]&gt;0.3,"länger",Lektionen[[#This Row],[Bearbeitungsdauer_abgewichen]]&lt;-0.3,"kürzer",TRUE,"keine Abweichung")</f>
        <v>keine Abweichung</v>
      </c>
      <c r="I3538">
        <v>1</v>
      </c>
    </row>
    <row r="3539" spans="1:9" hidden="1" x14ac:dyDescent="0.3">
      <c r="A3539" s="13">
        <v>548</v>
      </c>
      <c r="B3539" s="4">
        <v>2</v>
      </c>
      <c r="C3539" t="s">
        <v>528</v>
      </c>
      <c r="D3539" t="s">
        <v>529</v>
      </c>
      <c r="E3539">
        <v>15</v>
      </c>
      <c r="F3539">
        <v>15</v>
      </c>
      <c r="G3539" s="8">
        <f>Lektionen[[#This Row],[Bearbeitungsdauer_real]]/Lektionen[[#This Row],[Bearbeitungsdauer_geschätzt]]-1</f>
        <v>0</v>
      </c>
      <c r="H3539" s="8" t="str" cm="1">
        <f t="array" ref="H3539">_xlfn.IFS(Lektionen[[#This Row],[Bearbeitungsdauer_abgewichen]]&gt;0.6,"viel länger",Lektionen[[#This Row],[Bearbeitungsdauer_abgewichen]]&gt;0.3,"länger",Lektionen[[#This Row],[Bearbeitungsdauer_abgewichen]]&lt;-0.3,"kürzer",TRUE,"keine Abweichung")</f>
        <v>keine Abweichung</v>
      </c>
      <c r="I3539">
        <v>1</v>
      </c>
    </row>
    <row r="3540" spans="1:9" hidden="1" x14ac:dyDescent="0.3">
      <c r="A3540" s="13">
        <v>548</v>
      </c>
      <c r="B3540" s="4">
        <v>3</v>
      </c>
      <c r="C3540" t="s">
        <v>552</v>
      </c>
      <c r="D3540" t="s">
        <v>530</v>
      </c>
      <c r="E3540">
        <v>30</v>
      </c>
      <c r="F3540">
        <v>28</v>
      </c>
      <c r="G3540" s="8">
        <f>Lektionen[[#This Row],[Bearbeitungsdauer_real]]/Lektionen[[#This Row],[Bearbeitungsdauer_geschätzt]]-1</f>
        <v>-6.6666666666666652E-2</v>
      </c>
      <c r="H3540" s="8" t="str" cm="1">
        <f t="array" ref="H3540">_xlfn.IFS(Lektionen[[#This Row],[Bearbeitungsdauer_abgewichen]]&gt;0.6,"viel länger",Lektionen[[#This Row],[Bearbeitungsdauer_abgewichen]]&gt;0.3,"länger",Lektionen[[#This Row],[Bearbeitungsdauer_abgewichen]]&lt;-0.3,"kürzer",TRUE,"keine Abweichung")</f>
        <v>keine Abweichung</v>
      </c>
      <c r="I3540">
        <v>2</v>
      </c>
    </row>
    <row r="3541" spans="1:9" hidden="1" x14ac:dyDescent="0.3">
      <c r="A3541" s="13">
        <v>548</v>
      </c>
      <c r="B3541" s="4">
        <v>4</v>
      </c>
      <c r="C3541" t="s">
        <v>531</v>
      </c>
      <c r="D3541" t="s">
        <v>530</v>
      </c>
      <c r="E3541">
        <v>30</v>
      </c>
      <c r="F3541">
        <v>27</v>
      </c>
      <c r="G3541" s="8">
        <f>Lektionen[[#This Row],[Bearbeitungsdauer_real]]/Lektionen[[#This Row],[Bearbeitungsdauer_geschätzt]]-1</f>
        <v>-9.9999999999999978E-2</v>
      </c>
      <c r="H3541" s="8" t="str" cm="1">
        <f t="array" ref="H3541">_xlfn.IFS(Lektionen[[#This Row],[Bearbeitungsdauer_abgewichen]]&gt;0.6,"viel länger",Lektionen[[#This Row],[Bearbeitungsdauer_abgewichen]]&gt;0.3,"länger",Lektionen[[#This Row],[Bearbeitungsdauer_abgewichen]]&lt;-0.3,"kürzer",TRUE,"keine Abweichung")</f>
        <v>keine Abweichung</v>
      </c>
      <c r="I3541">
        <v>2</v>
      </c>
    </row>
    <row r="3542" spans="1:9" x14ac:dyDescent="0.3">
      <c r="A3542" s="13">
        <v>548</v>
      </c>
      <c r="B3542" s="4">
        <v>5</v>
      </c>
      <c r="C3542" t="s">
        <v>532</v>
      </c>
      <c r="D3542" t="s">
        <v>530</v>
      </c>
      <c r="E3542">
        <v>30</v>
      </c>
      <c r="F3542">
        <v>40</v>
      </c>
      <c r="G3542" s="8">
        <f>Lektionen[[#This Row],[Bearbeitungsdauer_real]]/Lektionen[[#This Row],[Bearbeitungsdauer_geschätzt]]-1</f>
        <v>0.33333333333333326</v>
      </c>
      <c r="H3542" s="8" t="str" cm="1">
        <f t="array" ref="H3542">_xlfn.IFS(Lektionen[[#This Row],[Bearbeitungsdauer_abgewichen]]&gt;0.6,"viel länger",Lektionen[[#This Row],[Bearbeitungsdauer_abgewichen]]&gt;0.3,"länger",Lektionen[[#This Row],[Bearbeitungsdauer_abgewichen]]&lt;-0.3,"kürzer",TRUE,"keine Abweichung")</f>
        <v>länger</v>
      </c>
      <c r="I3542">
        <v>3</v>
      </c>
    </row>
    <row r="3543" spans="1:9" hidden="1" x14ac:dyDescent="0.3">
      <c r="A3543" s="13">
        <v>548</v>
      </c>
      <c r="B3543" s="4">
        <v>6</v>
      </c>
      <c r="C3543" t="s">
        <v>533</v>
      </c>
      <c r="D3543" t="s">
        <v>534</v>
      </c>
      <c r="E3543">
        <v>5</v>
      </c>
      <c r="F3543">
        <v>2</v>
      </c>
      <c r="G3543" s="8">
        <f>Lektionen[[#This Row],[Bearbeitungsdauer_real]]/Lektionen[[#This Row],[Bearbeitungsdauer_geschätzt]]-1</f>
        <v>-0.6</v>
      </c>
      <c r="H3543" s="8" t="str" cm="1">
        <f t="array" ref="H3543">_xlfn.IFS(Lektionen[[#This Row],[Bearbeitungsdauer_abgewichen]]&gt;0.6,"viel länger",Lektionen[[#This Row],[Bearbeitungsdauer_abgewichen]]&gt;0.3,"länger",Lektionen[[#This Row],[Bearbeitungsdauer_abgewichen]]&lt;-0.3,"kürzer",TRUE,"keine Abweichung")</f>
        <v>kürzer</v>
      </c>
      <c r="I3543">
        <v>2</v>
      </c>
    </row>
    <row r="3544" spans="1:9" hidden="1" x14ac:dyDescent="0.3">
      <c r="A3544" s="13">
        <v>548</v>
      </c>
      <c r="B3544" s="4">
        <v>7</v>
      </c>
      <c r="C3544" t="s">
        <v>535</v>
      </c>
      <c r="D3544" t="s">
        <v>536</v>
      </c>
      <c r="E3544">
        <v>10</v>
      </c>
      <c r="F3544">
        <v>10</v>
      </c>
      <c r="G3544" s="8">
        <f>Lektionen[[#This Row],[Bearbeitungsdauer_real]]/Lektionen[[#This Row],[Bearbeitungsdauer_geschätzt]]-1</f>
        <v>0</v>
      </c>
      <c r="H3544" s="8" t="str" cm="1">
        <f t="array" ref="H3544">_xlfn.IFS(Lektionen[[#This Row],[Bearbeitungsdauer_abgewichen]]&gt;0.6,"viel länger",Lektionen[[#This Row],[Bearbeitungsdauer_abgewichen]]&gt;0.3,"länger",Lektionen[[#This Row],[Bearbeitungsdauer_abgewichen]]&lt;-0.3,"kürzer",TRUE,"keine Abweichung")</f>
        <v>keine Abweichung</v>
      </c>
      <c r="I3544">
        <v>3</v>
      </c>
    </row>
    <row r="3545" spans="1:9" hidden="1" x14ac:dyDescent="0.3">
      <c r="A3545" s="13">
        <v>548</v>
      </c>
      <c r="B3545" s="4">
        <v>8</v>
      </c>
      <c r="C3545" t="s">
        <v>537</v>
      </c>
      <c r="D3545" t="s">
        <v>527</v>
      </c>
      <c r="E3545">
        <v>5</v>
      </c>
      <c r="F3545">
        <v>8</v>
      </c>
      <c r="G3545" s="8">
        <f>Lektionen[[#This Row],[Bearbeitungsdauer_real]]/Lektionen[[#This Row],[Bearbeitungsdauer_geschätzt]]-1</f>
        <v>0.60000000000000009</v>
      </c>
      <c r="H3545" s="8" t="str" cm="1">
        <f t="array" ref="H3545">_xlfn.IFS(Lektionen[[#This Row],[Bearbeitungsdauer_abgewichen]]&gt;0.6,"viel länger",Lektionen[[#This Row],[Bearbeitungsdauer_abgewichen]]&gt;0.3,"länger",Lektionen[[#This Row],[Bearbeitungsdauer_abgewichen]]&lt;-0.3,"kürzer",TRUE,"keine Abweichung")</f>
        <v>länger</v>
      </c>
      <c r="I3545">
        <v>1</v>
      </c>
    </row>
    <row r="3546" spans="1:9" hidden="1" x14ac:dyDescent="0.3">
      <c r="A3546" s="13">
        <v>549</v>
      </c>
      <c r="B3546" s="4">
        <v>1</v>
      </c>
      <c r="C3546" t="s">
        <v>526</v>
      </c>
      <c r="D3546" t="s">
        <v>527</v>
      </c>
      <c r="E3546">
        <v>4</v>
      </c>
      <c r="F3546">
        <v>6</v>
      </c>
      <c r="G3546" s="8">
        <f>Lektionen[[#This Row],[Bearbeitungsdauer_real]]/Lektionen[[#This Row],[Bearbeitungsdauer_geschätzt]]-1</f>
        <v>0.5</v>
      </c>
      <c r="H3546" s="8" t="str" cm="1">
        <f t="array" ref="H3546">_xlfn.IFS(Lektionen[[#This Row],[Bearbeitungsdauer_abgewichen]]&gt;0.6,"viel länger",Lektionen[[#This Row],[Bearbeitungsdauer_abgewichen]]&gt;0.3,"länger",Lektionen[[#This Row],[Bearbeitungsdauer_abgewichen]]&lt;-0.3,"kürzer",TRUE,"keine Abweichung")</f>
        <v>länger</v>
      </c>
      <c r="I3546">
        <v>1</v>
      </c>
    </row>
    <row r="3547" spans="1:9" hidden="1" x14ac:dyDescent="0.3">
      <c r="A3547" s="13">
        <v>549</v>
      </c>
      <c r="B3547" s="4">
        <v>2</v>
      </c>
      <c r="C3547" t="s">
        <v>528</v>
      </c>
      <c r="D3547" t="s">
        <v>529</v>
      </c>
      <c r="E3547">
        <v>15</v>
      </c>
      <c r="F3547">
        <v>19</v>
      </c>
      <c r="G3547" s="8">
        <f>Lektionen[[#This Row],[Bearbeitungsdauer_real]]/Lektionen[[#This Row],[Bearbeitungsdauer_geschätzt]]-1</f>
        <v>0.26666666666666661</v>
      </c>
      <c r="H3547" s="8" t="str" cm="1">
        <f t="array" ref="H3547">_xlfn.IFS(Lektionen[[#This Row],[Bearbeitungsdauer_abgewichen]]&gt;0.6,"viel länger",Lektionen[[#This Row],[Bearbeitungsdauer_abgewichen]]&gt;0.3,"länger",Lektionen[[#This Row],[Bearbeitungsdauer_abgewichen]]&lt;-0.3,"kürzer",TRUE,"keine Abweichung")</f>
        <v>keine Abweichung</v>
      </c>
      <c r="I3547">
        <v>1</v>
      </c>
    </row>
    <row r="3548" spans="1:9" hidden="1" x14ac:dyDescent="0.3">
      <c r="A3548" s="13">
        <v>549</v>
      </c>
      <c r="B3548" s="4">
        <v>3</v>
      </c>
      <c r="C3548" t="s">
        <v>552</v>
      </c>
      <c r="D3548" t="s">
        <v>530</v>
      </c>
      <c r="E3548">
        <v>30</v>
      </c>
      <c r="F3548">
        <v>29</v>
      </c>
      <c r="G3548" s="8">
        <f>Lektionen[[#This Row],[Bearbeitungsdauer_real]]/Lektionen[[#This Row],[Bearbeitungsdauer_geschätzt]]-1</f>
        <v>-3.3333333333333326E-2</v>
      </c>
      <c r="H3548" s="8" t="str" cm="1">
        <f t="array" ref="H3548">_xlfn.IFS(Lektionen[[#This Row],[Bearbeitungsdauer_abgewichen]]&gt;0.6,"viel länger",Lektionen[[#This Row],[Bearbeitungsdauer_abgewichen]]&gt;0.3,"länger",Lektionen[[#This Row],[Bearbeitungsdauer_abgewichen]]&lt;-0.3,"kürzer",TRUE,"keine Abweichung")</f>
        <v>keine Abweichung</v>
      </c>
      <c r="I3548">
        <v>2</v>
      </c>
    </row>
    <row r="3549" spans="1:9" hidden="1" x14ac:dyDescent="0.3">
      <c r="A3549" s="13">
        <v>549</v>
      </c>
      <c r="B3549" s="4">
        <v>4</v>
      </c>
      <c r="C3549" t="s">
        <v>531</v>
      </c>
      <c r="D3549" t="s">
        <v>530</v>
      </c>
      <c r="E3549">
        <v>30</v>
      </c>
      <c r="F3549">
        <v>29</v>
      </c>
      <c r="G3549" s="8">
        <f>Lektionen[[#This Row],[Bearbeitungsdauer_real]]/Lektionen[[#This Row],[Bearbeitungsdauer_geschätzt]]-1</f>
        <v>-3.3333333333333326E-2</v>
      </c>
      <c r="H3549" s="8" t="str" cm="1">
        <f t="array" ref="H3549">_xlfn.IFS(Lektionen[[#This Row],[Bearbeitungsdauer_abgewichen]]&gt;0.6,"viel länger",Lektionen[[#This Row],[Bearbeitungsdauer_abgewichen]]&gt;0.3,"länger",Lektionen[[#This Row],[Bearbeitungsdauer_abgewichen]]&lt;-0.3,"kürzer",TRUE,"keine Abweichung")</f>
        <v>keine Abweichung</v>
      </c>
      <c r="I3549">
        <v>3</v>
      </c>
    </row>
    <row r="3550" spans="1:9" x14ac:dyDescent="0.3">
      <c r="A3550" s="13">
        <v>549</v>
      </c>
      <c r="B3550" s="4">
        <v>5</v>
      </c>
      <c r="C3550" t="s">
        <v>532</v>
      </c>
      <c r="D3550" t="s">
        <v>530</v>
      </c>
      <c r="E3550">
        <v>30</v>
      </c>
      <c r="F3550">
        <v>50</v>
      </c>
      <c r="G3550" s="8">
        <f>Lektionen[[#This Row],[Bearbeitungsdauer_real]]/Lektionen[[#This Row],[Bearbeitungsdauer_geschätzt]]-1</f>
        <v>0.66666666666666674</v>
      </c>
      <c r="H3550" s="8" t="str" cm="1">
        <f t="array" ref="H3550">_xlfn.IFS(Lektionen[[#This Row],[Bearbeitungsdauer_abgewichen]]&gt;0.6,"viel länger",Lektionen[[#This Row],[Bearbeitungsdauer_abgewichen]]&gt;0.3,"länger",Lektionen[[#This Row],[Bearbeitungsdauer_abgewichen]]&lt;-0.3,"kürzer",TRUE,"keine Abweichung")</f>
        <v>viel länger</v>
      </c>
      <c r="I3550">
        <v>4</v>
      </c>
    </row>
    <row r="3551" spans="1:9" hidden="1" x14ac:dyDescent="0.3">
      <c r="A3551" s="13">
        <v>549</v>
      </c>
      <c r="B3551" s="4">
        <v>6</v>
      </c>
      <c r="C3551" t="s">
        <v>533</v>
      </c>
      <c r="D3551" t="s">
        <v>534</v>
      </c>
      <c r="E3551">
        <v>5</v>
      </c>
      <c r="F3551">
        <v>2</v>
      </c>
      <c r="G3551" s="8">
        <f>Lektionen[[#This Row],[Bearbeitungsdauer_real]]/Lektionen[[#This Row],[Bearbeitungsdauer_geschätzt]]-1</f>
        <v>-0.6</v>
      </c>
      <c r="H3551" s="8" t="str" cm="1">
        <f t="array" ref="H3551">_xlfn.IFS(Lektionen[[#This Row],[Bearbeitungsdauer_abgewichen]]&gt;0.6,"viel länger",Lektionen[[#This Row],[Bearbeitungsdauer_abgewichen]]&gt;0.3,"länger",Lektionen[[#This Row],[Bearbeitungsdauer_abgewichen]]&lt;-0.3,"kürzer",TRUE,"keine Abweichung")</f>
        <v>kürzer</v>
      </c>
      <c r="I3551">
        <v>1</v>
      </c>
    </row>
    <row r="3552" spans="1:9" hidden="1" x14ac:dyDescent="0.3">
      <c r="A3552" s="13">
        <v>549</v>
      </c>
      <c r="B3552" s="4">
        <v>7</v>
      </c>
      <c r="C3552" t="s">
        <v>535</v>
      </c>
      <c r="D3552" t="s">
        <v>536</v>
      </c>
      <c r="E3552">
        <v>10</v>
      </c>
      <c r="F3552">
        <v>8</v>
      </c>
      <c r="G3552" s="8">
        <f>Lektionen[[#This Row],[Bearbeitungsdauer_real]]/Lektionen[[#This Row],[Bearbeitungsdauer_geschätzt]]-1</f>
        <v>-0.19999999999999996</v>
      </c>
      <c r="H3552" s="8" t="str" cm="1">
        <f t="array" ref="H3552">_xlfn.IFS(Lektionen[[#This Row],[Bearbeitungsdauer_abgewichen]]&gt;0.6,"viel länger",Lektionen[[#This Row],[Bearbeitungsdauer_abgewichen]]&gt;0.3,"länger",Lektionen[[#This Row],[Bearbeitungsdauer_abgewichen]]&lt;-0.3,"kürzer",TRUE,"keine Abweichung")</f>
        <v>keine Abweichung</v>
      </c>
      <c r="I3552">
        <v>3</v>
      </c>
    </row>
    <row r="3553" spans="1:9" hidden="1" x14ac:dyDescent="0.3">
      <c r="A3553" s="13">
        <v>549</v>
      </c>
      <c r="B3553" s="4">
        <v>8</v>
      </c>
      <c r="C3553" t="s">
        <v>537</v>
      </c>
      <c r="D3553" t="s">
        <v>527</v>
      </c>
      <c r="E3553">
        <v>5</v>
      </c>
      <c r="F3553">
        <v>5</v>
      </c>
      <c r="G3553" s="8">
        <f>Lektionen[[#This Row],[Bearbeitungsdauer_real]]/Lektionen[[#This Row],[Bearbeitungsdauer_geschätzt]]-1</f>
        <v>0</v>
      </c>
      <c r="H3553" s="8" t="str" cm="1">
        <f t="array" ref="H3553">_xlfn.IFS(Lektionen[[#This Row],[Bearbeitungsdauer_abgewichen]]&gt;0.6,"viel länger",Lektionen[[#This Row],[Bearbeitungsdauer_abgewichen]]&gt;0.3,"länger",Lektionen[[#This Row],[Bearbeitungsdauer_abgewichen]]&lt;-0.3,"kürzer",TRUE,"keine Abweichung")</f>
        <v>keine Abweichung</v>
      </c>
      <c r="I3553">
        <v>1</v>
      </c>
    </row>
    <row r="3554" spans="1:9" hidden="1" x14ac:dyDescent="0.3">
      <c r="A3554" s="13">
        <v>552</v>
      </c>
      <c r="B3554" s="4">
        <v>1</v>
      </c>
      <c r="C3554" t="s">
        <v>526</v>
      </c>
      <c r="D3554" t="s">
        <v>527</v>
      </c>
      <c r="E3554">
        <v>4</v>
      </c>
      <c r="F3554">
        <v>4</v>
      </c>
      <c r="G3554" s="8">
        <f>Lektionen[[#This Row],[Bearbeitungsdauer_real]]/Lektionen[[#This Row],[Bearbeitungsdauer_geschätzt]]-1</f>
        <v>0</v>
      </c>
      <c r="H3554" s="8" t="str" cm="1">
        <f t="array" ref="H3554">_xlfn.IFS(Lektionen[[#This Row],[Bearbeitungsdauer_abgewichen]]&gt;0.6,"viel länger",Lektionen[[#This Row],[Bearbeitungsdauer_abgewichen]]&gt;0.3,"länger",Lektionen[[#This Row],[Bearbeitungsdauer_abgewichen]]&lt;-0.3,"kürzer",TRUE,"keine Abweichung")</f>
        <v>keine Abweichung</v>
      </c>
      <c r="I3554">
        <v>1</v>
      </c>
    </row>
    <row r="3555" spans="1:9" hidden="1" x14ac:dyDescent="0.3">
      <c r="A3555" s="13">
        <v>552</v>
      </c>
      <c r="B3555" s="4">
        <v>2</v>
      </c>
      <c r="C3555" t="s">
        <v>528</v>
      </c>
      <c r="D3555" t="s">
        <v>529</v>
      </c>
      <c r="E3555">
        <v>15</v>
      </c>
      <c r="F3555">
        <v>21</v>
      </c>
      <c r="G3555" s="8">
        <f>Lektionen[[#This Row],[Bearbeitungsdauer_real]]/Lektionen[[#This Row],[Bearbeitungsdauer_geschätzt]]-1</f>
        <v>0.39999999999999991</v>
      </c>
      <c r="H3555" s="8" t="str" cm="1">
        <f t="array" ref="H3555">_xlfn.IFS(Lektionen[[#This Row],[Bearbeitungsdauer_abgewichen]]&gt;0.6,"viel länger",Lektionen[[#This Row],[Bearbeitungsdauer_abgewichen]]&gt;0.3,"länger",Lektionen[[#This Row],[Bearbeitungsdauer_abgewichen]]&lt;-0.3,"kürzer",TRUE,"keine Abweichung")</f>
        <v>länger</v>
      </c>
      <c r="I3555">
        <v>1</v>
      </c>
    </row>
    <row r="3556" spans="1:9" hidden="1" x14ac:dyDescent="0.3">
      <c r="A3556" s="13">
        <v>552</v>
      </c>
      <c r="B3556" s="4">
        <v>3</v>
      </c>
      <c r="C3556" t="s">
        <v>552</v>
      </c>
      <c r="D3556" t="s">
        <v>530</v>
      </c>
      <c r="E3556">
        <v>30</v>
      </c>
      <c r="F3556">
        <v>28</v>
      </c>
      <c r="G3556" s="8">
        <f>Lektionen[[#This Row],[Bearbeitungsdauer_real]]/Lektionen[[#This Row],[Bearbeitungsdauer_geschätzt]]-1</f>
        <v>-6.6666666666666652E-2</v>
      </c>
      <c r="H3556" s="8" t="str" cm="1">
        <f t="array" ref="H3556">_xlfn.IFS(Lektionen[[#This Row],[Bearbeitungsdauer_abgewichen]]&gt;0.6,"viel länger",Lektionen[[#This Row],[Bearbeitungsdauer_abgewichen]]&gt;0.3,"länger",Lektionen[[#This Row],[Bearbeitungsdauer_abgewichen]]&lt;-0.3,"kürzer",TRUE,"keine Abweichung")</f>
        <v>keine Abweichung</v>
      </c>
      <c r="I3556">
        <v>3</v>
      </c>
    </row>
    <row r="3557" spans="1:9" hidden="1" x14ac:dyDescent="0.3">
      <c r="A3557" s="13">
        <v>552</v>
      </c>
      <c r="B3557" s="4">
        <v>4</v>
      </c>
      <c r="C3557" t="s">
        <v>531</v>
      </c>
      <c r="D3557" t="s">
        <v>530</v>
      </c>
      <c r="E3557">
        <v>30</v>
      </c>
      <c r="F3557">
        <v>26</v>
      </c>
      <c r="G3557" s="8">
        <f>Lektionen[[#This Row],[Bearbeitungsdauer_real]]/Lektionen[[#This Row],[Bearbeitungsdauer_geschätzt]]-1</f>
        <v>-0.1333333333333333</v>
      </c>
      <c r="H3557" s="8" t="str" cm="1">
        <f t="array" ref="H3557">_xlfn.IFS(Lektionen[[#This Row],[Bearbeitungsdauer_abgewichen]]&gt;0.6,"viel länger",Lektionen[[#This Row],[Bearbeitungsdauer_abgewichen]]&gt;0.3,"länger",Lektionen[[#This Row],[Bearbeitungsdauer_abgewichen]]&lt;-0.3,"kürzer",TRUE,"keine Abweichung")</f>
        <v>keine Abweichung</v>
      </c>
      <c r="I3557">
        <v>2</v>
      </c>
    </row>
    <row r="3558" spans="1:9" x14ac:dyDescent="0.3">
      <c r="A3558" s="13">
        <v>552</v>
      </c>
      <c r="B3558" s="4">
        <v>5</v>
      </c>
      <c r="C3558" t="s">
        <v>532</v>
      </c>
      <c r="D3558" t="s">
        <v>530</v>
      </c>
      <c r="E3558">
        <v>30</v>
      </c>
      <c r="F3558">
        <v>52</v>
      </c>
      <c r="G3558" s="8">
        <f>Lektionen[[#This Row],[Bearbeitungsdauer_real]]/Lektionen[[#This Row],[Bearbeitungsdauer_geschätzt]]-1</f>
        <v>0.73333333333333339</v>
      </c>
      <c r="H3558" s="8" t="str" cm="1">
        <f t="array" ref="H3558">_xlfn.IFS(Lektionen[[#This Row],[Bearbeitungsdauer_abgewichen]]&gt;0.6,"viel länger",Lektionen[[#This Row],[Bearbeitungsdauer_abgewichen]]&gt;0.3,"länger",Lektionen[[#This Row],[Bearbeitungsdauer_abgewichen]]&lt;-0.3,"kürzer",TRUE,"keine Abweichung")</f>
        <v>viel länger</v>
      </c>
      <c r="I3558">
        <v>4</v>
      </c>
    </row>
    <row r="3559" spans="1:9" hidden="1" x14ac:dyDescent="0.3">
      <c r="A3559" s="13">
        <v>552</v>
      </c>
      <c r="B3559" s="4">
        <v>6</v>
      </c>
      <c r="C3559" t="s">
        <v>533</v>
      </c>
      <c r="D3559" t="s">
        <v>534</v>
      </c>
      <c r="E3559">
        <v>5</v>
      </c>
      <c r="F3559">
        <v>2</v>
      </c>
      <c r="G3559" s="8">
        <f>Lektionen[[#This Row],[Bearbeitungsdauer_real]]/Lektionen[[#This Row],[Bearbeitungsdauer_geschätzt]]-1</f>
        <v>-0.6</v>
      </c>
      <c r="H3559" s="8" t="str" cm="1">
        <f t="array" ref="H3559">_xlfn.IFS(Lektionen[[#This Row],[Bearbeitungsdauer_abgewichen]]&gt;0.6,"viel länger",Lektionen[[#This Row],[Bearbeitungsdauer_abgewichen]]&gt;0.3,"länger",Lektionen[[#This Row],[Bearbeitungsdauer_abgewichen]]&lt;-0.3,"kürzer",TRUE,"keine Abweichung")</f>
        <v>kürzer</v>
      </c>
      <c r="I3559">
        <v>2</v>
      </c>
    </row>
    <row r="3560" spans="1:9" hidden="1" x14ac:dyDescent="0.3">
      <c r="A3560" s="13">
        <v>552</v>
      </c>
      <c r="B3560" s="4">
        <v>7</v>
      </c>
      <c r="C3560" t="s">
        <v>535</v>
      </c>
      <c r="D3560" t="s">
        <v>536</v>
      </c>
      <c r="E3560">
        <v>10</v>
      </c>
      <c r="F3560">
        <v>10</v>
      </c>
      <c r="G3560" s="8">
        <f>Lektionen[[#This Row],[Bearbeitungsdauer_real]]/Lektionen[[#This Row],[Bearbeitungsdauer_geschätzt]]-1</f>
        <v>0</v>
      </c>
      <c r="H3560" s="8" t="str" cm="1">
        <f t="array" ref="H3560">_xlfn.IFS(Lektionen[[#This Row],[Bearbeitungsdauer_abgewichen]]&gt;0.6,"viel länger",Lektionen[[#This Row],[Bearbeitungsdauer_abgewichen]]&gt;0.3,"länger",Lektionen[[#This Row],[Bearbeitungsdauer_abgewichen]]&lt;-0.3,"kürzer",TRUE,"keine Abweichung")</f>
        <v>keine Abweichung</v>
      </c>
      <c r="I3560">
        <v>3</v>
      </c>
    </row>
    <row r="3561" spans="1:9" hidden="1" x14ac:dyDescent="0.3">
      <c r="A3561" s="13">
        <v>552</v>
      </c>
      <c r="B3561" s="4">
        <v>8</v>
      </c>
      <c r="C3561" t="s">
        <v>537</v>
      </c>
      <c r="D3561" t="s">
        <v>527</v>
      </c>
      <c r="E3561">
        <v>5</v>
      </c>
      <c r="F3561">
        <v>5</v>
      </c>
      <c r="G3561" s="8">
        <f>Lektionen[[#This Row],[Bearbeitungsdauer_real]]/Lektionen[[#This Row],[Bearbeitungsdauer_geschätzt]]-1</f>
        <v>0</v>
      </c>
      <c r="H3561" s="8" t="str" cm="1">
        <f t="array" ref="H3561">_xlfn.IFS(Lektionen[[#This Row],[Bearbeitungsdauer_abgewichen]]&gt;0.6,"viel länger",Lektionen[[#This Row],[Bearbeitungsdauer_abgewichen]]&gt;0.3,"länger",Lektionen[[#This Row],[Bearbeitungsdauer_abgewichen]]&lt;-0.3,"kürzer",TRUE,"keine Abweichung")</f>
        <v>keine Abweichung</v>
      </c>
      <c r="I3561">
        <v>1</v>
      </c>
    </row>
    <row r="3562" spans="1:9" hidden="1" x14ac:dyDescent="0.3">
      <c r="A3562" s="13">
        <v>553</v>
      </c>
      <c r="B3562" s="4">
        <v>1</v>
      </c>
      <c r="C3562" t="s">
        <v>526</v>
      </c>
      <c r="D3562" t="s">
        <v>527</v>
      </c>
      <c r="E3562">
        <v>4</v>
      </c>
      <c r="F3562">
        <v>4</v>
      </c>
      <c r="G3562" s="8">
        <f>Lektionen[[#This Row],[Bearbeitungsdauer_real]]/Lektionen[[#This Row],[Bearbeitungsdauer_geschätzt]]-1</f>
        <v>0</v>
      </c>
      <c r="H3562" s="8" t="str" cm="1">
        <f t="array" ref="H3562">_xlfn.IFS(Lektionen[[#This Row],[Bearbeitungsdauer_abgewichen]]&gt;0.6,"viel länger",Lektionen[[#This Row],[Bearbeitungsdauer_abgewichen]]&gt;0.3,"länger",Lektionen[[#This Row],[Bearbeitungsdauer_abgewichen]]&lt;-0.3,"kürzer",TRUE,"keine Abweichung")</f>
        <v>keine Abweichung</v>
      </c>
      <c r="I3562">
        <v>1</v>
      </c>
    </row>
    <row r="3563" spans="1:9" hidden="1" x14ac:dyDescent="0.3">
      <c r="A3563" s="13">
        <v>553</v>
      </c>
      <c r="B3563" s="4">
        <v>2</v>
      </c>
      <c r="C3563" t="s">
        <v>528</v>
      </c>
      <c r="D3563" t="s">
        <v>529</v>
      </c>
      <c r="E3563">
        <v>15</v>
      </c>
      <c r="F3563">
        <v>19</v>
      </c>
      <c r="G3563" s="8">
        <f>Lektionen[[#This Row],[Bearbeitungsdauer_real]]/Lektionen[[#This Row],[Bearbeitungsdauer_geschätzt]]-1</f>
        <v>0.26666666666666661</v>
      </c>
      <c r="H3563" s="8" t="str" cm="1">
        <f t="array" ref="H3563">_xlfn.IFS(Lektionen[[#This Row],[Bearbeitungsdauer_abgewichen]]&gt;0.6,"viel länger",Lektionen[[#This Row],[Bearbeitungsdauer_abgewichen]]&gt;0.3,"länger",Lektionen[[#This Row],[Bearbeitungsdauer_abgewichen]]&lt;-0.3,"kürzer",TRUE,"keine Abweichung")</f>
        <v>keine Abweichung</v>
      </c>
      <c r="I3563">
        <v>2</v>
      </c>
    </row>
    <row r="3564" spans="1:9" hidden="1" x14ac:dyDescent="0.3">
      <c r="A3564" s="13">
        <v>553</v>
      </c>
      <c r="B3564" s="4">
        <v>3</v>
      </c>
      <c r="C3564" t="s">
        <v>552</v>
      </c>
      <c r="D3564" t="s">
        <v>530</v>
      </c>
      <c r="E3564">
        <v>30</v>
      </c>
      <c r="F3564">
        <v>29</v>
      </c>
      <c r="G3564" s="8">
        <f>Lektionen[[#This Row],[Bearbeitungsdauer_real]]/Lektionen[[#This Row],[Bearbeitungsdauer_geschätzt]]-1</f>
        <v>-3.3333333333333326E-2</v>
      </c>
      <c r="H3564" s="8" t="str" cm="1">
        <f t="array" ref="H3564">_xlfn.IFS(Lektionen[[#This Row],[Bearbeitungsdauer_abgewichen]]&gt;0.6,"viel länger",Lektionen[[#This Row],[Bearbeitungsdauer_abgewichen]]&gt;0.3,"länger",Lektionen[[#This Row],[Bearbeitungsdauer_abgewichen]]&lt;-0.3,"kürzer",TRUE,"keine Abweichung")</f>
        <v>keine Abweichung</v>
      </c>
      <c r="I3564">
        <v>3</v>
      </c>
    </row>
    <row r="3565" spans="1:9" hidden="1" x14ac:dyDescent="0.3">
      <c r="A3565" s="13">
        <v>553</v>
      </c>
      <c r="B3565" s="4">
        <v>4</v>
      </c>
      <c r="C3565" t="s">
        <v>531</v>
      </c>
      <c r="D3565" t="s">
        <v>530</v>
      </c>
      <c r="E3565">
        <v>30</v>
      </c>
      <c r="F3565">
        <v>23</v>
      </c>
      <c r="G3565" s="8">
        <f>Lektionen[[#This Row],[Bearbeitungsdauer_real]]/Lektionen[[#This Row],[Bearbeitungsdauer_geschätzt]]-1</f>
        <v>-0.23333333333333328</v>
      </c>
      <c r="H3565" s="8" t="str" cm="1">
        <f t="array" ref="H3565">_xlfn.IFS(Lektionen[[#This Row],[Bearbeitungsdauer_abgewichen]]&gt;0.6,"viel länger",Lektionen[[#This Row],[Bearbeitungsdauer_abgewichen]]&gt;0.3,"länger",Lektionen[[#This Row],[Bearbeitungsdauer_abgewichen]]&lt;-0.3,"kürzer",TRUE,"keine Abweichung")</f>
        <v>keine Abweichung</v>
      </c>
      <c r="I3565">
        <v>2</v>
      </c>
    </row>
    <row r="3566" spans="1:9" x14ac:dyDescent="0.3">
      <c r="A3566" s="13">
        <v>553</v>
      </c>
      <c r="B3566" s="4">
        <v>5</v>
      </c>
      <c r="C3566" t="s">
        <v>532</v>
      </c>
      <c r="D3566" t="s">
        <v>530</v>
      </c>
      <c r="E3566">
        <v>30</v>
      </c>
      <c r="F3566">
        <v>46</v>
      </c>
      <c r="G3566" s="8">
        <f>Lektionen[[#This Row],[Bearbeitungsdauer_real]]/Lektionen[[#This Row],[Bearbeitungsdauer_geschätzt]]-1</f>
        <v>0.53333333333333344</v>
      </c>
      <c r="H3566" s="8" t="str" cm="1">
        <f t="array" ref="H3566">_xlfn.IFS(Lektionen[[#This Row],[Bearbeitungsdauer_abgewichen]]&gt;0.6,"viel länger",Lektionen[[#This Row],[Bearbeitungsdauer_abgewichen]]&gt;0.3,"länger",Lektionen[[#This Row],[Bearbeitungsdauer_abgewichen]]&lt;-0.3,"kürzer",TRUE,"keine Abweichung")</f>
        <v>länger</v>
      </c>
      <c r="I3566">
        <v>3</v>
      </c>
    </row>
    <row r="3567" spans="1:9" hidden="1" x14ac:dyDescent="0.3">
      <c r="A3567" s="13">
        <v>553</v>
      </c>
      <c r="B3567" s="4">
        <v>6</v>
      </c>
      <c r="C3567" t="s">
        <v>533</v>
      </c>
      <c r="D3567" t="s">
        <v>534</v>
      </c>
      <c r="E3567">
        <v>5</v>
      </c>
      <c r="F3567">
        <v>1</v>
      </c>
      <c r="G3567" s="8">
        <f>Lektionen[[#This Row],[Bearbeitungsdauer_real]]/Lektionen[[#This Row],[Bearbeitungsdauer_geschätzt]]-1</f>
        <v>-0.8</v>
      </c>
      <c r="H3567" s="8" t="str" cm="1">
        <f t="array" ref="H3567">_xlfn.IFS(Lektionen[[#This Row],[Bearbeitungsdauer_abgewichen]]&gt;0.6,"viel länger",Lektionen[[#This Row],[Bearbeitungsdauer_abgewichen]]&gt;0.3,"länger",Lektionen[[#This Row],[Bearbeitungsdauer_abgewichen]]&lt;-0.3,"kürzer",TRUE,"keine Abweichung")</f>
        <v>kürzer</v>
      </c>
      <c r="I3567">
        <v>2</v>
      </c>
    </row>
    <row r="3568" spans="1:9" hidden="1" x14ac:dyDescent="0.3">
      <c r="A3568" s="13">
        <v>553</v>
      </c>
      <c r="B3568" s="4">
        <v>7</v>
      </c>
      <c r="C3568" t="s">
        <v>535</v>
      </c>
      <c r="D3568" t="s">
        <v>536</v>
      </c>
      <c r="E3568">
        <v>10</v>
      </c>
      <c r="F3568">
        <v>9</v>
      </c>
      <c r="G3568" s="8">
        <f>Lektionen[[#This Row],[Bearbeitungsdauer_real]]/Lektionen[[#This Row],[Bearbeitungsdauer_geschätzt]]-1</f>
        <v>-9.9999999999999978E-2</v>
      </c>
      <c r="H3568" s="8" t="str" cm="1">
        <f t="array" ref="H3568">_xlfn.IFS(Lektionen[[#This Row],[Bearbeitungsdauer_abgewichen]]&gt;0.6,"viel länger",Lektionen[[#This Row],[Bearbeitungsdauer_abgewichen]]&gt;0.3,"länger",Lektionen[[#This Row],[Bearbeitungsdauer_abgewichen]]&lt;-0.3,"kürzer",TRUE,"keine Abweichung")</f>
        <v>keine Abweichung</v>
      </c>
      <c r="I3568">
        <v>4</v>
      </c>
    </row>
    <row r="3569" spans="1:9" hidden="1" x14ac:dyDescent="0.3">
      <c r="A3569" s="13">
        <v>553</v>
      </c>
      <c r="B3569" s="4">
        <v>8</v>
      </c>
      <c r="C3569" t="s">
        <v>537</v>
      </c>
      <c r="D3569" t="s">
        <v>527</v>
      </c>
      <c r="E3569">
        <v>5</v>
      </c>
      <c r="F3569">
        <v>8</v>
      </c>
      <c r="G3569" s="8">
        <f>Lektionen[[#This Row],[Bearbeitungsdauer_real]]/Lektionen[[#This Row],[Bearbeitungsdauer_geschätzt]]-1</f>
        <v>0.60000000000000009</v>
      </c>
      <c r="H3569" s="8" t="str" cm="1">
        <f t="array" ref="H3569">_xlfn.IFS(Lektionen[[#This Row],[Bearbeitungsdauer_abgewichen]]&gt;0.6,"viel länger",Lektionen[[#This Row],[Bearbeitungsdauer_abgewichen]]&gt;0.3,"länger",Lektionen[[#This Row],[Bearbeitungsdauer_abgewichen]]&lt;-0.3,"kürzer",TRUE,"keine Abweichung")</f>
        <v>länger</v>
      </c>
      <c r="I3569">
        <v>1</v>
      </c>
    </row>
    <row r="3570" spans="1:9" hidden="1" x14ac:dyDescent="0.3">
      <c r="A3570" s="13">
        <v>554</v>
      </c>
      <c r="B3570" s="4">
        <v>1</v>
      </c>
      <c r="C3570" t="s">
        <v>526</v>
      </c>
      <c r="D3570" t="s">
        <v>527</v>
      </c>
      <c r="E3570">
        <v>4</v>
      </c>
      <c r="F3570">
        <v>5</v>
      </c>
      <c r="G3570" s="8">
        <f>Lektionen[[#This Row],[Bearbeitungsdauer_real]]/Lektionen[[#This Row],[Bearbeitungsdauer_geschätzt]]-1</f>
        <v>0.25</v>
      </c>
      <c r="H3570" s="8" t="str" cm="1">
        <f t="array" ref="H3570">_xlfn.IFS(Lektionen[[#This Row],[Bearbeitungsdauer_abgewichen]]&gt;0.6,"viel länger",Lektionen[[#This Row],[Bearbeitungsdauer_abgewichen]]&gt;0.3,"länger",Lektionen[[#This Row],[Bearbeitungsdauer_abgewichen]]&lt;-0.3,"kürzer",TRUE,"keine Abweichung")</f>
        <v>keine Abweichung</v>
      </c>
      <c r="I3570">
        <v>1</v>
      </c>
    </row>
    <row r="3571" spans="1:9" hidden="1" x14ac:dyDescent="0.3">
      <c r="A3571" s="13">
        <v>554</v>
      </c>
      <c r="B3571" s="4">
        <v>2</v>
      </c>
      <c r="C3571" t="s">
        <v>528</v>
      </c>
      <c r="D3571" t="s">
        <v>529</v>
      </c>
      <c r="E3571">
        <v>15</v>
      </c>
      <c r="F3571">
        <v>19</v>
      </c>
      <c r="G3571" s="8">
        <f>Lektionen[[#This Row],[Bearbeitungsdauer_real]]/Lektionen[[#This Row],[Bearbeitungsdauer_geschätzt]]-1</f>
        <v>0.26666666666666661</v>
      </c>
      <c r="H3571" s="8" t="str" cm="1">
        <f t="array" ref="H3571">_xlfn.IFS(Lektionen[[#This Row],[Bearbeitungsdauer_abgewichen]]&gt;0.6,"viel länger",Lektionen[[#This Row],[Bearbeitungsdauer_abgewichen]]&gt;0.3,"länger",Lektionen[[#This Row],[Bearbeitungsdauer_abgewichen]]&lt;-0.3,"kürzer",TRUE,"keine Abweichung")</f>
        <v>keine Abweichung</v>
      </c>
      <c r="I3571">
        <v>2</v>
      </c>
    </row>
    <row r="3572" spans="1:9" hidden="1" x14ac:dyDescent="0.3">
      <c r="A3572" s="13">
        <v>554</v>
      </c>
      <c r="B3572" s="4">
        <v>3</v>
      </c>
      <c r="C3572" t="s">
        <v>552</v>
      </c>
      <c r="D3572" t="s">
        <v>530</v>
      </c>
      <c r="E3572">
        <v>30</v>
      </c>
      <c r="F3572">
        <v>29</v>
      </c>
      <c r="G3572" s="8">
        <f>Lektionen[[#This Row],[Bearbeitungsdauer_real]]/Lektionen[[#This Row],[Bearbeitungsdauer_geschätzt]]-1</f>
        <v>-3.3333333333333326E-2</v>
      </c>
      <c r="H3572" s="8" t="str" cm="1">
        <f t="array" ref="H3572">_xlfn.IFS(Lektionen[[#This Row],[Bearbeitungsdauer_abgewichen]]&gt;0.6,"viel länger",Lektionen[[#This Row],[Bearbeitungsdauer_abgewichen]]&gt;0.3,"länger",Lektionen[[#This Row],[Bearbeitungsdauer_abgewichen]]&lt;-0.3,"kürzer",TRUE,"keine Abweichung")</f>
        <v>keine Abweichung</v>
      </c>
      <c r="I3572">
        <v>3</v>
      </c>
    </row>
    <row r="3573" spans="1:9" hidden="1" x14ac:dyDescent="0.3">
      <c r="A3573" s="13">
        <v>554</v>
      </c>
      <c r="B3573" s="4">
        <v>4</v>
      </c>
      <c r="C3573" t="s">
        <v>531</v>
      </c>
      <c r="D3573" t="s">
        <v>530</v>
      </c>
      <c r="E3573">
        <v>30</v>
      </c>
      <c r="F3573">
        <v>25</v>
      </c>
      <c r="G3573" s="8">
        <f>Lektionen[[#This Row],[Bearbeitungsdauer_real]]/Lektionen[[#This Row],[Bearbeitungsdauer_geschätzt]]-1</f>
        <v>-0.16666666666666663</v>
      </c>
      <c r="H3573" s="8" t="str" cm="1">
        <f t="array" ref="H3573">_xlfn.IFS(Lektionen[[#This Row],[Bearbeitungsdauer_abgewichen]]&gt;0.6,"viel länger",Lektionen[[#This Row],[Bearbeitungsdauer_abgewichen]]&gt;0.3,"länger",Lektionen[[#This Row],[Bearbeitungsdauer_abgewichen]]&lt;-0.3,"kürzer",TRUE,"keine Abweichung")</f>
        <v>keine Abweichung</v>
      </c>
      <c r="I3573">
        <v>3</v>
      </c>
    </row>
    <row r="3574" spans="1:9" x14ac:dyDescent="0.3">
      <c r="A3574" s="13">
        <v>554</v>
      </c>
      <c r="B3574" s="4">
        <v>5</v>
      </c>
      <c r="C3574" t="s">
        <v>532</v>
      </c>
      <c r="D3574" t="s">
        <v>530</v>
      </c>
      <c r="E3574">
        <v>30</v>
      </c>
      <c r="F3574">
        <v>45</v>
      </c>
      <c r="G3574" s="8">
        <f>Lektionen[[#This Row],[Bearbeitungsdauer_real]]/Lektionen[[#This Row],[Bearbeitungsdauer_geschätzt]]-1</f>
        <v>0.5</v>
      </c>
      <c r="H3574" s="8" t="str" cm="1">
        <f t="array" ref="H3574">_xlfn.IFS(Lektionen[[#This Row],[Bearbeitungsdauer_abgewichen]]&gt;0.6,"viel länger",Lektionen[[#This Row],[Bearbeitungsdauer_abgewichen]]&gt;0.3,"länger",Lektionen[[#This Row],[Bearbeitungsdauer_abgewichen]]&lt;-0.3,"kürzer",TRUE,"keine Abweichung")</f>
        <v>länger</v>
      </c>
      <c r="I3574">
        <v>3</v>
      </c>
    </row>
    <row r="3575" spans="1:9" hidden="1" x14ac:dyDescent="0.3">
      <c r="A3575" s="13">
        <v>554</v>
      </c>
      <c r="B3575" s="4">
        <v>6</v>
      </c>
      <c r="C3575" t="s">
        <v>533</v>
      </c>
      <c r="D3575" t="s">
        <v>534</v>
      </c>
      <c r="E3575">
        <v>5</v>
      </c>
      <c r="F3575">
        <v>2</v>
      </c>
      <c r="G3575" s="8">
        <f>Lektionen[[#This Row],[Bearbeitungsdauer_real]]/Lektionen[[#This Row],[Bearbeitungsdauer_geschätzt]]-1</f>
        <v>-0.6</v>
      </c>
      <c r="H3575" s="8" t="str" cm="1">
        <f t="array" ref="H3575">_xlfn.IFS(Lektionen[[#This Row],[Bearbeitungsdauer_abgewichen]]&gt;0.6,"viel länger",Lektionen[[#This Row],[Bearbeitungsdauer_abgewichen]]&gt;0.3,"länger",Lektionen[[#This Row],[Bearbeitungsdauer_abgewichen]]&lt;-0.3,"kürzer",TRUE,"keine Abweichung")</f>
        <v>kürzer</v>
      </c>
      <c r="I3575">
        <v>3</v>
      </c>
    </row>
    <row r="3576" spans="1:9" hidden="1" x14ac:dyDescent="0.3">
      <c r="A3576" s="13">
        <v>554</v>
      </c>
      <c r="B3576" s="4">
        <v>7</v>
      </c>
      <c r="C3576" t="s">
        <v>535</v>
      </c>
      <c r="D3576" t="s">
        <v>536</v>
      </c>
      <c r="E3576">
        <v>10</v>
      </c>
      <c r="F3576">
        <v>10</v>
      </c>
      <c r="G3576" s="8">
        <f>Lektionen[[#This Row],[Bearbeitungsdauer_real]]/Lektionen[[#This Row],[Bearbeitungsdauer_geschätzt]]-1</f>
        <v>0</v>
      </c>
      <c r="H3576" s="8" t="str" cm="1">
        <f t="array" ref="H3576">_xlfn.IFS(Lektionen[[#This Row],[Bearbeitungsdauer_abgewichen]]&gt;0.6,"viel länger",Lektionen[[#This Row],[Bearbeitungsdauer_abgewichen]]&gt;0.3,"länger",Lektionen[[#This Row],[Bearbeitungsdauer_abgewichen]]&lt;-0.3,"kürzer",TRUE,"keine Abweichung")</f>
        <v>keine Abweichung</v>
      </c>
      <c r="I3576">
        <v>3</v>
      </c>
    </row>
    <row r="3577" spans="1:9" hidden="1" x14ac:dyDescent="0.3">
      <c r="A3577" s="13">
        <v>554</v>
      </c>
      <c r="B3577" s="4">
        <v>8</v>
      </c>
      <c r="C3577" t="s">
        <v>537</v>
      </c>
      <c r="D3577" t="s">
        <v>527</v>
      </c>
      <c r="E3577">
        <v>5</v>
      </c>
      <c r="F3577">
        <v>5</v>
      </c>
      <c r="G3577" s="8">
        <f>Lektionen[[#This Row],[Bearbeitungsdauer_real]]/Lektionen[[#This Row],[Bearbeitungsdauer_geschätzt]]-1</f>
        <v>0</v>
      </c>
      <c r="H3577" s="8" t="str" cm="1">
        <f t="array" ref="H3577">_xlfn.IFS(Lektionen[[#This Row],[Bearbeitungsdauer_abgewichen]]&gt;0.6,"viel länger",Lektionen[[#This Row],[Bearbeitungsdauer_abgewichen]]&gt;0.3,"länger",Lektionen[[#This Row],[Bearbeitungsdauer_abgewichen]]&lt;-0.3,"kürzer",TRUE,"keine Abweichung")</f>
        <v>keine Abweichung</v>
      </c>
      <c r="I3577">
        <v>1</v>
      </c>
    </row>
    <row r="3578" spans="1:9" hidden="1" x14ac:dyDescent="0.3">
      <c r="A3578" s="13">
        <v>555</v>
      </c>
      <c r="B3578" s="4">
        <v>1</v>
      </c>
      <c r="C3578" t="s">
        <v>526</v>
      </c>
      <c r="D3578" t="s">
        <v>527</v>
      </c>
      <c r="E3578">
        <v>4</v>
      </c>
      <c r="F3578">
        <v>4</v>
      </c>
      <c r="G3578" s="8">
        <f>Lektionen[[#This Row],[Bearbeitungsdauer_real]]/Lektionen[[#This Row],[Bearbeitungsdauer_geschätzt]]-1</f>
        <v>0</v>
      </c>
      <c r="H3578" s="8" t="str" cm="1">
        <f t="array" ref="H3578">_xlfn.IFS(Lektionen[[#This Row],[Bearbeitungsdauer_abgewichen]]&gt;0.6,"viel länger",Lektionen[[#This Row],[Bearbeitungsdauer_abgewichen]]&gt;0.3,"länger",Lektionen[[#This Row],[Bearbeitungsdauer_abgewichen]]&lt;-0.3,"kürzer",TRUE,"keine Abweichung")</f>
        <v>keine Abweichung</v>
      </c>
      <c r="I3578">
        <v>1</v>
      </c>
    </row>
    <row r="3579" spans="1:9" hidden="1" x14ac:dyDescent="0.3">
      <c r="A3579" s="13">
        <v>555</v>
      </c>
      <c r="B3579" s="4">
        <v>2</v>
      </c>
      <c r="C3579" t="s">
        <v>528</v>
      </c>
      <c r="D3579" t="s">
        <v>529</v>
      </c>
      <c r="E3579">
        <v>15</v>
      </c>
      <c r="F3579">
        <v>21</v>
      </c>
      <c r="G3579" s="8">
        <f>Lektionen[[#This Row],[Bearbeitungsdauer_real]]/Lektionen[[#This Row],[Bearbeitungsdauer_geschätzt]]-1</f>
        <v>0.39999999999999991</v>
      </c>
      <c r="H3579" s="8" t="str" cm="1">
        <f t="array" ref="H3579">_xlfn.IFS(Lektionen[[#This Row],[Bearbeitungsdauer_abgewichen]]&gt;0.6,"viel länger",Lektionen[[#This Row],[Bearbeitungsdauer_abgewichen]]&gt;0.3,"länger",Lektionen[[#This Row],[Bearbeitungsdauer_abgewichen]]&lt;-0.3,"kürzer",TRUE,"keine Abweichung")</f>
        <v>länger</v>
      </c>
      <c r="I3579">
        <v>1</v>
      </c>
    </row>
    <row r="3580" spans="1:9" hidden="1" x14ac:dyDescent="0.3">
      <c r="A3580" s="13">
        <v>555</v>
      </c>
      <c r="B3580" s="4">
        <v>3</v>
      </c>
      <c r="C3580" t="s">
        <v>552</v>
      </c>
      <c r="D3580" t="s">
        <v>530</v>
      </c>
      <c r="E3580">
        <v>30</v>
      </c>
      <c r="F3580">
        <v>25</v>
      </c>
      <c r="G3580" s="8">
        <f>Lektionen[[#This Row],[Bearbeitungsdauer_real]]/Lektionen[[#This Row],[Bearbeitungsdauer_geschätzt]]-1</f>
        <v>-0.16666666666666663</v>
      </c>
      <c r="H3580" s="8" t="str" cm="1">
        <f t="array" ref="H3580">_xlfn.IFS(Lektionen[[#This Row],[Bearbeitungsdauer_abgewichen]]&gt;0.6,"viel länger",Lektionen[[#This Row],[Bearbeitungsdauer_abgewichen]]&gt;0.3,"länger",Lektionen[[#This Row],[Bearbeitungsdauer_abgewichen]]&lt;-0.3,"kürzer",TRUE,"keine Abweichung")</f>
        <v>keine Abweichung</v>
      </c>
      <c r="I3580">
        <v>2</v>
      </c>
    </row>
    <row r="3581" spans="1:9" hidden="1" x14ac:dyDescent="0.3">
      <c r="A3581" s="13">
        <v>555</v>
      </c>
      <c r="B3581" s="4">
        <v>4</v>
      </c>
      <c r="C3581" t="s">
        <v>531</v>
      </c>
      <c r="D3581" t="s">
        <v>530</v>
      </c>
      <c r="E3581">
        <v>30</v>
      </c>
      <c r="F3581">
        <v>22</v>
      </c>
      <c r="G3581" s="8">
        <f>Lektionen[[#This Row],[Bearbeitungsdauer_real]]/Lektionen[[#This Row],[Bearbeitungsdauer_geschätzt]]-1</f>
        <v>-0.26666666666666672</v>
      </c>
      <c r="H3581" s="8" t="str" cm="1">
        <f t="array" ref="H3581">_xlfn.IFS(Lektionen[[#This Row],[Bearbeitungsdauer_abgewichen]]&gt;0.6,"viel länger",Lektionen[[#This Row],[Bearbeitungsdauer_abgewichen]]&gt;0.3,"länger",Lektionen[[#This Row],[Bearbeitungsdauer_abgewichen]]&lt;-0.3,"kürzer",TRUE,"keine Abweichung")</f>
        <v>keine Abweichung</v>
      </c>
      <c r="I3581">
        <v>3</v>
      </c>
    </row>
    <row r="3582" spans="1:9" x14ac:dyDescent="0.3">
      <c r="A3582" s="13">
        <v>555</v>
      </c>
      <c r="B3582" s="4">
        <v>5</v>
      </c>
      <c r="C3582" t="s">
        <v>532</v>
      </c>
      <c r="D3582" t="s">
        <v>530</v>
      </c>
      <c r="E3582">
        <v>30</v>
      </c>
      <c r="F3582">
        <v>50</v>
      </c>
      <c r="G3582" s="8">
        <f>Lektionen[[#This Row],[Bearbeitungsdauer_real]]/Lektionen[[#This Row],[Bearbeitungsdauer_geschätzt]]-1</f>
        <v>0.66666666666666674</v>
      </c>
      <c r="H3582" s="8" t="str" cm="1">
        <f t="array" ref="H3582">_xlfn.IFS(Lektionen[[#This Row],[Bearbeitungsdauer_abgewichen]]&gt;0.6,"viel länger",Lektionen[[#This Row],[Bearbeitungsdauer_abgewichen]]&gt;0.3,"länger",Lektionen[[#This Row],[Bearbeitungsdauer_abgewichen]]&lt;-0.3,"kürzer",TRUE,"keine Abweichung")</f>
        <v>viel länger</v>
      </c>
      <c r="I3582">
        <v>3</v>
      </c>
    </row>
    <row r="3583" spans="1:9" hidden="1" x14ac:dyDescent="0.3">
      <c r="A3583" s="13">
        <v>555</v>
      </c>
      <c r="B3583" s="4">
        <v>6</v>
      </c>
      <c r="C3583" t="s">
        <v>533</v>
      </c>
      <c r="D3583" t="s">
        <v>534</v>
      </c>
      <c r="E3583">
        <v>5</v>
      </c>
      <c r="F3583">
        <v>2</v>
      </c>
      <c r="G3583" s="8">
        <f>Lektionen[[#This Row],[Bearbeitungsdauer_real]]/Lektionen[[#This Row],[Bearbeitungsdauer_geschätzt]]-1</f>
        <v>-0.6</v>
      </c>
      <c r="H3583" s="8" t="str" cm="1">
        <f t="array" ref="H3583">_xlfn.IFS(Lektionen[[#This Row],[Bearbeitungsdauer_abgewichen]]&gt;0.6,"viel länger",Lektionen[[#This Row],[Bearbeitungsdauer_abgewichen]]&gt;0.3,"länger",Lektionen[[#This Row],[Bearbeitungsdauer_abgewichen]]&lt;-0.3,"kürzer",TRUE,"keine Abweichung")</f>
        <v>kürzer</v>
      </c>
      <c r="I3583">
        <v>2</v>
      </c>
    </row>
    <row r="3584" spans="1:9" hidden="1" x14ac:dyDescent="0.3">
      <c r="A3584" s="13">
        <v>555</v>
      </c>
      <c r="B3584" s="4">
        <v>7</v>
      </c>
      <c r="C3584" t="s">
        <v>535</v>
      </c>
      <c r="D3584" t="s">
        <v>536</v>
      </c>
      <c r="E3584">
        <v>10</v>
      </c>
      <c r="F3584">
        <v>9</v>
      </c>
      <c r="G3584" s="8">
        <f>Lektionen[[#This Row],[Bearbeitungsdauer_real]]/Lektionen[[#This Row],[Bearbeitungsdauer_geschätzt]]-1</f>
        <v>-9.9999999999999978E-2</v>
      </c>
      <c r="H3584" s="8" t="str" cm="1">
        <f t="array" ref="H3584">_xlfn.IFS(Lektionen[[#This Row],[Bearbeitungsdauer_abgewichen]]&gt;0.6,"viel länger",Lektionen[[#This Row],[Bearbeitungsdauer_abgewichen]]&gt;0.3,"länger",Lektionen[[#This Row],[Bearbeitungsdauer_abgewichen]]&lt;-0.3,"kürzer",TRUE,"keine Abweichung")</f>
        <v>keine Abweichung</v>
      </c>
      <c r="I3584">
        <v>4</v>
      </c>
    </row>
    <row r="3585" spans="1:9" hidden="1" x14ac:dyDescent="0.3">
      <c r="A3585" s="13">
        <v>555</v>
      </c>
      <c r="B3585" s="4">
        <v>8</v>
      </c>
      <c r="C3585" t="s">
        <v>537</v>
      </c>
      <c r="D3585" t="s">
        <v>527</v>
      </c>
      <c r="E3585">
        <v>5</v>
      </c>
      <c r="F3585">
        <v>5</v>
      </c>
      <c r="G3585" s="8">
        <f>Lektionen[[#This Row],[Bearbeitungsdauer_real]]/Lektionen[[#This Row],[Bearbeitungsdauer_geschätzt]]-1</f>
        <v>0</v>
      </c>
      <c r="H3585" s="8" t="str" cm="1">
        <f t="array" ref="H3585">_xlfn.IFS(Lektionen[[#This Row],[Bearbeitungsdauer_abgewichen]]&gt;0.6,"viel länger",Lektionen[[#This Row],[Bearbeitungsdauer_abgewichen]]&gt;0.3,"länger",Lektionen[[#This Row],[Bearbeitungsdauer_abgewichen]]&lt;-0.3,"kürzer",TRUE,"keine Abweichung")</f>
        <v>keine Abweichung</v>
      </c>
      <c r="I3585">
        <v>1</v>
      </c>
    </row>
    <row r="3586" spans="1:9" hidden="1" x14ac:dyDescent="0.3">
      <c r="A3586" s="13">
        <v>556</v>
      </c>
      <c r="B3586" s="4">
        <v>1</v>
      </c>
      <c r="C3586" t="s">
        <v>526</v>
      </c>
      <c r="D3586" t="s">
        <v>527</v>
      </c>
      <c r="E3586">
        <v>4</v>
      </c>
      <c r="F3586">
        <v>4</v>
      </c>
      <c r="G3586" s="8">
        <f>Lektionen[[#This Row],[Bearbeitungsdauer_real]]/Lektionen[[#This Row],[Bearbeitungsdauer_geschätzt]]-1</f>
        <v>0</v>
      </c>
      <c r="H3586" s="8" t="str" cm="1">
        <f t="array" ref="H3586">_xlfn.IFS(Lektionen[[#This Row],[Bearbeitungsdauer_abgewichen]]&gt;0.6,"viel länger",Lektionen[[#This Row],[Bearbeitungsdauer_abgewichen]]&gt;0.3,"länger",Lektionen[[#This Row],[Bearbeitungsdauer_abgewichen]]&lt;-0.3,"kürzer",TRUE,"keine Abweichung")</f>
        <v>keine Abweichung</v>
      </c>
      <c r="I3586">
        <v>1</v>
      </c>
    </row>
    <row r="3587" spans="1:9" hidden="1" x14ac:dyDescent="0.3">
      <c r="A3587" s="13">
        <v>556</v>
      </c>
      <c r="B3587" s="4">
        <v>2</v>
      </c>
      <c r="C3587" t="s">
        <v>528</v>
      </c>
      <c r="D3587" t="s">
        <v>529</v>
      </c>
      <c r="E3587">
        <v>15</v>
      </c>
      <c r="F3587">
        <v>15</v>
      </c>
      <c r="G3587" s="8">
        <f>Lektionen[[#This Row],[Bearbeitungsdauer_real]]/Lektionen[[#This Row],[Bearbeitungsdauer_geschätzt]]-1</f>
        <v>0</v>
      </c>
      <c r="H3587" s="8" t="str" cm="1">
        <f t="array" ref="H3587">_xlfn.IFS(Lektionen[[#This Row],[Bearbeitungsdauer_abgewichen]]&gt;0.6,"viel länger",Lektionen[[#This Row],[Bearbeitungsdauer_abgewichen]]&gt;0.3,"länger",Lektionen[[#This Row],[Bearbeitungsdauer_abgewichen]]&lt;-0.3,"kürzer",TRUE,"keine Abweichung")</f>
        <v>keine Abweichung</v>
      </c>
      <c r="I3587">
        <v>2</v>
      </c>
    </row>
    <row r="3588" spans="1:9" hidden="1" x14ac:dyDescent="0.3">
      <c r="A3588" s="13">
        <v>556</v>
      </c>
      <c r="B3588" s="4">
        <v>3</v>
      </c>
      <c r="C3588" t="s">
        <v>552</v>
      </c>
      <c r="D3588" t="s">
        <v>530</v>
      </c>
      <c r="E3588">
        <v>30</v>
      </c>
      <c r="F3588">
        <v>28</v>
      </c>
      <c r="G3588" s="8">
        <f>Lektionen[[#This Row],[Bearbeitungsdauer_real]]/Lektionen[[#This Row],[Bearbeitungsdauer_geschätzt]]-1</f>
        <v>-6.6666666666666652E-2</v>
      </c>
      <c r="H3588" s="8" t="str" cm="1">
        <f t="array" ref="H3588">_xlfn.IFS(Lektionen[[#This Row],[Bearbeitungsdauer_abgewichen]]&gt;0.6,"viel länger",Lektionen[[#This Row],[Bearbeitungsdauer_abgewichen]]&gt;0.3,"länger",Lektionen[[#This Row],[Bearbeitungsdauer_abgewichen]]&lt;-0.3,"kürzer",TRUE,"keine Abweichung")</f>
        <v>keine Abweichung</v>
      </c>
      <c r="I3588">
        <v>3</v>
      </c>
    </row>
    <row r="3589" spans="1:9" hidden="1" x14ac:dyDescent="0.3">
      <c r="A3589" s="13">
        <v>556</v>
      </c>
      <c r="B3589" s="4">
        <v>4</v>
      </c>
      <c r="C3589" t="s">
        <v>531</v>
      </c>
      <c r="D3589" t="s">
        <v>530</v>
      </c>
      <c r="E3589">
        <v>30</v>
      </c>
      <c r="F3589">
        <v>19</v>
      </c>
      <c r="G3589" s="8">
        <f>Lektionen[[#This Row],[Bearbeitungsdauer_real]]/Lektionen[[#This Row],[Bearbeitungsdauer_geschätzt]]-1</f>
        <v>-0.3666666666666667</v>
      </c>
      <c r="H3589" s="8" t="str" cm="1">
        <f t="array" ref="H3589">_xlfn.IFS(Lektionen[[#This Row],[Bearbeitungsdauer_abgewichen]]&gt;0.6,"viel länger",Lektionen[[#This Row],[Bearbeitungsdauer_abgewichen]]&gt;0.3,"länger",Lektionen[[#This Row],[Bearbeitungsdauer_abgewichen]]&lt;-0.3,"kürzer",TRUE,"keine Abweichung")</f>
        <v>kürzer</v>
      </c>
      <c r="I3589">
        <v>3</v>
      </c>
    </row>
    <row r="3590" spans="1:9" x14ac:dyDescent="0.3">
      <c r="A3590" s="13">
        <v>556</v>
      </c>
      <c r="B3590" s="4">
        <v>5</v>
      </c>
      <c r="C3590" t="s">
        <v>532</v>
      </c>
      <c r="D3590" t="s">
        <v>530</v>
      </c>
      <c r="E3590">
        <v>30</v>
      </c>
      <c r="F3590">
        <v>45</v>
      </c>
      <c r="G3590" s="8">
        <f>Lektionen[[#This Row],[Bearbeitungsdauer_real]]/Lektionen[[#This Row],[Bearbeitungsdauer_geschätzt]]-1</f>
        <v>0.5</v>
      </c>
      <c r="H3590" s="8" t="str" cm="1">
        <f t="array" ref="H3590">_xlfn.IFS(Lektionen[[#This Row],[Bearbeitungsdauer_abgewichen]]&gt;0.6,"viel länger",Lektionen[[#This Row],[Bearbeitungsdauer_abgewichen]]&gt;0.3,"länger",Lektionen[[#This Row],[Bearbeitungsdauer_abgewichen]]&lt;-0.3,"kürzer",TRUE,"keine Abweichung")</f>
        <v>länger</v>
      </c>
      <c r="I3590">
        <v>4</v>
      </c>
    </row>
    <row r="3591" spans="1:9" hidden="1" x14ac:dyDescent="0.3">
      <c r="A3591" s="13">
        <v>556</v>
      </c>
      <c r="B3591" s="4">
        <v>6</v>
      </c>
      <c r="C3591" t="s">
        <v>533</v>
      </c>
      <c r="D3591" t="s">
        <v>534</v>
      </c>
      <c r="E3591">
        <v>5</v>
      </c>
      <c r="F3591">
        <v>1</v>
      </c>
      <c r="G3591" s="8">
        <f>Lektionen[[#This Row],[Bearbeitungsdauer_real]]/Lektionen[[#This Row],[Bearbeitungsdauer_geschätzt]]-1</f>
        <v>-0.8</v>
      </c>
      <c r="H3591" s="8" t="str" cm="1">
        <f t="array" ref="H3591">_xlfn.IFS(Lektionen[[#This Row],[Bearbeitungsdauer_abgewichen]]&gt;0.6,"viel länger",Lektionen[[#This Row],[Bearbeitungsdauer_abgewichen]]&gt;0.3,"länger",Lektionen[[#This Row],[Bearbeitungsdauer_abgewichen]]&lt;-0.3,"kürzer",TRUE,"keine Abweichung")</f>
        <v>kürzer</v>
      </c>
      <c r="I3591">
        <v>2</v>
      </c>
    </row>
    <row r="3592" spans="1:9" hidden="1" x14ac:dyDescent="0.3">
      <c r="A3592" s="13">
        <v>556</v>
      </c>
      <c r="B3592" s="4">
        <v>7</v>
      </c>
      <c r="C3592" t="s">
        <v>535</v>
      </c>
      <c r="D3592" t="s">
        <v>536</v>
      </c>
      <c r="E3592">
        <v>10</v>
      </c>
      <c r="F3592">
        <v>9</v>
      </c>
      <c r="G3592" s="8">
        <f>Lektionen[[#This Row],[Bearbeitungsdauer_real]]/Lektionen[[#This Row],[Bearbeitungsdauer_geschätzt]]-1</f>
        <v>-9.9999999999999978E-2</v>
      </c>
      <c r="H3592" s="8" t="str" cm="1">
        <f t="array" ref="H3592">_xlfn.IFS(Lektionen[[#This Row],[Bearbeitungsdauer_abgewichen]]&gt;0.6,"viel länger",Lektionen[[#This Row],[Bearbeitungsdauer_abgewichen]]&gt;0.3,"länger",Lektionen[[#This Row],[Bearbeitungsdauer_abgewichen]]&lt;-0.3,"kürzer",TRUE,"keine Abweichung")</f>
        <v>keine Abweichung</v>
      </c>
      <c r="I3592">
        <v>3</v>
      </c>
    </row>
    <row r="3593" spans="1:9" hidden="1" x14ac:dyDescent="0.3">
      <c r="A3593" s="13">
        <v>556</v>
      </c>
      <c r="B3593" s="4">
        <v>8</v>
      </c>
      <c r="C3593" t="s">
        <v>537</v>
      </c>
      <c r="D3593" t="s">
        <v>527</v>
      </c>
      <c r="E3593">
        <v>5</v>
      </c>
      <c r="F3593">
        <v>5</v>
      </c>
      <c r="G3593" s="8">
        <f>Lektionen[[#This Row],[Bearbeitungsdauer_real]]/Lektionen[[#This Row],[Bearbeitungsdauer_geschätzt]]-1</f>
        <v>0</v>
      </c>
      <c r="H3593" s="8" t="str" cm="1">
        <f t="array" ref="H3593">_xlfn.IFS(Lektionen[[#This Row],[Bearbeitungsdauer_abgewichen]]&gt;0.6,"viel länger",Lektionen[[#This Row],[Bearbeitungsdauer_abgewichen]]&gt;0.3,"länger",Lektionen[[#This Row],[Bearbeitungsdauer_abgewichen]]&lt;-0.3,"kürzer",TRUE,"keine Abweichung")</f>
        <v>keine Abweichung</v>
      </c>
      <c r="I3593">
        <v>1</v>
      </c>
    </row>
    <row r="3594" spans="1:9" hidden="1" x14ac:dyDescent="0.3">
      <c r="A3594" s="13">
        <v>557</v>
      </c>
      <c r="B3594" s="4">
        <v>1</v>
      </c>
      <c r="C3594" t="s">
        <v>526</v>
      </c>
      <c r="D3594" t="s">
        <v>527</v>
      </c>
      <c r="E3594">
        <v>4</v>
      </c>
      <c r="F3594">
        <v>4</v>
      </c>
      <c r="G3594" s="8">
        <f>Lektionen[[#This Row],[Bearbeitungsdauer_real]]/Lektionen[[#This Row],[Bearbeitungsdauer_geschätzt]]-1</f>
        <v>0</v>
      </c>
      <c r="H3594" s="8" t="str" cm="1">
        <f t="array" ref="H3594">_xlfn.IFS(Lektionen[[#This Row],[Bearbeitungsdauer_abgewichen]]&gt;0.6,"viel länger",Lektionen[[#This Row],[Bearbeitungsdauer_abgewichen]]&gt;0.3,"länger",Lektionen[[#This Row],[Bearbeitungsdauer_abgewichen]]&lt;-0.3,"kürzer",TRUE,"keine Abweichung")</f>
        <v>keine Abweichung</v>
      </c>
      <c r="I3594">
        <v>1</v>
      </c>
    </row>
    <row r="3595" spans="1:9" hidden="1" x14ac:dyDescent="0.3">
      <c r="A3595" s="13">
        <v>557</v>
      </c>
      <c r="B3595" s="4">
        <v>2</v>
      </c>
      <c r="C3595" t="s">
        <v>528</v>
      </c>
      <c r="D3595" t="s">
        <v>529</v>
      </c>
      <c r="E3595">
        <v>15</v>
      </c>
      <c r="F3595">
        <v>17</v>
      </c>
      <c r="G3595" s="8">
        <f>Lektionen[[#This Row],[Bearbeitungsdauer_real]]/Lektionen[[#This Row],[Bearbeitungsdauer_geschätzt]]-1</f>
        <v>0.1333333333333333</v>
      </c>
      <c r="H3595" s="8" t="str" cm="1">
        <f t="array" ref="H3595">_xlfn.IFS(Lektionen[[#This Row],[Bearbeitungsdauer_abgewichen]]&gt;0.6,"viel länger",Lektionen[[#This Row],[Bearbeitungsdauer_abgewichen]]&gt;0.3,"länger",Lektionen[[#This Row],[Bearbeitungsdauer_abgewichen]]&lt;-0.3,"kürzer",TRUE,"keine Abweichung")</f>
        <v>keine Abweichung</v>
      </c>
      <c r="I3595">
        <v>1</v>
      </c>
    </row>
    <row r="3596" spans="1:9" hidden="1" x14ac:dyDescent="0.3">
      <c r="A3596" s="13">
        <v>557</v>
      </c>
      <c r="B3596" s="4">
        <v>3</v>
      </c>
      <c r="C3596" t="s">
        <v>552</v>
      </c>
      <c r="D3596" t="s">
        <v>530</v>
      </c>
      <c r="E3596">
        <v>30</v>
      </c>
      <c r="F3596">
        <v>31</v>
      </c>
      <c r="G3596" s="8">
        <f>Lektionen[[#This Row],[Bearbeitungsdauer_real]]/Lektionen[[#This Row],[Bearbeitungsdauer_geschätzt]]-1</f>
        <v>3.3333333333333437E-2</v>
      </c>
      <c r="H3596" s="8" t="str" cm="1">
        <f t="array" ref="H3596">_xlfn.IFS(Lektionen[[#This Row],[Bearbeitungsdauer_abgewichen]]&gt;0.6,"viel länger",Lektionen[[#This Row],[Bearbeitungsdauer_abgewichen]]&gt;0.3,"länger",Lektionen[[#This Row],[Bearbeitungsdauer_abgewichen]]&lt;-0.3,"kürzer",TRUE,"keine Abweichung")</f>
        <v>keine Abweichung</v>
      </c>
      <c r="I3596">
        <v>2</v>
      </c>
    </row>
    <row r="3597" spans="1:9" hidden="1" x14ac:dyDescent="0.3">
      <c r="A3597" s="13">
        <v>557</v>
      </c>
      <c r="B3597" s="4">
        <v>4</v>
      </c>
      <c r="C3597" t="s">
        <v>531</v>
      </c>
      <c r="D3597" t="s">
        <v>530</v>
      </c>
      <c r="E3597">
        <v>30</v>
      </c>
      <c r="F3597">
        <v>32</v>
      </c>
      <c r="G3597" s="8">
        <f>Lektionen[[#This Row],[Bearbeitungsdauer_real]]/Lektionen[[#This Row],[Bearbeitungsdauer_geschätzt]]-1</f>
        <v>6.6666666666666652E-2</v>
      </c>
      <c r="H3597" s="8" t="str" cm="1">
        <f t="array" ref="H3597">_xlfn.IFS(Lektionen[[#This Row],[Bearbeitungsdauer_abgewichen]]&gt;0.6,"viel länger",Lektionen[[#This Row],[Bearbeitungsdauer_abgewichen]]&gt;0.3,"länger",Lektionen[[#This Row],[Bearbeitungsdauer_abgewichen]]&lt;-0.3,"kürzer",TRUE,"keine Abweichung")</f>
        <v>keine Abweichung</v>
      </c>
      <c r="I3597">
        <v>3</v>
      </c>
    </row>
    <row r="3598" spans="1:9" x14ac:dyDescent="0.3">
      <c r="A3598" s="13">
        <v>557</v>
      </c>
      <c r="B3598" s="4">
        <v>5</v>
      </c>
      <c r="C3598" t="s">
        <v>532</v>
      </c>
      <c r="D3598" t="s">
        <v>530</v>
      </c>
      <c r="E3598">
        <v>30</v>
      </c>
      <c r="F3598">
        <v>53</v>
      </c>
      <c r="G3598" s="8">
        <f>Lektionen[[#This Row],[Bearbeitungsdauer_real]]/Lektionen[[#This Row],[Bearbeitungsdauer_geschätzt]]-1</f>
        <v>0.76666666666666661</v>
      </c>
      <c r="H3598" s="8" t="str" cm="1">
        <f t="array" ref="H3598">_xlfn.IFS(Lektionen[[#This Row],[Bearbeitungsdauer_abgewichen]]&gt;0.6,"viel länger",Lektionen[[#This Row],[Bearbeitungsdauer_abgewichen]]&gt;0.3,"länger",Lektionen[[#This Row],[Bearbeitungsdauer_abgewichen]]&lt;-0.3,"kürzer",TRUE,"keine Abweichung")</f>
        <v>viel länger</v>
      </c>
      <c r="I3598">
        <v>4</v>
      </c>
    </row>
    <row r="3599" spans="1:9" hidden="1" x14ac:dyDescent="0.3">
      <c r="A3599" s="13">
        <v>557</v>
      </c>
      <c r="B3599" s="4">
        <v>6</v>
      </c>
      <c r="C3599" t="s">
        <v>533</v>
      </c>
      <c r="D3599" t="s">
        <v>534</v>
      </c>
      <c r="E3599">
        <v>5</v>
      </c>
      <c r="F3599">
        <v>1</v>
      </c>
      <c r="G3599" s="8">
        <f>Lektionen[[#This Row],[Bearbeitungsdauer_real]]/Lektionen[[#This Row],[Bearbeitungsdauer_geschätzt]]-1</f>
        <v>-0.8</v>
      </c>
      <c r="H3599" s="8" t="str" cm="1">
        <f t="array" ref="H3599">_xlfn.IFS(Lektionen[[#This Row],[Bearbeitungsdauer_abgewichen]]&gt;0.6,"viel länger",Lektionen[[#This Row],[Bearbeitungsdauer_abgewichen]]&gt;0.3,"länger",Lektionen[[#This Row],[Bearbeitungsdauer_abgewichen]]&lt;-0.3,"kürzer",TRUE,"keine Abweichung")</f>
        <v>kürzer</v>
      </c>
      <c r="I3599">
        <v>1</v>
      </c>
    </row>
    <row r="3600" spans="1:9" hidden="1" x14ac:dyDescent="0.3">
      <c r="A3600" s="13">
        <v>557</v>
      </c>
      <c r="B3600" s="4">
        <v>7</v>
      </c>
      <c r="C3600" t="s">
        <v>535</v>
      </c>
      <c r="D3600" t="s">
        <v>536</v>
      </c>
      <c r="E3600">
        <v>10</v>
      </c>
      <c r="F3600">
        <v>8</v>
      </c>
      <c r="G3600" s="8">
        <f>Lektionen[[#This Row],[Bearbeitungsdauer_real]]/Lektionen[[#This Row],[Bearbeitungsdauer_geschätzt]]-1</f>
        <v>-0.19999999999999996</v>
      </c>
      <c r="H3600" s="8" t="str" cm="1">
        <f t="array" ref="H3600">_xlfn.IFS(Lektionen[[#This Row],[Bearbeitungsdauer_abgewichen]]&gt;0.6,"viel länger",Lektionen[[#This Row],[Bearbeitungsdauer_abgewichen]]&gt;0.3,"länger",Lektionen[[#This Row],[Bearbeitungsdauer_abgewichen]]&lt;-0.3,"kürzer",TRUE,"keine Abweichung")</f>
        <v>keine Abweichung</v>
      </c>
      <c r="I3600">
        <v>4</v>
      </c>
    </row>
    <row r="3601" spans="1:9" hidden="1" x14ac:dyDescent="0.3">
      <c r="A3601" s="13">
        <v>557</v>
      </c>
      <c r="B3601" s="4">
        <v>8</v>
      </c>
      <c r="C3601" t="s">
        <v>537</v>
      </c>
      <c r="D3601" t="s">
        <v>527</v>
      </c>
      <c r="E3601">
        <v>5</v>
      </c>
      <c r="F3601">
        <v>5</v>
      </c>
      <c r="G3601" s="8">
        <f>Lektionen[[#This Row],[Bearbeitungsdauer_real]]/Lektionen[[#This Row],[Bearbeitungsdauer_geschätzt]]-1</f>
        <v>0</v>
      </c>
      <c r="H3601" s="8" t="str" cm="1">
        <f t="array" ref="H3601">_xlfn.IFS(Lektionen[[#This Row],[Bearbeitungsdauer_abgewichen]]&gt;0.6,"viel länger",Lektionen[[#This Row],[Bearbeitungsdauer_abgewichen]]&gt;0.3,"länger",Lektionen[[#This Row],[Bearbeitungsdauer_abgewichen]]&lt;-0.3,"kürzer",TRUE,"keine Abweichung")</f>
        <v>keine Abweichung</v>
      </c>
      <c r="I3601">
        <v>1</v>
      </c>
    </row>
    <row r="3602" spans="1:9" hidden="1" x14ac:dyDescent="0.3">
      <c r="A3602" s="13">
        <v>558</v>
      </c>
      <c r="B3602" s="4">
        <v>1</v>
      </c>
      <c r="C3602" t="s">
        <v>526</v>
      </c>
      <c r="D3602" t="s">
        <v>527</v>
      </c>
      <c r="E3602">
        <v>4</v>
      </c>
      <c r="F3602">
        <v>4</v>
      </c>
      <c r="G3602" s="8">
        <f>Lektionen[[#This Row],[Bearbeitungsdauer_real]]/Lektionen[[#This Row],[Bearbeitungsdauer_geschätzt]]-1</f>
        <v>0</v>
      </c>
      <c r="H3602" s="8" t="str" cm="1">
        <f t="array" ref="H3602">_xlfn.IFS(Lektionen[[#This Row],[Bearbeitungsdauer_abgewichen]]&gt;0.6,"viel länger",Lektionen[[#This Row],[Bearbeitungsdauer_abgewichen]]&gt;0.3,"länger",Lektionen[[#This Row],[Bearbeitungsdauer_abgewichen]]&lt;-0.3,"kürzer",TRUE,"keine Abweichung")</f>
        <v>keine Abweichung</v>
      </c>
      <c r="I3602">
        <v>2</v>
      </c>
    </row>
    <row r="3603" spans="1:9" hidden="1" x14ac:dyDescent="0.3">
      <c r="A3603" s="13">
        <v>558</v>
      </c>
      <c r="B3603" s="4">
        <v>2</v>
      </c>
      <c r="C3603" t="s">
        <v>528</v>
      </c>
      <c r="D3603" t="s">
        <v>529</v>
      </c>
      <c r="E3603">
        <v>15</v>
      </c>
      <c r="F3603">
        <v>17</v>
      </c>
      <c r="G3603" s="8">
        <f>Lektionen[[#This Row],[Bearbeitungsdauer_real]]/Lektionen[[#This Row],[Bearbeitungsdauer_geschätzt]]-1</f>
        <v>0.1333333333333333</v>
      </c>
      <c r="H3603" s="8" t="str" cm="1">
        <f t="array" ref="H3603">_xlfn.IFS(Lektionen[[#This Row],[Bearbeitungsdauer_abgewichen]]&gt;0.6,"viel länger",Lektionen[[#This Row],[Bearbeitungsdauer_abgewichen]]&gt;0.3,"länger",Lektionen[[#This Row],[Bearbeitungsdauer_abgewichen]]&lt;-0.3,"kürzer",TRUE,"keine Abweichung")</f>
        <v>keine Abweichung</v>
      </c>
      <c r="I3603">
        <v>1</v>
      </c>
    </row>
    <row r="3604" spans="1:9" hidden="1" x14ac:dyDescent="0.3">
      <c r="A3604" s="13">
        <v>558</v>
      </c>
      <c r="B3604" s="4">
        <v>3</v>
      </c>
      <c r="C3604" t="s">
        <v>552</v>
      </c>
      <c r="D3604" t="s">
        <v>530</v>
      </c>
      <c r="E3604">
        <v>30</v>
      </c>
      <c r="F3604">
        <v>27</v>
      </c>
      <c r="G3604" s="8">
        <f>Lektionen[[#This Row],[Bearbeitungsdauer_real]]/Lektionen[[#This Row],[Bearbeitungsdauer_geschätzt]]-1</f>
        <v>-9.9999999999999978E-2</v>
      </c>
      <c r="H3604" s="8" t="str" cm="1">
        <f t="array" ref="H3604">_xlfn.IFS(Lektionen[[#This Row],[Bearbeitungsdauer_abgewichen]]&gt;0.6,"viel länger",Lektionen[[#This Row],[Bearbeitungsdauer_abgewichen]]&gt;0.3,"länger",Lektionen[[#This Row],[Bearbeitungsdauer_abgewichen]]&lt;-0.3,"kürzer",TRUE,"keine Abweichung")</f>
        <v>keine Abweichung</v>
      </c>
      <c r="I3604">
        <v>3</v>
      </c>
    </row>
    <row r="3605" spans="1:9" hidden="1" x14ac:dyDescent="0.3">
      <c r="A3605" s="13">
        <v>558</v>
      </c>
      <c r="B3605" s="4">
        <v>4</v>
      </c>
      <c r="C3605" t="s">
        <v>531</v>
      </c>
      <c r="D3605" t="s">
        <v>530</v>
      </c>
      <c r="E3605">
        <v>30</v>
      </c>
      <c r="F3605">
        <v>18</v>
      </c>
      <c r="G3605" s="8">
        <f>Lektionen[[#This Row],[Bearbeitungsdauer_real]]/Lektionen[[#This Row],[Bearbeitungsdauer_geschätzt]]-1</f>
        <v>-0.4</v>
      </c>
      <c r="H3605" s="8" t="str" cm="1">
        <f t="array" ref="H3605">_xlfn.IFS(Lektionen[[#This Row],[Bearbeitungsdauer_abgewichen]]&gt;0.6,"viel länger",Lektionen[[#This Row],[Bearbeitungsdauer_abgewichen]]&gt;0.3,"länger",Lektionen[[#This Row],[Bearbeitungsdauer_abgewichen]]&lt;-0.3,"kürzer",TRUE,"keine Abweichung")</f>
        <v>kürzer</v>
      </c>
      <c r="I3605">
        <v>3</v>
      </c>
    </row>
    <row r="3606" spans="1:9" x14ac:dyDescent="0.3">
      <c r="A3606" s="13">
        <v>558</v>
      </c>
      <c r="B3606" s="4">
        <v>5</v>
      </c>
      <c r="C3606" t="s">
        <v>532</v>
      </c>
      <c r="D3606" t="s">
        <v>530</v>
      </c>
      <c r="E3606">
        <v>30</v>
      </c>
      <c r="F3606">
        <v>38</v>
      </c>
      <c r="G3606" s="8">
        <f>Lektionen[[#This Row],[Bearbeitungsdauer_real]]/Lektionen[[#This Row],[Bearbeitungsdauer_geschätzt]]-1</f>
        <v>0.26666666666666661</v>
      </c>
      <c r="H3606" s="8" t="str" cm="1">
        <f t="array" ref="H3606">_xlfn.IFS(Lektionen[[#This Row],[Bearbeitungsdauer_abgewichen]]&gt;0.6,"viel länger",Lektionen[[#This Row],[Bearbeitungsdauer_abgewichen]]&gt;0.3,"länger",Lektionen[[#This Row],[Bearbeitungsdauer_abgewichen]]&lt;-0.3,"kürzer",TRUE,"keine Abweichung")</f>
        <v>keine Abweichung</v>
      </c>
      <c r="I3606">
        <v>4</v>
      </c>
    </row>
    <row r="3607" spans="1:9" hidden="1" x14ac:dyDescent="0.3">
      <c r="A3607" s="13">
        <v>558</v>
      </c>
      <c r="B3607" s="4">
        <v>6</v>
      </c>
      <c r="C3607" t="s">
        <v>533</v>
      </c>
      <c r="D3607" t="s">
        <v>534</v>
      </c>
      <c r="E3607">
        <v>5</v>
      </c>
      <c r="F3607">
        <v>4</v>
      </c>
      <c r="G3607" s="8">
        <f>Lektionen[[#This Row],[Bearbeitungsdauer_real]]/Lektionen[[#This Row],[Bearbeitungsdauer_geschätzt]]-1</f>
        <v>-0.19999999999999996</v>
      </c>
      <c r="H3607" s="8" t="str" cm="1">
        <f t="array" ref="H3607">_xlfn.IFS(Lektionen[[#This Row],[Bearbeitungsdauer_abgewichen]]&gt;0.6,"viel länger",Lektionen[[#This Row],[Bearbeitungsdauer_abgewichen]]&gt;0.3,"länger",Lektionen[[#This Row],[Bearbeitungsdauer_abgewichen]]&lt;-0.3,"kürzer",TRUE,"keine Abweichung")</f>
        <v>keine Abweichung</v>
      </c>
      <c r="I3607">
        <v>2</v>
      </c>
    </row>
    <row r="3608" spans="1:9" hidden="1" x14ac:dyDescent="0.3">
      <c r="A3608" s="13">
        <v>558</v>
      </c>
      <c r="B3608" s="4">
        <v>7</v>
      </c>
      <c r="C3608" t="s">
        <v>535</v>
      </c>
      <c r="D3608" t="s">
        <v>536</v>
      </c>
      <c r="E3608">
        <v>10</v>
      </c>
      <c r="F3608">
        <v>8</v>
      </c>
      <c r="G3608" s="8">
        <f>Lektionen[[#This Row],[Bearbeitungsdauer_real]]/Lektionen[[#This Row],[Bearbeitungsdauer_geschätzt]]-1</f>
        <v>-0.19999999999999996</v>
      </c>
      <c r="H3608" s="8" t="str" cm="1">
        <f t="array" ref="H3608">_xlfn.IFS(Lektionen[[#This Row],[Bearbeitungsdauer_abgewichen]]&gt;0.6,"viel länger",Lektionen[[#This Row],[Bearbeitungsdauer_abgewichen]]&gt;0.3,"länger",Lektionen[[#This Row],[Bearbeitungsdauer_abgewichen]]&lt;-0.3,"kürzer",TRUE,"keine Abweichung")</f>
        <v>keine Abweichung</v>
      </c>
      <c r="I3608">
        <v>4</v>
      </c>
    </row>
    <row r="3609" spans="1:9" hidden="1" x14ac:dyDescent="0.3">
      <c r="A3609" s="13">
        <v>558</v>
      </c>
      <c r="B3609" s="4">
        <v>8</v>
      </c>
      <c r="C3609" t="s">
        <v>537</v>
      </c>
      <c r="D3609" t="s">
        <v>527</v>
      </c>
      <c r="E3609">
        <v>5</v>
      </c>
      <c r="F3609">
        <v>5</v>
      </c>
      <c r="G3609" s="8">
        <f>Lektionen[[#This Row],[Bearbeitungsdauer_real]]/Lektionen[[#This Row],[Bearbeitungsdauer_geschätzt]]-1</f>
        <v>0</v>
      </c>
      <c r="H3609" s="8" t="str" cm="1">
        <f t="array" ref="H3609">_xlfn.IFS(Lektionen[[#This Row],[Bearbeitungsdauer_abgewichen]]&gt;0.6,"viel länger",Lektionen[[#This Row],[Bearbeitungsdauer_abgewichen]]&gt;0.3,"länger",Lektionen[[#This Row],[Bearbeitungsdauer_abgewichen]]&lt;-0.3,"kürzer",TRUE,"keine Abweichung")</f>
        <v>keine Abweichung</v>
      </c>
      <c r="I3609">
        <v>1</v>
      </c>
    </row>
    <row r="3610" spans="1:9" hidden="1" x14ac:dyDescent="0.3">
      <c r="A3610" s="13">
        <v>559</v>
      </c>
      <c r="B3610" s="4">
        <v>1</v>
      </c>
      <c r="C3610" t="s">
        <v>526</v>
      </c>
      <c r="D3610" t="s">
        <v>527</v>
      </c>
      <c r="E3610">
        <v>4</v>
      </c>
      <c r="F3610">
        <v>4</v>
      </c>
      <c r="G3610" s="8">
        <f>Lektionen[[#This Row],[Bearbeitungsdauer_real]]/Lektionen[[#This Row],[Bearbeitungsdauer_geschätzt]]-1</f>
        <v>0</v>
      </c>
      <c r="H3610" s="8" t="str" cm="1">
        <f t="array" ref="H3610">_xlfn.IFS(Lektionen[[#This Row],[Bearbeitungsdauer_abgewichen]]&gt;0.6,"viel länger",Lektionen[[#This Row],[Bearbeitungsdauer_abgewichen]]&gt;0.3,"länger",Lektionen[[#This Row],[Bearbeitungsdauer_abgewichen]]&lt;-0.3,"kürzer",TRUE,"keine Abweichung")</f>
        <v>keine Abweichung</v>
      </c>
      <c r="I3610">
        <v>1</v>
      </c>
    </row>
    <row r="3611" spans="1:9" hidden="1" x14ac:dyDescent="0.3">
      <c r="A3611" s="13">
        <v>559</v>
      </c>
      <c r="B3611" s="4">
        <v>2</v>
      </c>
      <c r="C3611" t="s">
        <v>528</v>
      </c>
      <c r="D3611" t="s">
        <v>529</v>
      </c>
      <c r="E3611">
        <v>15</v>
      </c>
      <c r="F3611">
        <v>19</v>
      </c>
      <c r="G3611" s="8">
        <f>Lektionen[[#This Row],[Bearbeitungsdauer_real]]/Lektionen[[#This Row],[Bearbeitungsdauer_geschätzt]]-1</f>
        <v>0.26666666666666661</v>
      </c>
      <c r="H3611" s="8" t="str" cm="1">
        <f t="array" ref="H3611">_xlfn.IFS(Lektionen[[#This Row],[Bearbeitungsdauer_abgewichen]]&gt;0.6,"viel länger",Lektionen[[#This Row],[Bearbeitungsdauer_abgewichen]]&gt;0.3,"länger",Lektionen[[#This Row],[Bearbeitungsdauer_abgewichen]]&lt;-0.3,"kürzer",TRUE,"keine Abweichung")</f>
        <v>keine Abweichung</v>
      </c>
      <c r="I3611">
        <v>3</v>
      </c>
    </row>
    <row r="3612" spans="1:9" hidden="1" x14ac:dyDescent="0.3">
      <c r="A3612" s="13">
        <v>559</v>
      </c>
      <c r="B3612" s="4">
        <v>3</v>
      </c>
      <c r="C3612" t="s">
        <v>552</v>
      </c>
      <c r="D3612" t="s">
        <v>530</v>
      </c>
      <c r="E3612">
        <v>30</v>
      </c>
      <c r="F3612">
        <v>28</v>
      </c>
      <c r="G3612" s="8">
        <f>Lektionen[[#This Row],[Bearbeitungsdauer_real]]/Lektionen[[#This Row],[Bearbeitungsdauer_geschätzt]]-1</f>
        <v>-6.6666666666666652E-2</v>
      </c>
      <c r="H3612" s="8" t="str" cm="1">
        <f t="array" ref="H3612">_xlfn.IFS(Lektionen[[#This Row],[Bearbeitungsdauer_abgewichen]]&gt;0.6,"viel länger",Lektionen[[#This Row],[Bearbeitungsdauer_abgewichen]]&gt;0.3,"länger",Lektionen[[#This Row],[Bearbeitungsdauer_abgewichen]]&lt;-0.3,"kürzer",TRUE,"keine Abweichung")</f>
        <v>keine Abweichung</v>
      </c>
      <c r="I3612">
        <v>3</v>
      </c>
    </row>
    <row r="3613" spans="1:9" hidden="1" x14ac:dyDescent="0.3">
      <c r="A3613" s="13">
        <v>559</v>
      </c>
      <c r="B3613" s="4">
        <v>4</v>
      </c>
      <c r="C3613" t="s">
        <v>531</v>
      </c>
      <c r="D3613" t="s">
        <v>530</v>
      </c>
      <c r="E3613">
        <v>30</v>
      </c>
      <c r="F3613">
        <v>30</v>
      </c>
      <c r="G3613" s="8">
        <f>Lektionen[[#This Row],[Bearbeitungsdauer_real]]/Lektionen[[#This Row],[Bearbeitungsdauer_geschätzt]]-1</f>
        <v>0</v>
      </c>
      <c r="H3613" s="8" t="str" cm="1">
        <f t="array" ref="H3613">_xlfn.IFS(Lektionen[[#This Row],[Bearbeitungsdauer_abgewichen]]&gt;0.6,"viel länger",Lektionen[[#This Row],[Bearbeitungsdauer_abgewichen]]&gt;0.3,"länger",Lektionen[[#This Row],[Bearbeitungsdauer_abgewichen]]&lt;-0.3,"kürzer",TRUE,"keine Abweichung")</f>
        <v>keine Abweichung</v>
      </c>
      <c r="I3613">
        <v>3</v>
      </c>
    </row>
    <row r="3614" spans="1:9" x14ac:dyDescent="0.3">
      <c r="A3614" s="13">
        <v>559</v>
      </c>
      <c r="B3614" s="4">
        <v>5</v>
      </c>
      <c r="C3614" t="s">
        <v>532</v>
      </c>
      <c r="D3614" t="s">
        <v>530</v>
      </c>
      <c r="E3614">
        <v>30</v>
      </c>
      <c r="F3614">
        <v>48</v>
      </c>
      <c r="G3614" s="8">
        <f>Lektionen[[#This Row],[Bearbeitungsdauer_real]]/Lektionen[[#This Row],[Bearbeitungsdauer_geschätzt]]-1</f>
        <v>0.60000000000000009</v>
      </c>
      <c r="H3614" s="8" t="str" cm="1">
        <f t="array" ref="H3614">_xlfn.IFS(Lektionen[[#This Row],[Bearbeitungsdauer_abgewichen]]&gt;0.6,"viel länger",Lektionen[[#This Row],[Bearbeitungsdauer_abgewichen]]&gt;0.3,"länger",Lektionen[[#This Row],[Bearbeitungsdauer_abgewichen]]&lt;-0.3,"kürzer",TRUE,"keine Abweichung")</f>
        <v>länger</v>
      </c>
      <c r="I3614">
        <v>4</v>
      </c>
    </row>
    <row r="3615" spans="1:9" hidden="1" x14ac:dyDescent="0.3">
      <c r="A3615" s="13">
        <v>559</v>
      </c>
      <c r="B3615" s="4">
        <v>6</v>
      </c>
      <c r="C3615" t="s">
        <v>533</v>
      </c>
      <c r="D3615" t="s">
        <v>534</v>
      </c>
      <c r="E3615">
        <v>5</v>
      </c>
      <c r="F3615">
        <v>3</v>
      </c>
      <c r="G3615" s="8">
        <f>Lektionen[[#This Row],[Bearbeitungsdauer_real]]/Lektionen[[#This Row],[Bearbeitungsdauer_geschätzt]]-1</f>
        <v>-0.4</v>
      </c>
      <c r="H3615" s="8" t="str" cm="1">
        <f t="array" ref="H3615">_xlfn.IFS(Lektionen[[#This Row],[Bearbeitungsdauer_abgewichen]]&gt;0.6,"viel länger",Lektionen[[#This Row],[Bearbeitungsdauer_abgewichen]]&gt;0.3,"länger",Lektionen[[#This Row],[Bearbeitungsdauer_abgewichen]]&lt;-0.3,"kürzer",TRUE,"keine Abweichung")</f>
        <v>kürzer</v>
      </c>
      <c r="I3615">
        <v>2</v>
      </c>
    </row>
    <row r="3616" spans="1:9" hidden="1" x14ac:dyDescent="0.3">
      <c r="A3616" s="13">
        <v>559</v>
      </c>
      <c r="B3616" s="4">
        <v>7</v>
      </c>
      <c r="C3616" t="s">
        <v>535</v>
      </c>
      <c r="D3616" t="s">
        <v>536</v>
      </c>
      <c r="E3616">
        <v>10</v>
      </c>
      <c r="F3616">
        <v>10</v>
      </c>
      <c r="G3616" s="8">
        <f>Lektionen[[#This Row],[Bearbeitungsdauer_real]]/Lektionen[[#This Row],[Bearbeitungsdauer_geschätzt]]-1</f>
        <v>0</v>
      </c>
      <c r="H3616" s="8" t="str" cm="1">
        <f t="array" ref="H3616">_xlfn.IFS(Lektionen[[#This Row],[Bearbeitungsdauer_abgewichen]]&gt;0.6,"viel länger",Lektionen[[#This Row],[Bearbeitungsdauer_abgewichen]]&gt;0.3,"länger",Lektionen[[#This Row],[Bearbeitungsdauer_abgewichen]]&lt;-0.3,"kürzer",TRUE,"keine Abweichung")</f>
        <v>keine Abweichung</v>
      </c>
      <c r="I3616">
        <v>4</v>
      </c>
    </row>
    <row r="3617" spans="1:9" hidden="1" x14ac:dyDescent="0.3">
      <c r="A3617" s="13">
        <v>559</v>
      </c>
      <c r="B3617" s="4">
        <v>8</v>
      </c>
      <c r="C3617" t="s">
        <v>537</v>
      </c>
      <c r="D3617" t="s">
        <v>527</v>
      </c>
      <c r="E3617">
        <v>5</v>
      </c>
      <c r="F3617">
        <v>8</v>
      </c>
      <c r="G3617" s="8">
        <f>Lektionen[[#This Row],[Bearbeitungsdauer_real]]/Lektionen[[#This Row],[Bearbeitungsdauer_geschätzt]]-1</f>
        <v>0.60000000000000009</v>
      </c>
      <c r="H3617" s="8" t="str" cm="1">
        <f t="array" ref="H3617">_xlfn.IFS(Lektionen[[#This Row],[Bearbeitungsdauer_abgewichen]]&gt;0.6,"viel länger",Lektionen[[#This Row],[Bearbeitungsdauer_abgewichen]]&gt;0.3,"länger",Lektionen[[#This Row],[Bearbeitungsdauer_abgewichen]]&lt;-0.3,"kürzer",TRUE,"keine Abweichung")</f>
        <v>länger</v>
      </c>
      <c r="I3617">
        <v>1</v>
      </c>
    </row>
    <row r="3618" spans="1:9" hidden="1" x14ac:dyDescent="0.3">
      <c r="A3618" s="13">
        <v>561</v>
      </c>
      <c r="B3618" s="4">
        <v>1</v>
      </c>
      <c r="C3618" t="s">
        <v>526</v>
      </c>
      <c r="D3618" t="s">
        <v>527</v>
      </c>
      <c r="E3618">
        <v>4</v>
      </c>
      <c r="F3618">
        <v>4</v>
      </c>
      <c r="G3618" s="8">
        <f>Lektionen[[#This Row],[Bearbeitungsdauer_real]]/Lektionen[[#This Row],[Bearbeitungsdauer_geschätzt]]-1</f>
        <v>0</v>
      </c>
      <c r="H3618" s="8" t="str" cm="1">
        <f t="array" ref="H3618">_xlfn.IFS(Lektionen[[#This Row],[Bearbeitungsdauer_abgewichen]]&gt;0.6,"viel länger",Lektionen[[#This Row],[Bearbeitungsdauer_abgewichen]]&gt;0.3,"länger",Lektionen[[#This Row],[Bearbeitungsdauer_abgewichen]]&lt;-0.3,"kürzer",TRUE,"keine Abweichung")</f>
        <v>keine Abweichung</v>
      </c>
      <c r="I3618">
        <v>1</v>
      </c>
    </row>
    <row r="3619" spans="1:9" hidden="1" x14ac:dyDescent="0.3">
      <c r="A3619" s="13">
        <v>561</v>
      </c>
      <c r="B3619" s="4">
        <v>2</v>
      </c>
      <c r="C3619" t="s">
        <v>528</v>
      </c>
      <c r="D3619" t="s">
        <v>529</v>
      </c>
      <c r="E3619">
        <v>15</v>
      </c>
      <c r="F3619">
        <v>20</v>
      </c>
      <c r="G3619" s="8">
        <f>Lektionen[[#This Row],[Bearbeitungsdauer_real]]/Lektionen[[#This Row],[Bearbeitungsdauer_geschätzt]]-1</f>
        <v>0.33333333333333326</v>
      </c>
      <c r="H3619" s="8" t="str" cm="1">
        <f t="array" ref="H3619">_xlfn.IFS(Lektionen[[#This Row],[Bearbeitungsdauer_abgewichen]]&gt;0.6,"viel länger",Lektionen[[#This Row],[Bearbeitungsdauer_abgewichen]]&gt;0.3,"länger",Lektionen[[#This Row],[Bearbeitungsdauer_abgewichen]]&lt;-0.3,"kürzer",TRUE,"keine Abweichung")</f>
        <v>länger</v>
      </c>
      <c r="I3619">
        <v>1</v>
      </c>
    </row>
    <row r="3620" spans="1:9" hidden="1" x14ac:dyDescent="0.3">
      <c r="A3620" s="13">
        <v>561</v>
      </c>
      <c r="B3620" s="4">
        <v>3</v>
      </c>
      <c r="C3620" t="s">
        <v>552</v>
      </c>
      <c r="D3620" t="s">
        <v>530</v>
      </c>
      <c r="E3620">
        <v>30</v>
      </c>
      <c r="F3620">
        <v>27</v>
      </c>
      <c r="G3620" s="8">
        <f>Lektionen[[#This Row],[Bearbeitungsdauer_real]]/Lektionen[[#This Row],[Bearbeitungsdauer_geschätzt]]-1</f>
        <v>-9.9999999999999978E-2</v>
      </c>
      <c r="H3620" s="8" t="str" cm="1">
        <f t="array" ref="H3620">_xlfn.IFS(Lektionen[[#This Row],[Bearbeitungsdauer_abgewichen]]&gt;0.6,"viel länger",Lektionen[[#This Row],[Bearbeitungsdauer_abgewichen]]&gt;0.3,"länger",Lektionen[[#This Row],[Bearbeitungsdauer_abgewichen]]&lt;-0.3,"kürzer",TRUE,"keine Abweichung")</f>
        <v>keine Abweichung</v>
      </c>
      <c r="I3620">
        <v>2</v>
      </c>
    </row>
    <row r="3621" spans="1:9" hidden="1" x14ac:dyDescent="0.3">
      <c r="A3621" s="13">
        <v>561</v>
      </c>
      <c r="B3621" s="4">
        <v>4</v>
      </c>
      <c r="C3621" t="s">
        <v>531</v>
      </c>
      <c r="D3621" t="s">
        <v>530</v>
      </c>
      <c r="E3621">
        <v>30</v>
      </c>
      <c r="F3621">
        <v>35</v>
      </c>
      <c r="G3621" s="8">
        <f>Lektionen[[#This Row],[Bearbeitungsdauer_real]]/Lektionen[[#This Row],[Bearbeitungsdauer_geschätzt]]-1</f>
        <v>0.16666666666666674</v>
      </c>
      <c r="H3621" s="8" t="str" cm="1">
        <f t="array" ref="H3621">_xlfn.IFS(Lektionen[[#This Row],[Bearbeitungsdauer_abgewichen]]&gt;0.6,"viel länger",Lektionen[[#This Row],[Bearbeitungsdauer_abgewichen]]&gt;0.3,"länger",Lektionen[[#This Row],[Bearbeitungsdauer_abgewichen]]&lt;-0.3,"kürzer",TRUE,"keine Abweichung")</f>
        <v>keine Abweichung</v>
      </c>
      <c r="I3621">
        <v>3</v>
      </c>
    </row>
    <row r="3622" spans="1:9" x14ac:dyDescent="0.3">
      <c r="A3622" s="13">
        <v>561</v>
      </c>
      <c r="B3622" s="4">
        <v>5</v>
      </c>
      <c r="C3622" t="s">
        <v>532</v>
      </c>
      <c r="D3622" t="s">
        <v>530</v>
      </c>
      <c r="E3622">
        <v>30</v>
      </c>
      <c r="F3622">
        <v>55</v>
      </c>
      <c r="G3622" s="8">
        <f>Lektionen[[#This Row],[Bearbeitungsdauer_real]]/Lektionen[[#This Row],[Bearbeitungsdauer_geschätzt]]-1</f>
        <v>0.83333333333333326</v>
      </c>
      <c r="H3622" s="8" t="str" cm="1">
        <f t="array" ref="H3622">_xlfn.IFS(Lektionen[[#This Row],[Bearbeitungsdauer_abgewichen]]&gt;0.6,"viel länger",Lektionen[[#This Row],[Bearbeitungsdauer_abgewichen]]&gt;0.3,"länger",Lektionen[[#This Row],[Bearbeitungsdauer_abgewichen]]&lt;-0.3,"kürzer",TRUE,"keine Abweichung")</f>
        <v>viel länger</v>
      </c>
      <c r="I3622">
        <v>4</v>
      </c>
    </row>
    <row r="3623" spans="1:9" hidden="1" x14ac:dyDescent="0.3">
      <c r="A3623" s="13">
        <v>561</v>
      </c>
      <c r="B3623" s="4">
        <v>6</v>
      </c>
      <c r="C3623" t="s">
        <v>533</v>
      </c>
      <c r="D3623" t="s">
        <v>534</v>
      </c>
      <c r="E3623">
        <v>5</v>
      </c>
      <c r="F3623">
        <v>1</v>
      </c>
      <c r="G3623" s="8">
        <f>Lektionen[[#This Row],[Bearbeitungsdauer_real]]/Lektionen[[#This Row],[Bearbeitungsdauer_geschätzt]]-1</f>
        <v>-0.8</v>
      </c>
      <c r="H3623" s="8" t="str" cm="1">
        <f t="array" ref="H3623">_xlfn.IFS(Lektionen[[#This Row],[Bearbeitungsdauer_abgewichen]]&gt;0.6,"viel länger",Lektionen[[#This Row],[Bearbeitungsdauer_abgewichen]]&gt;0.3,"länger",Lektionen[[#This Row],[Bearbeitungsdauer_abgewichen]]&lt;-0.3,"kürzer",TRUE,"keine Abweichung")</f>
        <v>kürzer</v>
      </c>
      <c r="I3623">
        <v>2</v>
      </c>
    </row>
    <row r="3624" spans="1:9" hidden="1" x14ac:dyDescent="0.3">
      <c r="A3624" s="13">
        <v>561</v>
      </c>
      <c r="B3624" s="4">
        <v>7</v>
      </c>
      <c r="C3624" t="s">
        <v>535</v>
      </c>
      <c r="D3624" t="s">
        <v>536</v>
      </c>
      <c r="E3624">
        <v>10</v>
      </c>
      <c r="F3624">
        <v>8</v>
      </c>
      <c r="G3624" s="8">
        <f>Lektionen[[#This Row],[Bearbeitungsdauer_real]]/Lektionen[[#This Row],[Bearbeitungsdauer_geschätzt]]-1</f>
        <v>-0.19999999999999996</v>
      </c>
      <c r="H3624" s="8" t="str" cm="1">
        <f t="array" ref="H3624">_xlfn.IFS(Lektionen[[#This Row],[Bearbeitungsdauer_abgewichen]]&gt;0.6,"viel länger",Lektionen[[#This Row],[Bearbeitungsdauer_abgewichen]]&gt;0.3,"länger",Lektionen[[#This Row],[Bearbeitungsdauer_abgewichen]]&lt;-0.3,"kürzer",TRUE,"keine Abweichung")</f>
        <v>keine Abweichung</v>
      </c>
      <c r="I3624">
        <v>3</v>
      </c>
    </row>
    <row r="3625" spans="1:9" hidden="1" x14ac:dyDescent="0.3">
      <c r="A3625" s="13">
        <v>561</v>
      </c>
      <c r="B3625" s="4">
        <v>8</v>
      </c>
      <c r="C3625" t="s">
        <v>537</v>
      </c>
      <c r="D3625" t="s">
        <v>527</v>
      </c>
      <c r="E3625">
        <v>5</v>
      </c>
      <c r="F3625">
        <v>7</v>
      </c>
      <c r="G3625" s="8">
        <f>Lektionen[[#This Row],[Bearbeitungsdauer_real]]/Lektionen[[#This Row],[Bearbeitungsdauer_geschätzt]]-1</f>
        <v>0.39999999999999991</v>
      </c>
      <c r="H3625" s="8" t="str" cm="1">
        <f t="array" ref="H3625">_xlfn.IFS(Lektionen[[#This Row],[Bearbeitungsdauer_abgewichen]]&gt;0.6,"viel länger",Lektionen[[#This Row],[Bearbeitungsdauer_abgewichen]]&gt;0.3,"länger",Lektionen[[#This Row],[Bearbeitungsdauer_abgewichen]]&lt;-0.3,"kürzer",TRUE,"keine Abweichung")</f>
        <v>länger</v>
      </c>
      <c r="I3625">
        <v>1</v>
      </c>
    </row>
    <row r="3626" spans="1:9" hidden="1" x14ac:dyDescent="0.3">
      <c r="A3626" s="13">
        <v>562</v>
      </c>
      <c r="B3626" s="4">
        <v>1</v>
      </c>
      <c r="C3626" t="s">
        <v>526</v>
      </c>
      <c r="D3626" t="s">
        <v>527</v>
      </c>
      <c r="E3626">
        <v>4</v>
      </c>
      <c r="F3626">
        <v>4</v>
      </c>
      <c r="G3626" s="8">
        <f>Lektionen[[#This Row],[Bearbeitungsdauer_real]]/Lektionen[[#This Row],[Bearbeitungsdauer_geschätzt]]-1</f>
        <v>0</v>
      </c>
      <c r="H3626" s="8" t="str" cm="1">
        <f t="array" ref="H3626">_xlfn.IFS(Lektionen[[#This Row],[Bearbeitungsdauer_abgewichen]]&gt;0.6,"viel länger",Lektionen[[#This Row],[Bearbeitungsdauer_abgewichen]]&gt;0.3,"länger",Lektionen[[#This Row],[Bearbeitungsdauer_abgewichen]]&lt;-0.3,"kürzer",TRUE,"keine Abweichung")</f>
        <v>keine Abweichung</v>
      </c>
      <c r="I3626">
        <v>1</v>
      </c>
    </row>
    <row r="3627" spans="1:9" hidden="1" x14ac:dyDescent="0.3">
      <c r="A3627" s="13">
        <v>562</v>
      </c>
      <c r="B3627" s="4">
        <v>2</v>
      </c>
      <c r="C3627" t="s">
        <v>528</v>
      </c>
      <c r="D3627" t="s">
        <v>529</v>
      </c>
      <c r="E3627">
        <v>15</v>
      </c>
      <c r="F3627">
        <v>19</v>
      </c>
      <c r="G3627" s="8">
        <f>Lektionen[[#This Row],[Bearbeitungsdauer_real]]/Lektionen[[#This Row],[Bearbeitungsdauer_geschätzt]]-1</f>
        <v>0.26666666666666661</v>
      </c>
      <c r="H3627" s="8" t="str" cm="1">
        <f t="array" ref="H3627">_xlfn.IFS(Lektionen[[#This Row],[Bearbeitungsdauer_abgewichen]]&gt;0.6,"viel länger",Lektionen[[#This Row],[Bearbeitungsdauer_abgewichen]]&gt;0.3,"länger",Lektionen[[#This Row],[Bearbeitungsdauer_abgewichen]]&lt;-0.3,"kürzer",TRUE,"keine Abweichung")</f>
        <v>keine Abweichung</v>
      </c>
      <c r="I3627">
        <v>1</v>
      </c>
    </row>
    <row r="3628" spans="1:9" hidden="1" x14ac:dyDescent="0.3">
      <c r="A3628" s="13">
        <v>562</v>
      </c>
      <c r="B3628" s="4">
        <v>3</v>
      </c>
      <c r="C3628" t="s">
        <v>552</v>
      </c>
      <c r="D3628" t="s">
        <v>530</v>
      </c>
      <c r="E3628">
        <v>30</v>
      </c>
      <c r="F3628">
        <v>29</v>
      </c>
      <c r="G3628" s="8">
        <f>Lektionen[[#This Row],[Bearbeitungsdauer_real]]/Lektionen[[#This Row],[Bearbeitungsdauer_geschätzt]]-1</f>
        <v>-3.3333333333333326E-2</v>
      </c>
      <c r="H3628" s="8" t="str" cm="1">
        <f t="array" ref="H3628">_xlfn.IFS(Lektionen[[#This Row],[Bearbeitungsdauer_abgewichen]]&gt;0.6,"viel länger",Lektionen[[#This Row],[Bearbeitungsdauer_abgewichen]]&gt;0.3,"länger",Lektionen[[#This Row],[Bearbeitungsdauer_abgewichen]]&lt;-0.3,"kürzer",TRUE,"keine Abweichung")</f>
        <v>keine Abweichung</v>
      </c>
      <c r="I3628">
        <v>2</v>
      </c>
    </row>
    <row r="3629" spans="1:9" hidden="1" x14ac:dyDescent="0.3">
      <c r="A3629" s="13">
        <v>562</v>
      </c>
      <c r="B3629" s="4">
        <v>4</v>
      </c>
      <c r="C3629" t="s">
        <v>531</v>
      </c>
      <c r="D3629" t="s">
        <v>530</v>
      </c>
      <c r="E3629">
        <v>30</v>
      </c>
      <c r="F3629">
        <v>23</v>
      </c>
      <c r="G3629" s="8">
        <f>Lektionen[[#This Row],[Bearbeitungsdauer_real]]/Lektionen[[#This Row],[Bearbeitungsdauer_geschätzt]]-1</f>
        <v>-0.23333333333333328</v>
      </c>
      <c r="H3629" s="8" t="str" cm="1">
        <f t="array" ref="H3629">_xlfn.IFS(Lektionen[[#This Row],[Bearbeitungsdauer_abgewichen]]&gt;0.6,"viel länger",Lektionen[[#This Row],[Bearbeitungsdauer_abgewichen]]&gt;0.3,"länger",Lektionen[[#This Row],[Bearbeitungsdauer_abgewichen]]&lt;-0.3,"kürzer",TRUE,"keine Abweichung")</f>
        <v>keine Abweichung</v>
      </c>
      <c r="I3629">
        <v>3</v>
      </c>
    </row>
    <row r="3630" spans="1:9" x14ac:dyDescent="0.3">
      <c r="A3630" s="13">
        <v>562</v>
      </c>
      <c r="B3630" s="4">
        <v>5</v>
      </c>
      <c r="C3630" t="s">
        <v>532</v>
      </c>
      <c r="D3630" t="s">
        <v>530</v>
      </c>
      <c r="E3630">
        <v>30</v>
      </c>
      <c r="F3630">
        <v>50</v>
      </c>
      <c r="G3630" s="8">
        <f>Lektionen[[#This Row],[Bearbeitungsdauer_real]]/Lektionen[[#This Row],[Bearbeitungsdauer_geschätzt]]-1</f>
        <v>0.66666666666666674</v>
      </c>
      <c r="H3630" s="8" t="str" cm="1">
        <f t="array" ref="H3630">_xlfn.IFS(Lektionen[[#This Row],[Bearbeitungsdauer_abgewichen]]&gt;0.6,"viel länger",Lektionen[[#This Row],[Bearbeitungsdauer_abgewichen]]&gt;0.3,"länger",Lektionen[[#This Row],[Bearbeitungsdauer_abgewichen]]&lt;-0.3,"kürzer",TRUE,"keine Abweichung")</f>
        <v>viel länger</v>
      </c>
      <c r="I3630">
        <v>3</v>
      </c>
    </row>
    <row r="3631" spans="1:9" hidden="1" x14ac:dyDescent="0.3">
      <c r="A3631" s="13">
        <v>562</v>
      </c>
      <c r="B3631" s="4">
        <v>6</v>
      </c>
      <c r="C3631" t="s">
        <v>533</v>
      </c>
      <c r="D3631" t="s">
        <v>534</v>
      </c>
      <c r="E3631">
        <v>5</v>
      </c>
      <c r="F3631">
        <v>1</v>
      </c>
      <c r="G3631" s="8">
        <f>Lektionen[[#This Row],[Bearbeitungsdauer_real]]/Lektionen[[#This Row],[Bearbeitungsdauer_geschätzt]]-1</f>
        <v>-0.8</v>
      </c>
      <c r="H3631" s="8" t="str" cm="1">
        <f t="array" ref="H3631">_xlfn.IFS(Lektionen[[#This Row],[Bearbeitungsdauer_abgewichen]]&gt;0.6,"viel länger",Lektionen[[#This Row],[Bearbeitungsdauer_abgewichen]]&gt;0.3,"länger",Lektionen[[#This Row],[Bearbeitungsdauer_abgewichen]]&lt;-0.3,"kürzer",TRUE,"keine Abweichung")</f>
        <v>kürzer</v>
      </c>
      <c r="I3631">
        <v>2</v>
      </c>
    </row>
    <row r="3632" spans="1:9" hidden="1" x14ac:dyDescent="0.3">
      <c r="A3632" s="13">
        <v>562</v>
      </c>
      <c r="B3632" s="4">
        <v>7</v>
      </c>
      <c r="C3632" t="s">
        <v>535</v>
      </c>
      <c r="D3632" t="s">
        <v>536</v>
      </c>
      <c r="E3632">
        <v>10</v>
      </c>
      <c r="F3632">
        <v>11</v>
      </c>
      <c r="G3632" s="8">
        <f>Lektionen[[#This Row],[Bearbeitungsdauer_real]]/Lektionen[[#This Row],[Bearbeitungsdauer_geschätzt]]-1</f>
        <v>0.10000000000000009</v>
      </c>
      <c r="H3632" s="8" t="str" cm="1">
        <f t="array" ref="H3632">_xlfn.IFS(Lektionen[[#This Row],[Bearbeitungsdauer_abgewichen]]&gt;0.6,"viel länger",Lektionen[[#This Row],[Bearbeitungsdauer_abgewichen]]&gt;0.3,"länger",Lektionen[[#This Row],[Bearbeitungsdauer_abgewichen]]&lt;-0.3,"kürzer",TRUE,"keine Abweichung")</f>
        <v>keine Abweichung</v>
      </c>
      <c r="I3632">
        <v>3</v>
      </c>
    </row>
    <row r="3633" spans="1:9" hidden="1" x14ac:dyDescent="0.3">
      <c r="A3633" s="13">
        <v>562</v>
      </c>
      <c r="B3633" s="4">
        <v>8</v>
      </c>
      <c r="C3633" t="s">
        <v>537</v>
      </c>
      <c r="D3633" t="s">
        <v>527</v>
      </c>
      <c r="E3633">
        <v>5</v>
      </c>
      <c r="F3633">
        <v>5</v>
      </c>
      <c r="G3633" s="8">
        <f>Lektionen[[#This Row],[Bearbeitungsdauer_real]]/Lektionen[[#This Row],[Bearbeitungsdauer_geschätzt]]-1</f>
        <v>0</v>
      </c>
      <c r="H3633" s="8" t="str" cm="1">
        <f t="array" ref="H3633">_xlfn.IFS(Lektionen[[#This Row],[Bearbeitungsdauer_abgewichen]]&gt;0.6,"viel länger",Lektionen[[#This Row],[Bearbeitungsdauer_abgewichen]]&gt;0.3,"länger",Lektionen[[#This Row],[Bearbeitungsdauer_abgewichen]]&lt;-0.3,"kürzer",TRUE,"keine Abweichung")</f>
        <v>keine Abweichung</v>
      </c>
      <c r="I3633">
        <v>1</v>
      </c>
    </row>
    <row r="3634" spans="1:9" hidden="1" x14ac:dyDescent="0.3">
      <c r="A3634" s="13">
        <v>563</v>
      </c>
      <c r="B3634" s="4">
        <v>1</v>
      </c>
      <c r="C3634" t="s">
        <v>526</v>
      </c>
      <c r="D3634" t="s">
        <v>527</v>
      </c>
      <c r="E3634">
        <v>4</v>
      </c>
      <c r="F3634">
        <v>4</v>
      </c>
      <c r="G3634" s="8">
        <f>Lektionen[[#This Row],[Bearbeitungsdauer_real]]/Lektionen[[#This Row],[Bearbeitungsdauer_geschätzt]]-1</f>
        <v>0</v>
      </c>
      <c r="H3634" s="8" t="str" cm="1">
        <f t="array" ref="H3634">_xlfn.IFS(Lektionen[[#This Row],[Bearbeitungsdauer_abgewichen]]&gt;0.6,"viel länger",Lektionen[[#This Row],[Bearbeitungsdauer_abgewichen]]&gt;0.3,"länger",Lektionen[[#This Row],[Bearbeitungsdauer_abgewichen]]&lt;-0.3,"kürzer",TRUE,"keine Abweichung")</f>
        <v>keine Abweichung</v>
      </c>
      <c r="I3634">
        <v>1</v>
      </c>
    </row>
    <row r="3635" spans="1:9" hidden="1" x14ac:dyDescent="0.3">
      <c r="A3635" s="13">
        <v>563</v>
      </c>
      <c r="B3635" s="4">
        <v>2</v>
      </c>
      <c r="C3635" t="s">
        <v>528</v>
      </c>
      <c r="D3635" t="s">
        <v>529</v>
      </c>
      <c r="E3635">
        <v>15</v>
      </c>
      <c r="F3635">
        <v>15</v>
      </c>
      <c r="G3635" s="8">
        <f>Lektionen[[#This Row],[Bearbeitungsdauer_real]]/Lektionen[[#This Row],[Bearbeitungsdauer_geschätzt]]-1</f>
        <v>0</v>
      </c>
      <c r="H3635" s="8" t="str" cm="1">
        <f t="array" ref="H3635">_xlfn.IFS(Lektionen[[#This Row],[Bearbeitungsdauer_abgewichen]]&gt;0.6,"viel länger",Lektionen[[#This Row],[Bearbeitungsdauer_abgewichen]]&gt;0.3,"länger",Lektionen[[#This Row],[Bearbeitungsdauer_abgewichen]]&lt;-0.3,"kürzer",TRUE,"keine Abweichung")</f>
        <v>keine Abweichung</v>
      </c>
      <c r="I3635">
        <v>1</v>
      </c>
    </row>
    <row r="3636" spans="1:9" hidden="1" x14ac:dyDescent="0.3">
      <c r="A3636" s="13">
        <v>563</v>
      </c>
      <c r="B3636" s="4">
        <v>3</v>
      </c>
      <c r="C3636" t="s">
        <v>552</v>
      </c>
      <c r="D3636" t="s">
        <v>530</v>
      </c>
      <c r="E3636">
        <v>30</v>
      </c>
      <c r="F3636">
        <v>31</v>
      </c>
      <c r="G3636" s="8">
        <f>Lektionen[[#This Row],[Bearbeitungsdauer_real]]/Lektionen[[#This Row],[Bearbeitungsdauer_geschätzt]]-1</f>
        <v>3.3333333333333437E-2</v>
      </c>
      <c r="H3636" s="8" t="str" cm="1">
        <f t="array" ref="H3636">_xlfn.IFS(Lektionen[[#This Row],[Bearbeitungsdauer_abgewichen]]&gt;0.6,"viel länger",Lektionen[[#This Row],[Bearbeitungsdauer_abgewichen]]&gt;0.3,"länger",Lektionen[[#This Row],[Bearbeitungsdauer_abgewichen]]&lt;-0.3,"kürzer",TRUE,"keine Abweichung")</f>
        <v>keine Abweichung</v>
      </c>
      <c r="I3636">
        <v>3</v>
      </c>
    </row>
    <row r="3637" spans="1:9" hidden="1" x14ac:dyDescent="0.3">
      <c r="A3637" s="13">
        <v>563</v>
      </c>
      <c r="B3637" s="4">
        <v>4</v>
      </c>
      <c r="C3637" t="s">
        <v>531</v>
      </c>
      <c r="D3637" t="s">
        <v>530</v>
      </c>
      <c r="E3637">
        <v>30</v>
      </c>
      <c r="F3637">
        <v>20</v>
      </c>
      <c r="G3637" s="8">
        <f>Lektionen[[#This Row],[Bearbeitungsdauer_real]]/Lektionen[[#This Row],[Bearbeitungsdauer_geschätzt]]-1</f>
        <v>-0.33333333333333337</v>
      </c>
      <c r="H3637" s="8" t="str" cm="1">
        <f t="array" ref="H3637">_xlfn.IFS(Lektionen[[#This Row],[Bearbeitungsdauer_abgewichen]]&gt;0.6,"viel länger",Lektionen[[#This Row],[Bearbeitungsdauer_abgewichen]]&gt;0.3,"länger",Lektionen[[#This Row],[Bearbeitungsdauer_abgewichen]]&lt;-0.3,"kürzer",TRUE,"keine Abweichung")</f>
        <v>kürzer</v>
      </c>
      <c r="I3637">
        <v>3</v>
      </c>
    </row>
    <row r="3638" spans="1:9" x14ac:dyDescent="0.3">
      <c r="A3638" s="13">
        <v>563</v>
      </c>
      <c r="B3638" s="4">
        <v>5</v>
      </c>
      <c r="C3638" t="s">
        <v>532</v>
      </c>
      <c r="D3638" t="s">
        <v>530</v>
      </c>
      <c r="E3638">
        <v>30</v>
      </c>
      <c r="F3638">
        <v>52</v>
      </c>
      <c r="G3638" s="8">
        <f>Lektionen[[#This Row],[Bearbeitungsdauer_real]]/Lektionen[[#This Row],[Bearbeitungsdauer_geschätzt]]-1</f>
        <v>0.73333333333333339</v>
      </c>
      <c r="H3638" s="8" t="str" cm="1">
        <f t="array" ref="H3638">_xlfn.IFS(Lektionen[[#This Row],[Bearbeitungsdauer_abgewichen]]&gt;0.6,"viel länger",Lektionen[[#This Row],[Bearbeitungsdauer_abgewichen]]&gt;0.3,"länger",Lektionen[[#This Row],[Bearbeitungsdauer_abgewichen]]&lt;-0.3,"kürzer",TRUE,"keine Abweichung")</f>
        <v>viel länger</v>
      </c>
      <c r="I3638">
        <v>4</v>
      </c>
    </row>
    <row r="3639" spans="1:9" hidden="1" x14ac:dyDescent="0.3">
      <c r="A3639" s="13">
        <v>563</v>
      </c>
      <c r="B3639" s="4">
        <v>6</v>
      </c>
      <c r="C3639" t="s">
        <v>533</v>
      </c>
      <c r="D3639" t="s">
        <v>534</v>
      </c>
      <c r="E3639">
        <v>5</v>
      </c>
      <c r="F3639">
        <v>2</v>
      </c>
      <c r="G3639" s="8">
        <f>Lektionen[[#This Row],[Bearbeitungsdauer_real]]/Lektionen[[#This Row],[Bearbeitungsdauer_geschätzt]]-1</f>
        <v>-0.6</v>
      </c>
      <c r="H3639" s="8" t="str" cm="1">
        <f t="array" ref="H3639">_xlfn.IFS(Lektionen[[#This Row],[Bearbeitungsdauer_abgewichen]]&gt;0.6,"viel länger",Lektionen[[#This Row],[Bearbeitungsdauer_abgewichen]]&gt;0.3,"länger",Lektionen[[#This Row],[Bearbeitungsdauer_abgewichen]]&lt;-0.3,"kürzer",TRUE,"keine Abweichung")</f>
        <v>kürzer</v>
      </c>
      <c r="I3639">
        <v>2</v>
      </c>
    </row>
    <row r="3640" spans="1:9" hidden="1" x14ac:dyDescent="0.3">
      <c r="A3640" s="13">
        <v>563</v>
      </c>
      <c r="B3640" s="4">
        <v>7</v>
      </c>
      <c r="C3640" t="s">
        <v>535</v>
      </c>
      <c r="D3640" t="s">
        <v>536</v>
      </c>
      <c r="E3640">
        <v>10</v>
      </c>
      <c r="F3640">
        <v>10</v>
      </c>
      <c r="G3640" s="8">
        <f>Lektionen[[#This Row],[Bearbeitungsdauer_real]]/Lektionen[[#This Row],[Bearbeitungsdauer_geschätzt]]-1</f>
        <v>0</v>
      </c>
      <c r="H3640" s="8" t="str" cm="1">
        <f t="array" ref="H3640">_xlfn.IFS(Lektionen[[#This Row],[Bearbeitungsdauer_abgewichen]]&gt;0.6,"viel länger",Lektionen[[#This Row],[Bearbeitungsdauer_abgewichen]]&gt;0.3,"länger",Lektionen[[#This Row],[Bearbeitungsdauer_abgewichen]]&lt;-0.3,"kürzer",TRUE,"keine Abweichung")</f>
        <v>keine Abweichung</v>
      </c>
      <c r="I3640">
        <v>4</v>
      </c>
    </row>
    <row r="3641" spans="1:9" hidden="1" x14ac:dyDescent="0.3">
      <c r="A3641" s="13">
        <v>563</v>
      </c>
      <c r="B3641" s="4">
        <v>8</v>
      </c>
      <c r="C3641" t="s">
        <v>537</v>
      </c>
      <c r="D3641" t="s">
        <v>527</v>
      </c>
      <c r="E3641">
        <v>5</v>
      </c>
      <c r="F3641">
        <v>5</v>
      </c>
      <c r="G3641" s="8">
        <f>Lektionen[[#This Row],[Bearbeitungsdauer_real]]/Lektionen[[#This Row],[Bearbeitungsdauer_geschätzt]]-1</f>
        <v>0</v>
      </c>
      <c r="H3641" s="8" t="str" cm="1">
        <f t="array" ref="H3641">_xlfn.IFS(Lektionen[[#This Row],[Bearbeitungsdauer_abgewichen]]&gt;0.6,"viel länger",Lektionen[[#This Row],[Bearbeitungsdauer_abgewichen]]&gt;0.3,"länger",Lektionen[[#This Row],[Bearbeitungsdauer_abgewichen]]&lt;-0.3,"kürzer",TRUE,"keine Abweichung")</f>
        <v>keine Abweichung</v>
      </c>
      <c r="I3641">
        <v>1</v>
      </c>
    </row>
    <row r="3642" spans="1:9" hidden="1" x14ac:dyDescent="0.3">
      <c r="A3642" s="13">
        <v>565</v>
      </c>
      <c r="B3642" s="4">
        <v>1</v>
      </c>
      <c r="C3642" t="s">
        <v>526</v>
      </c>
      <c r="D3642" t="s">
        <v>527</v>
      </c>
      <c r="E3642">
        <v>4</v>
      </c>
      <c r="F3642">
        <v>4</v>
      </c>
      <c r="G3642" s="8">
        <f>Lektionen[[#This Row],[Bearbeitungsdauer_real]]/Lektionen[[#This Row],[Bearbeitungsdauer_geschätzt]]-1</f>
        <v>0</v>
      </c>
      <c r="H3642" s="8" t="str" cm="1">
        <f t="array" ref="H3642">_xlfn.IFS(Lektionen[[#This Row],[Bearbeitungsdauer_abgewichen]]&gt;0.6,"viel länger",Lektionen[[#This Row],[Bearbeitungsdauer_abgewichen]]&gt;0.3,"länger",Lektionen[[#This Row],[Bearbeitungsdauer_abgewichen]]&lt;-0.3,"kürzer",TRUE,"keine Abweichung")</f>
        <v>keine Abweichung</v>
      </c>
      <c r="I3642">
        <v>1</v>
      </c>
    </row>
    <row r="3643" spans="1:9" hidden="1" x14ac:dyDescent="0.3">
      <c r="A3643" s="13">
        <v>565</v>
      </c>
      <c r="B3643" s="4">
        <v>2</v>
      </c>
      <c r="C3643" t="s">
        <v>528</v>
      </c>
      <c r="D3643" t="s">
        <v>529</v>
      </c>
      <c r="E3643">
        <v>15</v>
      </c>
      <c r="F3643">
        <v>18</v>
      </c>
      <c r="G3643" s="8">
        <f>Lektionen[[#This Row],[Bearbeitungsdauer_real]]/Lektionen[[#This Row],[Bearbeitungsdauer_geschätzt]]-1</f>
        <v>0.19999999999999996</v>
      </c>
      <c r="H3643" s="8" t="str" cm="1">
        <f t="array" ref="H3643">_xlfn.IFS(Lektionen[[#This Row],[Bearbeitungsdauer_abgewichen]]&gt;0.6,"viel länger",Lektionen[[#This Row],[Bearbeitungsdauer_abgewichen]]&gt;0.3,"länger",Lektionen[[#This Row],[Bearbeitungsdauer_abgewichen]]&lt;-0.3,"kürzer",TRUE,"keine Abweichung")</f>
        <v>keine Abweichung</v>
      </c>
      <c r="I3643">
        <v>1</v>
      </c>
    </row>
    <row r="3644" spans="1:9" hidden="1" x14ac:dyDescent="0.3">
      <c r="A3644" s="13">
        <v>565</v>
      </c>
      <c r="B3644" s="4">
        <v>3</v>
      </c>
      <c r="C3644" t="s">
        <v>552</v>
      </c>
      <c r="D3644" t="s">
        <v>530</v>
      </c>
      <c r="E3644">
        <v>30</v>
      </c>
      <c r="F3644">
        <v>30</v>
      </c>
      <c r="G3644" s="8">
        <f>Lektionen[[#This Row],[Bearbeitungsdauer_real]]/Lektionen[[#This Row],[Bearbeitungsdauer_geschätzt]]-1</f>
        <v>0</v>
      </c>
      <c r="H3644" s="8" t="str" cm="1">
        <f t="array" ref="H3644">_xlfn.IFS(Lektionen[[#This Row],[Bearbeitungsdauer_abgewichen]]&gt;0.6,"viel länger",Lektionen[[#This Row],[Bearbeitungsdauer_abgewichen]]&gt;0.3,"länger",Lektionen[[#This Row],[Bearbeitungsdauer_abgewichen]]&lt;-0.3,"kürzer",TRUE,"keine Abweichung")</f>
        <v>keine Abweichung</v>
      </c>
      <c r="I3644">
        <v>2</v>
      </c>
    </row>
    <row r="3645" spans="1:9" hidden="1" x14ac:dyDescent="0.3">
      <c r="A3645" s="13">
        <v>565</v>
      </c>
      <c r="B3645" s="4">
        <v>4</v>
      </c>
      <c r="C3645" t="s">
        <v>531</v>
      </c>
      <c r="D3645" t="s">
        <v>530</v>
      </c>
      <c r="E3645">
        <v>30</v>
      </c>
      <c r="F3645">
        <v>22</v>
      </c>
      <c r="G3645" s="8">
        <f>Lektionen[[#This Row],[Bearbeitungsdauer_real]]/Lektionen[[#This Row],[Bearbeitungsdauer_geschätzt]]-1</f>
        <v>-0.26666666666666672</v>
      </c>
      <c r="H3645" s="8" t="str" cm="1">
        <f t="array" ref="H3645">_xlfn.IFS(Lektionen[[#This Row],[Bearbeitungsdauer_abgewichen]]&gt;0.6,"viel länger",Lektionen[[#This Row],[Bearbeitungsdauer_abgewichen]]&gt;0.3,"länger",Lektionen[[#This Row],[Bearbeitungsdauer_abgewichen]]&lt;-0.3,"kürzer",TRUE,"keine Abweichung")</f>
        <v>keine Abweichung</v>
      </c>
      <c r="I3645">
        <v>2</v>
      </c>
    </row>
    <row r="3646" spans="1:9" x14ac:dyDescent="0.3">
      <c r="A3646" s="13">
        <v>565</v>
      </c>
      <c r="B3646" s="4">
        <v>5</v>
      </c>
      <c r="C3646" t="s">
        <v>532</v>
      </c>
      <c r="D3646" t="s">
        <v>530</v>
      </c>
      <c r="E3646">
        <v>30</v>
      </c>
      <c r="F3646">
        <v>55</v>
      </c>
      <c r="G3646" s="8">
        <f>Lektionen[[#This Row],[Bearbeitungsdauer_real]]/Lektionen[[#This Row],[Bearbeitungsdauer_geschätzt]]-1</f>
        <v>0.83333333333333326</v>
      </c>
      <c r="H3646" s="8" t="str" cm="1">
        <f t="array" ref="H3646">_xlfn.IFS(Lektionen[[#This Row],[Bearbeitungsdauer_abgewichen]]&gt;0.6,"viel länger",Lektionen[[#This Row],[Bearbeitungsdauer_abgewichen]]&gt;0.3,"länger",Lektionen[[#This Row],[Bearbeitungsdauer_abgewichen]]&lt;-0.3,"kürzer",TRUE,"keine Abweichung")</f>
        <v>viel länger</v>
      </c>
      <c r="I3646">
        <v>4</v>
      </c>
    </row>
    <row r="3647" spans="1:9" hidden="1" x14ac:dyDescent="0.3">
      <c r="A3647" s="13">
        <v>565</v>
      </c>
      <c r="B3647" s="4">
        <v>6</v>
      </c>
      <c r="C3647" t="s">
        <v>533</v>
      </c>
      <c r="D3647" t="s">
        <v>534</v>
      </c>
      <c r="E3647">
        <v>5</v>
      </c>
      <c r="F3647">
        <v>1</v>
      </c>
      <c r="G3647" s="8">
        <f>Lektionen[[#This Row],[Bearbeitungsdauer_real]]/Lektionen[[#This Row],[Bearbeitungsdauer_geschätzt]]-1</f>
        <v>-0.8</v>
      </c>
      <c r="H3647" s="8" t="str" cm="1">
        <f t="array" ref="H3647">_xlfn.IFS(Lektionen[[#This Row],[Bearbeitungsdauer_abgewichen]]&gt;0.6,"viel länger",Lektionen[[#This Row],[Bearbeitungsdauer_abgewichen]]&gt;0.3,"länger",Lektionen[[#This Row],[Bearbeitungsdauer_abgewichen]]&lt;-0.3,"kürzer",TRUE,"keine Abweichung")</f>
        <v>kürzer</v>
      </c>
      <c r="I3647">
        <v>2</v>
      </c>
    </row>
    <row r="3648" spans="1:9" hidden="1" x14ac:dyDescent="0.3">
      <c r="A3648" s="13">
        <v>565</v>
      </c>
      <c r="B3648" s="4">
        <v>7</v>
      </c>
      <c r="C3648" t="s">
        <v>535</v>
      </c>
      <c r="D3648" t="s">
        <v>536</v>
      </c>
      <c r="E3648">
        <v>10</v>
      </c>
      <c r="F3648">
        <v>9</v>
      </c>
      <c r="G3648" s="8">
        <f>Lektionen[[#This Row],[Bearbeitungsdauer_real]]/Lektionen[[#This Row],[Bearbeitungsdauer_geschätzt]]-1</f>
        <v>-9.9999999999999978E-2</v>
      </c>
      <c r="H3648" s="8" t="str" cm="1">
        <f t="array" ref="H3648">_xlfn.IFS(Lektionen[[#This Row],[Bearbeitungsdauer_abgewichen]]&gt;0.6,"viel länger",Lektionen[[#This Row],[Bearbeitungsdauer_abgewichen]]&gt;0.3,"länger",Lektionen[[#This Row],[Bearbeitungsdauer_abgewichen]]&lt;-0.3,"kürzer",TRUE,"keine Abweichung")</f>
        <v>keine Abweichung</v>
      </c>
      <c r="I3648">
        <v>4</v>
      </c>
    </row>
    <row r="3649" spans="1:9" hidden="1" x14ac:dyDescent="0.3">
      <c r="A3649" s="13">
        <v>565</v>
      </c>
      <c r="B3649" s="4">
        <v>8</v>
      </c>
      <c r="C3649" t="s">
        <v>537</v>
      </c>
      <c r="D3649" t="s">
        <v>527</v>
      </c>
      <c r="E3649">
        <v>5</v>
      </c>
      <c r="F3649">
        <v>5</v>
      </c>
      <c r="G3649" s="8">
        <f>Lektionen[[#This Row],[Bearbeitungsdauer_real]]/Lektionen[[#This Row],[Bearbeitungsdauer_geschätzt]]-1</f>
        <v>0</v>
      </c>
      <c r="H3649" s="8" t="str" cm="1">
        <f t="array" ref="H3649">_xlfn.IFS(Lektionen[[#This Row],[Bearbeitungsdauer_abgewichen]]&gt;0.6,"viel länger",Lektionen[[#This Row],[Bearbeitungsdauer_abgewichen]]&gt;0.3,"länger",Lektionen[[#This Row],[Bearbeitungsdauer_abgewichen]]&lt;-0.3,"kürzer",TRUE,"keine Abweichung")</f>
        <v>keine Abweichung</v>
      </c>
      <c r="I3649">
        <v>2</v>
      </c>
    </row>
    <row r="3650" spans="1:9" hidden="1" x14ac:dyDescent="0.3">
      <c r="A3650" s="13">
        <v>566</v>
      </c>
      <c r="B3650" s="4">
        <v>1</v>
      </c>
      <c r="C3650" t="s">
        <v>526</v>
      </c>
      <c r="D3650" t="s">
        <v>527</v>
      </c>
      <c r="E3650">
        <v>4</v>
      </c>
      <c r="F3650">
        <v>6</v>
      </c>
      <c r="G3650" s="8">
        <f>Lektionen[[#This Row],[Bearbeitungsdauer_real]]/Lektionen[[#This Row],[Bearbeitungsdauer_geschätzt]]-1</f>
        <v>0.5</v>
      </c>
      <c r="H3650" s="8" t="str" cm="1">
        <f t="array" ref="H3650">_xlfn.IFS(Lektionen[[#This Row],[Bearbeitungsdauer_abgewichen]]&gt;0.6,"viel länger",Lektionen[[#This Row],[Bearbeitungsdauer_abgewichen]]&gt;0.3,"länger",Lektionen[[#This Row],[Bearbeitungsdauer_abgewichen]]&lt;-0.3,"kürzer",TRUE,"keine Abweichung")</f>
        <v>länger</v>
      </c>
      <c r="I3650">
        <v>1</v>
      </c>
    </row>
    <row r="3651" spans="1:9" hidden="1" x14ac:dyDescent="0.3">
      <c r="A3651" s="13">
        <v>566</v>
      </c>
      <c r="B3651" s="4">
        <v>2</v>
      </c>
      <c r="C3651" t="s">
        <v>528</v>
      </c>
      <c r="D3651" t="s">
        <v>529</v>
      </c>
      <c r="E3651">
        <v>15</v>
      </c>
      <c r="F3651">
        <v>15</v>
      </c>
      <c r="G3651" s="8">
        <f>Lektionen[[#This Row],[Bearbeitungsdauer_real]]/Lektionen[[#This Row],[Bearbeitungsdauer_geschätzt]]-1</f>
        <v>0</v>
      </c>
      <c r="H3651" s="8" t="str" cm="1">
        <f t="array" ref="H3651">_xlfn.IFS(Lektionen[[#This Row],[Bearbeitungsdauer_abgewichen]]&gt;0.6,"viel länger",Lektionen[[#This Row],[Bearbeitungsdauer_abgewichen]]&gt;0.3,"länger",Lektionen[[#This Row],[Bearbeitungsdauer_abgewichen]]&lt;-0.3,"kürzer",TRUE,"keine Abweichung")</f>
        <v>keine Abweichung</v>
      </c>
      <c r="I3651">
        <v>1</v>
      </c>
    </row>
    <row r="3652" spans="1:9" hidden="1" x14ac:dyDescent="0.3">
      <c r="A3652" s="13">
        <v>566</v>
      </c>
      <c r="B3652" s="4">
        <v>3</v>
      </c>
      <c r="C3652" t="s">
        <v>552</v>
      </c>
      <c r="D3652" t="s">
        <v>530</v>
      </c>
      <c r="E3652">
        <v>30</v>
      </c>
      <c r="F3652">
        <v>30</v>
      </c>
      <c r="G3652" s="8">
        <f>Lektionen[[#This Row],[Bearbeitungsdauer_real]]/Lektionen[[#This Row],[Bearbeitungsdauer_geschätzt]]-1</f>
        <v>0</v>
      </c>
      <c r="H3652" s="8" t="str" cm="1">
        <f t="array" ref="H3652">_xlfn.IFS(Lektionen[[#This Row],[Bearbeitungsdauer_abgewichen]]&gt;0.6,"viel länger",Lektionen[[#This Row],[Bearbeitungsdauer_abgewichen]]&gt;0.3,"länger",Lektionen[[#This Row],[Bearbeitungsdauer_abgewichen]]&lt;-0.3,"kürzer",TRUE,"keine Abweichung")</f>
        <v>keine Abweichung</v>
      </c>
      <c r="I3652">
        <v>2</v>
      </c>
    </row>
    <row r="3653" spans="1:9" hidden="1" x14ac:dyDescent="0.3">
      <c r="A3653" s="13">
        <v>566</v>
      </c>
      <c r="B3653" s="4">
        <v>4</v>
      </c>
      <c r="C3653" t="s">
        <v>531</v>
      </c>
      <c r="D3653" t="s">
        <v>530</v>
      </c>
      <c r="E3653">
        <v>30</v>
      </c>
      <c r="F3653">
        <v>25</v>
      </c>
      <c r="G3653" s="8">
        <f>Lektionen[[#This Row],[Bearbeitungsdauer_real]]/Lektionen[[#This Row],[Bearbeitungsdauer_geschätzt]]-1</f>
        <v>-0.16666666666666663</v>
      </c>
      <c r="H3653" s="8" t="str" cm="1">
        <f t="array" ref="H3653">_xlfn.IFS(Lektionen[[#This Row],[Bearbeitungsdauer_abgewichen]]&gt;0.6,"viel länger",Lektionen[[#This Row],[Bearbeitungsdauer_abgewichen]]&gt;0.3,"länger",Lektionen[[#This Row],[Bearbeitungsdauer_abgewichen]]&lt;-0.3,"kürzer",TRUE,"keine Abweichung")</f>
        <v>keine Abweichung</v>
      </c>
      <c r="I3653">
        <v>3</v>
      </c>
    </row>
    <row r="3654" spans="1:9" x14ac:dyDescent="0.3">
      <c r="A3654" s="13">
        <v>566</v>
      </c>
      <c r="B3654" s="4">
        <v>5</v>
      </c>
      <c r="C3654" t="s">
        <v>532</v>
      </c>
      <c r="D3654" t="s">
        <v>530</v>
      </c>
      <c r="E3654">
        <v>30</v>
      </c>
      <c r="F3654">
        <v>43</v>
      </c>
      <c r="G3654" s="8">
        <f>Lektionen[[#This Row],[Bearbeitungsdauer_real]]/Lektionen[[#This Row],[Bearbeitungsdauer_geschätzt]]-1</f>
        <v>0.43333333333333335</v>
      </c>
      <c r="H3654" s="8" t="str" cm="1">
        <f t="array" ref="H3654">_xlfn.IFS(Lektionen[[#This Row],[Bearbeitungsdauer_abgewichen]]&gt;0.6,"viel länger",Lektionen[[#This Row],[Bearbeitungsdauer_abgewichen]]&gt;0.3,"länger",Lektionen[[#This Row],[Bearbeitungsdauer_abgewichen]]&lt;-0.3,"kürzer",TRUE,"keine Abweichung")</f>
        <v>länger</v>
      </c>
      <c r="I3654">
        <v>4</v>
      </c>
    </row>
    <row r="3655" spans="1:9" hidden="1" x14ac:dyDescent="0.3">
      <c r="A3655" s="13">
        <v>566</v>
      </c>
      <c r="B3655" s="4">
        <v>6</v>
      </c>
      <c r="C3655" t="s">
        <v>533</v>
      </c>
      <c r="D3655" t="s">
        <v>534</v>
      </c>
      <c r="E3655">
        <v>5</v>
      </c>
      <c r="F3655">
        <v>1</v>
      </c>
      <c r="G3655" s="8">
        <f>Lektionen[[#This Row],[Bearbeitungsdauer_real]]/Lektionen[[#This Row],[Bearbeitungsdauer_geschätzt]]-1</f>
        <v>-0.8</v>
      </c>
      <c r="H3655" s="8" t="str" cm="1">
        <f t="array" ref="H3655">_xlfn.IFS(Lektionen[[#This Row],[Bearbeitungsdauer_abgewichen]]&gt;0.6,"viel länger",Lektionen[[#This Row],[Bearbeitungsdauer_abgewichen]]&gt;0.3,"länger",Lektionen[[#This Row],[Bearbeitungsdauer_abgewichen]]&lt;-0.3,"kürzer",TRUE,"keine Abweichung")</f>
        <v>kürzer</v>
      </c>
      <c r="I3655">
        <v>1</v>
      </c>
    </row>
    <row r="3656" spans="1:9" hidden="1" x14ac:dyDescent="0.3">
      <c r="A3656" s="13">
        <v>566</v>
      </c>
      <c r="B3656" s="4">
        <v>7</v>
      </c>
      <c r="C3656" t="s">
        <v>535</v>
      </c>
      <c r="D3656" t="s">
        <v>536</v>
      </c>
      <c r="E3656">
        <v>10</v>
      </c>
      <c r="F3656">
        <v>9</v>
      </c>
      <c r="G3656" s="8">
        <f>Lektionen[[#This Row],[Bearbeitungsdauer_real]]/Lektionen[[#This Row],[Bearbeitungsdauer_geschätzt]]-1</f>
        <v>-9.9999999999999978E-2</v>
      </c>
      <c r="H3656" s="8" t="str" cm="1">
        <f t="array" ref="H3656">_xlfn.IFS(Lektionen[[#This Row],[Bearbeitungsdauer_abgewichen]]&gt;0.6,"viel länger",Lektionen[[#This Row],[Bearbeitungsdauer_abgewichen]]&gt;0.3,"länger",Lektionen[[#This Row],[Bearbeitungsdauer_abgewichen]]&lt;-0.3,"kürzer",TRUE,"keine Abweichung")</f>
        <v>keine Abweichung</v>
      </c>
      <c r="I3656">
        <v>3</v>
      </c>
    </row>
    <row r="3657" spans="1:9" hidden="1" x14ac:dyDescent="0.3">
      <c r="A3657" s="13">
        <v>566</v>
      </c>
      <c r="B3657" s="4">
        <v>8</v>
      </c>
      <c r="C3657" t="s">
        <v>537</v>
      </c>
      <c r="D3657" t="s">
        <v>527</v>
      </c>
      <c r="E3657">
        <v>5</v>
      </c>
      <c r="F3657">
        <v>5</v>
      </c>
      <c r="G3657" s="8">
        <f>Lektionen[[#This Row],[Bearbeitungsdauer_real]]/Lektionen[[#This Row],[Bearbeitungsdauer_geschätzt]]-1</f>
        <v>0</v>
      </c>
      <c r="H3657" s="8" t="str" cm="1">
        <f t="array" ref="H3657">_xlfn.IFS(Lektionen[[#This Row],[Bearbeitungsdauer_abgewichen]]&gt;0.6,"viel länger",Lektionen[[#This Row],[Bearbeitungsdauer_abgewichen]]&gt;0.3,"länger",Lektionen[[#This Row],[Bearbeitungsdauer_abgewichen]]&lt;-0.3,"kürzer",TRUE,"keine Abweichung")</f>
        <v>keine Abweichung</v>
      </c>
      <c r="I3657">
        <v>1</v>
      </c>
    </row>
    <row r="3658" spans="1:9" hidden="1" x14ac:dyDescent="0.3">
      <c r="A3658" s="13">
        <v>567</v>
      </c>
      <c r="B3658" s="4">
        <v>1</v>
      </c>
      <c r="C3658" t="s">
        <v>526</v>
      </c>
      <c r="D3658" t="s">
        <v>527</v>
      </c>
      <c r="E3658">
        <v>4</v>
      </c>
      <c r="F3658">
        <v>4</v>
      </c>
      <c r="G3658" s="8">
        <f>Lektionen[[#This Row],[Bearbeitungsdauer_real]]/Lektionen[[#This Row],[Bearbeitungsdauer_geschätzt]]-1</f>
        <v>0</v>
      </c>
      <c r="H3658" s="8" t="str" cm="1">
        <f t="array" ref="H3658">_xlfn.IFS(Lektionen[[#This Row],[Bearbeitungsdauer_abgewichen]]&gt;0.6,"viel länger",Lektionen[[#This Row],[Bearbeitungsdauer_abgewichen]]&gt;0.3,"länger",Lektionen[[#This Row],[Bearbeitungsdauer_abgewichen]]&lt;-0.3,"kürzer",TRUE,"keine Abweichung")</f>
        <v>keine Abweichung</v>
      </c>
      <c r="I3658">
        <v>1</v>
      </c>
    </row>
    <row r="3659" spans="1:9" hidden="1" x14ac:dyDescent="0.3">
      <c r="A3659" s="13">
        <v>567</v>
      </c>
      <c r="B3659" s="4">
        <v>2</v>
      </c>
      <c r="C3659" t="s">
        <v>528</v>
      </c>
      <c r="D3659" t="s">
        <v>529</v>
      </c>
      <c r="E3659">
        <v>15</v>
      </c>
      <c r="F3659">
        <v>16</v>
      </c>
      <c r="G3659" s="8">
        <f>Lektionen[[#This Row],[Bearbeitungsdauer_real]]/Lektionen[[#This Row],[Bearbeitungsdauer_geschätzt]]-1</f>
        <v>6.6666666666666652E-2</v>
      </c>
      <c r="H3659" s="8" t="str" cm="1">
        <f t="array" ref="H3659">_xlfn.IFS(Lektionen[[#This Row],[Bearbeitungsdauer_abgewichen]]&gt;0.6,"viel länger",Lektionen[[#This Row],[Bearbeitungsdauer_abgewichen]]&gt;0.3,"länger",Lektionen[[#This Row],[Bearbeitungsdauer_abgewichen]]&lt;-0.3,"kürzer",TRUE,"keine Abweichung")</f>
        <v>keine Abweichung</v>
      </c>
      <c r="I3659">
        <v>2</v>
      </c>
    </row>
    <row r="3660" spans="1:9" hidden="1" x14ac:dyDescent="0.3">
      <c r="A3660" s="13">
        <v>567</v>
      </c>
      <c r="B3660" s="4">
        <v>3</v>
      </c>
      <c r="C3660" t="s">
        <v>552</v>
      </c>
      <c r="D3660" t="s">
        <v>530</v>
      </c>
      <c r="E3660">
        <v>30</v>
      </c>
      <c r="F3660">
        <v>28</v>
      </c>
      <c r="G3660" s="8">
        <f>Lektionen[[#This Row],[Bearbeitungsdauer_real]]/Lektionen[[#This Row],[Bearbeitungsdauer_geschätzt]]-1</f>
        <v>-6.6666666666666652E-2</v>
      </c>
      <c r="H3660" s="8" t="str" cm="1">
        <f t="array" ref="H3660">_xlfn.IFS(Lektionen[[#This Row],[Bearbeitungsdauer_abgewichen]]&gt;0.6,"viel länger",Lektionen[[#This Row],[Bearbeitungsdauer_abgewichen]]&gt;0.3,"länger",Lektionen[[#This Row],[Bearbeitungsdauer_abgewichen]]&lt;-0.3,"kürzer",TRUE,"keine Abweichung")</f>
        <v>keine Abweichung</v>
      </c>
      <c r="I3660">
        <v>3</v>
      </c>
    </row>
    <row r="3661" spans="1:9" hidden="1" x14ac:dyDescent="0.3">
      <c r="A3661" s="13">
        <v>567</v>
      </c>
      <c r="B3661" s="4">
        <v>4</v>
      </c>
      <c r="C3661" t="s">
        <v>531</v>
      </c>
      <c r="D3661" t="s">
        <v>530</v>
      </c>
      <c r="E3661">
        <v>30</v>
      </c>
      <c r="F3661">
        <v>24</v>
      </c>
      <c r="G3661" s="8">
        <f>Lektionen[[#This Row],[Bearbeitungsdauer_real]]/Lektionen[[#This Row],[Bearbeitungsdauer_geschätzt]]-1</f>
        <v>-0.19999999999999996</v>
      </c>
      <c r="H3661" s="8" t="str" cm="1">
        <f t="array" ref="H3661">_xlfn.IFS(Lektionen[[#This Row],[Bearbeitungsdauer_abgewichen]]&gt;0.6,"viel länger",Lektionen[[#This Row],[Bearbeitungsdauer_abgewichen]]&gt;0.3,"länger",Lektionen[[#This Row],[Bearbeitungsdauer_abgewichen]]&lt;-0.3,"kürzer",TRUE,"keine Abweichung")</f>
        <v>keine Abweichung</v>
      </c>
      <c r="I3661">
        <v>2</v>
      </c>
    </row>
    <row r="3662" spans="1:9" x14ac:dyDescent="0.3">
      <c r="A3662" s="13">
        <v>567</v>
      </c>
      <c r="B3662" s="4">
        <v>5</v>
      </c>
      <c r="C3662" t="s">
        <v>532</v>
      </c>
      <c r="D3662" t="s">
        <v>530</v>
      </c>
      <c r="E3662">
        <v>30</v>
      </c>
      <c r="F3662">
        <v>47</v>
      </c>
      <c r="G3662" s="8">
        <f>Lektionen[[#This Row],[Bearbeitungsdauer_real]]/Lektionen[[#This Row],[Bearbeitungsdauer_geschätzt]]-1</f>
        <v>0.56666666666666665</v>
      </c>
      <c r="H3662" s="8" t="str" cm="1">
        <f t="array" ref="H3662">_xlfn.IFS(Lektionen[[#This Row],[Bearbeitungsdauer_abgewichen]]&gt;0.6,"viel länger",Lektionen[[#This Row],[Bearbeitungsdauer_abgewichen]]&gt;0.3,"länger",Lektionen[[#This Row],[Bearbeitungsdauer_abgewichen]]&lt;-0.3,"kürzer",TRUE,"keine Abweichung")</f>
        <v>länger</v>
      </c>
      <c r="I3662">
        <v>4</v>
      </c>
    </row>
    <row r="3663" spans="1:9" hidden="1" x14ac:dyDescent="0.3">
      <c r="A3663" s="13">
        <v>567</v>
      </c>
      <c r="B3663" s="4">
        <v>6</v>
      </c>
      <c r="C3663" t="s">
        <v>533</v>
      </c>
      <c r="D3663" t="s">
        <v>534</v>
      </c>
      <c r="E3663">
        <v>5</v>
      </c>
      <c r="F3663">
        <v>1</v>
      </c>
      <c r="G3663" s="8">
        <f>Lektionen[[#This Row],[Bearbeitungsdauer_real]]/Lektionen[[#This Row],[Bearbeitungsdauer_geschätzt]]-1</f>
        <v>-0.8</v>
      </c>
      <c r="H3663" s="8" t="str" cm="1">
        <f t="array" ref="H3663">_xlfn.IFS(Lektionen[[#This Row],[Bearbeitungsdauer_abgewichen]]&gt;0.6,"viel länger",Lektionen[[#This Row],[Bearbeitungsdauer_abgewichen]]&gt;0.3,"länger",Lektionen[[#This Row],[Bearbeitungsdauer_abgewichen]]&lt;-0.3,"kürzer",TRUE,"keine Abweichung")</f>
        <v>kürzer</v>
      </c>
      <c r="I3663">
        <v>2</v>
      </c>
    </row>
    <row r="3664" spans="1:9" hidden="1" x14ac:dyDescent="0.3">
      <c r="A3664" s="13">
        <v>567</v>
      </c>
      <c r="B3664" s="4">
        <v>7</v>
      </c>
      <c r="C3664" t="s">
        <v>535</v>
      </c>
      <c r="D3664" t="s">
        <v>536</v>
      </c>
      <c r="E3664">
        <v>10</v>
      </c>
      <c r="F3664">
        <v>9</v>
      </c>
      <c r="G3664" s="8">
        <f>Lektionen[[#This Row],[Bearbeitungsdauer_real]]/Lektionen[[#This Row],[Bearbeitungsdauer_geschätzt]]-1</f>
        <v>-9.9999999999999978E-2</v>
      </c>
      <c r="H3664" s="8" t="str" cm="1">
        <f t="array" ref="H3664">_xlfn.IFS(Lektionen[[#This Row],[Bearbeitungsdauer_abgewichen]]&gt;0.6,"viel länger",Lektionen[[#This Row],[Bearbeitungsdauer_abgewichen]]&gt;0.3,"länger",Lektionen[[#This Row],[Bearbeitungsdauer_abgewichen]]&lt;-0.3,"kürzer",TRUE,"keine Abweichung")</f>
        <v>keine Abweichung</v>
      </c>
      <c r="I3664">
        <v>3</v>
      </c>
    </row>
    <row r="3665" spans="1:9" hidden="1" x14ac:dyDescent="0.3">
      <c r="A3665" s="13">
        <v>567</v>
      </c>
      <c r="B3665" s="4">
        <v>8</v>
      </c>
      <c r="C3665" t="s">
        <v>537</v>
      </c>
      <c r="D3665" t="s">
        <v>527</v>
      </c>
      <c r="E3665">
        <v>5</v>
      </c>
      <c r="F3665">
        <v>5</v>
      </c>
      <c r="G3665" s="8">
        <f>Lektionen[[#This Row],[Bearbeitungsdauer_real]]/Lektionen[[#This Row],[Bearbeitungsdauer_geschätzt]]-1</f>
        <v>0</v>
      </c>
      <c r="H3665" s="8" t="str" cm="1">
        <f t="array" ref="H3665">_xlfn.IFS(Lektionen[[#This Row],[Bearbeitungsdauer_abgewichen]]&gt;0.6,"viel länger",Lektionen[[#This Row],[Bearbeitungsdauer_abgewichen]]&gt;0.3,"länger",Lektionen[[#This Row],[Bearbeitungsdauer_abgewichen]]&lt;-0.3,"kürzer",TRUE,"keine Abweichung")</f>
        <v>keine Abweichung</v>
      </c>
      <c r="I3665">
        <v>1</v>
      </c>
    </row>
    <row r="3666" spans="1:9" hidden="1" x14ac:dyDescent="0.3">
      <c r="A3666" s="13">
        <v>568</v>
      </c>
      <c r="B3666" s="4">
        <v>1</v>
      </c>
      <c r="C3666" t="s">
        <v>526</v>
      </c>
      <c r="D3666" t="s">
        <v>527</v>
      </c>
      <c r="E3666">
        <v>4</v>
      </c>
      <c r="F3666">
        <v>4</v>
      </c>
      <c r="G3666" s="8">
        <f>Lektionen[[#This Row],[Bearbeitungsdauer_real]]/Lektionen[[#This Row],[Bearbeitungsdauer_geschätzt]]-1</f>
        <v>0</v>
      </c>
      <c r="H3666" s="8" t="str" cm="1">
        <f t="array" ref="H3666">_xlfn.IFS(Lektionen[[#This Row],[Bearbeitungsdauer_abgewichen]]&gt;0.6,"viel länger",Lektionen[[#This Row],[Bearbeitungsdauer_abgewichen]]&gt;0.3,"länger",Lektionen[[#This Row],[Bearbeitungsdauer_abgewichen]]&lt;-0.3,"kürzer",TRUE,"keine Abweichung")</f>
        <v>keine Abweichung</v>
      </c>
      <c r="I3666">
        <v>1</v>
      </c>
    </row>
    <row r="3667" spans="1:9" hidden="1" x14ac:dyDescent="0.3">
      <c r="A3667" s="13">
        <v>568</v>
      </c>
      <c r="B3667" s="4">
        <v>2</v>
      </c>
      <c r="C3667" t="s">
        <v>528</v>
      </c>
      <c r="D3667" t="s">
        <v>529</v>
      </c>
      <c r="E3667">
        <v>15</v>
      </c>
      <c r="F3667">
        <v>20</v>
      </c>
      <c r="G3667" s="8">
        <f>Lektionen[[#This Row],[Bearbeitungsdauer_real]]/Lektionen[[#This Row],[Bearbeitungsdauer_geschätzt]]-1</f>
        <v>0.33333333333333326</v>
      </c>
      <c r="H3667" s="8" t="str" cm="1">
        <f t="array" ref="H3667">_xlfn.IFS(Lektionen[[#This Row],[Bearbeitungsdauer_abgewichen]]&gt;0.6,"viel länger",Lektionen[[#This Row],[Bearbeitungsdauer_abgewichen]]&gt;0.3,"länger",Lektionen[[#This Row],[Bearbeitungsdauer_abgewichen]]&lt;-0.3,"kürzer",TRUE,"keine Abweichung")</f>
        <v>länger</v>
      </c>
      <c r="I3667">
        <v>1</v>
      </c>
    </row>
    <row r="3668" spans="1:9" hidden="1" x14ac:dyDescent="0.3">
      <c r="A3668" s="13">
        <v>568</v>
      </c>
      <c r="B3668" s="4">
        <v>3</v>
      </c>
      <c r="C3668" t="s">
        <v>552</v>
      </c>
      <c r="D3668" t="s">
        <v>530</v>
      </c>
      <c r="E3668">
        <v>30</v>
      </c>
      <c r="F3668">
        <v>28</v>
      </c>
      <c r="G3668" s="8">
        <f>Lektionen[[#This Row],[Bearbeitungsdauer_real]]/Lektionen[[#This Row],[Bearbeitungsdauer_geschätzt]]-1</f>
        <v>-6.6666666666666652E-2</v>
      </c>
      <c r="H3668" s="8" t="str" cm="1">
        <f t="array" ref="H3668">_xlfn.IFS(Lektionen[[#This Row],[Bearbeitungsdauer_abgewichen]]&gt;0.6,"viel länger",Lektionen[[#This Row],[Bearbeitungsdauer_abgewichen]]&gt;0.3,"länger",Lektionen[[#This Row],[Bearbeitungsdauer_abgewichen]]&lt;-0.3,"kürzer",TRUE,"keine Abweichung")</f>
        <v>keine Abweichung</v>
      </c>
      <c r="I3668">
        <v>3</v>
      </c>
    </row>
    <row r="3669" spans="1:9" hidden="1" x14ac:dyDescent="0.3">
      <c r="A3669" s="13">
        <v>568</v>
      </c>
      <c r="B3669" s="4">
        <v>4</v>
      </c>
      <c r="C3669" t="s">
        <v>531</v>
      </c>
      <c r="D3669" t="s">
        <v>530</v>
      </c>
      <c r="E3669">
        <v>30</v>
      </c>
      <c r="F3669">
        <v>32</v>
      </c>
      <c r="G3669" s="8">
        <f>Lektionen[[#This Row],[Bearbeitungsdauer_real]]/Lektionen[[#This Row],[Bearbeitungsdauer_geschätzt]]-1</f>
        <v>6.6666666666666652E-2</v>
      </c>
      <c r="H3669" s="8" t="str" cm="1">
        <f t="array" ref="H3669">_xlfn.IFS(Lektionen[[#This Row],[Bearbeitungsdauer_abgewichen]]&gt;0.6,"viel länger",Lektionen[[#This Row],[Bearbeitungsdauer_abgewichen]]&gt;0.3,"länger",Lektionen[[#This Row],[Bearbeitungsdauer_abgewichen]]&lt;-0.3,"kürzer",TRUE,"keine Abweichung")</f>
        <v>keine Abweichung</v>
      </c>
      <c r="I3669">
        <v>2</v>
      </c>
    </row>
    <row r="3670" spans="1:9" x14ac:dyDescent="0.3">
      <c r="A3670" s="13">
        <v>568</v>
      </c>
      <c r="B3670" s="4">
        <v>5</v>
      </c>
      <c r="C3670" t="s">
        <v>532</v>
      </c>
      <c r="D3670" t="s">
        <v>530</v>
      </c>
      <c r="E3670">
        <v>30</v>
      </c>
      <c r="F3670">
        <v>46</v>
      </c>
      <c r="G3670" s="8">
        <f>Lektionen[[#This Row],[Bearbeitungsdauer_real]]/Lektionen[[#This Row],[Bearbeitungsdauer_geschätzt]]-1</f>
        <v>0.53333333333333344</v>
      </c>
      <c r="H3670" s="8" t="str" cm="1">
        <f t="array" ref="H3670">_xlfn.IFS(Lektionen[[#This Row],[Bearbeitungsdauer_abgewichen]]&gt;0.6,"viel länger",Lektionen[[#This Row],[Bearbeitungsdauer_abgewichen]]&gt;0.3,"länger",Lektionen[[#This Row],[Bearbeitungsdauer_abgewichen]]&lt;-0.3,"kürzer",TRUE,"keine Abweichung")</f>
        <v>länger</v>
      </c>
      <c r="I3670">
        <v>4</v>
      </c>
    </row>
    <row r="3671" spans="1:9" hidden="1" x14ac:dyDescent="0.3">
      <c r="A3671" s="13">
        <v>568</v>
      </c>
      <c r="B3671" s="4">
        <v>6</v>
      </c>
      <c r="C3671" t="s">
        <v>533</v>
      </c>
      <c r="D3671" t="s">
        <v>534</v>
      </c>
      <c r="E3671">
        <v>5</v>
      </c>
      <c r="F3671">
        <v>1</v>
      </c>
      <c r="G3671" s="8">
        <f>Lektionen[[#This Row],[Bearbeitungsdauer_real]]/Lektionen[[#This Row],[Bearbeitungsdauer_geschätzt]]-1</f>
        <v>-0.8</v>
      </c>
      <c r="H3671" s="8" t="str" cm="1">
        <f t="array" ref="H3671">_xlfn.IFS(Lektionen[[#This Row],[Bearbeitungsdauer_abgewichen]]&gt;0.6,"viel länger",Lektionen[[#This Row],[Bearbeitungsdauer_abgewichen]]&gt;0.3,"länger",Lektionen[[#This Row],[Bearbeitungsdauer_abgewichen]]&lt;-0.3,"kürzer",TRUE,"keine Abweichung")</f>
        <v>kürzer</v>
      </c>
      <c r="I3671">
        <v>3</v>
      </c>
    </row>
    <row r="3672" spans="1:9" hidden="1" x14ac:dyDescent="0.3">
      <c r="A3672" s="13">
        <v>568</v>
      </c>
      <c r="B3672" s="4">
        <v>7</v>
      </c>
      <c r="C3672" t="s">
        <v>535</v>
      </c>
      <c r="D3672" t="s">
        <v>536</v>
      </c>
      <c r="E3672">
        <v>10</v>
      </c>
      <c r="F3672">
        <v>10</v>
      </c>
      <c r="G3672" s="8">
        <f>Lektionen[[#This Row],[Bearbeitungsdauer_real]]/Lektionen[[#This Row],[Bearbeitungsdauer_geschätzt]]-1</f>
        <v>0</v>
      </c>
      <c r="H3672" s="8" t="str" cm="1">
        <f t="array" ref="H3672">_xlfn.IFS(Lektionen[[#This Row],[Bearbeitungsdauer_abgewichen]]&gt;0.6,"viel länger",Lektionen[[#This Row],[Bearbeitungsdauer_abgewichen]]&gt;0.3,"länger",Lektionen[[#This Row],[Bearbeitungsdauer_abgewichen]]&lt;-0.3,"kürzer",TRUE,"keine Abweichung")</f>
        <v>keine Abweichung</v>
      </c>
      <c r="I3672">
        <v>3</v>
      </c>
    </row>
    <row r="3673" spans="1:9" hidden="1" x14ac:dyDescent="0.3">
      <c r="A3673" s="13">
        <v>568</v>
      </c>
      <c r="B3673" s="4">
        <v>8</v>
      </c>
      <c r="C3673" t="s">
        <v>537</v>
      </c>
      <c r="D3673" t="s">
        <v>527</v>
      </c>
      <c r="E3673">
        <v>5</v>
      </c>
      <c r="F3673">
        <v>8</v>
      </c>
      <c r="G3673" s="8">
        <f>Lektionen[[#This Row],[Bearbeitungsdauer_real]]/Lektionen[[#This Row],[Bearbeitungsdauer_geschätzt]]-1</f>
        <v>0.60000000000000009</v>
      </c>
      <c r="H3673" s="8" t="str" cm="1">
        <f t="array" ref="H3673">_xlfn.IFS(Lektionen[[#This Row],[Bearbeitungsdauer_abgewichen]]&gt;0.6,"viel länger",Lektionen[[#This Row],[Bearbeitungsdauer_abgewichen]]&gt;0.3,"länger",Lektionen[[#This Row],[Bearbeitungsdauer_abgewichen]]&lt;-0.3,"kürzer",TRUE,"keine Abweichung")</f>
        <v>länger</v>
      </c>
      <c r="I3673">
        <v>1</v>
      </c>
    </row>
    <row r="3674" spans="1:9" hidden="1" x14ac:dyDescent="0.3">
      <c r="A3674" s="13">
        <v>569</v>
      </c>
      <c r="B3674" s="4">
        <v>1</v>
      </c>
      <c r="C3674" t="s">
        <v>526</v>
      </c>
      <c r="D3674" t="s">
        <v>527</v>
      </c>
      <c r="E3674">
        <v>4</v>
      </c>
      <c r="F3674">
        <v>6</v>
      </c>
      <c r="G3674" s="8">
        <f>Lektionen[[#This Row],[Bearbeitungsdauer_real]]/Lektionen[[#This Row],[Bearbeitungsdauer_geschätzt]]-1</f>
        <v>0.5</v>
      </c>
      <c r="H3674" s="8" t="str" cm="1">
        <f t="array" ref="H3674">_xlfn.IFS(Lektionen[[#This Row],[Bearbeitungsdauer_abgewichen]]&gt;0.6,"viel länger",Lektionen[[#This Row],[Bearbeitungsdauer_abgewichen]]&gt;0.3,"länger",Lektionen[[#This Row],[Bearbeitungsdauer_abgewichen]]&lt;-0.3,"kürzer",TRUE,"keine Abweichung")</f>
        <v>länger</v>
      </c>
      <c r="I3674">
        <v>1</v>
      </c>
    </row>
    <row r="3675" spans="1:9" hidden="1" x14ac:dyDescent="0.3">
      <c r="A3675" s="13">
        <v>569</v>
      </c>
      <c r="B3675" s="4">
        <v>2</v>
      </c>
      <c r="C3675" t="s">
        <v>528</v>
      </c>
      <c r="D3675" t="s">
        <v>529</v>
      </c>
      <c r="E3675">
        <v>15</v>
      </c>
      <c r="F3675">
        <v>18</v>
      </c>
      <c r="G3675" s="8">
        <f>Lektionen[[#This Row],[Bearbeitungsdauer_real]]/Lektionen[[#This Row],[Bearbeitungsdauer_geschätzt]]-1</f>
        <v>0.19999999999999996</v>
      </c>
      <c r="H3675" s="8" t="str" cm="1">
        <f t="array" ref="H3675">_xlfn.IFS(Lektionen[[#This Row],[Bearbeitungsdauer_abgewichen]]&gt;0.6,"viel länger",Lektionen[[#This Row],[Bearbeitungsdauer_abgewichen]]&gt;0.3,"länger",Lektionen[[#This Row],[Bearbeitungsdauer_abgewichen]]&lt;-0.3,"kürzer",TRUE,"keine Abweichung")</f>
        <v>keine Abweichung</v>
      </c>
      <c r="I3675">
        <v>2</v>
      </c>
    </row>
    <row r="3676" spans="1:9" hidden="1" x14ac:dyDescent="0.3">
      <c r="A3676" s="13">
        <v>569</v>
      </c>
      <c r="B3676" s="4">
        <v>3</v>
      </c>
      <c r="C3676" t="s">
        <v>552</v>
      </c>
      <c r="D3676" t="s">
        <v>530</v>
      </c>
      <c r="E3676">
        <v>30</v>
      </c>
      <c r="F3676">
        <v>29</v>
      </c>
      <c r="G3676" s="8">
        <f>Lektionen[[#This Row],[Bearbeitungsdauer_real]]/Lektionen[[#This Row],[Bearbeitungsdauer_geschätzt]]-1</f>
        <v>-3.3333333333333326E-2</v>
      </c>
      <c r="H3676" s="8" t="str" cm="1">
        <f t="array" ref="H3676">_xlfn.IFS(Lektionen[[#This Row],[Bearbeitungsdauer_abgewichen]]&gt;0.6,"viel länger",Lektionen[[#This Row],[Bearbeitungsdauer_abgewichen]]&gt;0.3,"länger",Lektionen[[#This Row],[Bearbeitungsdauer_abgewichen]]&lt;-0.3,"kürzer",TRUE,"keine Abweichung")</f>
        <v>keine Abweichung</v>
      </c>
      <c r="I3676">
        <v>2</v>
      </c>
    </row>
    <row r="3677" spans="1:9" hidden="1" x14ac:dyDescent="0.3">
      <c r="A3677" s="13">
        <v>569</v>
      </c>
      <c r="B3677" s="4">
        <v>4</v>
      </c>
      <c r="C3677" t="s">
        <v>531</v>
      </c>
      <c r="D3677" t="s">
        <v>530</v>
      </c>
      <c r="E3677">
        <v>30</v>
      </c>
      <c r="F3677">
        <v>25</v>
      </c>
      <c r="G3677" s="8">
        <f>Lektionen[[#This Row],[Bearbeitungsdauer_real]]/Lektionen[[#This Row],[Bearbeitungsdauer_geschätzt]]-1</f>
        <v>-0.16666666666666663</v>
      </c>
      <c r="H3677" s="8" t="str" cm="1">
        <f t="array" ref="H3677">_xlfn.IFS(Lektionen[[#This Row],[Bearbeitungsdauer_abgewichen]]&gt;0.6,"viel länger",Lektionen[[#This Row],[Bearbeitungsdauer_abgewichen]]&gt;0.3,"länger",Lektionen[[#This Row],[Bearbeitungsdauer_abgewichen]]&lt;-0.3,"kürzer",TRUE,"keine Abweichung")</f>
        <v>keine Abweichung</v>
      </c>
      <c r="I3677">
        <v>3</v>
      </c>
    </row>
    <row r="3678" spans="1:9" x14ac:dyDescent="0.3">
      <c r="A3678" s="13">
        <v>569</v>
      </c>
      <c r="B3678" s="4">
        <v>5</v>
      </c>
      <c r="C3678" t="s">
        <v>532</v>
      </c>
      <c r="D3678" t="s">
        <v>530</v>
      </c>
      <c r="E3678">
        <v>30</v>
      </c>
      <c r="F3678">
        <v>49</v>
      </c>
      <c r="G3678" s="8">
        <f>Lektionen[[#This Row],[Bearbeitungsdauer_real]]/Lektionen[[#This Row],[Bearbeitungsdauer_geschätzt]]-1</f>
        <v>0.6333333333333333</v>
      </c>
      <c r="H3678" s="8" t="str" cm="1">
        <f t="array" ref="H3678">_xlfn.IFS(Lektionen[[#This Row],[Bearbeitungsdauer_abgewichen]]&gt;0.6,"viel länger",Lektionen[[#This Row],[Bearbeitungsdauer_abgewichen]]&gt;0.3,"länger",Lektionen[[#This Row],[Bearbeitungsdauer_abgewichen]]&lt;-0.3,"kürzer",TRUE,"keine Abweichung")</f>
        <v>viel länger</v>
      </c>
      <c r="I3678">
        <v>4</v>
      </c>
    </row>
    <row r="3679" spans="1:9" hidden="1" x14ac:dyDescent="0.3">
      <c r="A3679" s="13">
        <v>569</v>
      </c>
      <c r="B3679" s="4">
        <v>6</v>
      </c>
      <c r="C3679" t="s">
        <v>533</v>
      </c>
      <c r="D3679" t="s">
        <v>534</v>
      </c>
      <c r="E3679">
        <v>5</v>
      </c>
      <c r="F3679">
        <v>1</v>
      </c>
      <c r="G3679" s="8">
        <f>Lektionen[[#This Row],[Bearbeitungsdauer_real]]/Lektionen[[#This Row],[Bearbeitungsdauer_geschätzt]]-1</f>
        <v>-0.8</v>
      </c>
      <c r="H3679" s="8" t="str" cm="1">
        <f t="array" ref="H3679">_xlfn.IFS(Lektionen[[#This Row],[Bearbeitungsdauer_abgewichen]]&gt;0.6,"viel länger",Lektionen[[#This Row],[Bearbeitungsdauer_abgewichen]]&gt;0.3,"länger",Lektionen[[#This Row],[Bearbeitungsdauer_abgewichen]]&lt;-0.3,"kürzer",TRUE,"keine Abweichung")</f>
        <v>kürzer</v>
      </c>
      <c r="I3679">
        <v>2</v>
      </c>
    </row>
    <row r="3680" spans="1:9" hidden="1" x14ac:dyDescent="0.3">
      <c r="A3680" s="13">
        <v>569</v>
      </c>
      <c r="B3680" s="4">
        <v>7</v>
      </c>
      <c r="C3680" t="s">
        <v>535</v>
      </c>
      <c r="D3680" t="s">
        <v>536</v>
      </c>
      <c r="E3680">
        <v>10</v>
      </c>
      <c r="F3680">
        <v>10</v>
      </c>
      <c r="G3680" s="8">
        <f>Lektionen[[#This Row],[Bearbeitungsdauer_real]]/Lektionen[[#This Row],[Bearbeitungsdauer_geschätzt]]-1</f>
        <v>0</v>
      </c>
      <c r="H3680" s="8" t="str" cm="1">
        <f t="array" ref="H3680">_xlfn.IFS(Lektionen[[#This Row],[Bearbeitungsdauer_abgewichen]]&gt;0.6,"viel länger",Lektionen[[#This Row],[Bearbeitungsdauer_abgewichen]]&gt;0.3,"länger",Lektionen[[#This Row],[Bearbeitungsdauer_abgewichen]]&lt;-0.3,"kürzer",TRUE,"keine Abweichung")</f>
        <v>keine Abweichung</v>
      </c>
      <c r="I3680">
        <v>4</v>
      </c>
    </row>
    <row r="3681" spans="1:9" hidden="1" x14ac:dyDescent="0.3">
      <c r="A3681" s="13">
        <v>569</v>
      </c>
      <c r="B3681" s="4">
        <v>8</v>
      </c>
      <c r="C3681" t="s">
        <v>537</v>
      </c>
      <c r="D3681" t="s">
        <v>527</v>
      </c>
      <c r="E3681">
        <v>5</v>
      </c>
      <c r="F3681">
        <v>8</v>
      </c>
      <c r="G3681" s="8">
        <f>Lektionen[[#This Row],[Bearbeitungsdauer_real]]/Lektionen[[#This Row],[Bearbeitungsdauer_geschätzt]]-1</f>
        <v>0.60000000000000009</v>
      </c>
      <c r="H3681" s="8" t="str" cm="1">
        <f t="array" ref="H3681">_xlfn.IFS(Lektionen[[#This Row],[Bearbeitungsdauer_abgewichen]]&gt;0.6,"viel länger",Lektionen[[#This Row],[Bearbeitungsdauer_abgewichen]]&gt;0.3,"länger",Lektionen[[#This Row],[Bearbeitungsdauer_abgewichen]]&lt;-0.3,"kürzer",TRUE,"keine Abweichung")</f>
        <v>länger</v>
      </c>
      <c r="I3681">
        <v>1</v>
      </c>
    </row>
    <row r="3682" spans="1:9" hidden="1" x14ac:dyDescent="0.3">
      <c r="A3682" s="13">
        <v>571</v>
      </c>
      <c r="B3682" s="4">
        <v>1</v>
      </c>
      <c r="C3682" t="s">
        <v>526</v>
      </c>
      <c r="D3682" t="s">
        <v>527</v>
      </c>
      <c r="E3682">
        <v>4</v>
      </c>
      <c r="F3682">
        <v>4</v>
      </c>
      <c r="G3682" s="8">
        <f>Lektionen[[#This Row],[Bearbeitungsdauer_real]]/Lektionen[[#This Row],[Bearbeitungsdauer_geschätzt]]-1</f>
        <v>0</v>
      </c>
      <c r="H3682" s="8" t="str" cm="1">
        <f t="array" ref="H3682">_xlfn.IFS(Lektionen[[#This Row],[Bearbeitungsdauer_abgewichen]]&gt;0.6,"viel länger",Lektionen[[#This Row],[Bearbeitungsdauer_abgewichen]]&gt;0.3,"länger",Lektionen[[#This Row],[Bearbeitungsdauer_abgewichen]]&lt;-0.3,"kürzer",TRUE,"keine Abweichung")</f>
        <v>keine Abweichung</v>
      </c>
      <c r="I3682">
        <v>1</v>
      </c>
    </row>
    <row r="3683" spans="1:9" hidden="1" x14ac:dyDescent="0.3">
      <c r="A3683" s="13">
        <v>571</v>
      </c>
      <c r="B3683" s="4">
        <v>2</v>
      </c>
      <c r="C3683" t="s">
        <v>528</v>
      </c>
      <c r="D3683" t="s">
        <v>529</v>
      </c>
      <c r="E3683">
        <v>15</v>
      </c>
      <c r="F3683">
        <v>16</v>
      </c>
      <c r="G3683" s="8">
        <f>Lektionen[[#This Row],[Bearbeitungsdauer_real]]/Lektionen[[#This Row],[Bearbeitungsdauer_geschätzt]]-1</f>
        <v>6.6666666666666652E-2</v>
      </c>
      <c r="H3683" s="8" t="str" cm="1">
        <f t="array" ref="H3683">_xlfn.IFS(Lektionen[[#This Row],[Bearbeitungsdauer_abgewichen]]&gt;0.6,"viel länger",Lektionen[[#This Row],[Bearbeitungsdauer_abgewichen]]&gt;0.3,"länger",Lektionen[[#This Row],[Bearbeitungsdauer_abgewichen]]&lt;-0.3,"kürzer",TRUE,"keine Abweichung")</f>
        <v>keine Abweichung</v>
      </c>
      <c r="I3683">
        <v>1</v>
      </c>
    </row>
    <row r="3684" spans="1:9" hidden="1" x14ac:dyDescent="0.3">
      <c r="A3684" s="13">
        <v>571</v>
      </c>
      <c r="B3684" s="4">
        <v>3</v>
      </c>
      <c r="C3684" t="s">
        <v>552</v>
      </c>
      <c r="D3684" t="s">
        <v>530</v>
      </c>
      <c r="E3684">
        <v>30</v>
      </c>
      <c r="F3684">
        <v>27</v>
      </c>
      <c r="G3684" s="8">
        <f>Lektionen[[#This Row],[Bearbeitungsdauer_real]]/Lektionen[[#This Row],[Bearbeitungsdauer_geschätzt]]-1</f>
        <v>-9.9999999999999978E-2</v>
      </c>
      <c r="H3684" s="8" t="str" cm="1">
        <f t="array" ref="H3684">_xlfn.IFS(Lektionen[[#This Row],[Bearbeitungsdauer_abgewichen]]&gt;0.6,"viel länger",Lektionen[[#This Row],[Bearbeitungsdauer_abgewichen]]&gt;0.3,"länger",Lektionen[[#This Row],[Bearbeitungsdauer_abgewichen]]&lt;-0.3,"kürzer",TRUE,"keine Abweichung")</f>
        <v>keine Abweichung</v>
      </c>
      <c r="I3684">
        <v>2</v>
      </c>
    </row>
    <row r="3685" spans="1:9" hidden="1" x14ac:dyDescent="0.3">
      <c r="A3685" s="13">
        <v>571</v>
      </c>
      <c r="B3685" s="4">
        <v>4</v>
      </c>
      <c r="C3685" t="s">
        <v>531</v>
      </c>
      <c r="D3685" t="s">
        <v>530</v>
      </c>
      <c r="E3685">
        <v>30</v>
      </c>
      <c r="F3685">
        <v>28</v>
      </c>
      <c r="G3685" s="8">
        <f>Lektionen[[#This Row],[Bearbeitungsdauer_real]]/Lektionen[[#This Row],[Bearbeitungsdauer_geschätzt]]-1</f>
        <v>-6.6666666666666652E-2</v>
      </c>
      <c r="H3685" s="8" t="str" cm="1">
        <f t="array" ref="H3685">_xlfn.IFS(Lektionen[[#This Row],[Bearbeitungsdauer_abgewichen]]&gt;0.6,"viel länger",Lektionen[[#This Row],[Bearbeitungsdauer_abgewichen]]&gt;0.3,"länger",Lektionen[[#This Row],[Bearbeitungsdauer_abgewichen]]&lt;-0.3,"kürzer",TRUE,"keine Abweichung")</f>
        <v>keine Abweichung</v>
      </c>
      <c r="I3685">
        <v>3</v>
      </c>
    </row>
    <row r="3686" spans="1:9" x14ac:dyDescent="0.3">
      <c r="A3686" s="13">
        <v>571</v>
      </c>
      <c r="B3686" s="4">
        <v>5</v>
      </c>
      <c r="C3686" t="s">
        <v>532</v>
      </c>
      <c r="D3686" t="s">
        <v>530</v>
      </c>
      <c r="E3686">
        <v>30</v>
      </c>
      <c r="F3686">
        <v>43</v>
      </c>
      <c r="G3686" s="8">
        <f>Lektionen[[#This Row],[Bearbeitungsdauer_real]]/Lektionen[[#This Row],[Bearbeitungsdauer_geschätzt]]-1</f>
        <v>0.43333333333333335</v>
      </c>
      <c r="H3686" s="8" t="str" cm="1">
        <f t="array" ref="H3686">_xlfn.IFS(Lektionen[[#This Row],[Bearbeitungsdauer_abgewichen]]&gt;0.6,"viel länger",Lektionen[[#This Row],[Bearbeitungsdauer_abgewichen]]&gt;0.3,"länger",Lektionen[[#This Row],[Bearbeitungsdauer_abgewichen]]&lt;-0.3,"kürzer",TRUE,"keine Abweichung")</f>
        <v>länger</v>
      </c>
      <c r="I3686">
        <v>4</v>
      </c>
    </row>
    <row r="3687" spans="1:9" hidden="1" x14ac:dyDescent="0.3">
      <c r="A3687" s="13">
        <v>571</v>
      </c>
      <c r="B3687" s="4">
        <v>6</v>
      </c>
      <c r="C3687" t="s">
        <v>533</v>
      </c>
      <c r="D3687" t="s">
        <v>534</v>
      </c>
      <c r="E3687">
        <v>5</v>
      </c>
      <c r="F3687">
        <v>1</v>
      </c>
      <c r="G3687" s="8">
        <f>Lektionen[[#This Row],[Bearbeitungsdauer_real]]/Lektionen[[#This Row],[Bearbeitungsdauer_geschätzt]]-1</f>
        <v>-0.8</v>
      </c>
      <c r="H3687" s="8" t="str" cm="1">
        <f t="array" ref="H3687">_xlfn.IFS(Lektionen[[#This Row],[Bearbeitungsdauer_abgewichen]]&gt;0.6,"viel länger",Lektionen[[#This Row],[Bearbeitungsdauer_abgewichen]]&gt;0.3,"länger",Lektionen[[#This Row],[Bearbeitungsdauer_abgewichen]]&lt;-0.3,"kürzer",TRUE,"keine Abweichung")</f>
        <v>kürzer</v>
      </c>
      <c r="I3687">
        <v>1</v>
      </c>
    </row>
    <row r="3688" spans="1:9" hidden="1" x14ac:dyDescent="0.3">
      <c r="A3688" s="13">
        <v>571</v>
      </c>
      <c r="B3688" s="4">
        <v>7</v>
      </c>
      <c r="C3688" t="s">
        <v>535</v>
      </c>
      <c r="D3688" t="s">
        <v>536</v>
      </c>
      <c r="E3688">
        <v>10</v>
      </c>
      <c r="F3688">
        <v>9</v>
      </c>
      <c r="G3688" s="8">
        <f>Lektionen[[#This Row],[Bearbeitungsdauer_real]]/Lektionen[[#This Row],[Bearbeitungsdauer_geschätzt]]-1</f>
        <v>-9.9999999999999978E-2</v>
      </c>
      <c r="H3688" s="8" t="str" cm="1">
        <f t="array" ref="H3688">_xlfn.IFS(Lektionen[[#This Row],[Bearbeitungsdauer_abgewichen]]&gt;0.6,"viel länger",Lektionen[[#This Row],[Bearbeitungsdauer_abgewichen]]&gt;0.3,"länger",Lektionen[[#This Row],[Bearbeitungsdauer_abgewichen]]&lt;-0.3,"kürzer",TRUE,"keine Abweichung")</f>
        <v>keine Abweichung</v>
      </c>
      <c r="I3688">
        <v>3</v>
      </c>
    </row>
    <row r="3689" spans="1:9" hidden="1" x14ac:dyDescent="0.3">
      <c r="A3689" s="13">
        <v>571</v>
      </c>
      <c r="B3689" s="4">
        <v>8</v>
      </c>
      <c r="C3689" t="s">
        <v>537</v>
      </c>
      <c r="D3689" t="s">
        <v>527</v>
      </c>
      <c r="E3689">
        <v>5</v>
      </c>
      <c r="F3689">
        <v>7</v>
      </c>
      <c r="G3689" s="8">
        <f>Lektionen[[#This Row],[Bearbeitungsdauer_real]]/Lektionen[[#This Row],[Bearbeitungsdauer_geschätzt]]-1</f>
        <v>0.39999999999999991</v>
      </c>
      <c r="H3689" s="8" t="str" cm="1">
        <f t="array" ref="H3689">_xlfn.IFS(Lektionen[[#This Row],[Bearbeitungsdauer_abgewichen]]&gt;0.6,"viel länger",Lektionen[[#This Row],[Bearbeitungsdauer_abgewichen]]&gt;0.3,"länger",Lektionen[[#This Row],[Bearbeitungsdauer_abgewichen]]&lt;-0.3,"kürzer",TRUE,"keine Abweichung")</f>
        <v>länger</v>
      </c>
      <c r="I3689">
        <v>1</v>
      </c>
    </row>
    <row r="3690" spans="1:9" hidden="1" x14ac:dyDescent="0.3">
      <c r="A3690" s="13">
        <v>572</v>
      </c>
      <c r="B3690" s="4">
        <v>1</v>
      </c>
      <c r="C3690" t="s">
        <v>526</v>
      </c>
      <c r="D3690" t="s">
        <v>527</v>
      </c>
      <c r="E3690">
        <v>4</v>
      </c>
      <c r="F3690">
        <v>4</v>
      </c>
      <c r="G3690" s="8">
        <f>Lektionen[[#This Row],[Bearbeitungsdauer_real]]/Lektionen[[#This Row],[Bearbeitungsdauer_geschätzt]]-1</f>
        <v>0</v>
      </c>
      <c r="H3690" s="8" t="str" cm="1">
        <f t="array" ref="H3690">_xlfn.IFS(Lektionen[[#This Row],[Bearbeitungsdauer_abgewichen]]&gt;0.6,"viel länger",Lektionen[[#This Row],[Bearbeitungsdauer_abgewichen]]&gt;0.3,"länger",Lektionen[[#This Row],[Bearbeitungsdauer_abgewichen]]&lt;-0.3,"kürzer",TRUE,"keine Abweichung")</f>
        <v>keine Abweichung</v>
      </c>
      <c r="I3690">
        <v>1</v>
      </c>
    </row>
    <row r="3691" spans="1:9" hidden="1" x14ac:dyDescent="0.3">
      <c r="A3691" s="13">
        <v>572</v>
      </c>
      <c r="B3691" s="4">
        <v>2</v>
      </c>
      <c r="C3691" t="s">
        <v>528</v>
      </c>
      <c r="D3691" t="s">
        <v>529</v>
      </c>
      <c r="E3691">
        <v>15</v>
      </c>
      <c r="F3691">
        <v>18</v>
      </c>
      <c r="G3691" s="8">
        <f>Lektionen[[#This Row],[Bearbeitungsdauer_real]]/Lektionen[[#This Row],[Bearbeitungsdauer_geschätzt]]-1</f>
        <v>0.19999999999999996</v>
      </c>
      <c r="H3691" s="8" t="str" cm="1">
        <f t="array" ref="H3691">_xlfn.IFS(Lektionen[[#This Row],[Bearbeitungsdauer_abgewichen]]&gt;0.6,"viel länger",Lektionen[[#This Row],[Bearbeitungsdauer_abgewichen]]&gt;0.3,"länger",Lektionen[[#This Row],[Bearbeitungsdauer_abgewichen]]&lt;-0.3,"kürzer",TRUE,"keine Abweichung")</f>
        <v>keine Abweichung</v>
      </c>
      <c r="I3691">
        <v>1</v>
      </c>
    </row>
    <row r="3692" spans="1:9" hidden="1" x14ac:dyDescent="0.3">
      <c r="A3692" s="13">
        <v>572</v>
      </c>
      <c r="B3692" s="4">
        <v>3</v>
      </c>
      <c r="C3692" t="s">
        <v>552</v>
      </c>
      <c r="D3692" t="s">
        <v>530</v>
      </c>
      <c r="E3692">
        <v>30</v>
      </c>
      <c r="F3692">
        <v>27</v>
      </c>
      <c r="G3692" s="8">
        <f>Lektionen[[#This Row],[Bearbeitungsdauer_real]]/Lektionen[[#This Row],[Bearbeitungsdauer_geschätzt]]-1</f>
        <v>-9.9999999999999978E-2</v>
      </c>
      <c r="H3692" s="8" t="str" cm="1">
        <f t="array" ref="H3692">_xlfn.IFS(Lektionen[[#This Row],[Bearbeitungsdauer_abgewichen]]&gt;0.6,"viel länger",Lektionen[[#This Row],[Bearbeitungsdauer_abgewichen]]&gt;0.3,"länger",Lektionen[[#This Row],[Bearbeitungsdauer_abgewichen]]&lt;-0.3,"kürzer",TRUE,"keine Abweichung")</f>
        <v>keine Abweichung</v>
      </c>
      <c r="I3692">
        <v>3</v>
      </c>
    </row>
    <row r="3693" spans="1:9" hidden="1" x14ac:dyDescent="0.3">
      <c r="A3693" s="13">
        <v>572</v>
      </c>
      <c r="B3693" s="4">
        <v>4</v>
      </c>
      <c r="C3693" t="s">
        <v>531</v>
      </c>
      <c r="D3693" t="s">
        <v>530</v>
      </c>
      <c r="E3693">
        <v>30</v>
      </c>
      <c r="F3693">
        <v>25</v>
      </c>
      <c r="G3693" s="8">
        <f>Lektionen[[#This Row],[Bearbeitungsdauer_real]]/Lektionen[[#This Row],[Bearbeitungsdauer_geschätzt]]-1</f>
        <v>-0.16666666666666663</v>
      </c>
      <c r="H3693" s="8" t="str" cm="1">
        <f t="array" ref="H3693">_xlfn.IFS(Lektionen[[#This Row],[Bearbeitungsdauer_abgewichen]]&gt;0.6,"viel länger",Lektionen[[#This Row],[Bearbeitungsdauer_abgewichen]]&gt;0.3,"länger",Lektionen[[#This Row],[Bearbeitungsdauer_abgewichen]]&lt;-0.3,"kürzer",TRUE,"keine Abweichung")</f>
        <v>keine Abweichung</v>
      </c>
      <c r="I3693">
        <v>3</v>
      </c>
    </row>
    <row r="3694" spans="1:9" x14ac:dyDescent="0.3">
      <c r="A3694" s="13">
        <v>572</v>
      </c>
      <c r="B3694" s="4">
        <v>5</v>
      </c>
      <c r="C3694" t="s">
        <v>532</v>
      </c>
      <c r="D3694" t="s">
        <v>530</v>
      </c>
      <c r="E3694">
        <v>30</v>
      </c>
      <c r="F3694">
        <v>48</v>
      </c>
      <c r="G3694" s="8">
        <f>Lektionen[[#This Row],[Bearbeitungsdauer_real]]/Lektionen[[#This Row],[Bearbeitungsdauer_geschätzt]]-1</f>
        <v>0.60000000000000009</v>
      </c>
      <c r="H3694" s="8" t="str" cm="1">
        <f t="array" ref="H3694">_xlfn.IFS(Lektionen[[#This Row],[Bearbeitungsdauer_abgewichen]]&gt;0.6,"viel länger",Lektionen[[#This Row],[Bearbeitungsdauer_abgewichen]]&gt;0.3,"länger",Lektionen[[#This Row],[Bearbeitungsdauer_abgewichen]]&lt;-0.3,"kürzer",TRUE,"keine Abweichung")</f>
        <v>länger</v>
      </c>
      <c r="I3694">
        <v>3</v>
      </c>
    </row>
    <row r="3695" spans="1:9" hidden="1" x14ac:dyDescent="0.3">
      <c r="A3695" s="13">
        <v>572</v>
      </c>
      <c r="B3695" s="4">
        <v>6</v>
      </c>
      <c r="C3695" t="s">
        <v>533</v>
      </c>
      <c r="D3695" t="s">
        <v>534</v>
      </c>
      <c r="E3695">
        <v>5</v>
      </c>
      <c r="F3695">
        <v>1</v>
      </c>
      <c r="G3695" s="8">
        <f>Lektionen[[#This Row],[Bearbeitungsdauer_real]]/Lektionen[[#This Row],[Bearbeitungsdauer_geschätzt]]-1</f>
        <v>-0.8</v>
      </c>
      <c r="H3695" s="8" t="str" cm="1">
        <f t="array" ref="H3695">_xlfn.IFS(Lektionen[[#This Row],[Bearbeitungsdauer_abgewichen]]&gt;0.6,"viel länger",Lektionen[[#This Row],[Bearbeitungsdauer_abgewichen]]&gt;0.3,"länger",Lektionen[[#This Row],[Bearbeitungsdauer_abgewichen]]&lt;-0.3,"kürzer",TRUE,"keine Abweichung")</f>
        <v>kürzer</v>
      </c>
      <c r="I3695">
        <v>2</v>
      </c>
    </row>
    <row r="3696" spans="1:9" hidden="1" x14ac:dyDescent="0.3">
      <c r="A3696" s="13">
        <v>572</v>
      </c>
      <c r="B3696" s="4">
        <v>7</v>
      </c>
      <c r="C3696" t="s">
        <v>535</v>
      </c>
      <c r="D3696" t="s">
        <v>536</v>
      </c>
      <c r="E3696">
        <v>10</v>
      </c>
      <c r="F3696">
        <v>11</v>
      </c>
      <c r="G3696" s="8">
        <f>Lektionen[[#This Row],[Bearbeitungsdauer_real]]/Lektionen[[#This Row],[Bearbeitungsdauer_geschätzt]]-1</f>
        <v>0.10000000000000009</v>
      </c>
      <c r="H3696" s="8" t="str" cm="1">
        <f t="array" ref="H3696">_xlfn.IFS(Lektionen[[#This Row],[Bearbeitungsdauer_abgewichen]]&gt;0.6,"viel länger",Lektionen[[#This Row],[Bearbeitungsdauer_abgewichen]]&gt;0.3,"länger",Lektionen[[#This Row],[Bearbeitungsdauer_abgewichen]]&lt;-0.3,"kürzer",TRUE,"keine Abweichung")</f>
        <v>keine Abweichung</v>
      </c>
      <c r="I3696">
        <v>3</v>
      </c>
    </row>
    <row r="3697" spans="1:9" hidden="1" x14ac:dyDescent="0.3">
      <c r="A3697" s="13">
        <v>572</v>
      </c>
      <c r="B3697" s="4">
        <v>8</v>
      </c>
      <c r="C3697" t="s">
        <v>537</v>
      </c>
      <c r="D3697" t="s">
        <v>527</v>
      </c>
      <c r="E3697">
        <v>5</v>
      </c>
      <c r="F3697">
        <v>5</v>
      </c>
      <c r="G3697" s="8">
        <f>Lektionen[[#This Row],[Bearbeitungsdauer_real]]/Lektionen[[#This Row],[Bearbeitungsdauer_geschätzt]]-1</f>
        <v>0</v>
      </c>
      <c r="H3697" s="8" t="str" cm="1">
        <f t="array" ref="H3697">_xlfn.IFS(Lektionen[[#This Row],[Bearbeitungsdauer_abgewichen]]&gt;0.6,"viel länger",Lektionen[[#This Row],[Bearbeitungsdauer_abgewichen]]&gt;0.3,"länger",Lektionen[[#This Row],[Bearbeitungsdauer_abgewichen]]&lt;-0.3,"kürzer",TRUE,"keine Abweichung")</f>
        <v>keine Abweichung</v>
      </c>
      <c r="I3697">
        <v>1</v>
      </c>
    </row>
    <row r="3698" spans="1:9" hidden="1" x14ac:dyDescent="0.3">
      <c r="A3698" s="13">
        <v>573</v>
      </c>
      <c r="B3698" s="4">
        <v>1</v>
      </c>
      <c r="C3698" t="s">
        <v>526</v>
      </c>
      <c r="D3698" t="s">
        <v>527</v>
      </c>
      <c r="E3698">
        <v>4</v>
      </c>
      <c r="F3698">
        <v>4</v>
      </c>
      <c r="G3698" s="8">
        <f>Lektionen[[#This Row],[Bearbeitungsdauer_real]]/Lektionen[[#This Row],[Bearbeitungsdauer_geschätzt]]-1</f>
        <v>0</v>
      </c>
      <c r="H3698" s="8" t="str" cm="1">
        <f t="array" ref="H3698">_xlfn.IFS(Lektionen[[#This Row],[Bearbeitungsdauer_abgewichen]]&gt;0.6,"viel länger",Lektionen[[#This Row],[Bearbeitungsdauer_abgewichen]]&gt;0.3,"länger",Lektionen[[#This Row],[Bearbeitungsdauer_abgewichen]]&lt;-0.3,"kürzer",TRUE,"keine Abweichung")</f>
        <v>keine Abweichung</v>
      </c>
      <c r="I3698">
        <v>1</v>
      </c>
    </row>
    <row r="3699" spans="1:9" hidden="1" x14ac:dyDescent="0.3">
      <c r="A3699" s="13">
        <v>573</v>
      </c>
      <c r="B3699" s="4">
        <v>2</v>
      </c>
      <c r="C3699" t="s">
        <v>528</v>
      </c>
      <c r="D3699" t="s">
        <v>529</v>
      </c>
      <c r="E3699">
        <v>15</v>
      </c>
      <c r="F3699">
        <v>16</v>
      </c>
      <c r="G3699" s="8">
        <f>Lektionen[[#This Row],[Bearbeitungsdauer_real]]/Lektionen[[#This Row],[Bearbeitungsdauer_geschätzt]]-1</f>
        <v>6.6666666666666652E-2</v>
      </c>
      <c r="H3699" s="8" t="str" cm="1">
        <f t="array" ref="H3699">_xlfn.IFS(Lektionen[[#This Row],[Bearbeitungsdauer_abgewichen]]&gt;0.6,"viel länger",Lektionen[[#This Row],[Bearbeitungsdauer_abgewichen]]&gt;0.3,"länger",Lektionen[[#This Row],[Bearbeitungsdauer_abgewichen]]&lt;-0.3,"kürzer",TRUE,"keine Abweichung")</f>
        <v>keine Abweichung</v>
      </c>
      <c r="I3699">
        <v>2</v>
      </c>
    </row>
    <row r="3700" spans="1:9" hidden="1" x14ac:dyDescent="0.3">
      <c r="A3700" s="13">
        <v>573</v>
      </c>
      <c r="B3700" s="4">
        <v>3</v>
      </c>
      <c r="C3700" t="s">
        <v>552</v>
      </c>
      <c r="D3700" t="s">
        <v>530</v>
      </c>
      <c r="E3700">
        <v>30</v>
      </c>
      <c r="F3700">
        <v>29</v>
      </c>
      <c r="G3700" s="8">
        <f>Lektionen[[#This Row],[Bearbeitungsdauer_real]]/Lektionen[[#This Row],[Bearbeitungsdauer_geschätzt]]-1</f>
        <v>-3.3333333333333326E-2</v>
      </c>
      <c r="H3700" s="8" t="str" cm="1">
        <f t="array" ref="H3700">_xlfn.IFS(Lektionen[[#This Row],[Bearbeitungsdauer_abgewichen]]&gt;0.6,"viel länger",Lektionen[[#This Row],[Bearbeitungsdauer_abgewichen]]&gt;0.3,"länger",Lektionen[[#This Row],[Bearbeitungsdauer_abgewichen]]&lt;-0.3,"kürzer",TRUE,"keine Abweichung")</f>
        <v>keine Abweichung</v>
      </c>
      <c r="I3700">
        <v>2</v>
      </c>
    </row>
    <row r="3701" spans="1:9" hidden="1" x14ac:dyDescent="0.3">
      <c r="A3701" s="13">
        <v>573</v>
      </c>
      <c r="B3701" s="4">
        <v>4</v>
      </c>
      <c r="C3701" t="s">
        <v>531</v>
      </c>
      <c r="D3701" t="s">
        <v>530</v>
      </c>
      <c r="E3701">
        <v>30</v>
      </c>
      <c r="F3701">
        <v>32</v>
      </c>
      <c r="G3701" s="8">
        <f>Lektionen[[#This Row],[Bearbeitungsdauer_real]]/Lektionen[[#This Row],[Bearbeitungsdauer_geschätzt]]-1</f>
        <v>6.6666666666666652E-2</v>
      </c>
      <c r="H3701" s="8" t="str" cm="1">
        <f t="array" ref="H3701">_xlfn.IFS(Lektionen[[#This Row],[Bearbeitungsdauer_abgewichen]]&gt;0.6,"viel länger",Lektionen[[#This Row],[Bearbeitungsdauer_abgewichen]]&gt;0.3,"länger",Lektionen[[#This Row],[Bearbeitungsdauer_abgewichen]]&lt;-0.3,"kürzer",TRUE,"keine Abweichung")</f>
        <v>keine Abweichung</v>
      </c>
      <c r="I3701">
        <v>3</v>
      </c>
    </row>
    <row r="3702" spans="1:9" x14ac:dyDescent="0.3">
      <c r="A3702" s="13">
        <v>573</v>
      </c>
      <c r="B3702" s="4">
        <v>5</v>
      </c>
      <c r="C3702" t="s">
        <v>532</v>
      </c>
      <c r="D3702" t="s">
        <v>530</v>
      </c>
      <c r="E3702">
        <v>30</v>
      </c>
      <c r="F3702">
        <v>55</v>
      </c>
      <c r="G3702" s="8">
        <f>Lektionen[[#This Row],[Bearbeitungsdauer_real]]/Lektionen[[#This Row],[Bearbeitungsdauer_geschätzt]]-1</f>
        <v>0.83333333333333326</v>
      </c>
      <c r="H3702" s="8" t="str" cm="1">
        <f t="array" ref="H3702">_xlfn.IFS(Lektionen[[#This Row],[Bearbeitungsdauer_abgewichen]]&gt;0.6,"viel länger",Lektionen[[#This Row],[Bearbeitungsdauer_abgewichen]]&gt;0.3,"länger",Lektionen[[#This Row],[Bearbeitungsdauer_abgewichen]]&lt;-0.3,"kürzer",TRUE,"keine Abweichung")</f>
        <v>viel länger</v>
      </c>
      <c r="I3702">
        <v>4</v>
      </c>
    </row>
    <row r="3703" spans="1:9" hidden="1" x14ac:dyDescent="0.3">
      <c r="A3703" s="13">
        <v>573</v>
      </c>
      <c r="B3703" s="4">
        <v>6</v>
      </c>
      <c r="C3703" t="s">
        <v>533</v>
      </c>
      <c r="D3703" t="s">
        <v>534</v>
      </c>
      <c r="E3703">
        <v>5</v>
      </c>
      <c r="F3703">
        <v>1</v>
      </c>
      <c r="G3703" s="8">
        <f>Lektionen[[#This Row],[Bearbeitungsdauer_real]]/Lektionen[[#This Row],[Bearbeitungsdauer_geschätzt]]-1</f>
        <v>-0.8</v>
      </c>
      <c r="H3703" s="8" t="str" cm="1">
        <f t="array" ref="H3703">_xlfn.IFS(Lektionen[[#This Row],[Bearbeitungsdauer_abgewichen]]&gt;0.6,"viel länger",Lektionen[[#This Row],[Bearbeitungsdauer_abgewichen]]&gt;0.3,"länger",Lektionen[[#This Row],[Bearbeitungsdauer_abgewichen]]&lt;-0.3,"kürzer",TRUE,"keine Abweichung")</f>
        <v>kürzer</v>
      </c>
      <c r="I3703">
        <v>2</v>
      </c>
    </row>
    <row r="3704" spans="1:9" hidden="1" x14ac:dyDescent="0.3">
      <c r="A3704" s="13">
        <v>573</v>
      </c>
      <c r="B3704" s="4">
        <v>7</v>
      </c>
      <c r="C3704" t="s">
        <v>535</v>
      </c>
      <c r="D3704" t="s">
        <v>536</v>
      </c>
      <c r="E3704">
        <v>10</v>
      </c>
      <c r="F3704">
        <v>10</v>
      </c>
      <c r="G3704" s="8">
        <f>Lektionen[[#This Row],[Bearbeitungsdauer_real]]/Lektionen[[#This Row],[Bearbeitungsdauer_geschätzt]]-1</f>
        <v>0</v>
      </c>
      <c r="H3704" s="8" t="str" cm="1">
        <f t="array" ref="H3704">_xlfn.IFS(Lektionen[[#This Row],[Bearbeitungsdauer_abgewichen]]&gt;0.6,"viel länger",Lektionen[[#This Row],[Bearbeitungsdauer_abgewichen]]&gt;0.3,"länger",Lektionen[[#This Row],[Bearbeitungsdauer_abgewichen]]&lt;-0.3,"kürzer",TRUE,"keine Abweichung")</f>
        <v>keine Abweichung</v>
      </c>
      <c r="I3704">
        <v>3</v>
      </c>
    </row>
    <row r="3705" spans="1:9" hidden="1" x14ac:dyDescent="0.3">
      <c r="A3705" s="13">
        <v>573</v>
      </c>
      <c r="B3705" s="4">
        <v>8</v>
      </c>
      <c r="C3705" t="s">
        <v>537</v>
      </c>
      <c r="D3705" t="s">
        <v>527</v>
      </c>
      <c r="E3705">
        <v>5</v>
      </c>
      <c r="F3705">
        <v>5</v>
      </c>
      <c r="G3705" s="8">
        <f>Lektionen[[#This Row],[Bearbeitungsdauer_real]]/Lektionen[[#This Row],[Bearbeitungsdauer_geschätzt]]-1</f>
        <v>0</v>
      </c>
      <c r="H3705" s="8" t="str" cm="1">
        <f t="array" ref="H3705">_xlfn.IFS(Lektionen[[#This Row],[Bearbeitungsdauer_abgewichen]]&gt;0.6,"viel länger",Lektionen[[#This Row],[Bearbeitungsdauer_abgewichen]]&gt;0.3,"länger",Lektionen[[#This Row],[Bearbeitungsdauer_abgewichen]]&lt;-0.3,"kürzer",TRUE,"keine Abweichung")</f>
        <v>keine Abweichung</v>
      </c>
      <c r="I3705">
        <v>1</v>
      </c>
    </row>
    <row r="3706" spans="1:9" hidden="1" x14ac:dyDescent="0.3">
      <c r="A3706" s="13">
        <v>575</v>
      </c>
      <c r="B3706" s="4">
        <v>1</v>
      </c>
      <c r="C3706" t="s">
        <v>526</v>
      </c>
      <c r="D3706" t="s">
        <v>527</v>
      </c>
      <c r="E3706">
        <v>4</v>
      </c>
      <c r="F3706">
        <v>4</v>
      </c>
      <c r="G3706" s="8">
        <f>Lektionen[[#This Row],[Bearbeitungsdauer_real]]/Lektionen[[#This Row],[Bearbeitungsdauer_geschätzt]]-1</f>
        <v>0</v>
      </c>
      <c r="H3706" s="8" t="str" cm="1">
        <f t="array" ref="H3706">_xlfn.IFS(Lektionen[[#This Row],[Bearbeitungsdauer_abgewichen]]&gt;0.6,"viel länger",Lektionen[[#This Row],[Bearbeitungsdauer_abgewichen]]&gt;0.3,"länger",Lektionen[[#This Row],[Bearbeitungsdauer_abgewichen]]&lt;-0.3,"kürzer",TRUE,"keine Abweichung")</f>
        <v>keine Abweichung</v>
      </c>
      <c r="I3706">
        <v>1</v>
      </c>
    </row>
    <row r="3707" spans="1:9" hidden="1" x14ac:dyDescent="0.3">
      <c r="A3707" s="13">
        <v>575</v>
      </c>
      <c r="B3707" s="4">
        <v>2</v>
      </c>
      <c r="C3707" t="s">
        <v>528</v>
      </c>
      <c r="D3707" t="s">
        <v>529</v>
      </c>
      <c r="E3707">
        <v>15</v>
      </c>
      <c r="F3707">
        <v>17</v>
      </c>
      <c r="G3707" s="8">
        <f>Lektionen[[#This Row],[Bearbeitungsdauer_real]]/Lektionen[[#This Row],[Bearbeitungsdauer_geschätzt]]-1</f>
        <v>0.1333333333333333</v>
      </c>
      <c r="H3707" s="8" t="str" cm="1">
        <f t="array" ref="H3707">_xlfn.IFS(Lektionen[[#This Row],[Bearbeitungsdauer_abgewichen]]&gt;0.6,"viel länger",Lektionen[[#This Row],[Bearbeitungsdauer_abgewichen]]&gt;0.3,"länger",Lektionen[[#This Row],[Bearbeitungsdauer_abgewichen]]&lt;-0.3,"kürzer",TRUE,"keine Abweichung")</f>
        <v>keine Abweichung</v>
      </c>
      <c r="I3707">
        <v>2</v>
      </c>
    </row>
    <row r="3708" spans="1:9" hidden="1" x14ac:dyDescent="0.3">
      <c r="A3708" s="13">
        <v>575</v>
      </c>
      <c r="B3708" s="4">
        <v>3</v>
      </c>
      <c r="C3708" t="s">
        <v>552</v>
      </c>
      <c r="D3708" t="s">
        <v>530</v>
      </c>
      <c r="E3708">
        <v>30</v>
      </c>
      <c r="F3708">
        <v>30</v>
      </c>
      <c r="G3708" s="8">
        <f>Lektionen[[#This Row],[Bearbeitungsdauer_real]]/Lektionen[[#This Row],[Bearbeitungsdauer_geschätzt]]-1</f>
        <v>0</v>
      </c>
      <c r="H3708" s="8" t="str" cm="1">
        <f t="array" ref="H3708">_xlfn.IFS(Lektionen[[#This Row],[Bearbeitungsdauer_abgewichen]]&gt;0.6,"viel länger",Lektionen[[#This Row],[Bearbeitungsdauer_abgewichen]]&gt;0.3,"länger",Lektionen[[#This Row],[Bearbeitungsdauer_abgewichen]]&lt;-0.3,"kürzer",TRUE,"keine Abweichung")</f>
        <v>keine Abweichung</v>
      </c>
      <c r="I3708">
        <v>2</v>
      </c>
    </row>
    <row r="3709" spans="1:9" hidden="1" x14ac:dyDescent="0.3">
      <c r="A3709" s="13">
        <v>575</v>
      </c>
      <c r="B3709" s="4">
        <v>4</v>
      </c>
      <c r="C3709" t="s">
        <v>531</v>
      </c>
      <c r="D3709" t="s">
        <v>530</v>
      </c>
      <c r="E3709">
        <v>30</v>
      </c>
      <c r="F3709">
        <v>28</v>
      </c>
      <c r="G3709" s="8">
        <f>Lektionen[[#This Row],[Bearbeitungsdauer_real]]/Lektionen[[#This Row],[Bearbeitungsdauer_geschätzt]]-1</f>
        <v>-6.6666666666666652E-2</v>
      </c>
      <c r="H3709" s="8" t="str" cm="1">
        <f t="array" ref="H3709">_xlfn.IFS(Lektionen[[#This Row],[Bearbeitungsdauer_abgewichen]]&gt;0.6,"viel länger",Lektionen[[#This Row],[Bearbeitungsdauer_abgewichen]]&gt;0.3,"länger",Lektionen[[#This Row],[Bearbeitungsdauer_abgewichen]]&lt;-0.3,"kürzer",TRUE,"keine Abweichung")</f>
        <v>keine Abweichung</v>
      </c>
      <c r="I3709">
        <v>3</v>
      </c>
    </row>
    <row r="3710" spans="1:9" x14ac:dyDescent="0.3">
      <c r="A3710" s="13">
        <v>575</v>
      </c>
      <c r="B3710" s="4">
        <v>5</v>
      </c>
      <c r="C3710" t="s">
        <v>532</v>
      </c>
      <c r="D3710" t="s">
        <v>530</v>
      </c>
      <c r="E3710">
        <v>30</v>
      </c>
      <c r="F3710">
        <v>37</v>
      </c>
      <c r="G3710" s="8">
        <f>Lektionen[[#This Row],[Bearbeitungsdauer_real]]/Lektionen[[#This Row],[Bearbeitungsdauer_geschätzt]]-1</f>
        <v>0.23333333333333339</v>
      </c>
      <c r="H3710" s="8" t="str" cm="1">
        <f t="array" ref="H3710">_xlfn.IFS(Lektionen[[#This Row],[Bearbeitungsdauer_abgewichen]]&gt;0.6,"viel länger",Lektionen[[#This Row],[Bearbeitungsdauer_abgewichen]]&gt;0.3,"länger",Lektionen[[#This Row],[Bearbeitungsdauer_abgewichen]]&lt;-0.3,"kürzer",TRUE,"keine Abweichung")</f>
        <v>keine Abweichung</v>
      </c>
      <c r="I3710">
        <v>3</v>
      </c>
    </row>
    <row r="3711" spans="1:9" hidden="1" x14ac:dyDescent="0.3">
      <c r="A3711" s="13">
        <v>575</v>
      </c>
      <c r="B3711" s="4">
        <v>6</v>
      </c>
      <c r="C3711" t="s">
        <v>533</v>
      </c>
      <c r="D3711" t="s">
        <v>534</v>
      </c>
      <c r="E3711">
        <v>5</v>
      </c>
      <c r="F3711">
        <v>3</v>
      </c>
      <c r="G3711" s="8">
        <f>Lektionen[[#This Row],[Bearbeitungsdauer_real]]/Lektionen[[#This Row],[Bearbeitungsdauer_geschätzt]]-1</f>
        <v>-0.4</v>
      </c>
      <c r="H3711" s="8" t="str" cm="1">
        <f t="array" ref="H3711">_xlfn.IFS(Lektionen[[#This Row],[Bearbeitungsdauer_abgewichen]]&gt;0.6,"viel länger",Lektionen[[#This Row],[Bearbeitungsdauer_abgewichen]]&gt;0.3,"länger",Lektionen[[#This Row],[Bearbeitungsdauer_abgewichen]]&lt;-0.3,"kürzer",TRUE,"keine Abweichung")</f>
        <v>kürzer</v>
      </c>
      <c r="I3711">
        <v>3</v>
      </c>
    </row>
    <row r="3712" spans="1:9" hidden="1" x14ac:dyDescent="0.3">
      <c r="A3712" s="13">
        <v>575</v>
      </c>
      <c r="B3712" s="4">
        <v>7</v>
      </c>
      <c r="C3712" t="s">
        <v>535</v>
      </c>
      <c r="D3712" t="s">
        <v>536</v>
      </c>
      <c r="E3712">
        <v>10</v>
      </c>
      <c r="F3712">
        <v>8</v>
      </c>
      <c r="G3712" s="8">
        <f>Lektionen[[#This Row],[Bearbeitungsdauer_real]]/Lektionen[[#This Row],[Bearbeitungsdauer_geschätzt]]-1</f>
        <v>-0.19999999999999996</v>
      </c>
      <c r="H3712" s="8" t="str" cm="1">
        <f t="array" ref="H3712">_xlfn.IFS(Lektionen[[#This Row],[Bearbeitungsdauer_abgewichen]]&gt;0.6,"viel länger",Lektionen[[#This Row],[Bearbeitungsdauer_abgewichen]]&gt;0.3,"länger",Lektionen[[#This Row],[Bearbeitungsdauer_abgewichen]]&lt;-0.3,"kürzer",TRUE,"keine Abweichung")</f>
        <v>keine Abweichung</v>
      </c>
      <c r="I3712">
        <v>3</v>
      </c>
    </row>
    <row r="3713" spans="1:9" hidden="1" x14ac:dyDescent="0.3">
      <c r="A3713" s="13">
        <v>575</v>
      </c>
      <c r="B3713" s="4">
        <v>8</v>
      </c>
      <c r="C3713" t="s">
        <v>537</v>
      </c>
      <c r="D3713" t="s">
        <v>527</v>
      </c>
      <c r="E3713">
        <v>5</v>
      </c>
      <c r="F3713">
        <v>5</v>
      </c>
      <c r="G3713" s="8">
        <f>Lektionen[[#This Row],[Bearbeitungsdauer_real]]/Lektionen[[#This Row],[Bearbeitungsdauer_geschätzt]]-1</f>
        <v>0</v>
      </c>
      <c r="H3713" s="8" t="str" cm="1">
        <f t="array" ref="H3713">_xlfn.IFS(Lektionen[[#This Row],[Bearbeitungsdauer_abgewichen]]&gt;0.6,"viel länger",Lektionen[[#This Row],[Bearbeitungsdauer_abgewichen]]&gt;0.3,"länger",Lektionen[[#This Row],[Bearbeitungsdauer_abgewichen]]&lt;-0.3,"kürzer",TRUE,"keine Abweichung")</f>
        <v>keine Abweichung</v>
      </c>
      <c r="I3713">
        <v>1</v>
      </c>
    </row>
    <row r="3714" spans="1:9" hidden="1" x14ac:dyDescent="0.3">
      <c r="A3714" s="13">
        <v>576</v>
      </c>
      <c r="B3714" s="4">
        <v>1</v>
      </c>
      <c r="C3714" t="s">
        <v>526</v>
      </c>
      <c r="D3714" t="s">
        <v>527</v>
      </c>
      <c r="E3714">
        <v>4</v>
      </c>
      <c r="F3714">
        <v>4</v>
      </c>
      <c r="G3714" s="8">
        <f>Lektionen[[#This Row],[Bearbeitungsdauer_real]]/Lektionen[[#This Row],[Bearbeitungsdauer_geschätzt]]-1</f>
        <v>0</v>
      </c>
      <c r="H3714" s="8" t="str" cm="1">
        <f t="array" ref="H3714">_xlfn.IFS(Lektionen[[#This Row],[Bearbeitungsdauer_abgewichen]]&gt;0.6,"viel länger",Lektionen[[#This Row],[Bearbeitungsdauer_abgewichen]]&gt;0.3,"länger",Lektionen[[#This Row],[Bearbeitungsdauer_abgewichen]]&lt;-0.3,"kürzer",TRUE,"keine Abweichung")</f>
        <v>keine Abweichung</v>
      </c>
      <c r="I3714">
        <v>1</v>
      </c>
    </row>
    <row r="3715" spans="1:9" hidden="1" x14ac:dyDescent="0.3">
      <c r="A3715" s="13">
        <v>576</v>
      </c>
      <c r="B3715" s="4">
        <v>2</v>
      </c>
      <c r="C3715" t="s">
        <v>528</v>
      </c>
      <c r="D3715" t="s">
        <v>529</v>
      </c>
      <c r="E3715">
        <v>15</v>
      </c>
      <c r="F3715">
        <v>17</v>
      </c>
      <c r="G3715" s="8">
        <f>Lektionen[[#This Row],[Bearbeitungsdauer_real]]/Lektionen[[#This Row],[Bearbeitungsdauer_geschätzt]]-1</f>
        <v>0.1333333333333333</v>
      </c>
      <c r="H3715" s="8" t="str" cm="1">
        <f t="array" ref="H3715">_xlfn.IFS(Lektionen[[#This Row],[Bearbeitungsdauer_abgewichen]]&gt;0.6,"viel länger",Lektionen[[#This Row],[Bearbeitungsdauer_abgewichen]]&gt;0.3,"länger",Lektionen[[#This Row],[Bearbeitungsdauer_abgewichen]]&lt;-0.3,"kürzer",TRUE,"keine Abweichung")</f>
        <v>keine Abweichung</v>
      </c>
      <c r="I3715">
        <v>1</v>
      </c>
    </row>
    <row r="3716" spans="1:9" hidden="1" x14ac:dyDescent="0.3">
      <c r="A3716" s="13">
        <v>576</v>
      </c>
      <c r="B3716" s="4">
        <v>3</v>
      </c>
      <c r="C3716" t="s">
        <v>552</v>
      </c>
      <c r="D3716" t="s">
        <v>530</v>
      </c>
      <c r="E3716">
        <v>30</v>
      </c>
      <c r="F3716">
        <v>27</v>
      </c>
      <c r="G3716" s="8">
        <f>Lektionen[[#This Row],[Bearbeitungsdauer_real]]/Lektionen[[#This Row],[Bearbeitungsdauer_geschätzt]]-1</f>
        <v>-9.9999999999999978E-2</v>
      </c>
      <c r="H3716" s="8" t="str" cm="1">
        <f t="array" ref="H3716">_xlfn.IFS(Lektionen[[#This Row],[Bearbeitungsdauer_abgewichen]]&gt;0.6,"viel länger",Lektionen[[#This Row],[Bearbeitungsdauer_abgewichen]]&gt;0.3,"länger",Lektionen[[#This Row],[Bearbeitungsdauer_abgewichen]]&lt;-0.3,"kürzer",TRUE,"keine Abweichung")</f>
        <v>keine Abweichung</v>
      </c>
      <c r="I3716">
        <v>3</v>
      </c>
    </row>
    <row r="3717" spans="1:9" hidden="1" x14ac:dyDescent="0.3">
      <c r="A3717" s="13">
        <v>576</v>
      </c>
      <c r="B3717" s="4">
        <v>4</v>
      </c>
      <c r="C3717" t="s">
        <v>531</v>
      </c>
      <c r="D3717" t="s">
        <v>530</v>
      </c>
      <c r="E3717">
        <v>30</v>
      </c>
      <c r="F3717">
        <v>34</v>
      </c>
      <c r="G3717" s="8">
        <f>Lektionen[[#This Row],[Bearbeitungsdauer_real]]/Lektionen[[#This Row],[Bearbeitungsdauer_geschätzt]]-1</f>
        <v>0.1333333333333333</v>
      </c>
      <c r="H3717" s="8" t="str" cm="1">
        <f t="array" ref="H3717">_xlfn.IFS(Lektionen[[#This Row],[Bearbeitungsdauer_abgewichen]]&gt;0.6,"viel länger",Lektionen[[#This Row],[Bearbeitungsdauer_abgewichen]]&gt;0.3,"länger",Lektionen[[#This Row],[Bearbeitungsdauer_abgewichen]]&lt;-0.3,"kürzer",TRUE,"keine Abweichung")</f>
        <v>keine Abweichung</v>
      </c>
      <c r="I3717">
        <v>3</v>
      </c>
    </row>
    <row r="3718" spans="1:9" x14ac:dyDescent="0.3">
      <c r="A3718" s="13">
        <v>576</v>
      </c>
      <c r="B3718" s="4">
        <v>5</v>
      </c>
      <c r="C3718" t="s">
        <v>532</v>
      </c>
      <c r="D3718" t="s">
        <v>530</v>
      </c>
      <c r="E3718">
        <v>30</v>
      </c>
      <c r="F3718">
        <v>51</v>
      </c>
      <c r="G3718" s="8">
        <f>Lektionen[[#This Row],[Bearbeitungsdauer_real]]/Lektionen[[#This Row],[Bearbeitungsdauer_geschätzt]]-1</f>
        <v>0.7</v>
      </c>
      <c r="H3718" s="8" t="str" cm="1">
        <f t="array" ref="H3718">_xlfn.IFS(Lektionen[[#This Row],[Bearbeitungsdauer_abgewichen]]&gt;0.6,"viel länger",Lektionen[[#This Row],[Bearbeitungsdauer_abgewichen]]&gt;0.3,"länger",Lektionen[[#This Row],[Bearbeitungsdauer_abgewichen]]&lt;-0.3,"kürzer",TRUE,"keine Abweichung")</f>
        <v>viel länger</v>
      </c>
      <c r="I3718">
        <v>3</v>
      </c>
    </row>
    <row r="3719" spans="1:9" hidden="1" x14ac:dyDescent="0.3">
      <c r="A3719" s="13">
        <v>576</v>
      </c>
      <c r="B3719" s="4">
        <v>6</v>
      </c>
      <c r="C3719" t="s">
        <v>533</v>
      </c>
      <c r="D3719" t="s">
        <v>534</v>
      </c>
      <c r="E3719">
        <v>5</v>
      </c>
      <c r="F3719">
        <v>1</v>
      </c>
      <c r="G3719" s="8">
        <f>Lektionen[[#This Row],[Bearbeitungsdauer_real]]/Lektionen[[#This Row],[Bearbeitungsdauer_geschätzt]]-1</f>
        <v>-0.8</v>
      </c>
      <c r="H3719" s="8" t="str" cm="1">
        <f t="array" ref="H3719">_xlfn.IFS(Lektionen[[#This Row],[Bearbeitungsdauer_abgewichen]]&gt;0.6,"viel länger",Lektionen[[#This Row],[Bearbeitungsdauer_abgewichen]]&gt;0.3,"länger",Lektionen[[#This Row],[Bearbeitungsdauer_abgewichen]]&lt;-0.3,"kürzer",TRUE,"keine Abweichung")</f>
        <v>kürzer</v>
      </c>
      <c r="I3719">
        <v>1</v>
      </c>
    </row>
    <row r="3720" spans="1:9" hidden="1" x14ac:dyDescent="0.3">
      <c r="A3720" s="13">
        <v>576</v>
      </c>
      <c r="B3720" s="4">
        <v>7</v>
      </c>
      <c r="C3720" t="s">
        <v>535</v>
      </c>
      <c r="D3720" t="s">
        <v>536</v>
      </c>
      <c r="E3720">
        <v>10</v>
      </c>
      <c r="F3720">
        <v>9</v>
      </c>
      <c r="G3720" s="8">
        <f>Lektionen[[#This Row],[Bearbeitungsdauer_real]]/Lektionen[[#This Row],[Bearbeitungsdauer_geschätzt]]-1</f>
        <v>-9.9999999999999978E-2</v>
      </c>
      <c r="H3720" s="8" t="str" cm="1">
        <f t="array" ref="H3720">_xlfn.IFS(Lektionen[[#This Row],[Bearbeitungsdauer_abgewichen]]&gt;0.6,"viel länger",Lektionen[[#This Row],[Bearbeitungsdauer_abgewichen]]&gt;0.3,"länger",Lektionen[[#This Row],[Bearbeitungsdauer_abgewichen]]&lt;-0.3,"kürzer",TRUE,"keine Abweichung")</f>
        <v>keine Abweichung</v>
      </c>
      <c r="I3720">
        <v>3</v>
      </c>
    </row>
    <row r="3721" spans="1:9" hidden="1" x14ac:dyDescent="0.3">
      <c r="A3721" s="13">
        <v>576</v>
      </c>
      <c r="B3721" s="4">
        <v>8</v>
      </c>
      <c r="C3721" t="s">
        <v>537</v>
      </c>
      <c r="D3721" t="s">
        <v>527</v>
      </c>
      <c r="E3721">
        <v>5</v>
      </c>
      <c r="F3721">
        <v>5</v>
      </c>
      <c r="G3721" s="8">
        <f>Lektionen[[#This Row],[Bearbeitungsdauer_real]]/Lektionen[[#This Row],[Bearbeitungsdauer_geschätzt]]-1</f>
        <v>0</v>
      </c>
      <c r="H3721" s="8" t="str" cm="1">
        <f t="array" ref="H3721">_xlfn.IFS(Lektionen[[#This Row],[Bearbeitungsdauer_abgewichen]]&gt;0.6,"viel länger",Lektionen[[#This Row],[Bearbeitungsdauer_abgewichen]]&gt;0.3,"länger",Lektionen[[#This Row],[Bearbeitungsdauer_abgewichen]]&lt;-0.3,"kürzer",TRUE,"keine Abweichung")</f>
        <v>keine Abweichung</v>
      </c>
      <c r="I3721">
        <v>1</v>
      </c>
    </row>
    <row r="3722" spans="1:9" hidden="1" x14ac:dyDescent="0.3">
      <c r="A3722" s="13">
        <v>577</v>
      </c>
      <c r="B3722" s="4">
        <v>1</v>
      </c>
      <c r="C3722" t="s">
        <v>526</v>
      </c>
      <c r="D3722" t="s">
        <v>527</v>
      </c>
      <c r="E3722">
        <v>4</v>
      </c>
      <c r="F3722">
        <v>4</v>
      </c>
      <c r="G3722" s="8">
        <f>Lektionen[[#This Row],[Bearbeitungsdauer_real]]/Lektionen[[#This Row],[Bearbeitungsdauer_geschätzt]]-1</f>
        <v>0</v>
      </c>
      <c r="H3722" s="8" t="str" cm="1">
        <f t="array" ref="H3722">_xlfn.IFS(Lektionen[[#This Row],[Bearbeitungsdauer_abgewichen]]&gt;0.6,"viel länger",Lektionen[[#This Row],[Bearbeitungsdauer_abgewichen]]&gt;0.3,"länger",Lektionen[[#This Row],[Bearbeitungsdauer_abgewichen]]&lt;-0.3,"kürzer",TRUE,"keine Abweichung")</f>
        <v>keine Abweichung</v>
      </c>
      <c r="I3722">
        <v>2</v>
      </c>
    </row>
    <row r="3723" spans="1:9" hidden="1" x14ac:dyDescent="0.3">
      <c r="A3723" s="13">
        <v>577</v>
      </c>
      <c r="B3723" s="4">
        <v>2</v>
      </c>
      <c r="C3723" t="s">
        <v>528</v>
      </c>
      <c r="D3723" t="s">
        <v>529</v>
      </c>
      <c r="E3723">
        <v>15</v>
      </c>
      <c r="F3723">
        <v>19</v>
      </c>
      <c r="G3723" s="8">
        <f>Lektionen[[#This Row],[Bearbeitungsdauer_real]]/Lektionen[[#This Row],[Bearbeitungsdauer_geschätzt]]-1</f>
        <v>0.26666666666666661</v>
      </c>
      <c r="H3723" s="8" t="str" cm="1">
        <f t="array" ref="H3723">_xlfn.IFS(Lektionen[[#This Row],[Bearbeitungsdauer_abgewichen]]&gt;0.6,"viel länger",Lektionen[[#This Row],[Bearbeitungsdauer_abgewichen]]&gt;0.3,"länger",Lektionen[[#This Row],[Bearbeitungsdauer_abgewichen]]&lt;-0.3,"kürzer",TRUE,"keine Abweichung")</f>
        <v>keine Abweichung</v>
      </c>
      <c r="I3723">
        <v>2</v>
      </c>
    </row>
    <row r="3724" spans="1:9" hidden="1" x14ac:dyDescent="0.3">
      <c r="A3724" s="13">
        <v>577</v>
      </c>
      <c r="B3724" s="4">
        <v>3</v>
      </c>
      <c r="C3724" t="s">
        <v>552</v>
      </c>
      <c r="D3724" t="s">
        <v>530</v>
      </c>
      <c r="E3724">
        <v>30</v>
      </c>
      <c r="F3724">
        <v>29</v>
      </c>
      <c r="G3724" s="8">
        <f>Lektionen[[#This Row],[Bearbeitungsdauer_real]]/Lektionen[[#This Row],[Bearbeitungsdauer_geschätzt]]-1</f>
        <v>-3.3333333333333326E-2</v>
      </c>
      <c r="H3724" s="8" t="str" cm="1">
        <f t="array" ref="H3724">_xlfn.IFS(Lektionen[[#This Row],[Bearbeitungsdauer_abgewichen]]&gt;0.6,"viel länger",Lektionen[[#This Row],[Bearbeitungsdauer_abgewichen]]&gt;0.3,"länger",Lektionen[[#This Row],[Bearbeitungsdauer_abgewichen]]&lt;-0.3,"kürzer",TRUE,"keine Abweichung")</f>
        <v>keine Abweichung</v>
      </c>
      <c r="I3724">
        <v>2</v>
      </c>
    </row>
    <row r="3725" spans="1:9" hidden="1" x14ac:dyDescent="0.3">
      <c r="A3725" s="13">
        <v>577</v>
      </c>
      <c r="B3725" s="4">
        <v>4</v>
      </c>
      <c r="C3725" t="s">
        <v>531</v>
      </c>
      <c r="D3725" t="s">
        <v>530</v>
      </c>
      <c r="E3725">
        <v>30</v>
      </c>
      <c r="F3725">
        <v>31</v>
      </c>
      <c r="G3725" s="8">
        <f>Lektionen[[#This Row],[Bearbeitungsdauer_real]]/Lektionen[[#This Row],[Bearbeitungsdauer_geschätzt]]-1</f>
        <v>3.3333333333333437E-2</v>
      </c>
      <c r="H3725" s="8" t="str" cm="1">
        <f t="array" ref="H3725">_xlfn.IFS(Lektionen[[#This Row],[Bearbeitungsdauer_abgewichen]]&gt;0.6,"viel länger",Lektionen[[#This Row],[Bearbeitungsdauer_abgewichen]]&gt;0.3,"länger",Lektionen[[#This Row],[Bearbeitungsdauer_abgewichen]]&lt;-0.3,"kürzer",TRUE,"keine Abweichung")</f>
        <v>keine Abweichung</v>
      </c>
      <c r="I3725">
        <v>3</v>
      </c>
    </row>
    <row r="3726" spans="1:9" x14ac:dyDescent="0.3">
      <c r="A3726" s="13">
        <v>577</v>
      </c>
      <c r="B3726" s="4">
        <v>5</v>
      </c>
      <c r="C3726" t="s">
        <v>532</v>
      </c>
      <c r="D3726" t="s">
        <v>530</v>
      </c>
      <c r="E3726">
        <v>30</v>
      </c>
      <c r="F3726">
        <v>41</v>
      </c>
      <c r="G3726" s="8">
        <f>Lektionen[[#This Row],[Bearbeitungsdauer_real]]/Lektionen[[#This Row],[Bearbeitungsdauer_geschätzt]]-1</f>
        <v>0.3666666666666667</v>
      </c>
      <c r="H3726" s="8" t="str" cm="1">
        <f t="array" ref="H3726">_xlfn.IFS(Lektionen[[#This Row],[Bearbeitungsdauer_abgewichen]]&gt;0.6,"viel länger",Lektionen[[#This Row],[Bearbeitungsdauer_abgewichen]]&gt;0.3,"länger",Lektionen[[#This Row],[Bearbeitungsdauer_abgewichen]]&lt;-0.3,"kürzer",TRUE,"keine Abweichung")</f>
        <v>länger</v>
      </c>
      <c r="I3726">
        <v>5</v>
      </c>
    </row>
    <row r="3727" spans="1:9" hidden="1" x14ac:dyDescent="0.3">
      <c r="A3727" s="13">
        <v>577</v>
      </c>
      <c r="B3727" s="4">
        <v>6</v>
      </c>
      <c r="C3727" t="s">
        <v>533</v>
      </c>
      <c r="D3727" t="s">
        <v>534</v>
      </c>
      <c r="E3727">
        <v>5</v>
      </c>
      <c r="F3727">
        <v>1</v>
      </c>
      <c r="G3727" s="8">
        <f>Lektionen[[#This Row],[Bearbeitungsdauer_real]]/Lektionen[[#This Row],[Bearbeitungsdauer_geschätzt]]-1</f>
        <v>-0.8</v>
      </c>
      <c r="H3727" s="8" t="str" cm="1">
        <f t="array" ref="H3727">_xlfn.IFS(Lektionen[[#This Row],[Bearbeitungsdauer_abgewichen]]&gt;0.6,"viel länger",Lektionen[[#This Row],[Bearbeitungsdauer_abgewichen]]&gt;0.3,"länger",Lektionen[[#This Row],[Bearbeitungsdauer_abgewichen]]&lt;-0.3,"kürzer",TRUE,"keine Abweichung")</f>
        <v>kürzer</v>
      </c>
      <c r="I3727">
        <v>3</v>
      </c>
    </row>
    <row r="3728" spans="1:9" hidden="1" x14ac:dyDescent="0.3">
      <c r="A3728" s="13">
        <v>577</v>
      </c>
      <c r="B3728" s="4">
        <v>7</v>
      </c>
      <c r="C3728" t="s">
        <v>535</v>
      </c>
      <c r="D3728" t="s">
        <v>536</v>
      </c>
      <c r="E3728">
        <v>10</v>
      </c>
      <c r="F3728">
        <v>9</v>
      </c>
      <c r="G3728" s="8">
        <f>Lektionen[[#This Row],[Bearbeitungsdauer_real]]/Lektionen[[#This Row],[Bearbeitungsdauer_geschätzt]]-1</f>
        <v>-9.9999999999999978E-2</v>
      </c>
      <c r="H3728" s="8" t="str" cm="1">
        <f t="array" ref="H3728">_xlfn.IFS(Lektionen[[#This Row],[Bearbeitungsdauer_abgewichen]]&gt;0.6,"viel länger",Lektionen[[#This Row],[Bearbeitungsdauer_abgewichen]]&gt;0.3,"länger",Lektionen[[#This Row],[Bearbeitungsdauer_abgewichen]]&lt;-0.3,"kürzer",TRUE,"keine Abweichung")</f>
        <v>keine Abweichung</v>
      </c>
      <c r="I3728">
        <v>3</v>
      </c>
    </row>
    <row r="3729" spans="1:9" hidden="1" x14ac:dyDescent="0.3">
      <c r="A3729" s="13">
        <v>577</v>
      </c>
      <c r="B3729" s="4">
        <v>8</v>
      </c>
      <c r="C3729" t="s">
        <v>537</v>
      </c>
      <c r="D3729" t="s">
        <v>527</v>
      </c>
      <c r="E3729">
        <v>5</v>
      </c>
      <c r="F3729">
        <v>5</v>
      </c>
      <c r="G3729" s="8">
        <f>Lektionen[[#This Row],[Bearbeitungsdauer_real]]/Lektionen[[#This Row],[Bearbeitungsdauer_geschätzt]]-1</f>
        <v>0</v>
      </c>
      <c r="H3729" s="8" t="str" cm="1">
        <f t="array" ref="H3729">_xlfn.IFS(Lektionen[[#This Row],[Bearbeitungsdauer_abgewichen]]&gt;0.6,"viel länger",Lektionen[[#This Row],[Bearbeitungsdauer_abgewichen]]&gt;0.3,"länger",Lektionen[[#This Row],[Bearbeitungsdauer_abgewichen]]&lt;-0.3,"kürzer",TRUE,"keine Abweichung")</f>
        <v>keine Abweichung</v>
      </c>
      <c r="I3729">
        <v>1</v>
      </c>
    </row>
    <row r="3730" spans="1:9" hidden="1" x14ac:dyDescent="0.3">
      <c r="A3730" s="13">
        <v>578</v>
      </c>
      <c r="B3730" s="4">
        <v>1</v>
      </c>
      <c r="C3730" t="s">
        <v>526</v>
      </c>
      <c r="D3730" t="s">
        <v>527</v>
      </c>
      <c r="E3730">
        <v>4</v>
      </c>
      <c r="F3730">
        <v>4</v>
      </c>
      <c r="G3730" s="8">
        <f>Lektionen[[#This Row],[Bearbeitungsdauer_real]]/Lektionen[[#This Row],[Bearbeitungsdauer_geschätzt]]-1</f>
        <v>0</v>
      </c>
      <c r="H3730" s="8" t="str" cm="1">
        <f t="array" ref="H3730">_xlfn.IFS(Lektionen[[#This Row],[Bearbeitungsdauer_abgewichen]]&gt;0.6,"viel länger",Lektionen[[#This Row],[Bearbeitungsdauer_abgewichen]]&gt;0.3,"länger",Lektionen[[#This Row],[Bearbeitungsdauer_abgewichen]]&lt;-0.3,"kürzer",TRUE,"keine Abweichung")</f>
        <v>keine Abweichung</v>
      </c>
      <c r="I3730">
        <v>1</v>
      </c>
    </row>
    <row r="3731" spans="1:9" hidden="1" x14ac:dyDescent="0.3">
      <c r="A3731" s="13">
        <v>578</v>
      </c>
      <c r="B3731" s="4">
        <v>2</v>
      </c>
      <c r="C3731" t="s">
        <v>528</v>
      </c>
      <c r="D3731" t="s">
        <v>529</v>
      </c>
      <c r="E3731">
        <v>15</v>
      </c>
      <c r="F3731">
        <v>20</v>
      </c>
      <c r="G3731" s="8">
        <f>Lektionen[[#This Row],[Bearbeitungsdauer_real]]/Lektionen[[#This Row],[Bearbeitungsdauer_geschätzt]]-1</f>
        <v>0.33333333333333326</v>
      </c>
      <c r="H3731" s="8" t="str" cm="1">
        <f t="array" ref="H3731">_xlfn.IFS(Lektionen[[#This Row],[Bearbeitungsdauer_abgewichen]]&gt;0.6,"viel länger",Lektionen[[#This Row],[Bearbeitungsdauer_abgewichen]]&gt;0.3,"länger",Lektionen[[#This Row],[Bearbeitungsdauer_abgewichen]]&lt;-0.3,"kürzer",TRUE,"keine Abweichung")</f>
        <v>länger</v>
      </c>
      <c r="I3731">
        <v>1</v>
      </c>
    </row>
    <row r="3732" spans="1:9" hidden="1" x14ac:dyDescent="0.3">
      <c r="A3732" s="13">
        <v>578</v>
      </c>
      <c r="B3732" s="4">
        <v>3</v>
      </c>
      <c r="C3732" t="s">
        <v>552</v>
      </c>
      <c r="D3732" t="s">
        <v>530</v>
      </c>
      <c r="E3732">
        <v>30</v>
      </c>
      <c r="F3732">
        <v>47</v>
      </c>
      <c r="G3732" s="8">
        <f>Lektionen[[#This Row],[Bearbeitungsdauer_real]]/Lektionen[[#This Row],[Bearbeitungsdauer_geschätzt]]-1</f>
        <v>0.56666666666666665</v>
      </c>
      <c r="H3732" s="8" t="str" cm="1">
        <f t="array" ref="H3732">_xlfn.IFS(Lektionen[[#This Row],[Bearbeitungsdauer_abgewichen]]&gt;0.6,"viel länger",Lektionen[[#This Row],[Bearbeitungsdauer_abgewichen]]&gt;0.3,"länger",Lektionen[[#This Row],[Bearbeitungsdauer_abgewichen]]&lt;-0.3,"kürzer",TRUE,"keine Abweichung")</f>
        <v>länger</v>
      </c>
      <c r="I3732">
        <v>3</v>
      </c>
    </row>
    <row r="3733" spans="1:9" hidden="1" x14ac:dyDescent="0.3">
      <c r="A3733" s="13">
        <v>578</v>
      </c>
      <c r="B3733" s="4">
        <v>4</v>
      </c>
      <c r="C3733" t="s">
        <v>531</v>
      </c>
      <c r="D3733" t="s">
        <v>530</v>
      </c>
      <c r="E3733">
        <v>30</v>
      </c>
      <c r="F3733">
        <v>24</v>
      </c>
      <c r="G3733" s="8">
        <f>Lektionen[[#This Row],[Bearbeitungsdauer_real]]/Lektionen[[#This Row],[Bearbeitungsdauer_geschätzt]]-1</f>
        <v>-0.19999999999999996</v>
      </c>
      <c r="H3733" s="8" t="str" cm="1">
        <f t="array" ref="H3733">_xlfn.IFS(Lektionen[[#This Row],[Bearbeitungsdauer_abgewichen]]&gt;0.6,"viel länger",Lektionen[[#This Row],[Bearbeitungsdauer_abgewichen]]&gt;0.3,"länger",Lektionen[[#This Row],[Bearbeitungsdauer_abgewichen]]&lt;-0.3,"kürzer",TRUE,"keine Abweichung")</f>
        <v>keine Abweichung</v>
      </c>
      <c r="I3733">
        <v>3</v>
      </c>
    </row>
    <row r="3734" spans="1:9" x14ac:dyDescent="0.3">
      <c r="A3734" s="13">
        <v>578</v>
      </c>
      <c r="B3734" s="4">
        <v>5</v>
      </c>
      <c r="C3734" t="s">
        <v>532</v>
      </c>
      <c r="D3734" t="s">
        <v>530</v>
      </c>
      <c r="E3734">
        <v>30</v>
      </c>
      <c r="F3734">
        <v>44</v>
      </c>
      <c r="G3734" s="8">
        <f>Lektionen[[#This Row],[Bearbeitungsdauer_real]]/Lektionen[[#This Row],[Bearbeitungsdauer_geschätzt]]-1</f>
        <v>0.46666666666666656</v>
      </c>
      <c r="H3734" s="8" t="str" cm="1">
        <f t="array" ref="H3734">_xlfn.IFS(Lektionen[[#This Row],[Bearbeitungsdauer_abgewichen]]&gt;0.6,"viel länger",Lektionen[[#This Row],[Bearbeitungsdauer_abgewichen]]&gt;0.3,"länger",Lektionen[[#This Row],[Bearbeitungsdauer_abgewichen]]&lt;-0.3,"kürzer",TRUE,"keine Abweichung")</f>
        <v>länger</v>
      </c>
      <c r="I3734">
        <v>5</v>
      </c>
    </row>
    <row r="3735" spans="1:9" hidden="1" x14ac:dyDescent="0.3">
      <c r="A3735" s="13">
        <v>578</v>
      </c>
      <c r="B3735" s="4">
        <v>6</v>
      </c>
      <c r="C3735" t="s">
        <v>533</v>
      </c>
      <c r="D3735" t="s">
        <v>534</v>
      </c>
      <c r="E3735">
        <v>5</v>
      </c>
      <c r="F3735">
        <v>1</v>
      </c>
      <c r="G3735" s="8">
        <f>Lektionen[[#This Row],[Bearbeitungsdauer_real]]/Lektionen[[#This Row],[Bearbeitungsdauer_geschätzt]]-1</f>
        <v>-0.8</v>
      </c>
      <c r="H3735" s="8" t="str" cm="1">
        <f t="array" ref="H3735">_xlfn.IFS(Lektionen[[#This Row],[Bearbeitungsdauer_abgewichen]]&gt;0.6,"viel länger",Lektionen[[#This Row],[Bearbeitungsdauer_abgewichen]]&gt;0.3,"länger",Lektionen[[#This Row],[Bearbeitungsdauer_abgewichen]]&lt;-0.3,"kürzer",TRUE,"keine Abweichung")</f>
        <v>kürzer</v>
      </c>
      <c r="I3735">
        <v>2</v>
      </c>
    </row>
    <row r="3736" spans="1:9" hidden="1" x14ac:dyDescent="0.3">
      <c r="A3736" s="13">
        <v>578</v>
      </c>
      <c r="B3736" s="4">
        <v>7</v>
      </c>
      <c r="C3736" t="s">
        <v>535</v>
      </c>
      <c r="D3736" t="s">
        <v>536</v>
      </c>
      <c r="E3736">
        <v>10</v>
      </c>
      <c r="F3736">
        <v>9</v>
      </c>
      <c r="G3736" s="8">
        <f>Lektionen[[#This Row],[Bearbeitungsdauer_real]]/Lektionen[[#This Row],[Bearbeitungsdauer_geschätzt]]-1</f>
        <v>-9.9999999999999978E-2</v>
      </c>
      <c r="H3736" s="8" t="str" cm="1">
        <f t="array" ref="H3736">_xlfn.IFS(Lektionen[[#This Row],[Bearbeitungsdauer_abgewichen]]&gt;0.6,"viel länger",Lektionen[[#This Row],[Bearbeitungsdauer_abgewichen]]&gt;0.3,"länger",Lektionen[[#This Row],[Bearbeitungsdauer_abgewichen]]&lt;-0.3,"kürzer",TRUE,"keine Abweichung")</f>
        <v>keine Abweichung</v>
      </c>
      <c r="I3736">
        <v>3</v>
      </c>
    </row>
    <row r="3737" spans="1:9" hidden="1" x14ac:dyDescent="0.3">
      <c r="A3737" s="13">
        <v>578</v>
      </c>
      <c r="B3737" s="4">
        <v>8</v>
      </c>
      <c r="C3737" t="s">
        <v>537</v>
      </c>
      <c r="D3737" t="s">
        <v>527</v>
      </c>
      <c r="E3737">
        <v>5</v>
      </c>
      <c r="F3737">
        <v>5</v>
      </c>
      <c r="G3737" s="8">
        <f>Lektionen[[#This Row],[Bearbeitungsdauer_real]]/Lektionen[[#This Row],[Bearbeitungsdauer_geschätzt]]-1</f>
        <v>0</v>
      </c>
      <c r="H3737" s="8" t="str" cm="1">
        <f t="array" ref="H3737">_xlfn.IFS(Lektionen[[#This Row],[Bearbeitungsdauer_abgewichen]]&gt;0.6,"viel länger",Lektionen[[#This Row],[Bearbeitungsdauer_abgewichen]]&gt;0.3,"länger",Lektionen[[#This Row],[Bearbeitungsdauer_abgewichen]]&lt;-0.3,"kürzer",TRUE,"keine Abweichung")</f>
        <v>keine Abweichung</v>
      </c>
      <c r="I3737">
        <v>1</v>
      </c>
    </row>
    <row r="3738" spans="1:9" hidden="1" x14ac:dyDescent="0.3">
      <c r="A3738" s="13">
        <v>579</v>
      </c>
      <c r="B3738" s="4">
        <v>1</v>
      </c>
      <c r="C3738" t="s">
        <v>526</v>
      </c>
      <c r="D3738" t="s">
        <v>527</v>
      </c>
      <c r="E3738">
        <v>4</v>
      </c>
      <c r="F3738">
        <v>4</v>
      </c>
      <c r="G3738" s="8">
        <f>Lektionen[[#This Row],[Bearbeitungsdauer_real]]/Lektionen[[#This Row],[Bearbeitungsdauer_geschätzt]]-1</f>
        <v>0</v>
      </c>
      <c r="H3738" s="8" t="str" cm="1">
        <f t="array" ref="H3738">_xlfn.IFS(Lektionen[[#This Row],[Bearbeitungsdauer_abgewichen]]&gt;0.6,"viel länger",Lektionen[[#This Row],[Bearbeitungsdauer_abgewichen]]&gt;0.3,"länger",Lektionen[[#This Row],[Bearbeitungsdauer_abgewichen]]&lt;-0.3,"kürzer",TRUE,"keine Abweichung")</f>
        <v>keine Abweichung</v>
      </c>
      <c r="I3738">
        <v>1</v>
      </c>
    </row>
    <row r="3739" spans="1:9" hidden="1" x14ac:dyDescent="0.3">
      <c r="A3739" s="13">
        <v>579</v>
      </c>
      <c r="B3739" s="4">
        <v>2</v>
      </c>
      <c r="C3739" t="s">
        <v>528</v>
      </c>
      <c r="D3739" t="s">
        <v>529</v>
      </c>
      <c r="E3739">
        <v>15</v>
      </c>
      <c r="F3739">
        <v>20</v>
      </c>
      <c r="G3739" s="8">
        <f>Lektionen[[#This Row],[Bearbeitungsdauer_real]]/Lektionen[[#This Row],[Bearbeitungsdauer_geschätzt]]-1</f>
        <v>0.33333333333333326</v>
      </c>
      <c r="H3739" s="8" t="str" cm="1">
        <f t="array" ref="H3739">_xlfn.IFS(Lektionen[[#This Row],[Bearbeitungsdauer_abgewichen]]&gt;0.6,"viel länger",Lektionen[[#This Row],[Bearbeitungsdauer_abgewichen]]&gt;0.3,"länger",Lektionen[[#This Row],[Bearbeitungsdauer_abgewichen]]&lt;-0.3,"kürzer",TRUE,"keine Abweichung")</f>
        <v>länger</v>
      </c>
      <c r="I3739">
        <v>2</v>
      </c>
    </row>
    <row r="3740" spans="1:9" hidden="1" x14ac:dyDescent="0.3">
      <c r="A3740" s="13">
        <v>579</v>
      </c>
      <c r="B3740" s="4">
        <v>3</v>
      </c>
      <c r="C3740" t="s">
        <v>552</v>
      </c>
      <c r="D3740" t="s">
        <v>530</v>
      </c>
      <c r="E3740">
        <v>30</v>
      </c>
      <c r="F3740">
        <v>28</v>
      </c>
      <c r="G3740" s="8">
        <f>Lektionen[[#This Row],[Bearbeitungsdauer_real]]/Lektionen[[#This Row],[Bearbeitungsdauer_geschätzt]]-1</f>
        <v>-6.6666666666666652E-2</v>
      </c>
      <c r="H3740" s="8" t="str" cm="1">
        <f t="array" ref="H3740">_xlfn.IFS(Lektionen[[#This Row],[Bearbeitungsdauer_abgewichen]]&gt;0.6,"viel länger",Lektionen[[#This Row],[Bearbeitungsdauer_abgewichen]]&gt;0.3,"länger",Lektionen[[#This Row],[Bearbeitungsdauer_abgewichen]]&lt;-0.3,"kürzer",TRUE,"keine Abweichung")</f>
        <v>keine Abweichung</v>
      </c>
      <c r="I3740">
        <v>2</v>
      </c>
    </row>
    <row r="3741" spans="1:9" hidden="1" x14ac:dyDescent="0.3">
      <c r="A3741" s="13">
        <v>579</v>
      </c>
      <c r="B3741" s="4">
        <v>4</v>
      </c>
      <c r="C3741" t="s">
        <v>531</v>
      </c>
      <c r="D3741" t="s">
        <v>530</v>
      </c>
      <c r="E3741">
        <v>30</v>
      </c>
      <c r="F3741">
        <v>25</v>
      </c>
      <c r="G3741" s="8">
        <f>Lektionen[[#This Row],[Bearbeitungsdauer_real]]/Lektionen[[#This Row],[Bearbeitungsdauer_geschätzt]]-1</f>
        <v>-0.16666666666666663</v>
      </c>
      <c r="H3741" s="8" t="str" cm="1">
        <f t="array" ref="H3741">_xlfn.IFS(Lektionen[[#This Row],[Bearbeitungsdauer_abgewichen]]&gt;0.6,"viel länger",Lektionen[[#This Row],[Bearbeitungsdauer_abgewichen]]&gt;0.3,"länger",Lektionen[[#This Row],[Bearbeitungsdauer_abgewichen]]&lt;-0.3,"kürzer",TRUE,"keine Abweichung")</f>
        <v>keine Abweichung</v>
      </c>
      <c r="I3741">
        <v>3</v>
      </c>
    </row>
    <row r="3742" spans="1:9" x14ac:dyDescent="0.3">
      <c r="A3742" s="13">
        <v>579</v>
      </c>
      <c r="B3742" s="4">
        <v>5</v>
      </c>
      <c r="C3742" t="s">
        <v>532</v>
      </c>
      <c r="D3742" t="s">
        <v>530</v>
      </c>
      <c r="E3742">
        <v>30</v>
      </c>
      <c r="F3742">
        <v>40</v>
      </c>
      <c r="G3742" s="8">
        <f>Lektionen[[#This Row],[Bearbeitungsdauer_real]]/Lektionen[[#This Row],[Bearbeitungsdauer_geschätzt]]-1</f>
        <v>0.33333333333333326</v>
      </c>
      <c r="H3742" s="8" t="str" cm="1">
        <f t="array" ref="H3742">_xlfn.IFS(Lektionen[[#This Row],[Bearbeitungsdauer_abgewichen]]&gt;0.6,"viel länger",Lektionen[[#This Row],[Bearbeitungsdauer_abgewichen]]&gt;0.3,"länger",Lektionen[[#This Row],[Bearbeitungsdauer_abgewichen]]&lt;-0.3,"kürzer",TRUE,"keine Abweichung")</f>
        <v>länger</v>
      </c>
      <c r="I3742">
        <v>4</v>
      </c>
    </row>
    <row r="3743" spans="1:9" hidden="1" x14ac:dyDescent="0.3">
      <c r="A3743" s="13">
        <v>579</v>
      </c>
      <c r="B3743" s="4">
        <v>6</v>
      </c>
      <c r="C3743" t="s">
        <v>533</v>
      </c>
      <c r="D3743" t="s">
        <v>534</v>
      </c>
      <c r="E3743">
        <v>5</v>
      </c>
      <c r="F3743">
        <v>1</v>
      </c>
      <c r="G3743" s="8">
        <f>Lektionen[[#This Row],[Bearbeitungsdauer_real]]/Lektionen[[#This Row],[Bearbeitungsdauer_geschätzt]]-1</f>
        <v>-0.8</v>
      </c>
      <c r="H3743" s="8" t="str" cm="1">
        <f t="array" ref="H3743">_xlfn.IFS(Lektionen[[#This Row],[Bearbeitungsdauer_abgewichen]]&gt;0.6,"viel länger",Lektionen[[#This Row],[Bearbeitungsdauer_abgewichen]]&gt;0.3,"länger",Lektionen[[#This Row],[Bearbeitungsdauer_abgewichen]]&lt;-0.3,"kürzer",TRUE,"keine Abweichung")</f>
        <v>kürzer</v>
      </c>
      <c r="I3743">
        <v>2</v>
      </c>
    </row>
    <row r="3744" spans="1:9" hidden="1" x14ac:dyDescent="0.3">
      <c r="A3744" s="13">
        <v>579</v>
      </c>
      <c r="B3744" s="4">
        <v>7</v>
      </c>
      <c r="C3744" t="s">
        <v>535</v>
      </c>
      <c r="D3744" t="s">
        <v>536</v>
      </c>
      <c r="E3744">
        <v>10</v>
      </c>
      <c r="F3744">
        <v>10</v>
      </c>
      <c r="G3744" s="8">
        <f>Lektionen[[#This Row],[Bearbeitungsdauer_real]]/Lektionen[[#This Row],[Bearbeitungsdauer_geschätzt]]-1</f>
        <v>0</v>
      </c>
      <c r="H3744" s="8" t="str" cm="1">
        <f t="array" ref="H3744">_xlfn.IFS(Lektionen[[#This Row],[Bearbeitungsdauer_abgewichen]]&gt;0.6,"viel länger",Lektionen[[#This Row],[Bearbeitungsdauer_abgewichen]]&gt;0.3,"länger",Lektionen[[#This Row],[Bearbeitungsdauer_abgewichen]]&lt;-0.3,"kürzer",TRUE,"keine Abweichung")</f>
        <v>keine Abweichung</v>
      </c>
      <c r="I3744">
        <v>3</v>
      </c>
    </row>
    <row r="3745" spans="1:9" hidden="1" x14ac:dyDescent="0.3">
      <c r="A3745" s="13">
        <v>579</v>
      </c>
      <c r="B3745" s="4">
        <v>8</v>
      </c>
      <c r="C3745" t="s">
        <v>537</v>
      </c>
      <c r="D3745" t="s">
        <v>527</v>
      </c>
      <c r="E3745">
        <v>5</v>
      </c>
      <c r="F3745">
        <v>5</v>
      </c>
      <c r="G3745" s="8">
        <f>Lektionen[[#This Row],[Bearbeitungsdauer_real]]/Lektionen[[#This Row],[Bearbeitungsdauer_geschätzt]]-1</f>
        <v>0</v>
      </c>
      <c r="H3745" s="8" t="str" cm="1">
        <f t="array" ref="H3745">_xlfn.IFS(Lektionen[[#This Row],[Bearbeitungsdauer_abgewichen]]&gt;0.6,"viel länger",Lektionen[[#This Row],[Bearbeitungsdauer_abgewichen]]&gt;0.3,"länger",Lektionen[[#This Row],[Bearbeitungsdauer_abgewichen]]&lt;-0.3,"kürzer",TRUE,"keine Abweichung")</f>
        <v>keine Abweichung</v>
      </c>
      <c r="I3745">
        <v>1</v>
      </c>
    </row>
    <row r="3746" spans="1:9" hidden="1" x14ac:dyDescent="0.3">
      <c r="A3746" s="13">
        <v>581</v>
      </c>
      <c r="B3746" s="4">
        <v>1</v>
      </c>
      <c r="C3746" t="s">
        <v>526</v>
      </c>
      <c r="D3746" t="s">
        <v>527</v>
      </c>
      <c r="E3746">
        <v>4</v>
      </c>
      <c r="F3746">
        <v>4</v>
      </c>
      <c r="G3746" s="8">
        <f>Lektionen[[#This Row],[Bearbeitungsdauer_real]]/Lektionen[[#This Row],[Bearbeitungsdauer_geschätzt]]-1</f>
        <v>0</v>
      </c>
      <c r="H3746" s="8" t="str" cm="1">
        <f t="array" ref="H3746">_xlfn.IFS(Lektionen[[#This Row],[Bearbeitungsdauer_abgewichen]]&gt;0.6,"viel länger",Lektionen[[#This Row],[Bearbeitungsdauer_abgewichen]]&gt;0.3,"länger",Lektionen[[#This Row],[Bearbeitungsdauer_abgewichen]]&lt;-0.3,"kürzer",TRUE,"keine Abweichung")</f>
        <v>keine Abweichung</v>
      </c>
      <c r="I3746">
        <v>1</v>
      </c>
    </row>
    <row r="3747" spans="1:9" hidden="1" x14ac:dyDescent="0.3">
      <c r="A3747" s="13">
        <v>581</v>
      </c>
      <c r="B3747" s="4">
        <v>2</v>
      </c>
      <c r="C3747" t="s">
        <v>528</v>
      </c>
      <c r="D3747" t="s">
        <v>529</v>
      </c>
      <c r="E3747">
        <v>15</v>
      </c>
      <c r="F3747">
        <v>17</v>
      </c>
      <c r="G3747" s="8">
        <f>Lektionen[[#This Row],[Bearbeitungsdauer_real]]/Lektionen[[#This Row],[Bearbeitungsdauer_geschätzt]]-1</f>
        <v>0.1333333333333333</v>
      </c>
      <c r="H3747" s="8" t="str" cm="1">
        <f t="array" ref="H3747">_xlfn.IFS(Lektionen[[#This Row],[Bearbeitungsdauer_abgewichen]]&gt;0.6,"viel länger",Lektionen[[#This Row],[Bearbeitungsdauer_abgewichen]]&gt;0.3,"länger",Lektionen[[#This Row],[Bearbeitungsdauer_abgewichen]]&lt;-0.3,"kürzer",TRUE,"keine Abweichung")</f>
        <v>keine Abweichung</v>
      </c>
      <c r="I3747">
        <v>1</v>
      </c>
    </row>
    <row r="3748" spans="1:9" hidden="1" x14ac:dyDescent="0.3">
      <c r="A3748" s="13">
        <v>581</v>
      </c>
      <c r="B3748" s="4">
        <v>3</v>
      </c>
      <c r="C3748" t="s">
        <v>552</v>
      </c>
      <c r="D3748" t="s">
        <v>530</v>
      </c>
      <c r="E3748">
        <v>30</v>
      </c>
      <c r="F3748">
        <v>39</v>
      </c>
      <c r="G3748" s="8">
        <f>Lektionen[[#This Row],[Bearbeitungsdauer_real]]/Lektionen[[#This Row],[Bearbeitungsdauer_geschätzt]]-1</f>
        <v>0.30000000000000004</v>
      </c>
      <c r="H3748" s="8" t="str" cm="1">
        <f t="array" ref="H3748">_xlfn.IFS(Lektionen[[#This Row],[Bearbeitungsdauer_abgewichen]]&gt;0.6,"viel länger",Lektionen[[#This Row],[Bearbeitungsdauer_abgewichen]]&gt;0.3,"länger",Lektionen[[#This Row],[Bearbeitungsdauer_abgewichen]]&lt;-0.3,"kürzer",TRUE,"keine Abweichung")</f>
        <v>keine Abweichung</v>
      </c>
      <c r="I3748">
        <v>4</v>
      </c>
    </row>
    <row r="3749" spans="1:9" hidden="1" x14ac:dyDescent="0.3">
      <c r="A3749" s="13">
        <v>581</v>
      </c>
      <c r="B3749" s="4">
        <v>4</v>
      </c>
      <c r="C3749" t="s">
        <v>531</v>
      </c>
      <c r="D3749" t="s">
        <v>530</v>
      </c>
      <c r="E3749">
        <v>30</v>
      </c>
      <c r="F3749">
        <v>28</v>
      </c>
      <c r="G3749" s="8">
        <f>Lektionen[[#This Row],[Bearbeitungsdauer_real]]/Lektionen[[#This Row],[Bearbeitungsdauer_geschätzt]]-1</f>
        <v>-6.6666666666666652E-2</v>
      </c>
      <c r="H3749" s="8" t="str" cm="1">
        <f t="array" ref="H3749">_xlfn.IFS(Lektionen[[#This Row],[Bearbeitungsdauer_abgewichen]]&gt;0.6,"viel länger",Lektionen[[#This Row],[Bearbeitungsdauer_abgewichen]]&gt;0.3,"länger",Lektionen[[#This Row],[Bearbeitungsdauer_abgewichen]]&lt;-0.3,"kürzer",TRUE,"keine Abweichung")</f>
        <v>keine Abweichung</v>
      </c>
      <c r="I3749">
        <v>3</v>
      </c>
    </row>
    <row r="3750" spans="1:9" x14ac:dyDescent="0.3">
      <c r="A3750" s="13">
        <v>581</v>
      </c>
      <c r="B3750" s="4">
        <v>5</v>
      </c>
      <c r="C3750" t="s">
        <v>532</v>
      </c>
      <c r="D3750" t="s">
        <v>530</v>
      </c>
      <c r="E3750">
        <v>30</v>
      </c>
      <c r="F3750">
        <v>40</v>
      </c>
      <c r="G3750" s="8">
        <f>Lektionen[[#This Row],[Bearbeitungsdauer_real]]/Lektionen[[#This Row],[Bearbeitungsdauer_geschätzt]]-1</f>
        <v>0.33333333333333326</v>
      </c>
      <c r="H3750" s="8" t="str" cm="1">
        <f t="array" ref="H3750">_xlfn.IFS(Lektionen[[#This Row],[Bearbeitungsdauer_abgewichen]]&gt;0.6,"viel länger",Lektionen[[#This Row],[Bearbeitungsdauer_abgewichen]]&gt;0.3,"länger",Lektionen[[#This Row],[Bearbeitungsdauer_abgewichen]]&lt;-0.3,"kürzer",TRUE,"keine Abweichung")</f>
        <v>länger</v>
      </c>
      <c r="I3750">
        <v>4</v>
      </c>
    </row>
    <row r="3751" spans="1:9" hidden="1" x14ac:dyDescent="0.3">
      <c r="A3751" s="13">
        <v>581</v>
      </c>
      <c r="B3751" s="4">
        <v>6</v>
      </c>
      <c r="C3751" t="s">
        <v>533</v>
      </c>
      <c r="D3751" t="s">
        <v>534</v>
      </c>
      <c r="E3751">
        <v>5</v>
      </c>
      <c r="F3751">
        <v>1</v>
      </c>
      <c r="G3751" s="8">
        <f>Lektionen[[#This Row],[Bearbeitungsdauer_real]]/Lektionen[[#This Row],[Bearbeitungsdauer_geschätzt]]-1</f>
        <v>-0.8</v>
      </c>
      <c r="H3751" s="8" t="str" cm="1">
        <f t="array" ref="H3751">_xlfn.IFS(Lektionen[[#This Row],[Bearbeitungsdauer_abgewichen]]&gt;0.6,"viel länger",Lektionen[[#This Row],[Bearbeitungsdauer_abgewichen]]&gt;0.3,"länger",Lektionen[[#This Row],[Bearbeitungsdauer_abgewichen]]&lt;-0.3,"kürzer",TRUE,"keine Abweichung")</f>
        <v>kürzer</v>
      </c>
      <c r="I3751">
        <v>2</v>
      </c>
    </row>
    <row r="3752" spans="1:9" hidden="1" x14ac:dyDescent="0.3">
      <c r="A3752" s="13">
        <v>581</v>
      </c>
      <c r="B3752" s="4">
        <v>7</v>
      </c>
      <c r="C3752" t="s">
        <v>535</v>
      </c>
      <c r="D3752" t="s">
        <v>536</v>
      </c>
      <c r="E3752">
        <v>10</v>
      </c>
      <c r="F3752">
        <v>10</v>
      </c>
      <c r="G3752" s="8">
        <f>Lektionen[[#This Row],[Bearbeitungsdauer_real]]/Lektionen[[#This Row],[Bearbeitungsdauer_geschätzt]]-1</f>
        <v>0</v>
      </c>
      <c r="H3752" s="8" t="str" cm="1">
        <f t="array" ref="H3752">_xlfn.IFS(Lektionen[[#This Row],[Bearbeitungsdauer_abgewichen]]&gt;0.6,"viel länger",Lektionen[[#This Row],[Bearbeitungsdauer_abgewichen]]&gt;0.3,"länger",Lektionen[[#This Row],[Bearbeitungsdauer_abgewichen]]&lt;-0.3,"kürzer",TRUE,"keine Abweichung")</f>
        <v>keine Abweichung</v>
      </c>
      <c r="I3752">
        <v>3</v>
      </c>
    </row>
    <row r="3753" spans="1:9" hidden="1" x14ac:dyDescent="0.3">
      <c r="A3753" s="13">
        <v>581</v>
      </c>
      <c r="B3753" s="4">
        <v>8</v>
      </c>
      <c r="C3753" t="s">
        <v>537</v>
      </c>
      <c r="D3753" t="s">
        <v>527</v>
      </c>
      <c r="E3753">
        <v>5</v>
      </c>
      <c r="F3753">
        <v>7</v>
      </c>
      <c r="G3753" s="8">
        <f>Lektionen[[#This Row],[Bearbeitungsdauer_real]]/Lektionen[[#This Row],[Bearbeitungsdauer_geschätzt]]-1</f>
        <v>0.39999999999999991</v>
      </c>
      <c r="H3753" s="8" t="str" cm="1">
        <f t="array" ref="H3753">_xlfn.IFS(Lektionen[[#This Row],[Bearbeitungsdauer_abgewichen]]&gt;0.6,"viel länger",Lektionen[[#This Row],[Bearbeitungsdauer_abgewichen]]&gt;0.3,"länger",Lektionen[[#This Row],[Bearbeitungsdauer_abgewichen]]&lt;-0.3,"kürzer",TRUE,"keine Abweichung")</f>
        <v>länger</v>
      </c>
      <c r="I3753">
        <v>1</v>
      </c>
    </row>
    <row r="3754" spans="1:9" hidden="1" x14ac:dyDescent="0.3">
      <c r="A3754" s="13">
        <v>582</v>
      </c>
      <c r="B3754" s="4">
        <v>1</v>
      </c>
      <c r="C3754" t="s">
        <v>526</v>
      </c>
      <c r="D3754" t="s">
        <v>527</v>
      </c>
      <c r="E3754">
        <v>4</v>
      </c>
      <c r="F3754">
        <v>4</v>
      </c>
      <c r="G3754" s="8">
        <f>Lektionen[[#This Row],[Bearbeitungsdauer_real]]/Lektionen[[#This Row],[Bearbeitungsdauer_geschätzt]]-1</f>
        <v>0</v>
      </c>
      <c r="H3754" s="8" t="str" cm="1">
        <f t="array" ref="H3754">_xlfn.IFS(Lektionen[[#This Row],[Bearbeitungsdauer_abgewichen]]&gt;0.6,"viel länger",Lektionen[[#This Row],[Bearbeitungsdauer_abgewichen]]&gt;0.3,"länger",Lektionen[[#This Row],[Bearbeitungsdauer_abgewichen]]&lt;-0.3,"kürzer",TRUE,"keine Abweichung")</f>
        <v>keine Abweichung</v>
      </c>
      <c r="I3754">
        <v>1</v>
      </c>
    </row>
    <row r="3755" spans="1:9" hidden="1" x14ac:dyDescent="0.3">
      <c r="A3755" s="13">
        <v>582</v>
      </c>
      <c r="B3755" s="4">
        <v>2</v>
      </c>
      <c r="C3755" t="s">
        <v>528</v>
      </c>
      <c r="D3755" t="s">
        <v>529</v>
      </c>
      <c r="E3755">
        <v>15</v>
      </c>
      <c r="F3755">
        <v>18</v>
      </c>
      <c r="G3755" s="8">
        <f>Lektionen[[#This Row],[Bearbeitungsdauer_real]]/Lektionen[[#This Row],[Bearbeitungsdauer_geschätzt]]-1</f>
        <v>0.19999999999999996</v>
      </c>
      <c r="H3755" s="8" t="str" cm="1">
        <f t="array" ref="H3755">_xlfn.IFS(Lektionen[[#This Row],[Bearbeitungsdauer_abgewichen]]&gt;0.6,"viel länger",Lektionen[[#This Row],[Bearbeitungsdauer_abgewichen]]&gt;0.3,"länger",Lektionen[[#This Row],[Bearbeitungsdauer_abgewichen]]&lt;-0.3,"kürzer",TRUE,"keine Abweichung")</f>
        <v>keine Abweichung</v>
      </c>
      <c r="I3755">
        <v>2</v>
      </c>
    </row>
    <row r="3756" spans="1:9" hidden="1" x14ac:dyDescent="0.3">
      <c r="A3756" s="13">
        <v>582</v>
      </c>
      <c r="B3756" s="4">
        <v>3</v>
      </c>
      <c r="C3756" t="s">
        <v>552</v>
      </c>
      <c r="D3756" t="s">
        <v>530</v>
      </c>
      <c r="E3756">
        <v>30</v>
      </c>
      <c r="F3756">
        <v>28</v>
      </c>
      <c r="G3756" s="8">
        <f>Lektionen[[#This Row],[Bearbeitungsdauer_real]]/Lektionen[[#This Row],[Bearbeitungsdauer_geschätzt]]-1</f>
        <v>-6.6666666666666652E-2</v>
      </c>
      <c r="H3756" s="8" t="str" cm="1">
        <f t="array" ref="H3756">_xlfn.IFS(Lektionen[[#This Row],[Bearbeitungsdauer_abgewichen]]&gt;0.6,"viel länger",Lektionen[[#This Row],[Bearbeitungsdauer_abgewichen]]&gt;0.3,"länger",Lektionen[[#This Row],[Bearbeitungsdauer_abgewichen]]&lt;-0.3,"kürzer",TRUE,"keine Abweichung")</f>
        <v>keine Abweichung</v>
      </c>
      <c r="I3756">
        <v>3</v>
      </c>
    </row>
    <row r="3757" spans="1:9" hidden="1" x14ac:dyDescent="0.3">
      <c r="A3757" s="13">
        <v>582</v>
      </c>
      <c r="B3757" s="4">
        <v>4</v>
      </c>
      <c r="C3757" t="s">
        <v>531</v>
      </c>
      <c r="D3757" t="s">
        <v>530</v>
      </c>
      <c r="E3757">
        <v>30</v>
      </c>
      <c r="F3757">
        <v>27</v>
      </c>
      <c r="G3757" s="8">
        <f>Lektionen[[#This Row],[Bearbeitungsdauer_real]]/Lektionen[[#This Row],[Bearbeitungsdauer_geschätzt]]-1</f>
        <v>-9.9999999999999978E-2</v>
      </c>
      <c r="H3757" s="8" t="str" cm="1">
        <f t="array" ref="H3757">_xlfn.IFS(Lektionen[[#This Row],[Bearbeitungsdauer_abgewichen]]&gt;0.6,"viel länger",Lektionen[[#This Row],[Bearbeitungsdauer_abgewichen]]&gt;0.3,"länger",Lektionen[[#This Row],[Bearbeitungsdauer_abgewichen]]&lt;-0.3,"kürzer",TRUE,"keine Abweichung")</f>
        <v>keine Abweichung</v>
      </c>
      <c r="I3757">
        <v>2</v>
      </c>
    </row>
    <row r="3758" spans="1:9" x14ac:dyDescent="0.3">
      <c r="A3758" s="13">
        <v>582</v>
      </c>
      <c r="B3758" s="4">
        <v>5</v>
      </c>
      <c r="C3758" t="s">
        <v>532</v>
      </c>
      <c r="D3758" t="s">
        <v>530</v>
      </c>
      <c r="E3758">
        <v>30</v>
      </c>
      <c r="F3758">
        <v>44</v>
      </c>
      <c r="G3758" s="8">
        <f>Lektionen[[#This Row],[Bearbeitungsdauer_real]]/Lektionen[[#This Row],[Bearbeitungsdauer_geschätzt]]-1</f>
        <v>0.46666666666666656</v>
      </c>
      <c r="H3758" s="8" t="str" cm="1">
        <f t="array" ref="H3758">_xlfn.IFS(Lektionen[[#This Row],[Bearbeitungsdauer_abgewichen]]&gt;0.6,"viel länger",Lektionen[[#This Row],[Bearbeitungsdauer_abgewichen]]&gt;0.3,"länger",Lektionen[[#This Row],[Bearbeitungsdauer_abgewichen]]&lt;-0.3,"kürzer",TRUE,"keine Abweichung")</f>
        <v>länger</v>
      </c>
      <c r="I3758">
        <v>3</v>
      </c>
    </row>
    <row r="3759" spans="1:9" hidden="1" x14ac:dyDescent="0.3">
      <c r="A3759" s="13">
        <v>582</v>
      </c>
      <c r="B3759" s="4">
        <v>6</v>
      </c>
      <c r="C3759" t="s">
        <v>533</v>
      </c>
      <c r="D3759" t="s">
        <v>534</v>
      </c>
      <c r="E3759">
        <v>5</v>
      </c>
      <c r="F3759">
        <v>1</v>
      </c>
      <c r="G3759" s="8">
        <f>Lektionen[[#This Row],[Bearbeitungsdauer_real]]/Lektionen[[#This Row],[Bearbeitungsdauer_geschätzt]]-1</f>
        <v>-0.8</v>
      </c>
      <c r="H3759" s="8" t="str" cm="1">
        <f t="array" ref="H3759">_xlfn.IFS(Lektionen[[#This Row],[Bearbeitungsdauer_abgewichen]]&gt;0.6,"viel länger",Lektionen[[#This Row],[Bearbeitungsdauer_abgewichen]]&gt;0.3,"länger",Lektionen[[#This Row],[Bearbeitungsdauer_abgewichen]]&lt;-0.3,"kürzer",TRUE,"keine Abweichung")</f>
        <v>kürzer</v>
      </c>
      <c r="I3759">
        <v>2</v>
      </c>
    </row>
    <row r="3760" spans="1:9" hidden="1" x14ac:dyDescent="0.3">
      <c r="A3760" s="13">
        <v>582</v>
      </c>
      <c r="B3760" s="4">
        <v>7</v>
      </c>
      <c r="C3760" t="s">
        <v>535</v>
      </c>
      <c r="D3760" t="s">
        <v>536</v>
      </c>
      <c r="E3760">
        <v>10</v>
      </c>
      <c r="F3760">
        <v>10</v>
      </c>
      <c r="G3760" s="8">
        <f>Lektionen[[#This Row],[Bearbeitungsdauer_real]]/Lektionen[[#This Row],[Bearbeitungsdauer_geschätzt]]-1</f>
        <v>0</v>
      </c>
      <c r="H3760" s="8" t="str" cm="1">
        <f t="array" ref="H3760">_xlfn.IFS(Lektionen[[#This Row],[Bearbeitungsdauer_abgewichen]]&gt;0.6,"viel länger",Lektionen[[#This Row],[Bearbeitungsdauer_abgewichen]]&gt;0.3,"länger",Lektionen[[#This Row],[Bearbeitungsdauer_abgewichen]]&lt;-0.3,"kürzer",TRUE,"keine Abweichung")</f>
        <v>keine Abweichung</v>
      </c>
      <c r="I3760">
        <v>3</v>
      </c>
    </row>
    <row r="3761" spans="1:9" hidden="1" x14ac:dyDescent="0.3">
      <c r="A3761" s="13">
        <v>582</v>
      </c>
      <c r="B3761" s="4">
        <v>8</v>
      </c>
      <c r="C3761" t="s">
        <v>537</v>
      </c>
      <c r="D3761" t="s">
        <v>527</v>
      </c>
      <c r="E3761">
        <v>5</v>
      </c>
      <c r="F3761">
        <v>5</v>
      </c>
      <c r="G3761" s="8">
        <f>Lektionen[[#This Row],[Bearbeitungsdauer_real]]/Lektionen[[#This Row],[Bearbeitungsdauer_geschätzt]]-1</f>
        <v>0</v>
      </c>
      <c r="H3761" s="8" t="str" cm="1">
        <f t="array" ref="H3761">_xlfn.IFS(Lektionen[[#This Row],[Bearbeitungsdauer_abgewichen]]&gt;0.6,"viel länger",Lektionen[[#This Row],[Bearbeitungsdauer_abgewichen]]&gt;0.3,"länger",Lektionen[[#This Row],[Bearbeitungsdauer_abgewichen]]&lt;-0.3,"kürzer",TRUE,"keine Abweichung")</f>
        <v>keine Abweichung</v>
      </c>
      <c r="I3761">
        <v>1</v>
      </c>
    </row>
    <row r="3762" spans="1:9" hidden="1" x14ac:dyDescent="0.3">
      <c r="A3762" s="13">
        <v>583</v>
      </c>
      <c r="B3762" s="4">
        <v>1</v>
      </c>
      <c r="C3762" t="s">
        <v>526</v>
      </c>
      <c r="D3762" t="s">
        <v>527</v>
      </c>
      <c r="E3762">
        <v>4</v>
      </c>
      <c r="F3762">
        <v>4</v>
      </c>
      <c r="G3762" s="8">
        <f>Lektionen[[#This Row],[Bearbeitungsdauer_real]]/Lektionen[[#This Row],[Bearbeitungsdauer_geschätzt]]-1</f>
        <v>0</v>
      </c>
      <c r="H3762" s="8" t="str" cm="1">
        <f t="array" ref="H3762">_xlfn.IFS(Lektionen[[#This Row],[Bearbeitungsdauer_abgewichen]]&gt;0.6,"viel länger",Lektionen[[#This Row],[Bearbeitungsdauer_abgewichen]]&gt;0.3,"länger",Lektionen[[#This Row],[Bearbeitungsdauer_abgewichen]]&lt;-0.3,"kürzer",TRUE,"keine Abweichung")</f>
        <v>keine Abweichung</v>
      </c>
      <c r="I3762">
        <v>1</v>
      </c>
    </row>
    <row r="3763" spans="1:9" hidden="1" x14ac:dyDescent="0.3">
      <c r="A3763" s="13">
        <v>583</v>
      </c>
      <c r="B3763" s="4">
        <v>2</v>
      </c>
      <c r="C3763" t="s">
        <v>528</v>
      </c>
      <c r="D3763" t="s">
        <v>529</v>
      </c>
      <c r="E3763">
        <v>15</v>
      </c>
      <c r="F3763">
        <v>18</v>
      </c>
      <c r="G3763" s="8">
        <f>Lektionen[[#This Row],[Bearbeitungsdauer_real]]/Lektionen[[#This Row],[Bearbeitungsdauer_geschätzt]]-1</f>
        <v>0.19999999999999996</v>
      </c>
      <c r="H3763" s="8" t="str" cm="1">
        <f t="array" ref="H3763">_xlfn.IFS(Lektionen[[#This Row],[Bearbeitungsdauer_abgewichen]]&gt;0.6,"viel länger",Lektionen[[#This Row],[Bearbeitungsdauer_abgewichen]]&gt;0.3,"länger",Lektionen[[#This Row],[Bearbeitungsdauer_abgewichen]]&lt;-0.3,"kürzer",TRUE,"keine Abweichung")</f>
        <v>keine Abweichung</v>
      </c>
      <c r="I3763">
        <v>2</v>
      </c>
    </row>
    <row r="3764" spans="1:9" hidden="1" x14ac:dyDescent="0.3">
      <c r="A3764" s="13">
        <v>583</v>
      </c>
      <c r="B3764" s="4">
        <v>3</v>
      </c>
      <c r="C3764" t="s">
        <v>552</v>
      </c>
      <c r="D3764" t="s">
        <v>530</v>
      </c>
      <c r="E3764">
        <v>30</v>
      </c>
      <c r="F3764">
        <v>28</v>
      </c>
      <c r="G3764" s="8">
        <f>Lektionen[[#This Row],[Bearbeitungsdauer_real]]/Lektionen[[#This Row],[Bearbeitungsdauer_geschätzt]]-1</f>
        <v>-6.6666666666666652E-2</v>
      </c>
      <c r="H3764" s="8" t="str" cm="1">
        <f t="array" ref="H3764">_xlfn.IFS(Lektionen[[#This Row],[Bearbeitungsdauer_abgewichen]]&gt;0.6,"viel länger",Lektionen[[#This Row],[Bearbeitungsdauer_abgewichen]]&gt;0.3,"länger",Lektionen[[#This Row],[Bearbeitungsdauer_abgewichen]]&lt;-0.3,"kürzer",TRUE,"keine Abweichung")</f>
        <v>keine Abweichung</v>
      </c>
      <c r="I3764">
        <v>3</v>
      </c>
    </row>
    <row r="3765" spans="1:9" hidden="1" x14ac:dyDescent="0.3">
      <c r="A3765" s="13">
        <v>583</v>
      </c>
      <c r="B3765" s="4">
        <v>4</v>
      </c>
      <c r="C3765" t="s">
        <v>531</v>
      </c>
      <c r="D3765" t="s">
        <v>530</v>
      </c>
      <c r="E3765">
        <v>30</v>
      </c>
      <c r="F3765">
        <v>22</v>
      </c>
      <c r="G3765" s="8">
        <f>Lektionen[[#This Row],[Bearbeitungsdauer_real]]/Lektionen[[#This Row],[Bearbeitungsdauer_geschätzt]]-1</f>
        <v>-0.26666666666666672</v>
      </c>
      <c r="H3765" s="8" t="str" cm="1">
        <f t="array" ref="H3765">_xlfn.IFS(Lektionen[[#This Row],[Bearbeitungsdauer_abgewichen]]&gt;0.6,"viel länger",Lektionen[[#This Row],[Bearbeitungsdauer_abgewichen]]&gt;0.3,"länger",Lektionen[[#This Row],[Bearbeitungsdauer_abgewichen]]&lt;-0.3,"kürzer",TRUE,"keine Abweichung")</f>
        <v>keine Abweichung</v>
      </c>
      <c r="I3765">
        <v>3</v>
      </c>
    </row>
    <row r="3766" spans="1:9" x14ac:dyDescent="0.3">
      <c r="A3766" s="13">
        <v>583</v>
      </c>
      <c r="B3766" s="4">
        <v>5</v>
      </c>
      <c r="C3766" t="s">
        <v>532</v>
      </c>
      <c r="D3766" t="s">
        <v>530</v>
      </c>
      <c r="E3766">
        <v>30</v>
      </c>
      <c r="F3766">
        <v>43</v>
      </c>
      <c r="G3766" s="8">
        <f>Lektionen[[#This Row],[Bearbeitungsdauer_real]]/Lektionen[[#This Row],[Bearbeitungsdauer_geschätzt]]-1</f>
        <v>0.43333333333333335</v>
      </c>
      <c r="H3766" s="8" t="str" cm="1">
        <f t="array" ref="H3766">_xlfn.IFS(Lektionen[[#This Row],[Bearbeitungsdauer_abgewichen]]&gt;0.6,"viel länger",Lektionen[[#This Row],[Bearbeitungsdauer_abgewichen]]&gt;0.3,"länger",Lektionen[[#This Row],[Bearbeitungsdauer_abgewichen]]&lt;-0.3,"kürzer",TRUE,"keine Abweichung")</f>
        <v>länger</v>
      </c>
      <c r="I3766">
        <v>3</v>
      </c>
    </row>
    <row r="3767" spans="1:9" hidden="1" x14ac:dyDescent="0.3">
      <c r="A3767" s="13">
        <v>583</v>
      </c>
      <c r="B3767" s="4">
        <v>6</v>
      </c>
      <c r="C3767" t="s">
        <v>533</v>
      </c>
      <c r="D3767" t="s">
        <v>534</v>
      </c>
      <c r="E3767">
        <v>5</v>
      </c>
      <c r="F3767">
        <v>1</v>
      </c>
      <c r="G3767" s="8">
        <f>Lektionen[[#This Row],[Bearbeitungsdauer_real]]/Lektionen[[#This Row],[Bearbeitungsdauer_geschätzt]]-1</f>
        <v>-0.8</v>
      </c>
      <c r="H3767" s="8" t="str" cm="1">
        <f t="array" ref="H3767">_xlfn.IFS(Lektionen[[#This Row],[Bearbeitungsdauer_abgewichen]]&gt;0.6,"viel länger",Lektionen[[#This Row],[Bearbeitungsdauer_abgewichen]]&gt;0.3,"länger",Lektionen[[#This Row],[Bearbeitungsdauer_abgewichen]]&lt;-0.3,"kürzer",TRUE,"keine Abweichung")</f>
        <v>kürzer</v>
      </c>
      <c r="I3767">
        <v>2</v>
      </c>
    </row>
    <row r="3768" spans="1:9" hidden="1" x14ac:dyDescent="0.3">
      <c r="A3768" s="13">
        <v>583</v>
      </c>
      <c r="B3768" s="4">
        <v>7</v>
      </c>
      <c r="C3768" t="s">
        <v>535</v>
      </c>
      <c r="D3768" t="s">
        <v>536</v>
      </c>
      <c r="E3768">
        <v>10</v>
      </c>
      <c r="F3768">
        <v>8</v>
      </c>
      <c r="G3768" s="8">
        <f>Lektionen[[#This Row],[Bearbeitungsdauer_real]]/Lektionen[[#This Row],[Bearbeitungsdauer_geschätzt]]-1</f>
        <v>-0.19999999999999996</v>
      </c>
      <c r="H3768" s="8" t="str" cm="1">
        <f t="array" ref="H3768">_xlfn.IFS(Lektionen[[#This Row],[Bearbeitungsdauer_abgewichen]]&gt;0.6,"viel länger",Lektionen[[#This Row],[Bearbeitungsdauer_abgewichen]]&gt;0.3,"länger",Lektionen[[#This Row],[Bearbeitungsdauer_abgewichen]]&lt;-0.3,"kürzer",TRUE,"keine Abweichung")</f>
        <v>keine Abweichung</v>
      </c>
      <c r="I3768">
        <v>4</v>
      </c>
    </row>
    <row r="3769" spans="1:9" hidden="1" x14ac:dyDescent="0.3">
      <c r="A3769" s="13">
        <v>583</v>
      </c>
      <c r="B3769" s="4">
        <v>8</v>
      </c>
      <c r="C3769" t="s">
        <v>537</v>
      </c>
      <c r="D3769" t="s">
        <v>527</v>
      </c>
      <c r="E3769">
        <v>5</v>
      </c>
      <c r="F3769">
        <v>5</v>
      </c>
      <c r="G3769" s="8">
        <f>Lektionen[[#This Row],[Bearbeitungsdauer_real]]/Lektionen[[#This Row],[Bearbeitungsdauer_geschätzt]]-1</f>
        <v>0</v>
      </c>
      <c r="H3769" s="8" t="str" cm="1">
        <f t="array" ref="H3769">_xlfn.IFS(Lektionen[[#This Row],[Bearbeitungsdauer_abgewichen]]&gt;0.6,"viel länger",Lektionen[[#This Row],[Bearbeitungsdauer_abgewichen]]&gt;0.3,"länger",Lektionen[[#This Row],[Bearbeitungsdauer_abgewichen]]&lt;-0.3,"kürzer",TRUE,"keine Abweichung")</f>
        <v>keine Abweichung</v>
      </c>
      <c r="I3769">
        <v>1</v>
      </c>
    </row>
    <row r="3770" spans="1:9" hidden="1" x14ac:dyDescent="0.3">
      <c r="A3770" s="13">
        <v>584</v>
      </c>
      <c r="B3770" s="4">
        <v>1</v>
      </c>
      <c r="C3770" t="s">
        <v>526</v>
      </c>
      <c r="D3770" t="s">
        <v>527</v>
      </c>
      <c r="E3770">
        <v>4</v>
      </c>
      <c r="F3770">
        <v>4</v>
      </c>
      <c r="G3770" s="8">
        <f>Lektionen[[#This Row],[Bearbeitungsdauer_real]]/Lektionen[[#This Row],[Bearbeitungsdauer_geschätzt]]-1</f>
        <v>0</v>
      </c>
      <c r="H3770" s="8" t="str" cm="1">
        <f t="array" ref="H3770">_xlfn.IFS(Lektionen[[#This Row],[Bearbeitungsdauer_abgewichen]]&gt;0.6,"viel länger",Lektionen[[#This Row],[Bearbeitungsdauer_abgewichen]]&gt;0.3,"länger",Lektionen[[#This Row],[Bearbeitungsdauer_abgewichen]]&lt;-0.3,"kürzer",TRUE,"keine Abweichung")</f>
        <v>keine Abweichung</v>
      </c>
      <c r="I3770">
        <v>1</v>
      </c>
    </row>
    <row r="3771" spans="1:9" hidden="1" x14ac:dyDescent="0.3">
      <c r="A3771" s="13">
        <v>584</v>
      </c>
      <c r="B3771" s="4">
        <v>2</v>
      </c>
      <c r="C3771" t="s">
        <v>528</v>
      </c>
      <c r="D3771" t="s">
        <v>529</v>
      </c>
      <c r="E3771">
        <v>15</v>
      </c>
      <c r="F3771">
        <v>15</v>
      </c>
      <c r="G3771" s="8">
        <f>Lektionen[[#This Row],[Bearbeitungsdauer_real]]/Lektionen[[#This Row],[Bearbeitungsdauer_geschätzt]]-1</f>
        <v>0</v>
      </c>
      <c r="H3771" s="8" t="str" cm="1">
        <f t="array" ref="H3771">_xlfn.IFS(Lektionen[[#This Row],[Bearbeitungsdauer_abgewichen]]&gt;0.6,"viel länger",Lektionen[[#This Row],[Bearbeitungsdauer_abgewichen]]&gt;0.3,"länger",Lektionen[[#This Row],[Bearbeitungsdauer_abgewichen]]&lt;-0.3,"kürzer",TRUE,"keine Abweichung")</f>
        <v>keine Abweichung</v>
      </c>
      <c r="I3771">
        <v>2</v>
      </c>
    </row>
    <row r="3772" spans="1:9" hidden="1" x14ac:dyDescent="0.3">
      <c r="A3772" s="13">
        <v>584</v>
      </c>
      <c r="B3772" s="4">
        <v>3</v>
      </c>
      <c r="C3772" t="s">
        <v>552</v>
      </c>
      <c r="D3772" t="s">
        <v>530</v>
      </c>
      <c r="E3772">
        <v>30</v>
      </c>
      <c r="F3772">
        <v>29</v>
      </c>
      <c r="G3772" s="8">
        <f>Lektionen[[#This Row],[Bearbeitungsdauer_real]]/Lektionen[[#This Row],[Bearbeitungsdauer_geschätzt]]-1</f>
        <v>-3.3333333333333326E-2</v>
      </c>
      <c r="H3772" s="8" t="str" cm="1">
        <f t="array" ref="H3772">_xlfn.IFS(Lektionen[[#This Row],[Bearbeitungsdauer_abgewichen]]&gt;0.6,"viel länger",Lektionen[[#This Row],[Bearbeitungsdauer_abgewichen]]&gt;0.3,"länger",Lektionen[[#This Row],[Bearbeitungsdauer_abgewichen]]&lt;-0.3,"kürzer",TRUE,"keine Abweichung")</f>
        <v>keine Abweichung</v>
      </c>
      <c r="I3772">
        <v>3</v>
      </c>
    </row>
    <row r="3773" spans="1:9" hidden="1" x14ac:dyDescent="0.3">
      <c r="A3773" s="13">
        <v>584</v>
      </c>
      <c r="B3773" s="4">
        <v>4</v>
      </c>
      <c r="C3773" t="s">
        <v>531</v>
      </c>
      <c r="D3773" t="s">
        <v>530</v>
      </c>
      <c r="E3773">
        <v>30</v>
      </c>
      <c r="F3773">
        <v>26</v>
      </c>
      <c r="G3773" s="8">
        <f>Lektionen[[#This Row],[Bearbeitungsdauer_real]]/Lektionen[[#This Row],[Bearbeitungsdauer_geschätzt]]-1</f>
        <v>-0.1333333333333333</v>
      </c>
      <c r="H3773" s="8" t="str" cm="1">
        <f t="array" ref="H3773">_xlfn.IFS(Lektionen[[#This Row],[Bearbeitungsdauer_abgewichen]]&gt;0.6,"viel länger",Lektionen[[#This Row],[Bearbeitungsdauer_abgewichen]]&gt;0.3,"länger",Lektionen[[#This Row],[Bearbeitungsdauer_abgewichen]]&lt;-0.3,"kürzer",TRUE,"keine Abweichung")</f>
        <v>keine Abweichung</v>
      </c>
      <c r="I3773">
        <v>3</v>
      </c>
    </row>
    <row r="3774" spans="1:9" x14ac:dyDescent="0.3">
      <c r="A3774" s="13">
        <v>584</v>
      </c>
      <c r="B3774" s="4">
        <v>5</v>
      </c>
      <c r="C3774" t="s">
        <v>532</v>
      </c>
      <c r="D3774" t="s">
        <v>530</v>
      </c>
      <c r="E3774">
        <v>30</v>
      </c>
      <c r="F3774">
        <v>39</v>
      </c>
      <c r="G3774" s="8">
        <f>Lektionen[[#This Row],[Bearbeitungsdauer_real]]/Lektionen[[#This Row],[Bearbeitungsdauer_geschätzt]]-1</f>
        <v>0.30000000000000004</v>
      </c>
      <c r="H3774" s="8" t="str" cm="1">
        <f t="array" ref="H3774">_xlfn.IFS(Lektionen[[#This Row],[Bearbeitungsdauer_abgewichen]]&gt;0.6,"viel länger",Lektionen[[#This Row],[Bearbeitungsdauer_abgewichen]]&gt;0.3,"länger",Lektionen[[#This Row],[Bearbeitungsdauer_abgewichen]]&lt;-0.3,"kürzer",TRUE,"keine Abweichung")</f>
        <v>keine Abweichung</v>
      </c>
      <c r="I3774">
        <v>3</v>
      </c>
    </row>
    <row r="3775" spans="1:9" hidden="1" x14ac:dyDescent="0.3">
      <c r="A3775" s="13">
        <v>584</v>
      </c>
      <c r="B3775" s="4">
        <v>6</v>
      </c>
      <c r="C3775" t="s">
        <v>533</v>
      </c>
      <c r="D3775" t="s">
        <v>534</v>
      </c>
      <c r="E3775">
        <v>5</v>
      </c>
      <c r="F3775">
        <v>1</v>
      </c>
      <c r="G3775" s="8">
        <f>Lektionen[[#This Row],[Bearbeitungsdauer_real]]/Lektionen[[#This Row],[Bearbeitungsdauer_geschätzt]]-1</f>
        <v>-0.8</v>
      </c>
      <c r="H3775" s="8" t="str" cm="1">
        <f t="array" ref="H3775">_xlfn.IFS(Lektionen[[#This Row],[Bearbeitungsdauer_abgewichen]]&gt;0.6,"viel länger",Lektionen[[#This Row],[Bearbeitungsdauer_abgewichen]]&gt;0.3,"länger",Lektionen[[#This Row],[Bearbeitungsdauer_abgewichen]]&lt;-0.3,"kürzer",TRUE,"keine Abweichung")</f>
        <v>kürzer</v>
      </c>
      <c r="I3775">
        <v>2</v>
      </c>
    </row>
    <row r="3776" spans="1:9" hidden="1" x14ac:dyDescent="0.3">
      <c r="A3776" s="13">
        <v>584</v>
      </c>
      <c r="B3776" s="4">
        <v>7</v>
      </c>
      <c r="C3776" t="s">
        <v>535</v>
      </c>
      <c r="D3776" t="s">
        <v>536</v>
      </c>
      <c r="E3776">
        <v>10</v>
      </c>
      <c r="F3776">
        <v>9</v>
      </c>
      <c r="G3776" s="8">
        <f>Lektionen[[#This Row],[Bearbeitungsdauer_real]]/Lektionen[[#This Row],[Bearbeitungsdauer_geschätzt]]-1</f>
        <v>-9.9999999999999978E-2</v>
      </c>
      <c r="H3776" s="8" t="str" cm="1">
        <f t="array" ref="H3776">_xlfn.IFS(Lektionen[[#This Row],[Bearbeitungsdauer_abgewichen]]&gt;0.6,"viel länger",Lektionen[[#This Row],[Bearbeitungsdauer_abgewichen]]&gt;0.3,"länger",Lektionen[[#This Row],[Bearbeitungsdauer_abgewichen]]&lt;-0.3,"kürzer",TRUE,"keine Abweichung")</f>
        <v>keine Abweichung</v>
      </c>
      <c r="I3776">
        <v>3</v>
      </c>
    </row>
    <row r="3777" spans="1:9" hidden="1" x14ac:dyDescent="0.3">
      <c r="A3777" s="13">
        <v>584</v>
      </c>
      <c r="B3777" s="4">
        <v>8</v>
      </c>
      <c r="C3777" t="s">
        <v>537</v>
      </c>
      <c r="D3777" t="s">
        <v>527</v>
      </c>
      <c r="E3777">
        <v>5</v>
      </c>
      <c r="F3777">
        <v>5</v>
      </c>
      <c r="G3777" s="8">
        <f>Lektionen[[#This Row],[Bearbeitungsdauer_real]]/Lektionen[[#This Row],[Bearbeitungsdauer_geschätzt]]-1</f>
        <v>0</v>
      </c>
      <c r="H3777" s="8" t="str" cm="1">
        <f t="array" ref="H3777">_xlfn.IFS(Lektionen[[#This Row],[Bearbeitungsdauer_abgewichen]]&gt;0.6,"viel länger",Lektionen[[#This Row],[Bearbeitungsdauer_abgewichen]]&gt;0.3,"länger",Lektionen[[#This Row],[Bearbeitungsdauer_abgewichen]]&lt;-0.3,"kürzer",TRUE,"keine Abweichung")</f>
        <v>keine Abweichung</v>
      </c>
      <c r="I3777">
        <v>1</v>
      </c>
    </row>
    <row r="3778" spans="1:9" hidden="1" x14ac:dyDescent="0.3">
      <c r="A3778" s="13">
        <v>586</v>
      </c>
      <c r="B3778" s="4">
        <v>1</v>
      </c>
      <c r="C3778" t="s">
        <v>526</v>
      </c>
      <c r="D3778" t="s">
        <v>527</v>
      </c>
      <c r="E3778">
        <v>4</v>
      </c>
      <c r="F3778">
        <v>4</v>
      </c>
      <c r="G3778" s="8">
        <f>Lektionen[[#This Row],[Bearbeitungsdauer_real]]/Lektionen[[#This Row],[Bearbeitungsdauer_geschätzt]]-1</f>
        <v>0</v>
      </c>
      <c r="H3778" s="8" t="str" cm="1">
        <f t="array" ref="H3778">_xlfn.IFS(Lektionen[[#This Row],[Bearbeitungsdauer_abgewichen]]&gt;0.6,"viel länger",Lektionen[[#This Row],[Bearbeitungsdauer_abgewichen]]&gt;0.3,"länger",Lektionen[[#This Row],[Bearbeitungsdauer_abgewichen]]&lt;-0.3,"kürzer",TRUE,"keine Abweichung")</f>
        <v>keine Abweichung</v>
      </c>
      <c r="I3778">
        <v>1</v>
      </c>
    </row>
    <row r="3779" spans="1:9" hidden="1" x14ac:dyDescent="0.3">
      <c r="A3779" s="13">
        <v>586</v>
      </c>
      <c r="B3779" s="4">
        <v>2</v>
      </c>
      <c r="C3779" t="s">
        <v>528</v>
      </c>
      <c r="D3779" t="s">
        <v>529</v>
      </c>
      <c r="E3779">
        <v>15</v>
      </c>
      <c r="F3779">
        <v>17</v>
      </c>
      <c r="G3779" s="8">
        <f>Lektionen[[#This Row],[Bearbeitungsdauer_real]]/Lektionen[[#This Row],[Bearbeitungsdauer_geschätzt]]-1</f>
        <v>0.1333333333333333</v>
      </c>
      <c r="H3779" s="8" t="str" cm="1">
        <f t="array" ref="H3779">_xlfn.IFS(Lektionen[[#This Row],[Bearbeitungsdauer_abgewichen]]&gt;0.6,"viel länger",Lektionen[[#This Row],[Bearbeitungsdauer_abgewichen]]&gt;0.3,"länger",Lektionen[[#This Row],[Bearbeitungsdauer_abgewichen]]&lt;-0.3,"kürzer",TRUE,"keine Abweichung")</f>
        <v>keine Abweichung</v>
      </c>
      <c r="I3779">
        <v>1</v>
      </c>
    </row>
    <row r="3780" spans="1:9" hidden="1" x14ac:dyDescent="0.3">
      <c r="A3780" s="13">
        <v>586</v>
      </c>
      <c r="B3780" s="4">
        <v>3</v>
      </c>
      <c r="C3780" t="s">
        <v>552</v>
      </c>
      <c r="D3780" t="s">
        <v>530</v>
      </c>
      <c r="E3780">
        <v>30</v>
      </c>
      <c r="F3780">
        <v>27</v>
      </c>
      <c r="G3780" s="8">
        <f>Lektionen[[#This Row],[Bearbeitungsdauer_real]]/Lektionen[[#This Row],[Bearbeitungsdauer_geschätzt]]-1</f>
        <v>-9.9999999999999978E-2</v>
      </c>
      <c r="H3780" s="8" t="str" cm="1">
        <f t="array" ref="H3780">_xlfn.IFS(Lektionen[[#This Row],[Bearbeitungsdauer_abgewichen]]&gt;0.6,"viel länger",Lektionen[[#This Row],[Bearbeitungsdauer_abgewichen]]&gt;0.3,"länger",Lektionen[[#This Row],[Bearbeitungsdauer_abgewichen]]&lt;-0.3,"kürzer",TRUE,"keine Abweichung")</f>
        <v>keine Abweichung</v>
      </c>
      <c r="I3780">
        <v>2</v>
      </c>
    </row>
    <row r="3781" spans="1:9" hidden="1" x14ac:dyDescent="0.3">
      <c r="A3781" s="13">
        <v>586</v>
      </c>
      <c r="B3781" s="4">
        <v>4</v>
      </c>
      <c r="C3781" t="s">
        <v>531</v>
      </c>
      <c r="D3781" t="s">
        <v>530</v>
      </c>
      <c r="E3781">
        <v>30</v>
      </c>
      <c r="F3781">
        <v>24</v>
      </c>
      <c r="G3781" s="8">
        <f>Lektionen[[#This Row],[Bearbeitungsdauer_real]]/Lektionen[[#This Row],[Bearbeitungsdauer_geschätzt]]-1</f>
        <v>-0.19999999999999996</v>
      </c>
      <c r="H3781" s="8" t="str" cm="1">
        <f t="array" ref="H3781">_xlfn.IFS(Lektionen[[#This Row],[Bearbeitungsdauer_abgewichen]]&gt;0.6,"viel länger",Lektionen[[#This Row],[Bearbeitungsdauer_abgewichen]]&gt;0.3,"länger",Lektionen[[#This Row],[Bearbeitungsdauer_abgewichen]]&lt;-0.3,"kürzer",TRUE,"keine Abweichung")</f>
        <v>keine Abweichung</v>
      </c>
      <c r="I3781">
        <v>3</v>
      </c>
    </row>
    <row r="3782" spans="1:9" x14ac:dyDescent="0.3">
      <c r="A3782" s="13">
        <v>586</v>
      </c>
      <c r="B3782" s="4">
        <v>5</v>
      </c>
      <c r="C3782" t="s">
        <v>532</v>
      </c>
      <c r="D3782" t="s">
        <v>530</v>
      </c>
      <c r="E3782">
        <v>30</v>
      </c>
      <c r="F3782">
        <v>50</v>
      </c>
      <c r="G3782" s="8">
        <f>Lektionen[[#This Row],[Bearbeitungsdauer_real]]/Lektionen[[#This Row],[Bearbeitungsdauer_geschätzt]]-1</f>
        <v>0.66666666666666674</v>
      </c>
      <c r="H3782" s="8" t="str" cm="1">
        <f t="array" ref="H3782">_xlfn.IFS(Lektionen[[#This Row],[Bearbeitungsdauer_abgewichen]]&gt;0.6,"viel länger",Lektionen[[#This Row],[Bearbeitungsdauer_abgewichen]]&gt;0.3,"länger",Lektionen[[#This Row],[Bearbeitungsdauer_abgewichen]]&lt;-0.3,"kürzer",TRUE,"keine Abweichung")</f>
        <v>viel länger</v>
      </c>
      <c r="I3782">
        <v>4</v>
      </c>
    </row>
    <row r="3783" spans="1:9" hidden="1" x14ac:dyDescent="0.3">
      <c r="A3783" s="13">
        <v>586</v>
      </c>
      <c r="B3783" s="4">
        <v>6</v>
      </c>
      <c r="C3783" t="s">
        <v>533</v>
      </c>
      <c r="D3783" t="s">
        <v>534</v>
      </c>
      <c r="E3783">
        <v>5</v>
      </c>
      <c r="F3783">
        <v>1</v>
      </c>
      <c r="G3783" s="8">
        <f>Lektionen[[#This Row],[Bearbeitungsdauer_real]]/Lektionen[[#This Row],[Bearbeitungsdauer_geschätzt]]-1</f>
        <v>-0.8</v>
      </c>
      <c r="H3783" s="8" t="str" cm="1">
        <f t="array" ref="H3783">_xlfn.IFS(Lektionen[[#This Row],[Bearbeitungsdauer_abgewichen]]&gt;0.6,"viel länger",Lektionen[[#This Row],[Bearbeitungsdauer_abgewichen]]&gt;0.3,"länger",Lektionen[[#This Row],[Bearbeitungsdauer_abgewichen]]&lt;-0.3,"kürzer",TRUE,"keine Abweichung")</f>
        <v>kürzer</v>
      </c>
      <c r="I3783">
        <v>2</v>
      </c>
    </row>
    <row r="3784" spans="1:9" hidden="1" x14ac:dyDescent="0.3">
      <c r="A3784" s="13">
        <v>586</v>
      </c>
      <c r="B3784" s="4">
        <v>7</v>
      </c>
      <c r="C3784" t="s">
        <v>535</v>
      </c>
      <c r="D3784" t="s">
        <v>536</v>
      </c>
      <c r="E3784">
        <v>10</v>
      </c>
      <c r="F3784">
        <v>11</v>
      </c>
      <c r="G3784" s="8">
        <f>Lektionen[[#This Row],[Bearbeitungsdauer_real]]/Lektionen[[#This Row],[Bearbeitungsdauer_geschätzt]]-1</f>
        <v>0.10000000000000009</v>
      </c>
      <c r="H3784" s="8" t="str" cm="1">
        <f t="array" ref="H3784">_xlfn.IFS(Lektionen[[#This Row],[Bearbeitungsdauer_abgewichen]]&gt;0.6,"viel länger",Lektionen[[#This Row],[Bearbeitungsdauer_abgewichen]]&gt;0.3,"länger",Lektionen[[#This Row],[Bearbeitungsdauer_abgewichen]]&lt;-0.3,"kürzer",TRUE,"keine Abweichung")</f>
        <v>keine Abweichung</v>
      </c>
      <c r="I3784">
        <v>3</v>
      </c>
    </row>
    <row r="3785" spans="1:9" hidden="1" x14ac:dyDescent="0.3">
      <c r="A3785" s="13">
        <v>586</v>
      </c>
      <c r="B3785" s="4">
        <v>8</v>
      </c>
      <c r="C3785" t="s">
        <v>537</v>
      </c>
      <c r="D3785" t="s">
        <v>527</v>
      </c>
      <c r="E3785">
        <v>5</v>
      </c>
      <c r="F3785">
        <v>5</v>
      </c>
      <c r="G3785" s="8">
        <f>Lektionen[[#This Row],[Bearbeitungsdauer_real]]/Lektionen[[#This Row],[Bearbeitungsdauer_geschätzt]]-1</f>
        <v>0</v>
      </c>
      <c r="H3785" s="8" t="str" cm="1">
        <f t="array" ref="H3785">_xlfn.IFS(Lektionen[[#This Row],[Bearbeitungsdauer_abgewichen]]&gt;0.6,"viel länger",Lektionen[[#This Row],[Bearbeitungsdauer_abgewichen]]&gt;0.3,"länger",Lektionen[[#This Row],[Bearbeitungsdauer_abgewichen]]&lt;-0.3,"kürzer",TRUE,"keine Abweichung")</f>
        <v>keine Abweichung</v>
      </c>
      <c r="I3785">
        <v>1</v>
      </c>
    </row>
    <row r="3786" spans="1:9" hidden="1" x14ac:dyDescent="0.3">
      <c r="A3786" s="13">
        <v>587</v>
      </c>
      <c r="B3786" s="4">
        <v>1</v>
      </c>
      <c r="C3786" t="s">
        <v>526</v>
      </c>
      <c r="D3786" t="s">
        <v>527</v>
      </c>
      <c r="E3786">
        <v>4</v>
      </c>
      <c r="F3786">
        <v>4</v>
      </c>
      <c r="G3786" s="8">
        <f>Lektionen[[#This Row],[Bearbeitungsdauer_real]]/Lektionen[[#This Row],[Bearbeitungsdauer_geschätzt]]-1</f>
        <v>0</v>
      </c>
      <c r="H3786" s="8" t="str" cm="1">
        <f t="array" ref="H3786">_xlfn.IFS(Lektionen[[#This Row],[Bearbeitungsdauer_abgewichen]]&gt;0.6,"viel länger",Lektionen[[#This Row],[Bearbeitungsdauer_abgewichen]]&gt;0.3,"länger",Lektionen[[#This Row],[Bearbeitungsdauer_abgewichen]]&lt;-0.3,"kürzer",TRUE,"keine Abweichung")</f>
        <v>keine Abweichung</v>
      </c>
      <c r="I3786">
        <v>1</v>
      </c>
    </row>
    <row r="3787" spans="1:9" hidden="1" x14ac:dyDescent="0.3">
      <c r="A3787" s="13">
        <v>587</v>
      </c>
      <c r="B3787" s="4">
        <v>2</v>
      </c>
      <c r="C3787" t="s">
        <v>528</v>
      </c>
      <c r="D3787" t="s">
        <v>529</v>
      </c>
      <c r="E3787">
        <v>15</v>
      </c>
      <c r="F3787">
        <v>15</v>
      </c>
      <c r="G3787" s="8">
        <f>Lektionen[[#This Row],[Bearbeitungsdauer_real]]/Lektionen[[#This Row],[Bearbeitungsdauer_geschätzt]]-1</f>
        <v>0</v>
      </c>
      <c r="H3787" s="8" t="str" cm="1">
        <f t="array" ref="H3787">_xlfn.IFS(Lektionen[[#This Row],[Bearbeitungsdauer_abgewichen]]&gt;0.6,"viel länger",Lektionen[[#This Row],[Bearbeitungsdauer_abgewichen]]&gt;0.3,"länger",Lektionen[[#This Row],[Bearbeitungsdauer_abgewichen]]&lt;-0.3,"kürzer",TRUE,"keine Abweichung")</f>
        <v>keine Abweichung</v>
      </c>
      <c r="I3787">
        <v>2</v>
      </c>
    </row>
    <row r="3788" spans="1:9" hidden="1" x14ac:dyDescent="0.3">
      <c r="A3788" s="13">
        <v>587</v>
      </c>
      <c r="B3788" s="4">
        <v>3</v>
      </c>
      <c r="C3788" t="s">
        <v>552</v>
      </c>
      <c r="D3788" t="s">
        <v>530</v>
      </c>
      <c r="E3788">
        <v>30</v>
      </c>
      <c r="F3788">
        <v>28</v>
      </c>
      <c r="G3788" s="8">
        <f>Lektionen[[#This Row],[Bearbeitungsdauer_real]]/Lektionen[[#This Row],[Bearbeitungsdauer_geschätzt]]-1</f>
        <v>-6.6666666666666652E-2</v>
      </c>
      <c r="H3788" s="8" t="str" cm="1">
        <f t="array" ref="H3788">_xlfn.IFS(Lektionen[[#This Row],[Bearbeitungsdauer_abgewichen]]&gt;0.6,"viel länger",Lektionen[[#This Row],[Bearbeitungsdauer_abgewichen]]&gt;0.3,"länger",Lektionen[[#This Row],[Bearbeitungsdauer_abgewichen]]&lt;-0.3,"kürzer",TRUE,"keine Abweichung")</f>
        <v>keine Abweichung</v>
      </c>
      <c r="I3788">
        <v>2</v>
      </c>
    </row>
    <row r="3789" spans="1:9" hidden="1" x14ac:dyDescent="0.3">
      <c r="A3789" s="13">
        <v>587</v>
      </c>
      <c r="B3789" s="4">
        <v>4</v>
      </c>
      <c r="C3789" t="s">
        <v>531</v>
      </c>
      <c r="D3789" t="s">
        <v>530</v>
      </c>
      <c r="E3789">
        <v>30</v>
      </c>
      <c r="F3789">
        <v>24</v>
      </c>
      <c r="G3789" s="8">
        <f>Lektionen[[#This Row],[Bearbeitungsdauer_real]]/Lektionen[[#This Row],[Bearbeitungsdauer_geschätzt]]-1</f>
        <v>-0.19999999999999996</v>
      </c>
      <c r="H3789" s="8" t="str" cm="1">
        <f t="array" ref="H3789">_xlfn.IFS(Lektionen[[#This Row],[Bearbeitungsdauer_abgewichen]]&gt;0.6,"viel länger",Lektionen[[#This Row],[Bearbeitungsdauer_abgewichen]]&gt;0.3,"länger",Lektionen[[#This Row],[Bearbeitungsdauer_abgewichen]]&lt;-0.3,"kürzer",TRUE,"keine Abweichung")</f>
        <v>keine Abweichung</v>
      </c>
      <c r="I3789">
        <v>3</v>
      </c>
    </row>
    <row r="3790" spans="1:9" x14ac:dyDescent="0.3">
      <c r="A3790" s="13">
        <v>587</v>
      </c>
      <c r="B3790" s="4">
        <v>5</v>
      </c>
      <c r="C3790" t="s">
        <v>532</v>
      </c>
      <c r="D3790" t="s">
        <v>530</v>
      </c>
      <c r="E3790">
        <v>30</v>
      </c>
      <c r="F3790">
        <v>44</v>
      </c>
      <c r="G3790" s="8">
        <f>Lektionen[[#This Row],[Bearbeitungsdauer_real]]/Lektionen[[#This Row],[Bearbeitungsdauer_geschätzt]]-1</f>
        <v>0.46666666666666656</v>
      </c>
      <c r="H3790" s="8" t="str" cm="1">
        <f t="array" ref="H3790">_xlfn.IFS(Lektionen[[#This Row],[Bearbeitungsdauer_abgewichen]]&gt;0.6,"viel länger",Lektionen[[#This Row],[Bearbeitungsdauer_abgewichen]]&gt;0.3,"länger",Lektionen[[#This Row],[Bearbeitungsdauer_abgewichen]]&lt;-0.3,"kürzer",TRUE,"keine Abweichung")</f>
        <v>länger</v>
      </c>
      <c r="I3790">
        <v>4</v>
      </c>
    </row>
    <row r="3791" spans="1:9" hidden="1" x14ac:dyDescent="0.3">
      <c r="A3791" s="13">
        <v>587</v>
      </c>
      <c r="B3791" s="4">
        <v>6</v>
      </c>
      <c r="C3791" t="s">
        <v>533</v>
      </c>
      <c r="D3791" t="s">
        <v>534</v>
      </c>
      <c r="E3791">
        <v>5</v>
      </c>
      <c r="F3791">
        <v>1</v>
      </c>
      <c r="G3791" s="8">
        <f>Lektionen[[#This Row],[Bearbeitungsdauer_real]]/Lektionen[[#This Row],[Bearbeitungsdauer_geschätzt]]-1</f>
        <v>-0.8</v>
      </c>
      <c r="H3791" s="8" t="str" cm="1">
        <f t="array" ref="H3791">_xlfn.IFS(Lektionen[[#This Row],[Bearbeitungsdauer_abgewichen]]&gt;0.6,"viel länger",Lektionen[[#This Row],[Bearbeitungsdauer_abgewichen]]&gt;0.3,"länger",Lektionen[[#This Row],[Bearbeitungsdauer_abgewichen]]&lt;-0.3,"kürzer",TRUE,"keine Abweichung")</f>
        <v>kürzer</v>
      </c>
      <c r="I3791">
        <v>1</v>
      </c>
    </row>
    <row r="3792" spans="1:9" hidden="1" x14ac:dyDescent="0.3">
      <c r="A3792" s="13">
        <v>587</v>
      </c>
      <c r="B3792" s="4">
        <v>7</v>
      </c>
      <c r="C3792" t="s">
        <v>535</v>
      </c>
      <c r="D3792" t="s">
        <v>536</v>
      </c>
      <c r="E3792">
        <v>10</v>
      </c>
      <c r="F3792">
        <v>8</v>
      </c>
      <c r="G3792" s="8">
        <f>Lektionen[[#This Row],[Bearbeitungsdauer_real]]/Lektionen[[#This Row],[Bearbeitungsdauer_geschätzt]]-1</f>
        <v>-0.19999999999999996</v>
      </c>
      <c r="H3792" s="8" t="str" cm="1">
        <f t="array" ref="H3792">_xlfn.IFS(Lektionen[[#This Row],[Bearbeitungsdauer_abgewichen]]&gt;0.6,"viel länger",Lektionen[[#This Row],[Bearbeitungsdauer_abgewichen]]&gt;0.3,"länger",Lektionen[[#This Row],[Bearbeitungsdauer_abgewichen]]&lt;-0.3,"kürzer",TRUE,"keine Abweichung")</f>
        <v>keine Abweichung</v>
      </c>
      <c r="I3792">
        <v>4</v>
      </c>
    </row>
    <row r="3793" spans="1:9" hidden="1" x14ac:dyDescent="0.3">
      <c r="A3793" s="13">
        <v>587</v>
      </c>
      <c r="B3793" s="4">
        <v>8</v>
      </c>
      <c r="C3793" t="s">
        <v>537</v>
      </c>
      <c r="D3793" t="s">
        <v>527</v>
      </c>
      <c r="E3793">
        <v>5</v>
      </c>
      <c r="F3793">
        <v>5</v>
      </c>
      <c r="G3793" s="8">
        <f>Lektionen[[#This Row],[Bearbeitungsdauer_real]]/Lektionen[[#This Row],[Bearbeitungsdauer_geschätzt]]-1</f>
        <v>0</v>
      </c>
      <c r="H3793" s="8" t="str" cm="1">
        <f t="array" ref="H3793">_xlfn.IFS(Lektionen[[#This Row],[Bearbeitungsdauer_abgewichen]]&gt;0.6,"viel länger",Lektionen[[#This Row],[Bearbeitungsdauer_abgewichen]]&gt;0.3,"länger",Lektionen[[#This Row],[Bearbeitungsdauer_abgewichen]]&lt;-0.3,"kürzer",TRUE,"keine Abweichung")</f>
        <v>keine Abweichung</v>
      </c>
      <c r="I3793">
        <v>1</v>
      </c>
    </row>
    <row r="3794" spans="1:9" hidden="1" x14ac:dyDescent="0.3">
      <c r="A3794" s="13">
        <v>588</v>
      </c>
      <c r="B3794" s="4">
        <v>1</v>
      </c>
      <c r="C3794" t="s">
        <v>526</v>
      </c>
      <c r="D3794" t="s">
        <v>527</v>
      </c>
      <c r="E3794">
        <v>4</v>
      </c>
      <c r="F3794">
        <v>6</v>
      </c>
      <c r="G3794" s="8">
        <f>Lektionen[[#This Row],[Bearbeitungsdauer_real]]/Lektionen[[#This Row],[Bearbeitungsdauer_geschätzt]]-1</f>
        <v>0.5</v>
      </c>
      <c r="H3794" s="8" t="str" cm="1">
        <f t="array" ref="H3794">_xlfn.IFS(Lektionen[[#This Row],[Bearbeitungsdauer_abgewichen]]&gt;0.6,"viel länger",Lektionen[[#This Row],[Bearbeitungsdauer_abgewichen]]&gt;0.3,"länger",Lektionen[[#This Row],[Bearbeitungsdauer_abgewichen]]&lt;-0.3,"kürzer",TRUE,"keine Abweichung")</f>
        <v>länger</v>
      </c>
      <c r="I3794">
        <v>1</v>
      </c>
    </row>
    <row r="3795" spans="1:9" hidden="1" x14ac:dyDescent="0.3">
      <c r="A3795" s="13">
        <v>588</v>
      </c>
      <c r="B3795" s="4">
        <v>2</v>
      </c>
      <c r="C3795" t="s">
        <v>528</v>
      </c>
      <c r="D3795" t="s">
        <v>529</v>
      </c>
      <c r="E3795">
        <v>15</v>
      </c>
      <c r="F3795">
        <v>16</v>
      </c>
      <c r="G3795" s="8">
        <f>Lektionen[[#This Row],[Bearbeitungsdauer_real]]/Lektionen[[#This Row],[Bearbeitungsdauer_geschätzt]]-1</f>
        <v>6.6666666666666652E-2</v>
      </c>
      <c r="H3795" s="8" t="str" cm="1">
        <f t="array" ref="H3795">_xlfn.IFS(Lektionen[[#This Row],[Bearbeitungsdauer_abgewichen]]&gt;0.6,"viel länger",Lektionen[[#This Row],[Bearbeitungsdauer_abgewichen]]&gt;0.3,"länger",Lektionen[[#This Row],[Bearbeitungsdauer_abgewichen]]&lt;-0.3,"kürzer",TRUE,"keine Abweichung")</f>
        <v>keine Abweichung</v>
      </c>
      <c r="I3795">
        <v>1</v>
      </c>
    </row>
    <row r="3796" spans="1:9" hidden="1" x14ac:dyDescent="0.3">
      <c r="A3796" s="13">
        <v>588</v>
      </c>
      <c r="B3796" s="4">
        <v>3</v>
      </c>
      <c r="C3796" t="s">
        <v>552</v>
      </c>
      <c r="D3796" t="s">
        <v>530</v>
      </c>
      <c r="E3796">
        <v>30</v>
      </c>
      <c r="F3796">
        <v>27</v>
      </c>
      <c r="G3796" s="8">
        <f>Lektionen[[#This Row],[Bearbeitungsdauer_real]]/Lektionen[[#This Row],[Bearbeitungsdauer_geschätzt]]-1</f>
        <v>-9.9999999999999978E-2</v>
      </c>
      <c r="H3796" s="8" t="str" cm="1">
        <f t="array" ref="H3796">_xlfn.IFS(Lektionen[[#This Row],[Bearbeitungsdauer_abgewichen]]&gt;0.6,"viel länger",Lektionen[[#This Row],[Bearbeitungsdauer_abgewichen]]&gt;0.3,"länger",Lektionen[[#This Row],[Bearbeitungsdauer_abgewichen]]&lt;-0.3,"kürzer",TRUE,"keine Abweichung")</f>
        <v>keine Abweichung</v>
      </c>
      <c r="I3796">
        <v>3</v>
      </c>
    </row>
    <row r="3797" spans="1:9" hidden="1" x14ac:dyDescent="0.3">
      <c r="A3797" s="13">
        <v>588</v>
      </c>
      <c r="B3797" s="4">
        <v>4</v>
      </c>
      <c r="C3797" t="s">
        <v>531</v>
      </c>
      <c r="D3797" t="s">
        <v>530</v>
      </c>
      <c r="E3797">
        <v>30</v>
      </c>
      <c r="F3797">
        <v>28</v>
      </c>
      <c r="G3797" s="8">
        <f>Lektionen[[#This Row],[Bearbeitungsdauer_real]]/Lektionen[[#This Row],[Bearbeitungsdauer_geschätzt]]-1</f>
        <v>-6.6666666666666652E-2</v>
      </c>
      <c r="H3797" s="8" t="str" cm="1">
        <f t="array" ref="H3797">_xlfn.IFS(Lektionen[[#This Row],[Bearbeitungsdauer_abgewichen]]&gt;0.6,"viel länger",Lektionen[[#This Row],[Bearbeitungsdauer_abgewichen]]&gt;0.3,"länger",Lektionen[[#This Row],[Bearbeitungsdauer_abgewichen]]&lt;-0.3,"kürzer",TRUE,"keine Abweichung")</f>
        <v>keine Abweichung</v>
      </c>
      <c r="I3797">
        <v>3</v>
      </c>
    </row>
    <row r="3798" spans="1:9" x14ac:dyDescent="0.3">
      <c r="A3798" s="13">
        <v>588</v>
      </c>
      <c r="B3798" s="4">
        <v>5</v>
      </c>
      <c r="C3798" t="s">
        <v>532</v>
      </c>
      <c r="D3798" t="s">
        <v>530</v>
      </c>
      <c r="E3798">
        <v>30</v>
      </c>
      <c r="F3798">
        <v>46</v>
      </c>
      <c r="G3798" s="8">
        <f>Lektionen[[#This Row],[Bearbeitungsdauer_real]]/Lektionen[[#This Row],[Bearbeitungsdauer_geschätzt]]-1</f>
        <v>0.53333333333333344</v>
      </c>
      <c r="H3798" s="8" t="str" cm="1">
        <f t="array" ref="H3798">_xlfn.IFS(Lektionen[[#This Row],[Bearbeitungsdauer_abgewichen]]&gt;0.6,"viel länger",Lektionen[[#This Row],[Bearbeitungsdauer_abgewichen]]&gt;0.3,"länger",Lektionen[[#This Row],[Bearbeitungsdauer_abgewichen]]&lt;-0.3,"kürzer",TRUE,"keine Abweichung")</f>
        <v>länger</v>
      </c>
      <c r="I3798">
        <v>4</v>
      </c>
    </row>
    <row r="3799" spans="1:9" hidden="1" x14ac:dyDescent="0.3">
      <c r="A3799" s="13">
        <v>588</v>
      </c>
      <c r="B3799" s="4">
        <v>6</v>
      </c>
      <c r="C3799" t="s">
        <v>533</v>
      </c>
      <c r="D3799" t="s">
        <v>534</v>
      </c>
      <c r="E3799">
        <v>5</v>
      </c>
      <c r="F3799">
        <v>1</v>
      </c>
      <c r="G3799" s="8">
        <f>Lektionen[[#This Row],[Bearbeitungsdauer_real]]/Lektionen[[#This Row],[Bearbeitungsdauer_geschätzt]]-1</f>
        <v>-0.8</v>
      </c>
      <c r="H3799" s="8" t="str" cm="1">
        <f t="array" ref="H3799">_xlfn.IFS(Lektionen[[#This Row],[Bearbeitungsdauer_abgewichen]]&gt;0.6,"viel länger",Lektionen[[#This Row],[Bearbeitungsdauer_abgewichen]]&gt;0.3,"länger",Lektionen[[#This Row],[Bearbeitungsdauer_abgewichen]]&lt;-0.3,"kürzer",TRUE,"keine Abweichung")</f>
        <v>kürzer</v>
      </c>
      <c r="I3799">
        <v>2</v>
      </c>
    </row>
    <row r="3800" spans="1:9" hidden="1" x14ac:dyDescent="0.3">
      <c r="A3800" s="13">
        <v>588</v>
      </c>
      <c r="B3800" s="4">
        <v>7</v>
      </c>
      <c r="C3800" t="s">
        <v>535</v>
      </c>
      <c r="D3800" t="s">
        <v>536</v>
      </c>
      <c r="E3800">
        <v>10</v>
      </c>
      <c r="F3800">
        <v>10</v>
      </c>
      <c r="G3800" s="8">
        <f>Lektionen[[#This Row],[Bearbeitungsdauer_real]]/Lektionen[[#This Row],[Bearbeitungsdauer_geschätzt]]-1</f>
        <v>0</v>
      </c>
      <c r="H3800" s="8" t="str" cm="1">
        <f t="array" ref="H3800">_xlfn.IFS(Lektionen[[#This Row],[Bearbeitungsdauer_abgewichen]]&gt;0.6,"viel länger",Lektionen[[#This Row],[Bearbeitungsdauer_abgewichen]]&gt;0.3,"länger",Lektionen[[#This Row],[Bearbeitungsdauer_abgewichen]]&lt;-0.3,"kürzer",TRUE,"keine Abweichung")</f>
        <v>keine Abweichung</v>
      </c>
      <c r="I3800">
        <v>4</v>
      </c>
    </row>
    <row r="3801" spans="1:9" hidden="1" x14ac:dyDescent="0.3">
      <c r="A3801" s="13">
        <v>588</v>
      </c>
      <c r="B3801" s="4">
        <v>8</v>
      </c>
      <c r="C3801" t="s">
        <v>537</v>
      </c>
      <c r="D3801" t="s">
        <v>527</v>
      </c>
      <c r="E3801">
        <v>5</v>
      </c>
      <c r="F3801">
        <v>7</v>
      </c>
      <c r="G3801" s="8">
        <f>Lektionen[[#This Row],[Bearbeitungsdauer_real]]/Lektionen[[#This Row],[Bearbeitungsdauer_geschätzt]]-1</f>
        <v>0.39999999999999991</v>
      </c>
      <c r="H3801" s="8" t="str" cm="1">
        <f t="array" ref="H3801">_xlfn.IFS(Lektionen[[#This Row],[Bearbeitungsdauer_abgewichen]]&gt;0.6,"viel länger",Lektionen[[#This Row],[Bearbeitungsdauer_abgewichen]]&gt;0.3,"länger",Lektionen[[#This Row],[Bearbeitungsdauer_abgewichen]]&lt;-0.3,"kürzer",TRUE,"keine Abweichung")</f>
        <v>länger</v>
      </c>
      <c r="I3801">
        <v>1</v>
      </c>
    </row>
    <row r="3802" spans="1:9" hidden="1" x14ac:dyDescent="0.3">
      <c r="A3802" s="13">
        <v>589</v>
      </c>
      <c r="B3802" s="4">
        <v>1</v>
      </c>
      <c r="C3802" t="s">
        <v>526</v>
      </c>
      <c r="D3802" t="s">
        <v>527</v>
      </c>
      <c r="E3802">
        <v>4</v>
      </c>
      <c r="F3802">
        <v>4</v>
      </c>
      <c r="G3802" s="8">
        <f>Lektionen[[#This Row],[Bearbeitungsdauer_real]]/Lektionen[[#This Row],[Bearbeitungsdauer_geschätzt]]-1</f>
        <v>0</v>
      </c>
      <c r="H3802" s="8" t="str" cm="1">
        <f t="array" ref="H3802">_xlfn.IFS(Lektionen[[#This Row],[Bearbeitungsdauer_abgewichen]]&gt;0.6,"viel länger",Lektionen[[#This Row],[Bearbeitungsdauer_abgewichen]]&gt;0.3,"länger",Lektionen[[#This Row],[Bearbeitungsdauer_abgewichen]]&lt;-0.3,"kürzer",TRUE,"keine Abweichung")</f>
        <v>keine Abweichung</v>
      </c>
      <c r="I3802">
        <v>1</v>
      </c>
    </row>
    <row r="3803" spans="1:9" hidden="1" x14ac:dyDescent="0.3">
      <c r="A3803" s="13">
        <v>589</v>
      </c>
      <c r="B3803" s="4">
        <v>2</v>
      </c>
      <c r="C3803" t="s">
        <v>528</v>
      </c>
      <c r="D3803" t="s">
        <v>529</v>
      </c>
      <c r="E3803">
        <v>15</v>
      </c>
      <c r="F3803">
        <v>18</v>
      </c>
      <c r="G3803" s="8">
        <f>Lektionen[[#This Row],[Bearbeitungsdauer_real]]/Lektionen[[#This Row],[Bearbeitungsdauer_geschätzt]]-1</f>
        <v>0.19999999999999996</v>
      </c>
      <c r="H3803" s="8" t="str" cm="1">
        <f t="array" ref="H3803">_xlfn.IFS(Lektionen[[#This Row],[Bearbeitungsdauer_abgewichen]]&gt;0.6,"viel länger",Lektionen[[#This Row],[Bearbeitungsdauer_abgewichen]]&gt;0.3,"länger",Lektionen[[#This Row],[Bearbeitungsdauer_abgewichen]]&lt;-0.3,"kürzer",TRUE,"keine Abweichung")</f>
        <v>keine Abweichung</v>
      </c>
      <c r="I3803">
        <v>1</v>
      </c>
    </row>
    <row r="3804" spans="1:9" hidden="1" x14ac:dyDescent="0.3">
      <c r="A3804" s="13">
        <v>589</v>
      </c>
      <c r="B3804" s="4">
        <v>3</v>
      </c>
      <c r="C3804" t="s">
        <v>552</v>
      </c>
      <c r="D3804" t="s">
        <v>530</v>
      </c>
      <c r="E3804">
        <v>30</v>
      </c>
      <c r="F3804">
        <v>36</v>
      </c>
      <c r="G3804" s="8">
        <f>Lektionen[[#This Row],[Bearbeitungsdauer_real]]/Lektionen[[#This Row],[Bearbeitungsdauer_geschätzt]]-1</f>
        <v>0.19999999999999996</v>
      </c>
      <c r="H3804" s="8" t="str" cm="1">
        <f t="array" ref="H3804">_xlfn.IFS(Lektionen[[#This Row],[Bearbeitungsdauer_abgewichen]]&gt;0.6,"viel länger",Lektionen[[#This Row],[Bearbeitungsdauer_abgewichen]]&gt;0.3,"länger",Lektionen[[#This Row],[Bearbeitungsdauer_abgewichen]]&lt;-0.3,"kürzer",TRUE,"keine Abweichung")</f>
        <v>keine Abweichung</v>
      </c>
      <c r="I3804">
        <v>4</v>
      </c>
    </row>
    <row r="3805" spans="1:9" hidden="1" x14ac:dyDescent="0.3">
      <c r="A3805" s="13">
        <v>589</v>
      </c>
      <c r="B3805" s="4">
        <v>4</v>
      </c>
      <c r="C3805" t="s">
        <v>531</v>
      </c>
      <c r="D3805" t="s">
        <v>530</v>
      </c>
      <c r="E3805">
        <v>30</v>
      </c>
      <c r="F3805">
        <v>26</v>
      </c>
      <c r="G3805" s="8">
        <f>Lektionen[[#This Row],[Bearbeitungsdauer_real]]/Lektionen[[#This Row],[Bearbeitungsdauer_geschätzt]]-1</f>
        <v>-0.1333333333333333</v>
      </c>
      <c r="H3805" s="8" t="str" cm="1">
        <f t="array" ref="H3805">_xlfn.IFS(Lektionen[[#This Row],[Bearbeitungsdauer_abgewichen]]&gt;0.6,"viel länger",Lektionen[[#This Row],[Bearbeitungsdauer_abgewichen]]&gt;0.3,"länger",Lektionen[[#This Row],[Bearbeitungsdauer_abgewichen]]&lt;-0.3,"kürzer",TRUE,"keine Abweichung")</f>
        <v>keine Abweichung</v>
      </c>
      <c r="I3805">
        <v>2</v>
      </c>
    </row>
    <row r="3806" spans="1:9" x14ac:dyDescent="0.3">
      <c r="A3806" s="13">
        <v>589</v>
      </c>
      <c r="B3806" s="4">
        <v>5</v>
      </c>
      <c r="C3806" t="s">
        <v>532</v>
      </c>
      <c r="D3806" t="s">
        <v>530</v>
      </c>
      <c r="E3806">
        <v>30</v>
      </c>
      <c r="F3806">
        <v>44</v>
      </c>
      <c r="G3806" s="8">
        <f>Lektionen[[#This Row],[Bearbeitungsdauer_real]]/Lektionen[[#This Row],[Bearbeitungsdauer_geschätzt]]-1</f>
        <v>0.46666666666666656</v>
      </c>
      <c r="H3806" s="8" t="str" cm="1">
        <f t="array" ref="H3806">_xlfn.IFS(Lektionen[[#This Row],[Bearbeitungsdauer_abgewichen]]&gt;0.6,"viel länger",Lektionen[[#This Row],[Bearbeitungsdauer_abgewichen]]&gt;0.3,"länger",Lektionen[[#This Row],[Bearbeitungsdauer_abgewichen]]&lt;-0.3,"kürzer",TRUE,"keine Abweichung")</f>
        <v>länger</v>
      </c>
      <c r="I3806">
        <v>4</v>
      </c>
    </row>
    <row r="3807" spans="1:9" hidden="1" x14ac:dyDescent="0.3">
      <c r="A3807" s="13">
        <v>589</v>
      </c>
      <c r="B3807" s="4">
        <v>6</v>
      </c>
      <c r="C3807" t="s">
        <v>533</v>
      </c>
      <c r="D3807" t="s">
        <v>534</v>
      </c>
      <c r="E3807">
        <v>5</v>
      </c>
      <c r="F3807">
        <v>2</v>
      </c>
      <c r="G3807" s="8">
        <f>Lektionen[[#This Row],[Bearbeitungsdauer_real]]/Lektionen[[#This Row],[Bearbeitungsdauer_geschätzt]]-1</f>
        <v>-0.6</v>
      </c>
      <c r="H3807" s="8" t="str" cm="1">
        <f t="array" ref="H3807">_xlfn.IFS(Lektionen[[#This Row],[Bearbeitungsdauer_abgewichen]]&gt;0.6,"viel länger",Lektionen[[#This Row],[Bearbeitungsdauer_abgewichen]]&gt;0.3,"länger",Lektionen[[#This Row],[Bearbeitungsdauer_abgewichen]]&lt;-0.3,"kürzer",TRUE,"keine Abweichung")</f>
        <v>kürzer</v>
      </c>
      <c r="I3807">
        <v>1</v>
      </c>
    </row>
    <row r="3808" spans="1:9" hidden="1" x14ac:dyDescent="0.3">
      <c r="A3808" s="13">
        <v>589</v>
      </c>
      <c r="B3808" s="4">
        <v>7</v>
      </c>
      <c r="C3808" t="s">
        <v>535</v>
      </c>
      <c r="D3808" t="s">
        <v>536</v>
      </c>
      <c r="E3808">
        <v>10</v>
      </c>
      <c r="F3808">
        <v>9</v>
      </c>
      <c r="G3808" s="8">
        <f>Lektionen[[#This Row],[Bearbeitungsdauer_real]]/Lektionen[[#This Row],[Bearbeitungsdauer_geschätzt]]-1</f>
        <v>-9.9999999999999978E-2</v>
      </c>
      <c r="H3808" s="8" t="str" cm="1">
        <f t="array" ref="H3808">_xlfn.IFS(Lektionen[[#This Row],[Bearbeitungsdauer_abgewichen]]&gt;0.6,"viel länger",Lektionen[[#This Row],[Bearbeitungsdauer_abgewichen]]&gt;0.3,"länger",Lektionen[[#This Row],[Bearbeitungsdauer_abgewichen]]&lt;-0.3,"kürzer",TRUE,"keine Abweichung")</f>
        <v>keine Abweichung</v>
      </c>
      <c r="I3808">
        <v>3</v>
      </c>
    </row>
    <row r="3809" spans="1:9" hidden="1" x14ac:dyDescent="0.3">
      <c r="A3809" s="13">
        <v>589</v>
      </c>
      <c r="B3809" s="4">
        <v>8</v>
      </c>
      <c r="C3809" t="s">
        <v>537</v>
      </c>
      <c r="D3809" t="s">
        <v>527</v>
      </c>
      <c r="E3809">
        <v>5</v>
      </c>
      <c r="F3809">
        <v>5</v>
      </c>
      <c r="G3809" s="8">
        <f>Lektionen[[#This Row],[Bearbeitungsdauer_real]]/Lektionen[[#This Row],[Bearbeitungsdauer_geschätzt]]-1</f>
        <v>0</v>
      </c>
      <c r="H3809" s="8" t="str" cm="1">
        <f t="array" ref="H3809">_xlfn.IFS(Lektionen[[#This Row],[Bearbeitungsdauer_abgewichen]]&gt;0.6,"viel länger",Lektionen[[#This Row],[Bearbeitungsdauer_abgewichen]]&gt;0.3,"länger",Lektionen[[#This Row],[Bearbeitungsdauer_abgewichen]]&lt;-0.3,"kürzer",TRUE,"keine Abweichung")</f>
        <v>keine Abweichung</v>
      </c>
      <c r="I3809">
        <v>1</v>
      </c>
    </row>
    <row r="3810" spans="1:9" hidden="1" x14ac:dyDescent="0.3">
      <c r="A3810" s="13">
        <v>590</v>
      </c>
      <c r="B3810" s="4">
        <v>1</v>
      </c>
      <c r="C3810" t="s">
        <v>526</v>
      </c>
      <c r="D3810" t="s">
        <v>527</v>
      </c>
      <c r="E3810">
        <v>4</v>
      </c>
      <c r="F3810">
        <v>4</v>
      </c>
      <c r="G3810" s="8">
        <f>Lektionen[[#This Row],[Bearbeitungsdauer_real]]/Lektionen[[#This Row],[Bearbeitungsdauer_geschätzt]]-1</f>
        <v>0</v>
      </c>
      <c r="H3810" s="8" t="str" cm="1">
        <f t="array" ref="H3810">_xlfn.IFS(Lektionen[[#This Row],[Bearbeitungsdauer_abgewichen]]&gt;0.6,"viel länger",Lektionen[[#This Row],[Bearbeitungsdauer_abgewichen]]&gt;0.3,"länger",Lektionen[[#This Row],[Bearbeitungsdauer_abgewichen]]&lt;-0.3,"kürzer",TRUE,"keine Abweichung")</f>
        <v>keine Abweichung</v>
      </c>
      <c r="I3810">
        <v>1</v>
      </c>
    </row>
    <row r="3811" spans="1:9" hidden="1" x14ac:dyDescent="0.3">
      <c r="A3811" s="13">
        <v>590</v>
      </c>
      <c r="B3811" s="4">
        <v>2</v>
      </c>
      <c r="C3811" t="s">
        <v>528</v>
      </c>
      <c r="D3811" t="s">
        <v>529</v>
      </c>
      <c r="E3811">
        <v>15</v>
      </c>
      <c r="F3811">
        <v>16</v>
      </c>
      <c r="G3811" s="8">
        <f>Lektionen[[#This Row],[Bearbeitungsdauer_real]]/Lektionen[[#This Row],[Bearbeitungsdauer_geschätzt]]-1</f>
        <v>6.6666666666666652E-2</v>
      </c>
      <c r="H3811" s="8" t="str" cm="1">
        <f t="array" ref="H3811">_xlfn.IFS(Lektionen[[#This Row],[Bearbeitungsdauer_abgewichen]]&gt;0.6,"viel länger",Lektionen[[#This Row],[Bearbeitungsdauer_abgewichen]]&gt;0.3,"länger",Lektionen[[#This Row],[Bearbeitungsdauer_abgewichen]]&lt;-0.3,"kürzer",TRUE,"keine Abweichung")</f>
        <v>keine Abweichung</v>
      </c>
      <c r="I3811">
        <v>2</v>
      </c>
    </row>
    <row r="3812" spans="1:9" hidden="1" x14ac:dyDescent="0.3">
      <c r="A3812" s="13">
        <v>590</v>
      </c>
      <c r="B3812" s="4">
        <v>3</v>
      </c>
      <c r="C3812" t="s">
        <v>552</v>
      </c>
      <c r="D3812" t="s">
        <v>530</v>
      </c>
      <c r="E3812">
        <v>30</v>
      </c>
      <c r="F3812">
        <v>30</v>
      </c>
      <c r="G3812" s="8">
        <f>Lektionen[[#This Row],[Bearbeitungsdauer_real]]/Lektionen[[#This Row],[Bearbeitungsdauer_geschätzt]]-1</f>
        <v>0</v>
      </c>
      <c r="H3812" s="8" t="str" cm="1">
        <f t="array" ref="H3812">_xlfn.IFS(Lektionen[[#This Row],[Bearbeitungsdauer_abgewichen]]&gt;0.6,"viel länger",Lektionen[[#This Row],[Bearbeitungsdauer_abgewichen]]&gt;0.3,"länger",Lektionen[[#This Row],[Bearbeitungsdauer_abgewichen]]&lt;-0.3,"kürzer",TRUE,"keine Abweichung")</f>
        <v>keine Abweichung</v>
      </c>
      <c r="I3812">
        <v>3</v>
      </c>
    </row>
    <row r="3813" spans="1:9" hidden="1" x14ac:dyDescent="0.3">
      <c r="A3813" s="13">
        <v>590</v>
      </c>
      <c r="B3813" s="4">
        <v>4</v>
      </c>
      <c r="C3813" t="s">
        <v>531</v>
      </c>
      <c r="D3813" t="s">
        <v>530</v>
      </c>
      <c r="E3813">
        <v>30</v>
      </c>
      <c r="F3813">
        <v>30</v>
      </c>
      <c r="G3813" s="8">
        <f>Lektionen[[#This Row],[Bearbeitungsdauer_real]]/Lektionen[[#This Row],[Bearbeitungsdauer_geschätzt]]-1</f>
        <v>0</v>
      </c>
      <c r="H3813" s="8" t="str" cm="1">
        <f t="array" ref="H3813">_xlfn.IFS(Lektionen[[#This Row],[Bearbeitungsdauer_abgewichen]]&gt;0.6,"viel länger",Lektionen[[#This Row],[Bearbeitungsdauer_abgewichen]]&gt;0.3,"länger",Lektionen[[#This Row],[Bearbeitungsdauer_abgewichen]]&lt;-0.3,"kürzer",TRUE,"keine Abweichung")</f>
        <v>keine Abweichung</v>
      </c>
      <c r="I3813">
        <v>3</v>
      </c>
    </row>
    <row r="3814" spans="1:9" x14ac:dyDescent="0.3">
      <c r="A3814" s="13">
        <v>590</v>
      </c>
      <c r="B3814" s="4">
        <v>5</v>
      </c>
      <c r="C3814" t="s">
        <v>532</v>
      </c>
      <c r="D3814" t="s">
        <v>530</v>
      </c>
      <c r="E3814">
        <v>30</v>
      </c>
      <c r="F3814">
        <v>45</v>
      </c>
      <c r="G3814" s="8">
        <f>Lektionen[[#This Row],[Bearbeitungsdauer_real]]/Lektionen[[#This Row],[Bearbeitungsdauer_geschätzt]]-1</f>
        <v>0.5</v>
      </c>
      <c r="H3814" s="8" t="str" cm="1">
        <f t="array" ref="H3814">_xlfn.IFS(Lektionen[[#This Row],[Bearbeitungsdauer_abgewichen]]&gt;0.6,"viel länger",Lektionen[[#This Row],[Bearbeitungsdauer_abgewichen]]&gt;0.3,"länger",Lektionen[[#This Row],[Bearbeitungsdauer_abgewichen]]&lt;-0.3,"kürzer",TRUE,"keine Abweichung")</f>
        <v>länger</v>
      </c>
      <c r="I3814">
        <v>3</v>
      </c>
    </row>
    <row r="3815" spans="1:9" hidden="1" x14ac:dyDescent="0.3">
      <c r="A3815" s="13">
        <v>590</v>
      </c>
      <c r="B3815" s="4">
        <v>6</v>
      </c>
      <c r="C3815" t="s">
        <v>533</v>
      </c>
      <c r="D3815" t="s">
        <v>534</v>
      </c>
      <c r="E3815">
        <v>5</v>
      </c>
      <c r="F3815">
        <v>3</v>
      </c>
      <c r="G3815" s="8">
        <f>Lektionen[[#This Row],[Bearbeitungsdauer_real]]/Lektionen[[#This Row],[Bearbeitungsdauer_geschätzt]]-1</f>
        <v>-0.4</v>
      </c>
      <c r="H3815" s="8" t="str" cm="1">
        <f t="array" ref="H3815">_xlfn.IFS(Lektionen[[#This Row],[Bearbeitungsdauer_abgewichen]]&gt;0.6,"viel länger",Lektionen[[#This Row],[Bearbeitungsdauer_abgewichen]]&gt;0.3,"länger",Lektionen[[#This Row],[Bearbeitungsdauer_abgewichen]]&lt;-0.3,"kürzer",TRUE,"keine Abweichung")</f>
        <v>kürzer</v>
      </c>
      <c r="I3815">
        <v>2</v>
      </c>
    </row>
    <row r="3816" spans="1:9" hidden="1" x14ac:dyDescent="0.3">
      <c r="A3816" s="13">
        <v>590</v>
      </c>
      <c r="B3816" s="4">
        <v>7</v>
      </c>
      <c r="C3816" t="s">
        <v>535</v>
      </c>
      <c r="D3816" t="s">
        <v>536</v>
      </c>
      <c r="E3816">
        <v>10</v>
      </c>
      <c r="F3816">
        <v>10</v>
      </c>
      <c r="G3816" s="8">
        <f>Lektionen[[#This Row],[Bearbeitungsdauer_real]]/Lektionen[[#This Row],[Bearbeitungsdauer_geschätzt]]-1</f>
        <v>0</v>
      </c>
      <c r="H3816" s="8" t="str" cm="1">
        <f t="array" ref="H3816">_xlfn.IFS(Lektionen[[#This Row],[Bearbeitungsdauer_abgewichen]]&gt;0.6,"viel länger",Lektionen[[#This Row],[Bearbeitungsdauer_abgewichen]]&gt;0.3,"länger",Lektionen[[#This Row],[Bearbeitungsdauer_abgewichen]]&lt;-0.3,"kürzer",TRUE,"keine Abweichung")</f>
        <v>keine Abweichung</v>
      </c>
      <c r="I3816">
        <v>4</v>
      </c>
    </row>
    <row r="3817" spans="1:9" hidden="1" x14ac:dyDescent="0.3">
      <c r="A3817" s="13">
        <v>590</v>
      </c>
      <c r="B3817" s="4">
        <v>8</v>
      </c>
      <c r="C3817" t="s">
        <v>537</v>
      </c>
      <c r="D3817" t="s">
        <v>527</v>
      </c>
      <c r="E3817">
        <v>5</v>
      </c>
      <c r="F3817">
        <v>5</v>
      </c>
      <c r="G3817" s="8">
        <f>Lektionen[[#This Row],[Bearbeitungsdauer_real]]/Lektionen[[#This Row],[Bearbeitungsdauer_geschätzt]]-1</f>
        <v>0</v>
      </c>
      <c r="H3817" s="8" t="str" cm="1">
        <f t="array" ref="H3817">_xlfn.IFS(Lektionen[[#This Row],[Bearbeitungsdauer_abgewichen]]&gt;0.6,"viel länger",Lektionen[[#This Row],[Bearbeitungsdauer_abgewichen]]&gt;0.3,"länger",Lektionen[[#This Row],[Bearbeitungsdauer_abgewichen]]&lt;-0.3,"kürzer",TRUE,"keine Abweichung")</f>
        <v>keine Abweichung</v>
      </c>
      <c r="I3817">
        <v>2</v>
      </c>
    </row>
    <row r="3818" spans="1:9" hidden="1" x14ac:dyDescent="0.3">
      <c r="A3818" s="13">
        <v>591</v>
      </c>
      <c r="B3818" s="4">
        <v>1</v>
      </c>
      <c r="C3818" t="s">
        <v>526</v>
      </c>
      <c r="D3818" t="s">
        <v>527</v>
      </c>
      <c r="E3818">
        <v>4</v>
      </c>
      <c r="F3818">
        <v>7</v>
      </c>
      <c r="G3818" s="8">
        <f>Lektionen[[#This Row],[Bearbeitungsdauer_real]]/Lektionen[[#This Row],[Bearbeitungsdauer_geschätzt]]-1</f>
        <v>0.75</v>
      </c>
      <c r="H3818" s="8" t="str" cm="1">
        <f t="array" ref="H3818">_xlfn.IFS(Lektionen[[#This Row],[Bearbeitungsdauer_abgewichen]]&gt;0.6,"viel länger",Lektionen[[#This Row],[Bearbeitungsdauer_abgewichen]]&gt;0.3,"länger",Lektionen[[#This Row],[Bearbeitungsdauer_abgewichen]]&lt;-0.3,"kürzer",TRUE,"keine Abweichung")</f>
        <v>viel länger</v>
      </c>
      <c r="I3818">
        <v>1</v>
      </c>
    </row>
    <row r="3819" spans="1:9" hidden="1" x14ac:dyDescent="0.3">
      <c r="A3819" s="13">
        <v>591</v>
      </c>
      <c r="B3819" s="4">
        <v>2</v>
      </c>
      <c r="C3819" t="s">
        <v>528</v>
      </c>
      <c r="D3819" t="s">
        <v>529</v>
      </c>
      <c r="E3819">
        <v>15</v>
      </c>
      <c r="F3819">
        <v>22</v>
      </c>
      <c r="G3819" s="8">
        <f>Lektionen[[#This Row],[Bearbeitungsdauer_real]]/Lektionen[[#This Row],[Bearbeitungsdauer_geschätzt]]-1</f>
        <v>0.46666666666666656</v>
      </c>
      <c r="H3819" s="8" t="str" cm="1">
        <f t="array" ref="H3819">_xlfn.IFS(Lektionen[[#This Row],[Bearbeitungsdauer_abgewichen]]&gt;0.6,"viel länger",Lektionen[[#This Row],[Bearbeitungsdauer_abgewichen]]&gt;0.3,"länger",Lektionen[[#This Row],[Bearbeitungsdauer_abgewichen]]&lt;-0.3,"kürzer",TRUE,"keine Abweichung")</f>
        <v>länger</v>
      </c>
      <c r="I3819">
        <v>2</v>
      </c>
    </row>
    <row r="3820" spans="1:9" hidden="1" x14ac:dyDescent="0.3">
      <c r="A3820" s="13">
        <v>591</v>
      </c>
      <c r="B3820" s="4">
        <v>3</v>
      </c>
      <c r="C3820" t="s">
        <v>552</v>
      </c>
      <c r="D3820" t="s">
        <v>530</v>
      </c>
      <c r="E3820">
        <v>30</v>
      </c>
      <c r="F3820">
        <v>27</v>
      </c>
      <c r="G3820" s="8">
        <f>Lektionen[[#This Row],[Bearbeitungsdauer_real]]/Lektionen[[#This Row],[Bearbeitungsdauer_geschätzt]]-1</f>
        <v>-9.9999999999999978E-2</v>
      </c>
      <c r="H3820" s="8" t="str" cm="1">
        <f t="array" ref="H3820">_xlfn.IFS(Lektionen[[#This Row],[Bearbeitungsdauer_abgewichen]]&gt;0.6,"viel länger",Lektionen[[#This Row],[Bearbeitungsdauer_abgewichen]]&gt;0.3,"länger",Lektionen[[#This Row],[Bearbeitungsdauer_abgewichen]]&lt;-0.3,"kürzer",TRUE,"keine Abweichung")</f>
        <v>keine Abweichung</v>
      </c>
      <c r="I3820">
        <v>2</v>
      </c>
    </row>
    <row r="3821" spans="1:9" hidden="1" x14ac:dyDescent="0.3">
      <c r="A3821" s="13">
        <v>591</v>
      </c>
      <c r="B3821" s="4">
        <v>4</v>
      </c>
      <c r="C3821" t="s">
        <v>531</v>
      </c>
      <c r="D3821" t="s">
        <v>530</v>
      </c>
      <c r="E3821">
        <v>30</v>
      </c>
      <c r="F3821">
        <v>25</v>
      </c>
      <c r="G3821" s="8">
        <f>Lektionen[[#This Row],[Bearbeitungsdauer_real]]/Lektionen[[#This Row],[Bearbeitungsdauer_geschätzt]]-1</f>
        <v>-0.16666666666666663</v>
      </c>
      <c r="H3821" s="8" t="str" cm="1">
        <f t="array" ref="H3821">_xlfn.IFS(Lektionen[[#This Row],[Bearbeitungsdauer_abgewichen]]&gt;0.6,"viel länger",Lektionen[[#This Row],[Bearbeitungsdauer_abgewichen]]&gt;0.3,"länger",Lektionen[[#This Row],[Bearbeitungsdauer_abgewichen]]&lt;-0.3,"kürzer",TRUE,"keine Abweichung")</f>
        <v>keine Abweichung</v>
      </c>
      <c r="I3821">
        <v>4</v>
      </c>
    </row>
    <row r="3822" spans="1:9" x14ac:dyDescent="0.3">
      <c r="A3822" s="13">
        <v>591</v>
      </c>
      <c r="B3822" s="4">
        <v>5</v>
      </c>
      <c r="C3822" t="s">
        <v>532</v>
      </c>
      <c r="D3822" t="s">
        <v>530</v>
      </c>
      <c r="E3822">
        <v>30</v>
      </c>
      <c r="F3822">
        <v>44</v>
      </c>
      <c r="G3822" s="8">
        <f>Lektionen[[#This Row],[Bearbeitungsdauer_real]]/Lektionen[[#This Row],[Bearbeitungsdauer_geschätzt]]-1</f>
        <v>0.46666666666666656</v>
      </c>
      <c r="H3822" s="8" t="str" cm="1">
        <f t="array" ref="H3822">_xlfn.IFS(Lektionen[[#This Row],[Bearbeitungsdauer_abgewichen]]&gt;0.6,"viel länger",Lektionen[[#This Row],[Bearbeitungsdauer_abgewichen]]&gt;0.3,"länger",Lektionen[[#This Row],[Bearbeitungsdauer_abgewichen]]&lt;-0.3,"kürzer",TRUE,"keine Abweichung")</f>
        <v>länger</v>
      </c>
      <c r="I3822">
        <v>3</v>
      </c>
    </row>
    <row r="3823" spans="1:9" hidden="1" x14ac:dyDescent="0.3">
      <c r="A3823" s="13">
        <v>591</v>
      </c>
      <c r="B3823" s="4">
        <v>6</v>
      </c>
      <c r="C3823" t="s">
        <v>533</v>
      </c>
      <c r="D3823" t="s">
        <v>534</v>
      </c>
      <c r="E3823">
        <v>5</v>
      </c>
      <c r="F3823">
        <v>1</v>
      </c>
      <c r="G3823" s="8">
        <f>Lektionen[[#This Row],[Bearbeitungsdauer_real]]/Lektionen[[#This Row],[Bearbeitungsdauer_geschätzt]]-1</f>
        <v>-0.8</v>
      </c>
      <c r="H3823" s="8" t="str" cm="1">
        <f t="array" ref="H3823">_xlfn.IFS(Lektionen[[#This Row],[Bearbeitungsdauer_abgewichen]]&gt;0.6,"viel länger",Lektionen[[#This Row],[Bearbeitungsdauer_abgewichen]]&gt;0.3,"länger",Lektionen[[#This Row],[Bearbeitungsdauer_abgewichen]]&lt;-0.3,"kürzer",TRUE,"keine Abweichung")</f>
        <v>kürzer</v>
      </c>
      <c r="I3823">
        <v>2</v>
      </c>
    </row>
    <row r="3824" spans="1:9" hidden="1" x14ac:dyDescent="0.3">
      <c r="A3824" s="13">
        <v>591</v>
      </c>
      <c r="B3824" s="4">
        <v>7</v>
      </c>
      <c r="C3824" t="s">
        <v>535</v>
      </c>
      <c r="D3824" t="s">
        <v>536</v>
      </c>
      <c r="E3824">
        <v>10</v>
      </c>
      <c r="F3824">
        <v>10</v>
      </c>
      <c r="G3824" s="8">
        <f>Lektionen[[#This Row],[Bearbeitungsdauer_real]]/Lektionen[[#This Row],[Bearbeitungsdauer_geschätzt]]-1</f>
        <v>0</v>
      </c>
      <c r="H3824" s="8" t="str" cm="1">
        <f t="array" ref="H3824">_xlfn.IFS(Lektionen[[#This Row],[Bearbeitungsdauer_abgewichen]]&gt;0.6,"viel länger",Lektionen[[#This Row],[Bearbeitungsdauer_abgewichen]]&gt;0.3,"länger",Lektionen[[#This Row],[Bearbeitungsdauer_abgewichen]]&lt;-0.3,"kürzer",TRUE,"keine Abweichung")</f>
        <v>keine Abweichung</v>
      </c>
      <c r="I3824">
        <v>3</v>
      </c>
    </row>
    <row r="3825" spans="1:9" hidden="1" x14ac:dyDescent="0.3">
      <c r="A3825" s="13">
        <v>591</v>
      </c>
      <c r="B3825" s="4">
        <v>8</v>
      </c>
      <c r="C3825" t="s">
        <v>537</v>
      </c>
      <c r="D3825" t="s">
        <v>527</v>
      </c>
      <c r="E3825">
        <v>5</v>
      </c>
      <c r="F3825">
        <v>5</v>
      </c>
      <c r="G3825" s="8">
        <f>Lektionen[[#This Row],[Bearbeitungsdauer_real]]/Lektionen[[#This Row],[Bearbeitungsdauer_geschätzt]]-1</f>
        <v>0</v>
      </c>
      <c r="H3825" s="8" t="str" cm="1">
        <f t="array" ref="H3825">_xlfn.IFS(Lektionen[[#This Row],[Bearbeitungsdauer_abgewichen]]&gt;0.6,"viel länger",Lektionen[[#This Row],[Bearbeitungsdauer_abgewichen]]&gt;0.3,"länger",Lektionen[[#This Row],[Bearbeitungsdauer_abgewichen]]&lt;-0.3,"kürzer",TRUE,"keine Abweichung")</f>
        <v>keine Abweichung</v>
      </c>
      <c r="I3825">
        <v>1</v>
      </c>
    </row>
    <row r="3826" spans="1:9" hidden="1" x14ac:dyDescent="0.3">
      <c r="A3826" s="13">
        <v>592</v>
      </c>
      <c r="B3826" s="4">
        <v>1</v>
      </c>
      <c r="C3826" t="s">
        <v>526</v>
      </c>
      <c r="D3826" t="s">
        <v>527</v>
      </c>
      <c r="E3826">
        <v>4</v>
      </c>
      <c r="F3826">
        <v>4</v>
      </c>
      <c r="G3826" s="8">
        <f>Lektionen[[#This Row],[Bearbeitungsdauer_real]]/Lektionen[[#This Row],[Bearbeitungsdauer_geschätzt]]-1</f>
        <v>0</v>
      </c>
      <c r="H3826" s="8" t="str" cm="1">
        <f t="array" ref="H3826">_xlfn.IFS(Lektionen[[#This Row],[Bearbeitungsdauer_abgewichen]]&gt;0.6,"viel länger",Lektionen[[#This Row],[Bearbeitungsdauer_abgewichen]]&gt;0.3,"länger",Lektionen[[#This Row],[Bearbeitungsdauer_abgewichen]]&lt;-0.3,"kürzer",TRUE,"keine Abweichung")</f>
        <v>keine Abweichung</v>
      </c>
      <c r="I3826">
        <v>1</v>
      </c>
    </row>
    <row r="3827" spans="1:9" hidden="1" x14ac:dyDescent="0.3">
      <c r="A3827" s="13">
        <v>592</v>
      </c>
      <c r="B3827" s="4">
        <v>2</v>
      </c>
      <c r="C3827" t="s">
        <v>528</v>
      </c>
      <c r="D3827" t="s">
        <v>529</v>
      </c>
      <c r="E3827">
        <v>15</v>
      </c>
      <c r="F3827">
        <v>19</v>
      </c>
      <c r="G3827" s="8">
        <f>Lektionen[[#This Row],[Bearbeitungsdauer_real]]/Lektionen[[#This Row],[Bearbeitungsdauer_geschätzt]]-1</f>
        <v>0.26666666666666661</v>
      </c>
      <c r="H3827" s="8" t="str" cm="1">
        <f t="array" ref="H3827">_xlfn.IFS(Lektionen[[#This Row],[Bearbeitungsdauer_abgewichen]]&gt;0.6,"viel länger",Lektionen[[#This Row],[Bearbeitungsdauer_abgewichen]]&gt;0.3,"länger",Lektionen[[#This Row],[Bearbeitungsdauer_abgewichen]]&lt;-0.3,"kürzer",TRUE,"keine Abweichung")</f>
        <v>keine Abweichung</v>
      </c>
      <c r="I3827">
        <v>2</v>
      </c>
    </row>
    <row r="3828" spans="1:9" hidden="1" x14ac:dyDescent="0.3">
      <c r="A3828" s="13">
        <v>592</v>
      </c>
      <c r="B3828" s="4">
        <v>3</v>
      </c>
      <c r="C3828" t="s">
        <v>552</v>
      </c>
      <c r="D3828" t="s">
        <v>530</v>
      </c>
      <c r="E3828">
        <v>30</v>
      </c>
      <c r="F3828">
        <v>30</v>
      </c>
      <c r="G3828" s="8">
        <f>Lektionen[[#This Row],[Bearbeitungsdauer_real]]/Lektionen[[#This Row],[Bearbeitungsdauer_geschätzt]]-1</f>
        <v>0</v>
      </c>
      <c r="H3828" s="8" t="str" cm="1">
        <f t="array" ref="H3828">_xlfn.IFS(Lektionen[[#This Row],[Bearbeitungsdauer_abgewichen]]&gt;0.6,"viel länger",Lektionen[[#This Row],[Bearbeitungsdauer_abgewichen]]&gt;0.3,"länger",Lektionen[[#This Row],[Bearbeitungsdauer_abgewichen]]&lt;-0.3,"kürzer",TRUE,"keine Abweichung")</f>
        <v>keine Abweichung</v>
      </c>
      <c r="I3828">
        <v>3</v>
      </c>
    </row>
    <row r="3829" spans="1:9" hidden="1" x14ac:dyDescent="0.3">
      <c r="A3829" s="13">
        <v>592</v>
      </c>
      <c r="B3829" s="4">
        <v>4</v>
      </c>
      <c r="C3829" t="s">
        <v>531</v>
      </c>
      <c r="D3829" t="s">
        <v>530</v>
      </c>
      <c r="E3829">
        <v>30</v>
      </c>
      <c r="F3829">
        <v>35</v>
      </c>
      <c r="G3829" s="8">
        <f>Lektionen[[#This Row],[Bearbeitungsdauer_real]]/Lektionen[[#This Row],[Bearbeitungsdauer_geschätzt]]-1</f>
        <v>0.16666666666666674</v>
      </c>
      <c r="H3829" s="8" t="str" cm="1">
        <f t="array" ref="H3829">_xlfn.IFS(Lektionen[[#This Row],[Bearbeitungsdauer_abgewichen]]&gt;0.6,"viel länger",Lektionen[[#This Row],[Bearbeitungsdauer_abgewichen]]&gt;0.3,"länger",Lektionen[[#This Row],[Bearbeitungsdauer_abgewichen]]&lt;-0.3,"kürzer",TRUE,"keine Abweichung")</f>
        <v>keine Abweichung</v>
      </c>
      <c r="I3829">
        <v>3</v>
      </c>
    </row>
    <row r="3830" spans="1:9" x14ac:dyDescent="0.3">
      <c r="A3830" s="13">
        <v>592</v>
      </c>
      <c r="B3830" s="4">
        <v>5</v>
      </c>
      <c r="C3830" t="s">
        <v>532</v>
      </c>
      <c r="D3830" t="s">
        <v>530</v>
      </c>
      <c r="E3830">
        <v>30</v>
      </c>
      <c r="F3830">
        <v>49</v>
      </c>
      <c r="G3830" s="8">
        <f>Lektionen[[#This Row],[Bearbeitungsdauer_real]]/Lektionen[[#This Row],[Bearbeitungsdauer_geschätzt]]-1</f>
        <v>0.6333333333333333</v>
      </c>
      <c r="H3830" s="8" t="str" cm="1">
        <f t="array" ref="H3830">_xlfn.IFS(Lektionen[[#This Row],[Bearbeitungsdauer_abgewichen]]&gt;0.6,"viel länger",Lektionen[[#This Row],[Bearbeitungsdauer_abgewichen]]&gt;0.3,"länger",Lektionen[[#This Row],[Bearbeitungsdauer_abgewichen]]&lt;-0.3,"kürzer",TRUE,"keine Abweichung")</f>
        <v>viel länger</v>
      </c>
      <c r="I3830">
        <v>4</v>
      </c>
    </row>
    <row r="3831" spans="1:9" hidden="1" x14ac:dyDescent="0.3">
      <c r="A3831" s="13">
        <v>592</v>
      </c>
      <c r="B3831" s="4">
        <v>6</v>
      </c>
      <c r="C3831" t="s">
        <v>533</v>
      </c>
      <c r="D3831" t="s">
        <v>534</v>
      </c>
      <c r="E3831">
        <v>5</v>
      </c>
      <c r="F3831">
        <v>1</v>
      </c>
      <c r="G3831" s="8">
        <f>Lektionen[[#This Row],[Bearbeitungsdauer_real]]/Lektionen[[#This Row],[Bearbeitungsdauer_geschätzt]]-1</f>
        <v>-0.8</v>
      </c>
      <c r="H3831" s="8" t="str" cm="1">
        <f t="array" ref="H3831">_xlfn.IFS(Lektionen[[#This Row],[Bearbeitungsdauer_abgewichen]]&gt;0.6,"viel länger",Lektionen[[#This Row],[Bearbeitungsdauer_abgewichen]]&gt;0.3,"länger",Lektionen[[#This Row],[Bearbeitungsdauer_abgewichen]]&lt;-0.3,"kürzer",TRUE,"keine Abweichung")</f>
        <v>kürzer</v>
      </c>
      <c r="I3831">
        <v>1</v>
      </c>
    </row>
    <row r="3832" spans="1:9" hidden="1" x14ac:dyDescent="0.3">
      <c r="A3832" s="13">
        <v>592</v>
      </c>
      <c r="B3832" s="4">
        <v>7</v>
      </c>
      <c r="C3832" t="s">
        <v>535</v>
      </c>
      <c r="D3832" t="s">
        <v>536</v>
      </c>
      <c r="E3832">
        <v>10</v>
      </c>
      <c r="F3832">
        <v>10</v>
      </c>
      <c r="G3832" s="8">
        <f>Lektionen[[#This Row],[Bearbeitungsdauer_real]]/Lektionen[[#This Row],[Bearbeitungsdauer_geschätzt]]-1</f>
        <v>0</v>
      </c>
      <c r="H3832" s="8" t="str" cm="1">
        <f t="array" ref="H3832">_xlfn.IFS(Lektionen[[#This Row],[Bearbeitungsdauer_abgewichen]]&gt;0.6,"viel länger",Lektionen[[#This Row],[Bearbeitungsdauer_abgewichen]]&gt;0.3,"länger",Lektionen[[#This Row],[Bearbeitungsdauer_abgewichen]]&lt;-0.3,"kürzer",TRUE,"keine Abweichung")</f>
        <v>keine Abweichung</v>
      </c>
      <c r="I3832">
        <v>3</v>
      </c>
    </row>
    <row r="3833" spans="1:9" hidden="1" x14ac:dyDescent="0.3">
      <c r="A3833" s="13">
        <v>592</v>
      </c>
      <c r="B3833" s="4">
        <v>8</v>
      </c>
      <c r="C3833" t="s">
        <v>537</v>
      </c>
      <c r="D3833" t="s">
        <v>527</v>
      </c>
      <c r="E3833">
        <v>5</v>
      </c>
      <c r="F3833">
        <v>5</v>
      </c>
      <c r="G3833" s="8">
        <f>Lektionen[[#This Row],[Bearbeitungsdauer_real]]/Lektionen[[#This Row],[Bearbeitungsdauer_geschätzt]]-1</f>
        <v>0</v>
      </c>
      <c r="H3833" s="8" t="str" cm="1">
        <f t="array" ref="H3833">_xlfn.IFS(Lektionen[[#This Row],[Bearbeitungsdauer_abgewichen]]&gt;0.6,"viel länger",Lektionen[[#This Row],[Bearbeitungsdauer_abgewichen]]&gt;0.3,"länger",Lektionen[[#This Row],[Bearbeitungsdauer_abgewichen]]&lt;-0.3,"kürzer",TRUE,"keine Abweichung")</f>
        <v>keine Abweichung</v>
      </c>
      <c r="I3833">
        <v>1</v>
      </c>
    </row>
    <row r="3834" spans="1:9" hidden="1" x14ac:dyDescent="0.3">
      <c r="A3834" s="13">
        <v>593</v>
      </c>
      <c r="B3834" s="4">
        <v>1</v>
      </c>
      <c r="C3834" t="s">
        <v>526</v>
      </c>
      <c r="D3834" t="s">
        <v>527</v>
      </c>
      <c r="E3834">
        <v>4</v>
      </c>
      <c r="F3834">
        <v>4</v>
      </c>
      <c r="G3834" s="8">
        <f>Lektionen[[#This Row],[Bearbeitungsdauer_real]]/Lektionen[[#This Row],[Bearbeitungsdauer_geschätzt]]-1</f>
        <v>0</v>
      </c>
      <c r="H3834" s="8" t="str" cm="1">
        <f t="array" ref="H3834">_xlfn.IFS(Lektionen[[#This Row],[Bearbeitungsdauer_abgewichen]]&gt;0.6,"viel länger",Lektionen[[#This Row],[Bearbeitungsdauer_abgewichen]]&gt;0.3,"länger",Lektionen[[#This Row],[Bearbeitungsdauer_abgewichen]]&lt;-0.3,"kürzer",TRUE,"keine Abweichung")</f>
        <v>keine Abweichung</v>
      </c>
      <c r="I3834">
        <v>1</v>
      </c>
    </row>
    <row r="3835" spans="1:9" hidden="1" x14ac:dyDescent="0.3">
      <c r="A3835" s="13">
        <v>593</v>
      </c>
      <c r="B3835" s="4">
        <v>2</v>
      </c>
      <c r="C3835" t="s">
        <v>528</v>
      </c>
      <c r="D3835" t="s">
        <v>529</v>
      </c>
      <c r="E3835">
        <v>15</v>
      </c>
      <c r="F3835">
        <v>17</v>
      </c>
      <c r="G3835" s="8">
        <f>Lektionen[[#This Row],[Bearbeitungsdauer_real]]/Lektionen[[#This Row],[Bearbeitungsdauer_geschätzt]]-1</f>
        <v>0.1333333333333333</v>
      </c>
      <c r="H3835" s="8" t="str" cm="1">
        <f t="array" ref="H3835">_xlfn.IFS(Lektionen[[#This Row],[Bearbeitungsdauer_abgewichen]]&gt;0.6,"viel länger",Lektionen[[#This Row],[Bearbeitungsdauer_abgewichen]]&gt;0.3,"länger",Lektionen[[#This Row],[Bearbeitungsdauer_abgewichen]]&lt;-0.3,"kürzer",TRUE,"keine Abweichung")</f>
        <v>keine Abweichung</v>
      </c>
      <c r="I3835">
        <v>2</v>
      </c>
    </row>
    <row r="3836" spans="1:9" hidden="1" x14ac:dyDescent="0.3">
      <c r="A3836" s="13">
        <v>593</v>
      </c>
      <c r="B3836" s="4">
        <v>3</v>
      </c>
      <c r="C3836" t="s">
        <v>552</v>
      </c>
      <c r="D3836" t="s">
        <v>530</v>
      </c>
      <c r="E3836">
        <v>30</v>
      </c>
      <c r="F3836">
        <v>30</v>
      </c>
      <c r="G3836" s="8">
        <f>Lektionen[[#This Row],[Bearbeitungsdauer_real]]/Lektionen[[#This Row],[Bearbeitungsdauer_geschätzt]]-1</f>
        <v>0</v>
      </c>
      <c r="H3836" s="8" t="str" cm="1">
        <f t="array" ref="H3836">_xlfn.IFS(Lektionen[[#This Row],[Bearbeitungsdauer_abgewichen]]&gt;0.6,"viel länger",Lektionen[[#This Row],[Bearbeitungsdauer_abgewichen]]&gt;0.3,"länger",Lektionen[[#This Row],[Bearbeitungsdauer_abgewichen]]&lt;-0.3,"kürzer",TRUE,"keine Abweichung")</f>
        <v>keine Abweichung</v>
      </c>
      <c r="I3836">
        <v>2</v>
      </c>
    </row>
    <row r="3837" spans="1:9" hidden="1" x14ac:dyDescent="0.3">
      <c r="A3837" s="13">
        <v>593</v>
      </c>
      <c r="B3837" s="4">
        <v>4</v>
      </c>
      <c r="C3837" t="s">
        <v>531</v>
      </c>
      <c r="D3837" t="s">
        <v>530</v>
      </c>
      <c r="E3837">
        <v>30</v>
      </c>
      <c r="F3837">
        <v>31</v>
      </c>
      <c r="G3837" s="8">
        <f>Lektionen[[#This Row],[Bearbeitungsdauer_real]]/Lektionen[[#This Row],[Bearbeitungsdauer_geschätzt]]-1</f>
        <v>3.3333333333333437E-2</v>
      </c>
      <c r="H3837" s="8" t="str" cm="1">
        <f t="array" ref="H3837">_xlfn.IFS(Lektionen[[#This Row],[Bearbeitungsdauer_abgewichen]]&gt;0.6,"viel länger",Lektionen[[#This Row],[Bearbeitungsdauer_abgewichen]]&gt;0.3,"länger",Lektionen[[#This Row],[Bearbeitungsdauer_abgewichen]]&lt;-0.3,"kürzer",TRUE,"keine Abweichung")</f>
        <v>keine Abweichung</v>
      </c>
      <c r="I3837">
        <v>3</v>
      </c>
    </row>
    <row r="3838" spans="1:9" x14ac:dyDescent="0.3">
      <c r="A3838" s="13">
        <v>593</v>
      </c>
      <c r="B3838" s="4">
        <v>5</v>
      </c>
      <c r="C3838" t="s">
        <v>532</v>
      </c>
      <c r="D3838" t="s">
        <v>530</v>
      </c>
      <c r="E3838">
        <v>30</v>
      </c>
      <c r="F3838">
        <v>44</v>
      </c>
      <c r="G3838" s="8">
        <f>Lektionen[[#This Row],[Bearbeitungsdauer_real]]/Lektionen[[#This Row],[Bearbeitungsdauer_geschätzt]]-1</f>
        <v>0.46666666666666656</v>
      </c>
      <c r="H3838" s="8" t="str" cm="1">
        <f t="array" ref="H3838">_xlfn.IFS(Lektionen[[#This Row],[Bearbeitungsdauer_abgewichen]]&gt;0.6,"viel länger",Lektionen[[#This Row],[Bearbeitungsdauer_abgewichen]]&gt;0.3,"länger",Lektionen[[#This Row],[Bearbeitungsdauer_abgewichen]]&lt;-0.3,"kürzer",TRUE,"keine Abweichung")</f>
        <v>länger</v>
      </c>
      <c r="I3838">
        <v>4</v>
      </c>
    </row>
    <row r="3839" spans="1:9" hidden="1" x14ac:dyDescent="0.3">
      <c r="A3839" s="13">
        <v>593</v>
      </c>
      <c r="B3839" s="4">
        <v>6</v>
      </c>
      <c r="C3839" t="s">
        <v>533</v>
      </c>
      <c r="D3839" t="s">
        <v>534</v>
      </c>
      <c r="E3839">
        <v>5</v>
      </c>
      <c r="F3839">
        <v>2</v>
      </c>
      <c r="G3839" s="8">
        <f>Lektionen[[#This Row],[Bearbeitungsdauer_real]]/Lektionen[[#This Row],[Bearbeitungsdauer_geschätzt]]-1</f>
        <v>-0.6</v>
      </c>
      <c r="H3839" s="8" t="str" cm="1">
        <f t="array" ref="H3839">_xlfn.IFS(Lektionen[[#This Row],[Bearbeitungsdauer_abgewichen]]&gt;0.6,"viel länger",Lektionen[[#This Row],[Bearbeitungsdauer_abgewichen]]&gt;0.3,"länger",Lektionen[[#This Row],[Bearbeitungsdauer_abgewichen]]&lt;-0.3,"kürzer",TRUE,"keine Abweichung")</f>
        <v>kürzer</v>
      </c>
      <c r="I3839">
        <v>2</v>
      </c>
    </row>
    <row r="3840" spans="1:9" hidden="1" x14ac:dyDescent="0.3">
      <c r="A3840" s="13">
        <v>593</v>
      </c>
      <c r="B3840" s="4">
        <v>7</v>
      </c>
      <c r="C3840" t="s">
        <v>535</v>
      </c>
      <c r="D3840" t="s">
        <v>536</v>
      </c>
      <c r="E3840">
        <v>10</v>
      </c>
      <c r="F3840">
        <v>9</v>
      </c>
      <c r="G3840" s="8">
        <f>Lektionen[[#This Row],[Bearbeitungsdauer_real]]/Lektionen[[#This Row],[Bearbeitungsdauer_geschätzt]]-1</f>
        <v>-9.9999999999999978E-2</v>
      </c>
      <c r="H3840" s="8" t="str" cm="1">
        <f t="array" ref="H3840">_xlfn.IFS(Lektionen[[#This Row],[Bearbeitungsdauer_abgewichen]]&gt;0.6,"viel länger",Lektionen[[#This Row],[Bearbeitungsdauer_abgewichen]]&gt;0.3,"länger",Lektionen[[#This Row],[Bearbeitungsdauer_abgewichen]]&lt;-0.3,"kürzer",TRUE,"keine Abweichung")</f>
        <v>keine Abweichung</v>
      </c>
      <c r="I3840">
        <v>3</v>
      </c>
    </row>
    <row r="3841" spans="1:9" hidden="1" x14ac:dyDescent="0.3">
      <c r="A3841" s="13">
        <v>593</v>
      </c>
      <c r="B3841" s="4">
        <v>8</v>
      </c>
      <c r="C3841" t="s">
        <v>537</v>
      </c>
      <c r="D3841" t="s">
        <v>527</v>
      </c>
      <c r="E3841">
        <v>5</v>
      </c>
      <c r="F3841">
        <v>5</v>
      </c>
      <c r="G3841" s="8">
        <f>Lektionen[[#This Row],[Bearbeitungsdauer_real]]/Lektionen[[#This Row],[Bearbeitungsdauer_geschätzt]]-1</f>
        <v>0</v>
      </c>
      <c r="H3841" s="8" t="str" cm="1">
        <f t="array" ref="H3841">_xlfn.IFS(Lektionen[[#This Row],[Bearbeitungsdauer_abgewichen]]&gt;0.6,"viel länger",Lektionen[[#This Row],[Bearbeitungsdauer_abgewichen]]&gt;0.3,"länger",Lektionen[[#This Row],[Bearbeitungsdauer_abgewichen]]&lt;-0.3,"kürzer",TRUE,"keine Abweichung")</f>
        <v>keine Abweichung</v>
      </c>
      <c r="I3841">
        <v>1</v>
      </c>
    </row>
    <row r="3842" spans="1:9" hidden="1" x14ac:dyDescent="0.3">
      <c r="A3842" s="13">
        <v>594</v>
      </c>
      <c r="B3842" s="4">
        <v>1</v>
      </c>
      <c r="C3842" t="s">
        <v>526</v>
      </c>
      <c r="D3842" t="s">
        <v>527</v>
      </c>
      <c r="E3842">
        <v>4</v>
      </c>
      <c r="F3842">
        <v>4</v>
      </c>
      <c r="G3842" s="8">
        <f>Lektionen[[#This Row],[Bearbeitungsdauer_real]]/Lektionen[[#This Row],[Bearbeitungsdauer_geschätzt]]-1</f>
        <v>0</v>
      </c>
      <c r="H3842" s="8" t="str" cm="1">
        <f t="array" ref="H3842">_xlfn.IFS(Lektionen[[#This Row],[Bearbeitungsdauer_abgewichen]]&gt;0.6,"viel länger",Lektionen[[#This Row],[Bearbeitungsdauer_abgewichen]]&gt;0.3,"länger",Lektionen[[#This Row],[Bearbeitungsdauer_abgewichen]]&lt;-0.3,"kürzer",TRUE,"keine Abweichung")</f>
        <v>keine Abweichung</v>
      </c>
      <c r="I3842">
        <v>1</v>
      </c>
    </row>
    <row r="3843" spans="1:9" hidden="1" x14ac:dyDescent="0.3">
      <c r="A3843" s="13">
        <v>594</v>
      </c>
      <c r="B3843" s="4">
        <v>2</v>
      </c>
      <c r="C3843" t="s">
        <v>528</v>
      </c>
      <c r="D3843" t="s">
        <v>529</v>
      </c>
      <c r="E3843">
        <v>15</v>
      </c>
      <c r="F3843">
        <v>16</v>
      </c>
      <c r="G3843" s="8">
        <f>Lektionen[[#This Row],[Bearbeitungsdauer_real]]/Lektionen[[#This Row],[Bearbeitungsdauer_geschätzt]]-1</f>
        <v>6.6666666666666652E-2</v>
      </c>
      <c r="H3843" s="8" t="str" cm="1">
        <f t="array" ref="H3843">_xlfn.IFS(Lektionen[[#This Row],[Bearbeitungsdauer_abgewichen]]&gt;0.6,"viel länger",Lektionen[[#This Row],[Bearbeitungsdauer_abgewichen]]&gt;0.3,"länger",Lektionen[[#This Row],[Bearbeitungsdauer_abgewichen]]&lt;-0.3,"kürzer",TRUE,"keine Abweichung")</f>
        <v>keine Abweichung</v>
      </c>
      <c r="I3843">
        <v>2</v>
      </c>
    </row>
    <row r="3844" spans="1:9" hidden="1" x14ac:dyDescent="0.3">
      <c r="A3844" s="13">
        <v>594</v>
      </c>
      <c r="B3844" s="4">
        <v>3</v>
      </c>
      <c r="C3844" t="s">
        <v>552</v>
      </c>
      <c r="D3844" t="s">
        <v>530</v>
      </c>
      <c r="E3844">
        <v>30</v>
      </c>
      <c r="F3844">
        <v>28</v>
      </c>
      <c r="G3844" s="8">
        <f>Lektionen[[#This Row],[Bearbeitungsdauer_real]]/Lektionen[[#This Row],[Bearbeitungsdauer_geschätzt]]-1</f>
        <v>-6.6666666666666652E-2</v>
      </c>
      <c r="H3844" s="8" t="str" cm="1">
        <f t="array" ref="H3844">_xlfn.IFS(Lektionen[[#This Row],[Bearbeitungsdauer_abgewichen]]&gt;0.6,"viel länger",Lektionen[[#This Row],[Bearbeitungsdauer_abgewichen]]&gt;0.3,"länger",Lektionen[[#This Row],[Bearbeitungsdauer_abgewichen]]&lt;-0.3,"kürzer",TRUE,"keine Abweichung")</f>
        <v>keine Abweichung</v>
      </c>
      <c r="I3844">
        <v>2</v>
      </c>
    </row>
    <row r="3845" spans="1:9" hidden="1" x14ac:dyDescent="0.3">
      <c r="A3845" s="13">
        <v>594</v>
      </c>
      <c r="B3845" s="4">
        <v>4</v>
      </c>
      <c r="C3845" t="s">
        <v>531</v>
      </c>
      <c r="D3845" t="s">
        <v>530</v>
      </c>
      <c r="E3845">
        <v>30</v>
      </c>
      <c r="F3845">
        <v>21</v>
      </c>
      <c r="G3845" s="8">
        <f>Lektionen[[#This Row],[Bearbeitungsdauer_real]]/Lektionen[[#This Row],[Bearbeitungsdauer_geschätzt]]-1</f>
        <v>-0.30000000000000004</v>
      </c>
      <c r="H3845" s="8" t="str" cm="1">
        <f t="array" ref="H3845">_xlfn.IFS(Lektionen[[#This Row],[Bearbeitungsdauer_abgewichen]]&gt;0.6,"viel länger",Lektionen[[#This Row],[Bearbeitungsdauer_abgewichen]]&gt;0.3,"länger",Lektionen[[#This Row],[Bearbeitungsdauer_abgewichen]]&lt;-0.3,"kürzer",TRUE,"keine Abweichung")</f>
        <v>keine Abweichung</v>
      </c>
      <c r="I3845">
        <v>3</v>
      </c>
    </row>
    <row r="3846" spans="1:9" x14ac:dyDescent="0.3">
      <c r="A3846" s="13">
        <v>594</v>
      </c>
      <c r="B3846" s="4">
        <v>5</v>
      </c>
      <c r="C3846" t="s">
        <v>532</v>
      </c>
      <c r="D3846" t="s">
        <v>530</v>
      </c>
      <c r="E3846">
        <v>30</v>
      </c>
      <c r="F3846">
        <v>55</v>
      </c>
      <c r="G3846" s="8">
        <f>Lektionen[[#This Row],[Bearbeitungsdauer_real]]/Lektionen[[#This Row],[Bearbeitungsdauer_geschätzt]]-1</f>
        <v>0.83333333333333326</v>
      </c>
      <c r="H3846" s="8" t="str" cm="1">
        <f t="array" ref="H3846">_xlfn.IFS(Lektionen[[#This Row],[Bearbeitungsdauer_abgewichen]]&gt;0.6,"viel länger",Lektionen[[#This Row],[Bearbeitungsdauer_abgewichen]]&gt;0.3,"länger",Lektionen[[#This Row],[Bearbeitungsdauer_abgewichen]]&lt;-0.3,"kürzer",TRUE,"keine Abweichung")</f>
        <v>viel länger</v>
      </c>
      <c r="I3846">
        <v>4</v>
      </c>
    </row>
    <row r="3847" spans="1:9" hidden="1" x14ac:dyDescent="0.3">
      <c r="A3847" s="13">
        <v>594</v>
      </c>
      <c r="B3847" s="4">
        <v>6</v>
      </c>
      <c r="C3847" t="s">
        <v>533</v>
      </c>
      <c r="D3847" t="s">
        <v>534</v>
      </c>
      <c r="E3847">
        <v>5</v>
      </c>
      <c r="F3847">
        <v>1</v>
      </c>
      <c r="G3847" s="8">
        <f>Lektionen[[#This Row],[Bearbeitungsdauer_real]]/Lektionen[[#This Row],[Bearbeitungsdauer_geschätzt]]-1</f>
        <v>-0.8</v>
      </c>
      <c r="H3847" s="8" t="str" cm="1">
        <f t="array" ref="H3847">_xlfn.IFS(Lektionen[[#This Row],[Bearbeitungsdauer_abgewichen]]&gt;0.6,"viel länger",Lektionen[[#This Row],[Bearbeitungsdauer_abgewichen]]&gt;0.3,"länger",Lektionen[[#This Row],[Bearbeitungsdauer_abgewichen]]&lt;-0.3,"kürzer",TRUE,"keine Abweichung")</f>
        <v>kürzer</v>
      </c>
      <c r="I3847">
        <v>2</v>
      </c>
    </row>
    <row r="3848" spans="1:9" hidden="1" x14ac:dyDescent="0.3">
      <c r="A3848" s="13">
        <v>594</v>
      </c>
      <c r="B3848" s="4">
        <v>7</v>
      </c>
      <c r="C3848" t="s">
        <v>535</v>
      </c>
      <c r="D3848" t="s">
        <v>536</v>
      </c>
      <c r="E3848">
        <v>10</v>
      </c>
      <c r="F3848">
        <v>9</v>
      </c>
      <c r="G3848" s="8">
        <f>Lektionen[[#This Row],[Bearbeitungsdauer_real]]/Lektionen[[#This Row],[Bearbeitungsdauer_geschätzt]]-1</f>
        <v>-9.9999999999999978E-2</v>
      </c>
      <c r="H3848" s="8" t="str" cm="1">
        <f t="array" ref="H3848">_xlfn.IFS(Lektionen[[#This Row],[Bearbeitungsdauer_abgewichen]]&gt;0.6,"viel länger",Lektionen[[#This Row],[Bearbeitungsdauer_abgewichen]]&gt;0.3,"länger",Lektionen[[#This Row],[Bearbeitungsdauer_abgewichen]]&lt;-0.3,"kürzer",TRUE,"keine Abweichung")</f>
        <v>keine Abweichung</v>
      </c>
      <c r="I3848">
        <v>3</v>
      </c>
    </row>
    <row r="3849" spans="1:9" hidden="1" x14ac:dyDescent="0.3">
      <c r="A3849" s="13">
        <v>594</v>
      </c>
      <c r="B3849" s="4">
        <v>8</v>
      </c>
      <c r="C3849" t="s">
        <v>537</v>
      </c>
      <c r="D3849" t="s">
        <v>527</v>
      </c>
      <c r="E3849">
        <v>5</v>
      </c>
      <c r="F3849">
        <v>6</v>
      </c>
      <c r="G3849" s="8">
        <f>Lektionen[[#This Row],[Bearbeitungsdauer_real]]/Lektionen[[#This Row],[Bearbeitungsdauer_geschätzt]]-1</f>
        <v>0.19999999999999996</v>
      </c>
      <c r="H3849" s="8" t="str" cm="1">
        <f t="array" ref="H3849">_xlfn.IFS(Lektionen[[#This Row],[Bearbeitungsdauer_abgewichen]]&gt;0.6,"viel länger",Lektionen[[#This Row],[Bearbeitungsdauer_abgewichen]]&gt;0.3,"länger",Lektionen[[#This Row],[Bearbeitungsdauer_abgewichen]]&lt;-0.3,"kürzer",TRUE,"keine Abweichung")</f>
        <v>keine Abweichung</v>
      </c>
      <c r="I3849">
        <v>1</v>
      </c>
    </row>
    <row r="3850" spans="1:9" hidden="1" x14ac:dyDescent="0.3">
      <c r="A3850" s="13">
        <v>595</v>
      </c>
      <c r="B3850" s="4">
        <v>1</v>
      </c>
      <c r="C3850" t="s">
        <v>526</v>
      </c>
      <c r="D3850" t="s">
        <v>527</v>
      </c>
      <c r="E3850">
        <v>4</v>
      </c>
      <c r="F3850">
        <v>4</v>
      </c>
      <c r="G3850" s="8">
        <f>Lektionen[[#This Row],[Bearbeitungsdauer_real]]/Lektionen[[#This Row],[Bearbeitungsdauer_geschätzt]]-1</f>
        <v>0</v>
      </c>
      <c r="H3850" s="8" t="str" cm="1">
        <f t="array" ref="H3850">_xlfn.IFS(Lektionen[[#This Row],[Bearbeitungsdauer_abgewichen]]&gt;0.6,"viel länger",Lektionen[[#This Row],[Bearbeitungsdauer_abgewichen]]&gt;0.3,"länger",Lektionen[[#This Row],[Bearbeitungsdauer_abgewichen]]&lt;-0.3,"kürzer",TRUE,"keine Abweichung")</f>
        <v>keine Abweichung</v>
      </c>
      <c r="I3850">
        <v>1</v>
      </c>
    </row>
    <row r="3851" spans="1:9" hidden="1" x14ac:dyDescent="0.3">
      <c r="A3851" s="13">
        <v>595</v>
      </c>
      <c r="B3851" s="4">
        <v>2</v>
      </c>
      <c r="C3851" t="s">
        <v>528</v>
      </c>
      <c r="D3851" t="s">
        <v>529</v>
      </c>
      <c r="E3851">
        <v>15</v>
      </c>
      <c r="F3851">
        <v>15</v>
      </c>
      <c r="G3851" s="8">
        <f>Lektionen[[#This Row],[Bearbeitungsdauer_real]]/Lektionen[[#This Row],[Bearbeitungsdauer_geschätzt]]-1</f>
        <v>0</v>
      </c>
      <c r="H3851" s="8" t="str" cm="1">
        <f t="array" ref="H3851">_xlfn.IFS(Lektionen[[#This Row],[Bearbeitungsdauer_abgewichen]]&gt;0.6,"viel länger",Lektionen[[#This Row],[Bearbeitungsdauer_abgewichen]]&gt;0.3,"länger",Lektionen[[#This Row],[Bearbeitungsdauer_abgewichen]]&lt;-0.3,"kürzer",TRUE,"keine Abweichung")</f>
        <v>keine Abweichung</v>
      </c>
      <c r="I3851">
        <v>1</v>
      </c>
    </row>
    <row r="3852" spans="1:9" hidden="1" x14ac:dyDescent="0.3">
      <c r="A3852" s="13">
        <v>595</v>
      </c>
      <c r="B3852" s="4">
        <v>3</v>
      </c>
      <c r="C3852" t="s">
        <v>552</v>
      </c>
      <c r="D3852" t="s">
        <v>530</v>
      </c>
      <c r="E3852">
        <v>30</v>
      </c>
      <c r="F3852">
        <v>28</v>
      </c>
      <c r="G3852" s="8">
        <f>Lektionen[[#This Row],[Bearbeitungsdauer_real]]/Lektionen[[#This Row],[Bearbeitungsdauer_geschätzt]]-1</f>
        <v>-6.6666666666666652E-2</v>
      </c>
      <c r="H3852" s="8" t="str" cm="1">
        <f t="array" ref="H3852">_xlfn.IFS(Lektionen[[#This Row],[Bearbeitungsdauer_abgewichen]]&gt;0.6,"viel länger",Lektionen[[#This Row],[Bearbeitungsdauer_abgewichen]]&gt;0.3,"länger",Lektionen[[#This Row],[Bearbeitungsdauer_abgewichen]]&lt;-0.3,"kürzer",TRUE,"keine Abweichung")</f>
        <v>keine Abweichung</v>
      </c>
      <c r="I3852">
        <v>3</v>
      </c>
    </row>
    <row r="3853" spans="1:9" hidden="1" x14ac:dyDescent="0.3">
      <c r="A3853" s="13">
        <v>595</v>
      </c>
      <c r="B3853" s="4">
        <v>4</v>
      </c>
      <c r="C3853" t="s">
        <v>531</v>
      </c>
      <c r="D3853" t="s">
        <v>530</v>
      </c>
      <c r="E3853">
        <v>30</v>
      </c>
      <c r="F3853">
        <v>17</v>
      </c>
      <c r="G3853" s="8">
        <f>Lektionen[[#This Row],[Bearbeitungsdauer_real]]/Lektionen[[#This Row],[Bearbeitungsdauer_geschätzt]]-1</f>
        <v>-0.43333333333333335</v>
      </c>
      <c r="H3853" s="8" t="str" cm="1">
        <f t="array" ref="H3853">_xlfn.IFS(Lektionen[[#This Row],[Bearbeitungsdauer_abgewichen]]&gt;0.6,"viel länger",Lektionen[[#This Row],[Bearbeitungsdauer_abgewichen]]&gt;0.3,"länger",Lektionen[[#This Row],[Bearbeitungsdauer_abgewichen]]&lt;-0.3,"kürzer",TRUE,"keine Abweichung")</f>
        <v>kürzer</v>
      </c>
      <c r="I3853">
        <v>3</v>
      </c>
    </row>
    <row r="3854" spans="1:9" x14ac:dyDescent="0.3">
      <c r="A3854" s="13">
        <v>595</v>
      </c>
      <c r="B3854" s="4">
        <v>5</v>
      </c>
      <c r="C3854" t="s">
        <v>532</v>
      </c>
      <c r="D3854" t="s">
        <v>530</v>
      </c>
      <c r="E3854">
        <v>30</v>
      </c>
      <c r="F3854">
        <v>43</v>
      </c>
      <c r="G3854" s="8">
        <f>Lektionen[[#This Row],[Bearbeitungsdauer_real]]/Lektionen[[#This Row],[Bearbeitungsdauer_geschätzt]]-1</f>
        <v>0.43333333333333335</v>
      </c>
      <c r="H3854" s="8" t="str" cm="1">
        <f t="array" ref="H3854">_xlfn.IFS(Lektionen[[#This Row],[Bearbeitungsdauer_abgewichen]]&gt;0.6,"viel länger",Lektionen[[#This Row],[Bearbeitungsdauer_abgewichen]]&gt;0.3,"länger",Lektionen[[#This Row],[Bearbeitungsdauer_abgewichen]]&lt;-0.3,"kürzer",TRUE,"keine Abweichung")</f>
        <v>länger</v>
      </c>
      <c r="I3854">
        <v>3</v>
      </c>
    </row>
    <row r="3855" spans="1:9" hidden="1" x14ac:dyDescent="0.3">
      <c r="A3855" s="13">
        <v>595</v>
      </c>
      <c r="B3855" s="4">
        <v>6</v>
      </c>
      <c r="C3855" t="s">
        <v>533</v>
      </c>
      <c r="D3855" t="s">
        <v>534</v>
      </c>
      <c r="E3855">
        <v>5</v>
      </c>
      <c r="F3855">
        <v>1</v>
      </c>
      <c r="G3855" s="8">
        <f>Lektionen[[#This Row],[Bearbeitungsdauer_real]]/Lektionen[[#This Row],[Bearbeitungsdauer_geschätzt]]-1</f>
        <v>-0.8</v>
      </c>
      <c r="H3855" s="8" t="str" cm="1">
        <f t="array" ref="H3855">_xlfn.IFS(Lektionen[[#This Row],[Bearbeitungsdauer_abgewichen]]&gt;0.6,"viel länger",Lektionen[[#This Row],[Bearbeitungsdauer_abgewichen]]&gt;0.3,"länger",Lektionen[[#This Row],[Bearbeitungsdauer_abgewichen]]&lt;-0.3,"kürzer",TRUE,"keine Abweichung")</f>
        <v>kürzer</v>
      </c>
      <c r="I3855">
        <v>1</v>
      </c>
    </row>
    <row r="3856" spans="1:9" hidden="1" x14ac:dyDescent="0.3">
      <c r="A3856" s="13">
        <v>595</v>
      </c>
      <c r="B3856" s="4">
        <v>7</v>
      </c>
      <c r="C3856" t="s">
        <v>535</v>
      </c>
      <c r="D3856" t="s">
        <v>536</v>
      </c>
      <c r="E3856">
        <v>10</v>
      </c>
      <c r="F3856">
        <v>12</v>
      </c>
      <c r="G3856" s="8">
        <f>Lektionen[[#This Row],[Bearbeitungsdauer_real]]/Lektionen[[#This Row],[Bearbeitungsdauer_geschätzt]]-1</f>
        <v>0.19999999999999996</v>
      </c>
      <c r="H3856" s="8" t="str" cm="1">
        <f t="array" ref="H3856">_xlfn.IFS(Lektionen[[#This Row],[Bearbeitungsdauer_abgewichen]]&gt;0.6,"viel länger",Lektionen[[#This Row],[Bearbeitungsdauer_abgewichen]]&gt;0.3,"länger",Lektionen[[#This Row],[Bearbeitungsdauer_abgewichen]]&lt;-0.3,"kürzer",TRUE,"keine Abweichung")</f>
        <v>keine Abweichung</v>
      </c>
      <c r="I3856">
        <v>4</v>
      </c>
    </row>
    <row r="3857" spans="1:9" hidden="1" x14ac:dyDescent="0.3">
      <c r="A3857" s="13">
        <v>595</v>
      </c>
      <c r="B3857" s="4">
        <v>8</v>
      </c>
      <c r="C3857" t="s">
        <v>537</v>
      </c>
      <c r="D3857" t="s">
        <v>527</v>
      </c>
      <c r="E3857">
        <v>5</v>
      </c>
      <c r="F3857">
        <v>5</v>
      </c>
      <c r="G3857" s="8">
        <f>Lektionen[[#This Row],[Bearbeitungsdauer_real]]/Lektionen[[#This Row],[Bearbeitungsdauer_geschätzt]]-1</f>
        <v>0</v>
      </c>
      <c r="H3857" s="8" t="str" cm="1">
        <f t="array" ref="H3857">_xlfn.IFS(Lektionen[[#This Row],[Bearbeitungsdauer_abgewichen]]&gt;0.6,"viel länger",Lektionen[[#This Row],[Bearbeitungsdauer_abgewichen]]&gt;0.3,"länger",Lektionen[[#This Row],[Bearbeitungsdauer_abgewichen]]&lt;-0.3,"kürzer",TRUE,"keine Abweichung")</f>
        <v>keine Abweichung</v>
      </c>
      <c r="I3857">
        <v>1</v>
      </c>
    </row>
    <row r="3858" spans="1:9" hidden="1" x14ac:dyDescent="0.3">
      <c r="A3858" s="13">
        <v>596</v>
      </c>
      <c r="B3858" s="4">
        <v>1</v>
      </c>
      <c r="C3858" t="s">
        <v>526</v>
      </c>
      <c r="D3858" t="s">
        <v>527</v>
      </c>
      <c r="E3858">
        <v>4</v>
      </c>
      <c r="F3858">
        <v>6</v>
      </c>
      <c r="G3858" s="8">
        <f>Lektionen[[#This Row],[Bearbeitungsdauer_real]]/Lektionen[[#This Row],[Bearbeitungsdauer_geschätzt]]-1</f>
        <v>0.5</v>
      </c>
      <c r="H3858" s="8" t="str" cm="1">
        <f t="array" ref="H3858">_xlfn.IFS(Lektionen[[#This Row],[Bearbeitungsdauer_abgewichen]]&gt;0.6,"viel länger",Lektionen[[#This Row],[Bearbeitungsdauer_abgewichen]]&gt;0.3,"länger",Lektionen[[#This Row],[Bearbeitungsdauer_abgewichen]]&lt;-0.3,"kürzer",TRUE,"keine Abweichung")</f>
        <v>länger</v>
      </c>
      <c r="I3858">
        <v>1</v>
      </c>
    </row>
    <row r="3859" spans="1:9" hidden="1" x14ac:dyDescent="0.3">
      <c r="A3859" s="13">
        <v>596</v>
      </c>
      <c r="B3859" s="4">
        <v>2</v>
      </c>
      <c r="C3859" t="s">
        <v>528</v>
      </c>
      <c r="D3859" t="s">
        <v>529</v>
      </c>
      <c r="E3859">
        <v>15</v>
      </c>
      <c r="F3859">
        <v>16</v>
      </c>
      <c r="G3859" s="8">
        <f>Lektionen[[#This Row],[Bearbeitungsdauer_real]]/Lektionen[[#This Row],[Bearbeitungsdauer_geschätzt]]-1</f>
        <v>6.6666666666666652E-2</v>
      </c>
      <c r="H3859" s="8" t="str" cm="1">
        <f t="array" ref="H3859">_xlfn.IFS(Lektionen[[#This Row],[Bearbeitungsdauer_abgewichen]]&gt;0.6,"viel länger",Lektionen[[#This Row],[Bearbeitungsdauer_abgewichen]]&gt;0.3,"länger",Lektionen[[#This Row],[Bearbeitungsdauer_abgewichen]]&lt;-0.3,"kürzer",TRUE,"keine Abweichung")</f>
        <v>keine Abweichung</v>
      </c>
      <c r="I3859">
        <v>1</v>
      </c>
    </row>
    <row r="3860" spans="1:9" hidden="1" x14ac:dyDescent="0.3">
      <c r="A3860" s="13">
        <v>596</v>
      </c>
      <c r="B3860" s="4">
        <v>3</v>
      </c>
      <c r="C3860" t="s">
        <v>552</v>
      </c>
      <c r="D3860" t="s">
        <v>530</v>
      </c>
      <c r="E3860">
        <v>30</v>
      </c>
      <c r="F3860">
        <v>28</v>
      </c>
      <c r="G3860" s="8">
        <f>Lektionen[[#This Row],[Bearbeitungsdauer_real]]/Lektionen[[#This Row],[Bearbeitungsdauer_geschätzt]]-1</f>
        <v>-6.6666666666666652E-2</v>
      </c>
      <c r="H3860" s="8" t="str" cm="1">
        <f t="array" ref="H3860">_xlfn.IFS(Lektionen[[#This Row],[Bearbeitungsdauer_abgewichen]]&gt;0.6,"viel länger",Lektionen[[#This Row],[Bearbeitungsdauer_abgewichen]]&gt;0.3,"länger",Lektionen[[#This Row],[Bearbeitungsdauer_abgewichen]]&lt;-0.3,"kürzer",TRUE,"keine Abweichung")</f>
        <v>keine Abweichung</v>
      </c>
      <c r="I3860">
        <v>2</v>
      </c>
    </row>
    <row r="3861" spans="1:9" hidden="1" x14ac:dyDescent="0.3">
      <c r="A3861" s="13">
        <v>596</v>
      </c>
      <c r="B3861" s="4">
        <v>4</v>
      </c>
      <c r="C3861" t="s">
        <v>531</v>
      </c>
      <c r="D3861" t="s">
        <v>530</v>
      </c>
      <c r="E3861">
        <v>30</v>
      </c>
      <c r="F3861">
        <v>28</v>
      </c>
      <c r="G3861" s="8">
        <f>Lektionen[[#This Row],[Bearbeitungsdauer_real]]/Lektionen[[#This Row],[Bearbeitungsdauer_geschätzt]]-1</f>
        <v>-6.6666666666666652E-2</v>
      </c>
      <c r="H3861" s="8" t="str" cm="1">
        <f t="array" ref="H3861">_xlfn.IFS(Lektionen[[#This Row],[Bearbeitungsdauer_abgewichen]]&gt;0.6,"viel länger",Lektionen[[#This Row],[Bearbeitungsdauer_abgewichen]]&gt;0.3,"länger",Lektionen[[#This Row],[Bearbeitungsdauer_abgewichen]]&lt;-0.3,"kürzer",TRUE,"keine Abweichung")</f>
        <v>keine Abweichung</v>
      </c>
      <c r="I3861">
        <v>2</v>
      </c>
    </row>
    <row r="3862" spans="1:9" x14ac:dyDescent="0.3">
      <c r="A3862" s="13">
        <v>596</v>
      </c>
      <c r="B3862" s="4">
        <v>5</v>
      </c>
      <c r="C3862" t="s">
        <v>532</v>
      </c>
      <c r="D3862" t="s">
        <v>530</v>
      </c>
      <c r="E3862">
        <v>30</v>
      </c>
      <c r="F3862">
        <v>34</v>
      </c>
      <c r="G3862" s="8">
        <f>Lektionen[[#This Row],[Bearbeitungsdauer_real]]/Lektionen[[#This Row],[Bearbeitungsdauer_geschätzt]]-1</f>
        <v>0.1333333333333333</v>
      </c>
      <c r="H3862" s="8" t="str" cm="1">
        <f t="array" ref="H3862">_xlfn.IFS(Lektionen[[#This Row],[Bearbeitungsdauer_abgewichen]]&gt;0.6,"viel länger",Lektionen[[#This Row],[Bearbeitungsdauer_abgewichen]]&gt;0.3,"länger",Lektionen[[#This Row],[Bearbeitungsdauer_abgewichen]]&lt;-0.3,"kürzer",TRUE,"keine Abweichung")</f>
        <v>keine Abweichung</v>
      </c>
      <c r="I3862">
        <v>5</v>
      </c>
    </row>
    <row r="3863" spans="1:9" hidden="1" x14ac:dyDescent="0.3">
      <c r="A3863" s="13">
        <v>596</v>
      </c>
      <c r="B3863" s="4">
        <v>6</v>
      </c>
      <c r="C3863" t="s">
        <v>533</v>
      </c>
      <c r="D3863" t="s">
        <v>534</v>
      </c>
      <c r="E3863">
        <v>5</v>
      </c>
      <c r="F3863">
        <v>3</v>
      </c>
      <c r="G3863" s="8">
        <f>Lektionen[[#This Row],[Bearbeitungsdauer_real]]/Lektionen[[#This Row],[Bearbeitungsdauer_geschätzt]]-1</f>
        <v>-0.4</v>
      </c>
      <c r="H3863" s="8" t="str" cm="1">
        <f t="array" ref="H3863">_xlfn.IFS(Lektionen[[#This Row],[Bearbeitungsdauer_abgewichen]]&gt;0.6,"viel länger",Lektionen[[#This Row],[Bearbeitungsdauer_abgewichen]]&gt;0.3,"länger",Lektionen[[#This Row],[Bearbeitungsdauer_abgewichen]]&lt;-0.3,"kürzer",TRUE,"keine Abweichung")</f>
        <v>kürzer</v>
      </c>
      <c r="I3863">
        <v>2</v>
      </c>
    </row>
    <row r="3864" spans="1:9" hidden="1" x14ac:dyDescent="0.3">
      <c r="A3864" s="13">
        <v>596</v>
      </c>
      <c r="B3864" s="4">
        <v>7</v>
      </c>
      <c r="C3864" t="s">
        <v>535</v>
      </c>
      <c r="D3864" t="s">
        <v>536</v>
      </c>
      <c r="E3864">
        <v>10</v>
      </c>
      <c r="F3864">
        <v>8</v>
      </c>
      <c r="G3864" s="8">
        <f>Lektionen[[#This Row],[Bearbeitungsdauer_real]]/Lektionen[[#This Row],[Bearbeitungsdauer_geschätzt]]-1</f>
        <v>-0.19999999999999996</v>
      </c>
      <c r="H3864" s="8" t="str" cm="1">
        <f t="array" ref="H3864">_xlfn.IFS(Lektionen[[#This Row],[Bearbeitungsdauer_abgewichen]]&gt;0.6,"viel länger",Lektionen[[#This Row],[Bearbeitungsdauer_abgewichen]]&gt;0.3,"länger",Lektionen[[#This Row],[Bearbeitungsdauer_abgewichen]]&lt;-0.3,"kürzer",TRUE,"keine Abweichung")</f>
        <v>keine Abweichung</v>
      </c>
      <c r="I3864">
        <v>3</v>
      </c>
    </row>
    <row r="3865" spans="1:9" hidden="1" x14ac:dyDescent="0.3">
      <c r="A3865" s="13">
        <v>596</v>
      </c>
      <c r="B3865" s="4">
        <v>8</v>
      </c>
      <c r="C3865" t="s">
        <v>537</v>
      </c>
      <c r="D3865" t="s">
        <v>527</v>
      </c>
      <c r="E3865">
        <v>5</v>
      </c>
      <c r="F3865">
        <v>8</v>
      </c>
      <c r="G3865" s="8">
        <f>Lektionen[[#This Row],[Bearbeitungsdauer_real]]/Lektionen[[#This Row],[Bearbeitungsdauer_geschätzt]]-1</f>
        <v>0.60000000000000009</v>
      </c>
      <c r="H3865" s="8" t="str" cm="1">
        <f t="array" ref="H3865">_xlfn.IFS(Lektionen[[#This Row],[Bearbeitungsdauer_abgewichen]]&gt;0.6,"viel länger",Lektionen[[#This Row],[Bearbeitungsdauer_abgewichen]]&gt;0.3,"länger",Lektionen[[#This Row],[Bearbeitungsdauer_abgewichen]]&lt;-0.3,"kürzer",TRUE,"keine Abweichung")</f>
        <v>länger</v>
      </c>
      <c r="I3865">
        <v>1</v>
      </c>
    </row>
    <row r="3866" spans="1:9" hidden="1" x14ac:dyDescent="0.3">
      <c r="A3866" s="13">
        <v>597</v>
      </c>
      <c r="B3866" s="4">
        <v>1</v>
      </c>
      <c r="C3866" t="s">
        <v>526</v>
      </c>
      <c r="D3866" t="s">
        <v>527</v>
      </c>
      <c r="E3866">
        <v>4</v>
      </c>
      <c r="F3866">
        <v>4</v>
      </c>
      <c r="G3866" s="8">
        <f>Lektionen[[#This Row],[Bearbeitungsdauer_real]]/Lektionen[[#This Row],[Bearbeitungsdauer_geschätzt]]-1</f>
        <v>0</v>
      </c>
      <c r="H3866" s="8" t="str" cm="1">
        <f t="array" ref="H3866">_xlfn.IFS(Lektionen[[#This Row],[Bearbeitungsdauer_abgewichen]]&gt;0.6,"viel länger",Lektionen[[#This Row],[Bearbeitungsdauer_abgewichen]]&gt;0.3,"länger",Lektionen[[#This Row],[Bearbeitungsdauer_abgewichen]]&lt;-0.3,"kürzer",TRUE,"keine Abweichung")</f>
        <v>keine Abweichung</v>
      </c>
      <c r="I3866">
        <v>1</v>
      </c>
    </row>
    <row r="3867" spans="1:9" hidden="1" x14ac:dyDescent="0.3">
      <c r="A3867" s="13">
        <v>597</v>
      </c>
      <c r="B3867" s="4">
        <v>2</v>
      </c>
      <c r="C3867" t="s">
        <v>528</v>
      </c>
      <c r="D3867" t="s">
        <v>529</v>
      </c>
      <c r="E3867">
        <v>15</v>
      </c>
      <c r="F3867">
        <v>15</v>
      </c>
      <c r="G3867" s="8">
        <f>Lektionen[[#This Row],[Bearbeitungsdauer_real]]/Lektionen[[#This Row],[Bearbeitungsdauer_geschätzt]]-1</f>
        <v>0</v>
      </c>
      <c r="H3867" s="8" t="str" cm="1">
        <f t="array" ref="H3867">_xlfn.IFS(Lektionen[[#This Row],[Bearbeitungsdauer_abgewichen]]&gt;0.6,"viel länger",Lektionen[[#This Row],[Bearbeitungsdauer_abgewichen]]&gt;0.3,"länger",Lektionen[[#This Row],[Bearbeitungsdauer_abgewichen]]&lt;-0.3,"kürzer",TRUE,"keine Abweichung")</f>
        <v>keine Abweichung</v>
      </c>
      <c r="I3867">
        <v>1</v>
      </c>
    </row>
    <row r="3868" spans="1:9" hidden="1" x14ac:dyDescent="0.3">
      <c r="A3868" s="13">
        <v>597</v>
      </c>
      <c r="B3868" s="4">
        <v>3</v>
      </c>
      <c r="C3868" t="s">
        <v>552</v>
      </c>
      <c r="D3868" t="s">
        <v>530</v>
      </c>
      <c r="E3868">
        <v>30</v>
      </c>
      <c r="F3868">
        <v>31</v>
      </c>
      <c r="G3868" s="8">
        <f>Lektionen[[#This Row],[Bearbeitungsdauer_real]]/Lektionen[[#This Row],[Bearbeitungsdauer_geschätzt]]-1</f>
        <v>3.3333333333333437E-2</v>
      </c>
      <c r="H3868" s="8" t="str" cm="1">
        <f t="array" ref="H3868">_xlfn.IFS(Lektionen[[#This Row],[Bearbeitungsdauer_abgewichen]]&gt;0.6,"viel länger",Lektionen[[#This Row],[Bearbeitungsdauer_abgewichen]]&gt;0.3,"länger",Lektionen[[#This Row],[Bearbeitungsdauer_abgewichen]]&lt;-0.3,"kürzer",TRUE,"keine Abweichung")</f>
        <v>keine Abweichung</v>
      </c>
      <c r="I3868">
        <v>4</v>
      </c>
    </row>
    <row r="3869" spans="1:9" hidden="1" x14ac:dyDescent="0.3">
      <c r="A3869" s="13">
        <v>597</v>
      </c>
      <c r="B3869" s="4">
        <v>4</v>
      </c>
      <c r="C3869" t="s">
        <v>531</v>
      </c>
      <c r="D3869" t="s">
        <v>530</v>
      </c>
      <c r="E3869">
        <v>30</v>
      </c>
      <c r="F3869">
        <v>20</v>
      </c>
      <c r="G3869" s="8">
        <f>Lektionen[[#This Row],[Bearbeitungsdauer_real]]/Lektionen[[#This Row],[Bearbeitungsdauer_geschätzt]]-1</f>
        <v>-0.33333333333333337</v>
      </c>
      <c r="H3869" s="8" t="str" cm="1">
        <f t="array" ref="H3869">_xlfn.IFS(Lektionen[[#This Row],[Bearbeitungsdauer_abgewichen]]&gt;0.6,"viel länger",Lektionen[[#This Row],[Bearbeitungsdauer_abgewichen]]&gt;0.3,"länger",Lektionen[[#This Row],[Bearbeitungsdauer_abgewichen]]&lt;-0.3,"kürzer",TRUE,"keine Abweichung")</f>
        <v>kürzer</v>
      </c>
      <c r="I3869">
        <v>2</v>
      </c>
    </row>
    <row r="3870" spans="1:9" x14ac:dyDescent="0.3">
      <c r="A3870" s="13">
        <v>597</v>
      </c>
      <c r="B3870" s="4">
        <v>5</v>
      </c>
      <c r="C3870" t="s">
        <v>532</v>
      </c>
      <c r="D3870" t="s">
        <v>530</v>
      </c>
      <c r="E3870">
        <v>30</v>
      </c>
      <c r="F3870">
        <v>51</v>
      </c>
      <c r="G3870" s="8">
        <f>Lektionen[[#This Row],[Bearbeitungsdauer_real]]/Lektionen[[#This Row],[Bearbeitungsdauer_geschätzt]]-1</f>
        <v>0.7</v>
      </c>
      <c r="H3870" s="8" t="str" cm="1">
        <f t="array" ref="H3870">_xlfn.IFS(Lektionen[[#This Row],[Bearbeitungsdauer_abgewichen]]&gt;0.6,"viel länger",Lektionen[[#This Row],[Bearbeitungsdauer_abgewichen]]&gt;0.3,"länger",Lektionen[[#This Row],[Bearbeitungsdauer_abgewichen]]&lt;-0.3,"kürzer",TRUE,"keine Abweichung")</f>
        <v>viel länger</v>
      </c>
      <c r="I3870">
        <v>4</v>
      </c>
    </row>
    <row r="3871" spans="1:9" hidden="1" x14ac:dyDescent="0.3">
      <c r="A3871" s="13">
        <v>597</v>
      </c>
      <c r="B3871" s="4">
        <v>6</v>
      </c>
      <c r="C3871" t="s">
        <v>533</v>
      </c>
      <c r="D3871" t="s">
        <v>534</v>
      </c>
      <c r="E3871">
        <v>5</v>
      </c>
      <c r="F3871">
        <v>2</v>
      </c>
      <c r="G3871" s="8">
        <f>Lektionen[[#This Row],[Bearbeitungsdauer_real]]/Lektionen[[#This Row],[Bearbeitungsdauer_geschätzt]]-1</f>
        <v>-0.6</v>
      </c>
      <c r="H3871" s="8" t="str" cm="1">
        <f t="array" ref="H3871">_xlfn.IFS(Lektionen[[#This Row],[Bearbeitungsdauer_abgewichen]]&gt;0.6,"viel länger",Lektionen[[#This Row],[Bearbeitungsdauer_abgewichen]]&gt;0.3,"länger",Lektionen[[#This Row],[Bearbeitungsdauer_abgewichen]]&lt;-0.3,"kürzer",TRUE,"keine Abweichung")</f>
        <v>kürzer</v>
      </c>
      <c r="I3871">
        <v>2</v>
      </c>
    </row>
    <row r="3872" spans="1:9" hidden="1" x14ac:dyDescent="0.3">
      <c r="A3872" s="13">
        <v>597</v>
      </c>
      <c r="B3872" s="4">
        <v>7</v>
      </c>
      <c r="C3872" t="s">
        <v>535</v>
      </c>
      <c r="D3872" t="s">
        <v>536</v>
      </c>
      <c r="E3872">
        <v>10</v>
      </c>
      <c r="F3872">
        <v>9</v>
      </c>
      <c r="G3872" s="8">
        <f>Lektionen[[#This Row],[Bearbeitungsdauer_real]]/Lektionen[[#This Row],[Bearbeitungsdauer_geschätzt]]-1</f>
        <v>-9.9999999999999978E-2</v>
      </c>
      <c r="H3872" s="8" t="str" cm="1">
        <f t="array" ref="H3872">_xlfn.IFS(Lektionen[[#This Row],[Bearbeitungsdauer_abgewichen]]&gt;0.6,"viel länger",Lektionen[[#This Row],[Bearbeitungsdauer_abgewichen]]&gt;0.3,"länger",Lektionen[[#This Row],[Bearbeitungsdauer_abgewichen]]&lt;-0.3,"kürzer",TRUE,"keine Abweichung")</f>
        <v>keine Abweichung</v>
      </c>
      <c r="I3872">
        <v>3</v>
      </c>
    </row>
    <row r="3873" spans="1:9" hidden="1" x14ac:dyDescent="0.3">
      <c r="A3873" s="13">
        <v>597</v>
      </c>
      <c r="B3873" s="4">
        <v>8</v>
      </c>
      <c r="C3873" t="s">
        <v>537</v>
      </c>
      <c r="D3873" t="s">
        <v>527</v>
      </c>
      <c r="E3873">
        <v>5</v>
      </c>
      <c r="F3873">
        <v>7</v>
      </c>
      <c r="G3873" s="8">
        <f>Lektionen[[#This Row],[Bearbeitungsdauer_real]]/Lektionen[[#This Row],[Bearbeitungsdauer_geschätzt]]-1</f>
        <v>0.39999999999999991</v>
      </c>
      <c r="H3873" s="8" t="str" cm="1">
        <f t="array" ref="H3873">_xlfn.IFS(Lektionen[[#This Row],[Bearbeitungsdauer_abgewichen]]&gt;0.6,"viel länger",Lektionen[[#This Row],[Bearbeitungsdauer_abgewichen]]&gt;0.3,"länger",Lektionen[[#This Row],[Bearbeitungsdauer_abgewichen]]&lt;-0.3,"kürzer",TRUE,"keine Abweichung")</f>
        <v>länger</v>
      </c>
      <c r="I3873">
        <v>1</v>
      </c>
    </row>
    <row r="3874" spans="1:9" hidden="1" x14ac:dyDescent="0.3">
      <c r="A3874" s="13">
        <v>598</v>
      </c>
      <c r="B3874" s="4">
        <v>1</v>
      </c>
      <c r="C3874" t="s">
        <v>526</v>
      </c>
      <c r="D3874" t="s">
        <v>527</v>
      </c>
      <c r="E3874">
        <v>4</v>
      </c>
      <c r="F3874">
        <v>4</v>
      </c>
      <c r="G3874" s="8">
        <f>Lektionen[[#This Row],[Bearbeitungsdauer_real]]/Lektionen[[#This Row],[Bearbeitungsdauer_geschätzt]]-1</f>
        <v>0</v>
      </c>
      <c r="H3874" s="8" t="str" cm="1">
        <f t="array" ref="H3874">_xlfn.IFS(Lektionen[[#This Row],[Bearbeitungsdauer_abgewichen]]&gt;0.6,"viel länger",Lektionen[[#This Row],[Bearbeitungsdauer_abgewichen]]&gt;0.3,"länger",Lektionen[[#This Row],[Bearbeitungsdauer_abgewichen]]&lt;-0.3,"kürzer",TRUE,"keine Abweichung")</f>
        <v>keine Abweichung</v>
      </c>
      <c r="I3874">
        <v>1</v>
      </c>
    </row>
    <row r="3875" spans="1:9" hidden="1" x14ac:dyDescent="0.3">
      <c r="A3875" s="13">
        <v>598</v>
      </c>
      <c r="B3875" s="4">
        <v>2</v>
      </c>
      <c r="C3875" t="s">
        <v>528</v>
      </c>
      <c r="D3875" t="s">
        <v>529</v>
      </c>
      <c r="E3875">
        <v>15</v>
      </c>
      <c r="F3875">
        <v>18</v>
      </c>
      <c r="G3875" s="8">
        <f>Lektionen[[#This Row],[Bearbeitungsdauer_real]]/Lektionen[[#This Row],[Bearbeitungsdauer_geschätzt]]-1</f>
        <v>0.19999999999999996</v>
      </c>
      <c r="H3875" s="8" t="str" cm="1">
        <f t="array" ref="H3875">_xlfn.IFS(Lektionen[[#This Row],[Bearbeitungsdauer_abgewichen]]&gt;0.6,"viel länger",Lektionen[[#This Row],[Bearbeitungsdauer_abgewichen]]&gt;0.3,"länger",Lektionen[[#This Row],[Bearbeitungsdauer_abgewichen]]&lt;-0.3,"kürzer",TRUE,"keine Abweichung")</f>
        <v>keine Abweichung</v>
      </c>
      <c r="I3875">
        <v>1</v>
      </c>
    </row>
    <row r="3876" spans="1:9" hidden="1" x14ac:dyDescent="0.3">
      <c r="A3876" s="13">
        <v>598</v>
      </c>
      <c r="B3876" s="4">
        <v>3</v>
      </c>
      <c r="C3876" t="s">
        <v>552</v>
      </c>
      <c r="D3876" t="s">
        <v>530</v>
      </c>
      <c r="E3876">
        <v>30</v>
      </c>
      <c r="F3876">
        <v>28</v>
      </c>
      <c r="G3876" s="8">
        <f>Lektionen[[#This Row],[Bearbeitungsdauer_real]]/Lektionen[[#This Row],[Bearbeitungsdauer_geschätzt]]-1</f>
        <v>-6.6666666666666652E-2</v>
      </c>
      <c r="H3876" s="8" t="str" cm="1">
        <f t="array" ref="H3876">_xlfn.IFS(Lektionen[[#This Row],[Bearbeitungsdauer_abgewichen]]&gt;0.6,"viel länger",Lektionen[[#This Row],[Bearbeitungsdauer_abgewichen]]&gt;0.3,"länger",Lektionen[[#This Row],[Bearbeitungsdauer_abgewichen]]&lt;-0.3,"kürzer",TRUE,"keine Abweichung")</f>
        <v>keine Abweichung</v>
      </c>
      <c r="I3876">
        <v>3</v>
      </c>
    </row>
    <row r="3877" spans="1:9" hidden="1" x14ac:dyDescent="0.3">
      <c r="A3877" s="13">
        <v>598</v>
      </c>
      <c r="B3877" s="4">
        <v>4</v>
      </c>
      <c r="C3877" t="s">
        <v>531</v>
      </c>
      <c r="D3877" t="s">
        <v>530</v>
      </c>
      <c r="E3877">
        <v>30</v>
      </c>
      <c r="F3877">
        <v>32</v>
      </c>
      <c r="G3877" s="8">
        <f>Lektionen[[#This Row],[Bearbeitungsdauer_real]]/Lektionen[[#This Row],[Bearbeitungsdauer_geschätzt]]-1</f>
        <v>6.6666666666666652E-2</v>
      </c>
      <c r="H3877" s="8" t="str" cm="1">
        <f t="array" ref="H3877">_xlfn.IFS(Lektionen[[#This Row],[Bearbeitungsdauer_abgewichen]]&gt;0.6,"viel länger",Lektionen[[#This Row],[Bearbeitungsdauer_abgewichen]]&gt;0.3,"länger",Lektionen[[#This Row],[Bearbeitungsdauer_abgewichen]]&lt;-0.3,"kürzer",TRUE,"keine Abweichung")</f>
        <v>keine Abweichung</v>
      </c>
      <c r="I3877">
        <v>3</v>
      </c>
    </row>
    <row r="3878" spans="1:9" x14ac:dyDescent="0.3">
      <c r="A3878" s="13">
        <v>598</v>
      </c>
      <c r="B3878" s="4">
        <v>5</v>
      </c>
      <c r="C3878" t="s">
        <v>532</v>
      </c>
      <c r="D3878" t="s">
        <v>530</v>
      </c>
      <c r="E3878">
        <v>30</v>
      </c>
      <c r="F3878">
        <v>46</v>
      </c>
      <c r="G3878" s="8">
        <f>Lektionen[[#This Row],[Bearbeitungsdauer_real]]/Lektionen[[#This Row],[Bearbeitungsdauer_geschätzt]]-1</f>
        <v>0.53333333333333344</v>
      </c>
      <c r="H3878" s="8" t="str" cm="1">
        <f t="array" ref="H3878">_xlfn.IFS(Lektionen[[#This Row],[Bearbeitungsdauer_abgewichen]]&gt;0.6,"viel länger",Lektionen[[#This Row],[Bearbeitungsdauer_abgewichen]]&gt;0.3,"länger",Lektionen[[#This Row],[Bearbeitungsdauer_abgewichen]]&lt;-0.3,"kürzer",TRUE,"keine Abweichung")</f>
        <v>länger</v>
      </c>
      <c r="I3878">
        <v>4</v>
      </c>
    </row>
    <row r="3879" spans="1:9" hidden="1" x14ac:dyDescent="0.3">
      <c r="A3879" s="13">
        <v>598</v>
      </c>
      <c r="B3879" s="4">
        <v>6</v>
      </c>
      <c r="C3879" t="s">
        <v>533</v>
      </c>
      <c r="D3879" t="s">
        <v>534</v>
      </c>
      <c r="E3879">
        <v>5</v>
      </c>
      <c r="F3879">
        <v>1</v>
      </c>
      <c r="G3879" s="8">
        <f>Lektionen[[#This Row],[Bearbeitungsdauer_real]]/Lektionen[[#This Row],[Bearbeitungsdauer_geschätzt]]-1</f>
        <v>-0.8</v>
      </c>
      <c r="H3879" s="8" t="str" cm="1">
        <f t="array" ref="H3879">_xlfn.IFS(Lektionen[[#This Row],[Bearbeitungsdauer_abgewichen]]&gt;0.6,"viel länger",Lektionen[[#This Row],[Bearbeitungsdauer_abgewichen]]&gt;0.3,"länger",Lektionen[[#This Row],[Bearbeitungsdauer_abgewichen]]&lt;-0.3,"kürzer",TRUE,"keine Abweichung")</f>
        <v>kürzer</v>
      </c>
      <c r="I3879">
        <v>2</v>
      </c>
    </row>
    <row r="3880" spans="1:9" hidden="1" x14ac:dyDescent="0.3">
      <c r="A3880" s="13">
        <v>598</v>
      </c>
      <c r="B3880" s="4">
        <v>7</v>
      </c>
      <c r="C3880" t="s">
        <v>535</v>
      </c>
      <c r="D3880" t="s">
        <v>536</v>
      </c>
      <c r="E3880">
        <v>10</v>
      </c>
      <c r="F3880">
        <v>9</v>
      </c>
      <c r="G3880" s="8">
        <f>Lektionen[[#This Row],[Bearbeitungsdauer_real]]/Lektionen[[#This Row],[Bearbeitungsdauer_geschätzt]]-1</f>
        <v>-9.9999999999999978E-2</v>
      </c>
      <c r="H3880" s="8" t="str" cm="1">
        <f t="array" ref="H3880">_xlfn.IFS(Lektionen[[#This Row],[Bearbeitungsdauer_abgewichen]]&gt;0.6,"viel länger",Lektionen[[#This Row],[Bearbeitungsdauer_abgewichen]]&gt;0.3,"länger",Lektionen[[#This Row],[Bearbeitungsdauer_abgewichen]]&lt;-0.3,"kürzer",TRUE,"keine Abweichung")</f>
        <v>keine Abweichung</v>
      </c>
      <c r="I3880">
        <v>4</v>
      </c>
    </row>
    <row r="3881" spans="1:9" hidden="1" x14ac:dyDescent="0.3">
      <c r="A3881" s="13">
        <v>598</v>
      </c>
      <c r="B3881" s="4">
        <v>8</v>
      </c>
      <c r="C3881" t="s">
        <v>537</v>
      </c>
      <c r="D3881" t="s">
        <v>527</v>
      </c>
      <c r="E3881">
        <v>5</v>
      </c>
      <c r="F3881">
        <v>5</v>
      </c>
      <c r="G3881" s="8">
        <f>Lektionen[[#This Row],[Bearbeitungsdauer_real]]/Lektionen[[#This Row],[Bearbeitungsdauer_geschätzt]]-1</f>
        <v>0</v>
      </c>
      <c r="H3881" s="8" t="str" cm="1">
        <f t="array" ref="H3881">_xlfn.IFS(Lektionen[[#This Row],[Bearbeitungsdauer_abgewichen]]&gt;0.6,"viel länger",Lektionen[[#This Row],[Bearbeitungsdauer_abgewichen]]&gt;0.3,"länger",Lektionen[[#This Row],[Bearbeitungsdauer_abgewichen]]&lt;-0.3,"kürzer",TRUE,"keine Abweichung")</f>
        <v>keine Abweichung</v>
      </c>
      <c r="I3881">
        <v>1</v>
      </c>
    </row>
    <row r="3882" spans="1:9" hidden="1" x14ac:dyDescent="0.3">
      <c r="A3882" s="13">
        <v>599</v>
      </c>
      <c r="B3882" s="4">
        <v>1</v>
      </c>
      <c r="C3882" t="s">
        <v>526</v>
      </c>
      <c r="D3882" t="s">
        <v>527</v>
      </c>
      <c r="E3882">
        <v>4</v>
      </c>
      <c r="F3882">
        <v>4</v>
      </c>
      <c r="G3882" s="8">
        <f>Lektionen[[#This Row],[Bearbeitungsdauer_real]]/Lektionen[[#This Row],[Bearbeitungsdauer_geschätzt]]-1</f>
        <v>0</v>
      </c>
      <c r="H3882" s="8" t="str" cm="1">
        <f t="array" ref="H3882">_xlfn.IFS(Lektionen[[#This Row],[Bearbeitungsdauer_abgewichen]]&gt;0.6,"viel länger",Lektionen[[#This Row],[Bearbeitungsdauer_abgewichen]]&gt;0.3,"länger",Lektionen[[#This Row],[Bearbeitungsdauer_abgewichen]]&lt;-0.3,"kürzer",TRUE,"keine Abweichung")</f>
        <v>keine Abweichung</v>
      </c>
      <c r="I3882">
        <v>1</v>
      </c>
    </row>
    <row r="3883" spans="1:9" hidden="1" x14ac:dyDescent="0.3">
      <c r="A3883" s="13">
        <v>599</v>
      </c>
      <c r="B3883" s="4">
        <v>2</v>
      </c>
      <c r="C3883" t="s">
        <v>528</v>
      </c>
      <c r="D3883" t="s">
        <v>529</v>
      </c>
      <c r="E3883">
        <v>15</v>
      </c>
      <c r="F3883">
        <v>15</v>
      </c>
      <c r="G3883" s="8">
        <f>Lektionen[[#This Row],[Bearbeitungsdauer_real]]/Lektionen[[#This Row],[Bearbeitungsdauer_geschätzt]]-1</f>
        <v>0</v>
      </c>
      <c r="H3883" s="8" t="str" cm="1">
        <f t="array" ref="H3883">_xlfn.IFS(Lektionen[[#This Row],[Bearbeitungsdauer_abgewichen]]&gt;0.6,"viel länger",Lektionen[[#This Row],[Bearbeitungsdauer_abgewichen]]&gt;0.3,"länger",Lektionen[[#This Row],[Bearbeitungsdauer_abgewichen]]&lt;-0.3,"kürzer",TRUE,"keine Abweichung")</f>
        <v>keine Abweichung</v>
      </c>
      <c r="I3883">
        <v>1</v>
      </c>
    </row>
    <row r="3884" spans="1:9" hidden="1" x14ac:dyDescent="0.3">
      <c r="A3884" s="13">
        <v>599</v>
      </c>
      <c r="B3884" s="4">
        <v>3</v>
      </c>
      <c r="C3884" t="s">
        <v>552</v>
      </c>
      <c r="D3884" t="s">
        <v>530</v>
      </c>
      <c r="E3884">
        <v>30</v>
      </c>
      <c r="F3884">
        <v>28</v>
      </c>
      <c r="G3884" s="8">
        <f>Lektionen[[#This Row],[Bearbeitungsdauer_real]]/Lektionen[[#This Row],[Bearbeitungsdauer_geschätzt]]-1</f>
        <v>-6.6666666666666652E-2</v>
      </c>
      <c r="H3884" s="8" t="str" cm="1">
        <f t="array" ref="H3884">_xlfn.IFS(Lektionen[[#This Row],[Bearbeitungsdauer_abgewichen]]&gt;0.6,"viel länger",Lektionen[[#This Row],[Bearbeitungsdauer_abgewichen]]&gt;0.3,"länger",Lektionen[[#This Row],[Bearbeitungsdauer_abgewichen]]&lt;-0.3,"kürzer",TRUE,"keine Abweichung")</f>
        <v>keine Abweichung</v>
      </c>
      <c r="I3884">
        <v>2</v>
      </c>
    </row>
    <row r="3885" spans="1:9" hidden="1" x14ac:dyDescent="0.3">
      <c r="A3885" s="13">
        <v>599</v>
      </c>
      <c r="B3885" s="4">
        <v>4</v>
      </c>
      <c r="C3885" t="s">
        <v>531</v>
      </c>
      <c r="D3885" t="s">
        <v>530</v>
      </c>
      <c r="E3885">
        <v>30</v>
      </c>
      <c r="F3885">
        <v>27</v>
      </c>
      <c r="G3885" s="8">
        <f>Lektionen[[#This Row],[Bearbeitungsdauer_real]]/Lektionen[[#This Row],[Bearbeitungsdauer_geschätzt]]-1</f>
        <v>-9.9999999999999978E-2</v>
      </c>
      <c r="H3885" s="8" t="str" cm="1">
        <f t="array" ref="H3885">_xlfn.IFS(Lektionen[[#This Row],[Bearbeitungsdauer_abgewichen]]&gt;0.6,"viel länger",Lektionen[[#This Row],[Bearbeitungsdauer_abgewichen]]&gt;0.3,"länger",Lektionen[[#This Row],[Bearbeitungsdauer_abgewichen]]&lt;-0.3,"kürzer",TRUE,"keine Abweichung")</f>
        <v>keine Abweichung</v>
      </c>
      <c r="I3885">
        <v>3</v>
      </c>
    </row>
    <row r="3886" spans="1:9" x14ac:dyDescent="0.3">
      <c r="A3886" s="13">
        <v>599</v>
      </c>
      <c r="B3886" s="4">
        <v>5</v>
      </c>
      <c r="C3886" t="s">
        <v>532</v>
      </c>
      <c r="D3886" t="s">
        <v>530</v>
      </c>
      <c r="E3886">
        <v>30</v>
      </c>
      <c r="F3886">
        <v>47</v>
      </c>
      <c r="G3886" s="8">
        <f>Lektionen[[#This Row],[Bearbeitungsdauer_real]]/Lektionen[[#This Row],[Bearbeitungsdauer_geschätzt]]-1</f>
        <v>0.56666666666666665</v>
      </c>
      <c r="H3886" s="8" t="str" cm="1">
        <f t="array" ref="H3886">_xlfn.IFS(Lektionen[[#This Row],[Bearbeitungsdauer_abgewichen]]&gt;0.6,"viel länger",Lektionen[[#This Row],[Bearbeitungsdauer_abgewichen]]&gt;0.3,"länger",Lektionen[[#This Row],[Bearbeitungsdauer_abgewichen]]&lt;-0.3,"kürzer",TRUE,"keine Abweichung")</f>
        <v>länger</v>
      </c>
      <c r="I3886">
        <v>4</v>
      </c>
    </row>
    <row r="3887" spans="1:9" hidden="1" x14ac:dyDescent="0.3">
      <c r="A3887" s="13">
        <v>599</v>
      </c>
      <c r="B3887" s="4">
        <v>6</v>
      </c>
      <c r="C3887" t="s">
        <v>533</v>
      </c>
      <c r="D3887" t="s">
        <v>534</v>
      </c>
      <c r="E3887">
        <v>5</v>
      </c>
      <c r="F3887">
        <v>2</v>
      </c>
      <c r="G3887" s="8">
        <f>Lektionen[[#This Row],[Bearbeitungsdauer_real]]/Lektionen[[#This Row],[Bearbeitungsdauer_geschätzt]]-1</f>
        <v>-0.6</v>
      </c>
      <c r="H3887" s="8" t="str" cm="1">
        <f t="array" ref="H3887">_xlfn.IFS(Lektionen[[#This Row],[Bearbeitungsdauer_abgewichen]]&gt;0.6,"viel länger",Lektionen[[#This Row],[Bearbeitungsdauer_abgewichen]]&gt;0.3,"länger",Lektionen[[#This Row],[Bearbeitungsdauer_abgewichen]]&lt;-0.3,"kürzer",TRUE,"keine Abweichung")</f>
        <v>kürzer</v>
      </c>
      <c r="I3887">
        <v>2</v>
      </c>
    </row>
    <row r="3888" spans="1:9" hidden="1" x14ac:dyDescent="0.3">
      <c r="A3888" s="13">
        <v>599</v>
      </c>
      <c r="B3888" s="4">
        <v>7</v>
      </c>
      <c r="C3888" t="s">
        <v>535</v>
      </c>
      <c r="D3888" t="s">
        <v>536</v>
      </c>
      <c r="E3888">
        <v>10</v>
      </c>
      <c r="F3888">
        <v>8</v>
      </c>
      <c r="G3888" s="8">
        <f>Lektionen[[#This Row],[Bearbeitungsdauer_real]]/Lektionen[[#This Row],[Bearbeitungsdauer_geschätzt]]-1</f>
        <v>-0.19999999999999996</v>
      </c>
      <c r="H3888" s="8" t="str" cm="1">
        <f t="array" ref="H3888">_xlfn.IFS(Lektionen[[#This Row],[Bearbeitungsdauer_abgewichen]]&gt;0.6,"viel länger",Lektionen[[#This Row],[Bearbeitungsdauer_abgewichen]]&gt;0.3,"länger",Lektionen[[#This Row],[Bearbeitungsdauer_abgewichen]]&lt;-0.3,"kürzer",TRUE,"keine Abweichung")</f>
        <v>keine Abweichung</v>
      </c>
      <c r="I3888">
        <v>3</v>
      </c>
    </row>
    <row r="3889" spans="1:9" hidden="1" x14ac:dyDescent="0.3">
      <c r="A3889" s="13">
        <v>599</v>
      </c>
      <c r="B3889" s="4">
        <v>8</v>
      </c>
      <c r="C3889" t="s">
        <v>537</v>
      </c>
      <c r="D3889" t="s">
        <v>527</v>
      </c>
      <c r="E3889">
        <v>5</v>
      </c>
      <c r="F3889">
        <v>6</v>
      </c>
      <c r="G3889" s="8">
        <f>Lektionen[[#This Row],[Bearbeitungsdauer_real]]/Lektionen[[#This Row],[Bearbeitungsdauer_geschätzt]]-1</f>
        <v>0.19999999999999996</v>
      </c>
      <c r="H3889" s="8" t="str" cm="1">
        <f t="array" ref="H3889">_xlfn.IFS(Lektionen[[#This Row],[Bearbeitungsdauer_abgewichen]]&gt;0.6,"viel länger",Lektionen[[#This Row],[Bearbeitungsdauer_abgewichen]]&gt;0.3,"länger",Lektionen[[#This Row],[Bearbeitungsdauer_abgewichen]]&lt;-0.3,"kürzer",TRUE,"keine Abweichung")</f>
        <v>keine Abweichung</v>
      </c>
      <c r="I3889">
        <v>1</v>
      </c>
    </row>
    <row r="3890" spans="1:9" hidden="1" x14ac:dyDescent="0.3">
      <c r="A3890" s="13">
        <v>600</v>
      </c>
      <c r="B3890" s="4">
        <v>1</v>
      </c>
      <c r="C3890" t="s">
        <v>526</v>
      </c>
      <c r="D3890" t="s">
        <v>527</v>
      </c>
      <c r="E3890">
        <v>4</v>
      </c>
      <c r="F3890">
        <v>4</v>
      </c>
      <c r="G3890" s="8">
        <f>Lektionen[[#This Row],[Bearbeitungsdauer_real]]/Lektionen[[#This Row],[Bearbeitungsdauer_geschätzt]]-1</f>
        <v>0</v>
      </c>
      <c r="H3890" s="8" t="str" cm="1">
        <f t="array" ref="H3890">_xlfn.IFS(Lektionen[[#This Row],[Bearbeitungsdauer_abgewichen]]&gt;0.6,"viel länger",Lektionen[[#This Row],[Bearbeitungsdauer_abgewichen]]&gt;0.3,"länger",Lektionen[[#This Row],[Bearbeitungsdauer_abgewichen]]&lt;-0.3,"kürzer",TRUE,"keine Abweichung")</f>
        <v>keine Abweichung</v>
      </c>
      <c r="I3890">
        <v>1</v>
      </c>
    </row>
    <row r="3891" spans="1:9" hidden="1" x14ac:dyDescent="0.3">
      <c r="A3891" s="13">
        <v>600</v>
      </c>
      <c r="B3891" s="4">
        <v>2</v>
      </c>
      <c r="C3891" t="s">
        <v>528</v>
      </c>
      <c r="D3891" t="s">
        <v>529</v>
      </c>
      <c r="E3891">
        <v>15</v>
      </c>
      <c r="F3891">
        <v>21</v>
      </c>
      <c r="G3891" s="8">
        <f>Lektionen[[#This Row],[Bearbeitungsdauer_real]]/Lektionen[[#This Row],[Bearbeitungsdauer_geschätzt]]-1</f>
        <v>0.39999999999999991</v>
      </c>
      <c r="H3891" s="8" t="str" cm="1">
        <f t="array" ref="H3891">_xlfn.IFS(Lektionen[[#This Row],[Bearbeitungsdauer_abgewichen]]&gt;0.6,"viel länger",Lektionen[[#This Row],[Bearbeitungsdauer_abgewichen]]&gt;0.3,"länger",Lektionen[[#This Row],[Bearbeitungsdauer_abgewichen]]&lt;-0.3,"kürzer",TRUE,"keine Abweichung")</f>
        <v>länger</v>
      </c>
      <c r="I3891">
        <v>1</v>
      </c>
    </row>
    <row r="3892" spans="1:9" hidden="1" x14ac:dyDescent="0.3">
      <c r="A3892" s="13">
        <v>600</v>
      </c>
      <c r="B3892" s="4">
        <v>3</v>
      </c>
      <c r="C3892" t="s">
        <v>552</v>
      </c>
      <c r="D3892" t="s">
        <v>530</v>
      </c>
      <c r="E3892">
        <v>30</v>
      </c>
      <c r="F3892">
        <v>27</v>
      </c>
      <c r="G3892" s="8">
        <f>Lektionen[[#This Row],[Bearbeitungsdauer_real]]/Lektionen[[#This Row],[Bearbeitungsdauer_geschätzt]]-1</f>
        <v>-9.9999999999999978E-2</v>
      </c>
      <c r="H3892" s="8" t="str" cm="1">
        <f t="array" ref="H3892">_xlfn.IFS(Lektionen[[#This Row],[Bearbeitungsdauer_abgewichen]]&gt;0.6,"viel länger",Lektionen[[#This Row],[Bearbeitungsdauer_abgewichen]]&gt;0.3,"länger",Lektionen[[#This Row],[Bearbeitungsdauer_abgewichen]]&lt;-0.3,"kürzer",TRUE,"keine Abweichung")</f>
        <v>keine Abweichung</v>
      </c>
      <c r="I3892">
        <v>3</v>
      </c>
    </row>
    <row r="3893" spans="1:9" hidden="1" x14ac:dyDescent="0.3">
      <c r="A3893" s="13">
        <v>600</v>
      </c>
      <c r="B3893" s="4">
        <v>4</v>
      </c>
      <c r="C3893" t="s">
        <v>531</v>
      </c>
      <c r="D3893" t="s">
        <v>530</v>
      </c>
      <c r="E3893">
        <v>30</v>
      </c>
      <c r="F3893">
        <v>24</v>
      </c>
      <c r="G3893" s="8">
        <f>Lektionen[[#This Row],[Bearbeitungsdauer_real]]/Lektionen[[#This Row],[Bearbeitungsdauer_geschätzt]]-1</f>
        <v>-0.19999999999999996</v>
      </c>
      <c r="H3893" s="8" t="str" cm="1">
        <f t="array" ref="H3893">_xlfn.IFS(Lektionen[[#This Row],[Bearbeitungsdauer_abgewichen]]&gt;0.6,"viel länger",Lektionen[[#This Row],[Bearbeitungsdauer_abgewichen]]&gt;0.3,"länger",Lektionen[[#This Row],[Bearbeitungsdauer_abgewichen]]&lt;-0.3,"kürzer",TRUE,"keine Abweichung")</f>
        <v>keine Abweichung</v>
      </c>
      <c r="I3893">
        <v>2</v>
      </c>
    </row>
    <row r="3894" spans="1:9" x14ac:dyDescent="0.3">
      <c r="A3894" s="13">
        <v>600</v>
      </c>
      <c r="B3894" s="4">
        <v>5</v>
      </c>
      <c r="C3894" t="s">
        <v>532</v>
      </c>
      <c r="D3894" t="s">
        <v>530</v>
      </c>
      <c r="E3894">
        <v>30</v>
      </c>
      <c r="F3894">
        <v>44</v>
      </c>
      <c r="G3894" s="8">
        <f>Lektionen[[#This Row],[Bearbeitungsdauer_real]]/Lektionen[[#This Row],[Bearbeitungsdauer_geschätzt]]-1</f>
        <v>0.46666666666666656</v>
      </c>
      <c r="H3894" s="8" t="str" cm="1">
        <f t="array" ref="H3894">_xlfn.IFS(Lektionen[[#This Row],[Bearbeitungsdauer_abgewichen]]&gt;0.6,"viel länger",Lektionen[[#This Row],[Bearbeitungsdauer_abgewichen]]&gt;0.3,"länger",Lektionen[[#This Row],[Bearbeitungsdauer_abgewichen]]&lt;-0.3,"kürzer",TRUE,"keine Abweichung")</f>
        <v>länger</v>
      </c>
      <c r="I3894">
        <v>5</v>
      </c>
    </row>
    <row r="3895" spans="1:9" hidden="1" x14ac:dyDescent="0.3">
      <c r="A3895" s="13">
        <v>600</v>
      </c>
      <c r="B3895" s="4">
        <v>6</v>
      </c>
      <c r="C3895" t="s">
        <v>533</v>
      </c>
      <c r="D3895" t="s">
        <v>534</v>
      </c>
      <c r="E3895">
        <v>5</v>
      </c>
      <c r="F3895">
        <v>3</v>
      </c>
      <c r="G3895" s="8">
        <f>Lektionen[[#This Row],[Bearbeitungsdauer_real]]/Lektionen[[#This Row],[Bearbeitungsdauer_geschätzt]]-1</f>
        <v>-0.4</v>
      </c>
      <c r="H3895" s="8" t="str" cm="1">
        <f t="array" ref="H3895">_xlfn.IFS(Lektionen[[#This Row],[Bearbeitungsdauer_abgewichen]]&gt;0.6,"viel länger",Lektionen[[#This Row],[Bearbeitungsdauer_abgewichen]]&gt;0.3,"länger",Lektionen[[#This Row],[Bearbeitungsdauer_abgewichen]]&lt;-0.3,"kürzer",TRUE,"keine Abweichung")</f>
        <v>kürzer</v>
      </c>
      <c r="I3895">
        <v>2</v>
      </c>
    </row>
    <row r="3896" spans="1:9" hidden="1" x14ac:dyDescent="0.3">
      <c r="A3896" s="13">
        <v>600</v>
      </c>
      <c r="B3896" s="4">
        <v>7</v>
      </c>
      <c r="C3896" t="s">
        <v>535</v>
      </c>
      <c r="D3896" t="s">
        <v>536</v>
      </c>
      <c r="E3896">
        <v>10</v>
      </c>
      <c r="F3896">
        <v>8</v>
      </c>
      <c r="G3896" s="8">
        <f>Lektionen[[#This Row],[Bearbeitungsdauer_real]]/Lektionen[[#This Row],[Bearbeitungsdauer_geschätzt]]-1</f>
        <v>-0.19999999999999996</v>
      </c>
      <c r="H3896" s="8" t="str" cm="1">
        <f t="array" ref="H3896">_xlfn.IFS(Lektionen[[#This Row],[Bearbeitungsdauer_abgewichen]]&gt;0.6,"viel länger",Lektionen[[#This Row],[Bearbeitungsdauer_abgewichen]]&gt;0.3,"länger",Lektionen[[#This Row],[Bearbeitungsdauer_abgewichen]]&lt;-0.3,"kürzer",TRUE,"keine Abweichung")</f>
        <v>keine Abweichung</v>
      </c>
      <c r="I3896">
        <v>3</v>
      </c>
    </row>
    <row r="3897" spans="1:9" hidden="1" x14ac:dyDescent="0.3">
      <c r="A3897" s="13">
        <v>600</v>
      </c>
      <c r="B3897" s="4">
        <v>8</v>
      </c>
      <c r="C3897" t="s">
        <v>537</v>
      </c>
      <c r="D3897" t="s">
        <v>527</v>
      </c>
      <c r="E3897">
        <v>5</v>
      </c>
      <c r="F3897">
        <v>5</v>
      </c>
      <c r="G3897" s="8">
        <f>Lektionen[[#This Row],[Bearbeitungsdauer_real]]/Lektionen[[#This Row],[Bearbeitungsdauer_geschätzt]]-1</f>
        <v>0</v>
      </c>
      <c r="H3897" s="8" t="str" cm="1">
        <f t="array" ref="H3897">_xlfn.IFS(Lektionen[[#This Row],[Bearbeitungsdauer_abgewichen]]&gt;0.6,"viel länger",Lektionen[[#This Row],[Bearbeitungsdauer_abgewichen]]&gt;0.3,"länger",Lektionen[[#This Row],[Bearbeitungsdauer_abgewichen]]&lt;-0.3,"kürzer",TRUE,"keine Abweichung")</f>
        <v>keine Abweichung</v>
      </c>
      <c r="I3897">
        <v>1</v>
      </c>
    </row>
  </sheetData>
  <conditionalFormatting sqref="G2:G3897">
    <cfRule type="cellIs" dxfId="2" priority="1" operator="lessThan">
      <formula>-0.3</formula>
    </cfRule>
    <cfRule type="cellIs" dxfId="1" priority="2" operator="greaterThan">
      <formula>0.6</formula>
    </cfRule>
    <cfRule type="cellIs" dxfId="0" priority="3" operator="greaterThan">
      <formula>0.3</formula>
    </cfRule>
  </conditionalFormatting>
  <pageMargins left="0.7" right="0.7" top="0.78740157499999996" bottom="0.78740157499999996"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95D9-CED3-445A-B414-396ED5F63EA2}">
  <dimension ref="A1:G16"/>
  <sheetViews>
    <sheetView workbookViewId="0">
      <selection activeCell="C6" sqref="C6:D6"/>
    </sheetView>
  </sheetViews>
  <sheetFormatPr baseColWidth="10" defaultColWidth="11.44140625" defaultRowHeight="14.4" x14ac:dyDescent="0.3"/>
  <cols>
    <col min="1" max="1" width="21.5546875" bestFit="1" customWidth="1"/>
    <col min="2" max="2" width="33.44140625" bestFit="1" customWidth="1"/>
    <col min="3" max="3" width="18.5546875" customWidth="1"/>
    <col min="4" max="4" width="17.33203125" customWidth="1"/>
  </cols>
  <sheetData>
    <row r="1" spans="1:7" x14ac:dyDescent="0.3">
      <c r="A1" s="5"/>
      <c r="B1" s="5" t="s">
        <v>538</v>
      </c>
      <c r="C1" s="5" t="s">
        <v>542</v>
      </c>
    </row>
    <row r="2" spans="1:7" x14ac:dyDescent="0.3">
      <c r="A2" s="5" t="s">
        <v>543</v>
      </c>
      <c r="B2">
        <f>COUNTIF(Trainingsabschluss[Quizergebnis_Prozent],"&gt;=0,5")</f>
        <v>447</v>
      </c>
      <c r="C2" s="6">
        <f>COUNTIF(Trainingsabschluss[Quizergebnis_Prozent],"&gt;=0,5")/Anzahl_Trainingsabschluss</f>
        <v>0.91786447638603696</v>
      </c>
    </row>
    <row r="4" spans="1:7" ht="28.8" x14ac:dyDescent="0.3">
      <c r="A4" s="5"/>
      <c r="B4" s="5" t="s">
        <v>541</v>
      </c>
      <c r="C4" s="7" t="s">
        <v>544</v>
      </c>
      <c r="D4" s="7" t="s">
        <v>545</v>
      </c>
    </row>
    <row r="5" spans="1:7" x14ac:dyDescent="0.3">
      <c r="A5" s="5" t="s">
        <v>513</v>
      </c>
      <c r="B5">
        <f>AVERAGE(Trainingsabschluss[Quizergebnis])</f>
        <v>14.301848049281315</v>
      </c>
      <c r="C5">
        <f>_xlfn.STDEV.P(Trainingsabschluss[Quizergebnis])</f>
        <v>3.3828679183026047</v>
      </c>
      <c r="D5">
        <f>_xlfn.STDEV.S(Trainingsabschluss[Quizergebnis])</f>
        <v>3.3863464466440614</v>
      </c>
    </row>
    <row r="6" spans="1:7" x14ac:dyDescent="0.3">
      <c r="A6" s="5" t="s">
        <v>514</v>
      </c>
      <c r="B6" s="6">
        <f>AVERAGE(Trainingsabschluss[Quizergebnis_Prozent])</f>
        <v>0.65008400224006013</v>
      </c>
      <c r="C6" s="22">
        <f>_xlfn.STDEV.P(Trainingsabschluss[Quizergebnis_Prozent])</f>
        <v>0.15376672355920915</v>
      </c>
      <c r="D6" s="22">
        <f>_xlfn.STDEV.S(Trainingsabschluss[Quizergebnis_Prozent])</f>
        <v>0.15392483848382074</v>
      </c>
    </row>
    <row r="7" spans="1:7" x14ac:dyDescent="0.3">
      <c r="B7" s="6">
        <f>SUM(Trainingsabschluss[Quizergebnis])/Anzahl_Trainingsabschluss/Max_Quizergebnis</f>
        <v>0.6500840022400598</v>
      </c>
    </row>
    <row r="9" spans="1:7" x14ac:dyDescent="0.3">
      <c r="B9" s="5" t="s">
        <v>546</v>
      </c>
      <c r="C9" s="5" t="s">
        <v>547</v>
      </c>
      <c r="D9" s="5" t="s">
        <v>548</v>
      </c>
    </row>
    <row r="10" spans="1:7" x14ac:dyDescent="0.3">
      <c r="A10" s="5" t="s">
        <v>513</v>
      </c>
      <c r="B10">
        <f>MEDIAN(Trainingsabschluss[Quizergebnis])</f>
        <v>15</v>
      </c>
      <c r="C10" s="2">
        <f>_xlfn.QUARTILE.INC(Trainingsabschluss[Quizergebnis],3)-_xlfn.QUARTILE.INC(Trainingsabschluss[Quizergebnis],1)</f>
        <v>3.5</v>
      </c>
      <c r="D10" s="2">
        <f>_xlfn.QUARTILE.EXC(Trainingsabschluss[Quizergebnis],3)-_xlfn.QUARTILE.EXC(Trainingsabschluss[Quizergebnis],1)</f>
        <v>3.5</v>
      </c>
    </row>
    <row r="11" spans="1:7" x14ac:dyDescent="0.3">
      <c r="A11" s="5" t="s">
        <v>514</v>
      </c>
      <c r="B11" s="6">
        <f>MEDIAN(Trainingsabschluss[Quizergebnis_Prozent])</f>
        <v>0.68181818181818177</v>
      </c>
      <c r="C11" s="6">
        <f>_xlfn.QUARTILE.INC(Trainingsabschluss[Quizergebnis_Prozent],3)-_xlfn.QUARTILE.INC(Trainingsabschluss[Quizergebnis_Prozent],1)</f>
        <v>0.15909090909090906</v>
      </c>
      <c r="D11" s="6">
        <f>_xlfn.QUARTILE.EXC(Trainingsabschluss[Quizergebnis_Prozent],3)-_xlfn.QUARTILE.EXC(Trainingsabschluss[Quizergebnis_Prozent],1)</f>
        <v>0.15909090909090906</v>
      </c>
    </row>
    <row r="16" spans="1:7" x14ac:dyDescent="0.3">
      <c r="G16" s="19"/>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10B4-B5CD-40A4-A721-D99360BB5F3E}">
  <dimension ref="A1:D24"/>
  <sheetViews>
    <sheetView workbookViewId="0">
      <selection activeCell="F25" sqref="F25"/>
    </sheetView>
  </sheetViews>
  <sheetFormatPr baseColWidth="10" defaultColWidth="11.44140625" defaultRowHeight="14.4" x14ac:dyDescent="0.3"/>
  <cols>
    <col min="1" max="1" width="16.5546875" customWidth="1"/>
    <col min="2" max="2" width="13.33203125" customWidth="1"/>
  </cols>
  <sheetData>
    <row r="1" spans="1:4" x14ac:dyDescent="0.3">
      <c r="A1" s="5" t="s">
        <v>3</v>
      </c>
      <c r="B1" s="14" t="s">
        <v>538</v>
      </c>
    </row>
    <row r="2" spans="1:4" x14ac:dyDescent="0.3">
      <c r="A2" t="s">
        <v>156</v>
      </c>
      <c r="B2" s="3">
        <f>COUNTIF(Teilnehmende[Branche],"Beratung")</f>
        <v>108</v>
      </c>
    </row>
    <row r="3" spans="1:4" x14ac:dyDescent="0.3">
      <c r="A3" t="s">
        <v>366</v>
      </c>
      <c r="B3" s="3">
        <f>COUNTIF(Teilnehmende[Branche],"IT und Technologie")</f>
        <v>121</v>
      </c>
    </row>
    <row r="4" spans="1:4" x14ac:dyDescent="0.3">
      <c r="A4" t="s">
        <v>539</v>
      </c>
      <c r="B4" s="3">
        <f>COUNTIF(Teilnehmende[Branche], "E-Commerce") + COUNTIF(Teilnehmende[Branche], "Großhandel") + COUNTIF(Teilnehmende[Branche], "Einzelhandel")</f>
        <v>127</v>
      </c>
      <c r="C4" s="3"/>
      <c r="D4" s="3"/>
    </row>
    <row r="5" spans="1:4" x14ac:dyDescent="0.3">
      <c r="A5" t="s">
        <v>540</v>
      </c>
      <c r="B5" s="3">
        <f>COUNTA(Teilnehmende[UserID]) - B2-B3-B4</f>
        <v>131</v>
      </c>
    </row>
    <row r="6" spans="1:4" x14ac:dyDescent="0.3">
      <c r="B6" s="3"/>
    </row>
    <row r="7" spans="1:4" x14ac:dyDescent="0.3">
      <c r="A7" s="5" t="s">
        <v>4</v>
      </c>
      <c r="B7" s="14" t="s">
        <v>538</v>
      </c>
    </row>
    <row r="8" spans="1:4" x14ac:dyDescent="0.3">
      <c r="A8" t="str" cm="1">
        <f t="array" ref="A8:A11">_xlfn.UNIQUE(Teilnehmende[Bildungsabschluss])</f>
        <v>Promotion</v>
      </c>
      <c r="B8" s="3">
        <f>COUNTIF(Teilnehmende[Bildungsabschluss],A8)</f>
        <v>27</v>
      </c>
    </row>
    <row r="9" spans="1:4" x14ac:dyDescent="0.3">
      <c r="A9" t="str">
        <v>Bachelor</v>
      </c>
      <c r="B9" s="3">
        <f>COUNTIF(Teilnehmende[Bildungsabschluss],A9)</f>
        <v>242</v>
      </c>
    </row>
    <row r="10" spans="1:4" x14ac:dyDescent="0.3">
      <c r="A10" t="str">
        <v>Master</v>
      </c>
      <c r="B10" s="3">
        <f>COUNTIF(Teilnehmende[Bildungsabschluss],A10)</f>
        <v>121</v>
      </c>
    </row>
    <row r="11" spans="1:4" x14ac:dyDescent="0.3">
      <c r="A11">
        <v>0</v>
      </c>
      <c r="B11" s="3">
        <f>COUNTBLANK(Teilnehmende[Bildungsabschluss])</f>
        <v>97</v>
      </c>
    </row>
    <row r="12" spans="1:4" x14ac:dyDescent="0.3">
      <c r="B12" s="3"/>
    </row>
    <row r="13" spans="1:4" x14ac:dyDescent="0.3">
      <c r="A13" s="5" t="s">
        <v>2</v>
      </c>
      <c r="B13" s="17" t="s">
        <v>567</v>
      </c>
      <c r="C13" s="5" t="s">
        <v>538</v>
      </c>
      <c r="D13" s="5"/>
    </row>
    <row r="14" spans="1:4" x14ac:dyDescent="0.3">
      <c r="A14" t="s">
        <v>568</v>
      </c>
      <c r="B14" s="18">
        <v>24</v>
      </c>
      <c r="C14" cm="1">
        <f t="array" ref="C14:C17">FREQUENCY(Teilnehmende[Alter],B14:B16)</f>
        <v>3</v>
      </c>
    </row>
    <row r="15" spans="1:4" x14ac:dyDescent="0.3">
      <c r="A15" t="s">
        <v>569</v>
      </c>
      <c r="B15" s="18">
        <v>35</v>
      </c>
      <c r="C15">
        <v>255</v>
      </c>
    </row>
    <row r="16" spans="1:4" x14ac:dyDescent="0.3">
      <c r="A16" t="s">
        <v>570</v>
      </c>
      <c r="B16" s="18">
        <v>45</v>
      </c>
      <c r="C16">
        <v>228</v>
      </c>
    </row>
    <row r="17" spans="1:3" x14ac:dyDescent="0.3">
      <c r="A17" t="s">
        <v>571</v>
      </c>
      <c r="C17">
        <v>1</v>
      </c>
    </row>
    <row r="19" spans="1:3" x14ac:dyDescent="0.3">
      <c r="A19" s="5" t="s">
        <v>5</v>
      </c>
      <c r="B19" s="17" t="s">
        <v>567</v>
      </c>
      <c r="C19" s="5" t="s">
        <v>538</v>
      </c>
    </row>
    <row r="20" spans="1:3" x14ac:dyDescent="0.3">
      <c r="A20" s="4" t="s">
        <v>572</v>
      </c>
      <c r="B20" s="18">
        <v>4</v>
      </c>
      <c r="C20" cm="1">
        <f t="array" ref="C20:C24">FREQUENCY(Teilnehmende[Berufserfahrung],B20:B23)</f>
        <v>112</v>
      </c>
    </row>
    <row r="21" spans="1:3" x14ac:dyDescent="0.3">
      <c r="A21" s="4" t="s">
        <v>573</v>
      </c>
      <c r="B21" s="18">
        <v>10</v>
      </c>
      <c r="C21">
        <v>227</v>
      </c>
    </row>
    <row r="22" spans="1:3" x14ac:dyDescent="0.3">
      <c r="A22" s="4" t="s">
        <v>574</v>
      </c>
      <c r="B22" s="18">
        <v>15</v>
      </c>
      <c r="C22">
        <v>87</v>
      </c>
    </row>
    <row r="23" spans="1:3" x14ac:dyDescent="0.3">
      <c r="A23" s="4" t="s">
        <v>575</v>
      </c>
      <c r="B23" s="18">
        <v>20</v>
      </c>
      <c r="C23">
        <v>47</v>
      </c>
    </row>
    <row r="24" spans="1:3" x14ac:dyDescent="0.3">
      <c r="A24" s="4" t="s">
        <v>576</v>
      </c>
      <c r="C24">
        <v>14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F24E-9134-4618-B22D-F9BCB774AC58}">
  <dimension ref="A1:F95"/>
  <sheetViews>
    <sheetView tabSelected="1" topLeftCell="A36" zoomScaleNormal="100" workbookViewId="0">
      <selection activeCell="F58" sqref="F58"/>
    </sheetView>
  </sheetViews>
  <sheetFormatPr baseColWidth="10" defaultColWidth="11.44140625" defaultRowHeight="14.4" x14ac:dyDescent="0.3"/>
  <cols>
    <col min="1" max="1" width="21.6640625" bestFit="1" customWidth="1"/>
    <col min="2" max="2" width="23" bestFit="1" customWidth="1"/>
    <col min="3" max="3" width="8.109375" customWidth="1"/>
    <col min="4" max="4" width="9.109375" bestFit="1" customWidth="1"/>
    <col min="5" max="6" width="15.109375" bestFit="1" customWidth="1"/>
    <col min="7" max="7" width="16.6640625" bestFit="1" customWidth="1"/>
    <col min="8" max="8" width="9.33203125" bestFit="1" customWidth="1"/>
    <col min="9" max="9" width="9.109375" bestFit="1" customWidth="1"/>
    <col min="10" max="10" width="15.33203125" bestFit="1" customWidth="1"/>
    <col min="11" max="11" width="13.6640625" bestFit="1" customWidth="1"/>
    <col min="12" max="12" width="8" bestFit="1" customWidth="1"/>
    <col min="13" max="13" width="9.109375" bestFit="1" customWidth="1"/>
    <col min="14" max="14" width="19.88671875" bestFit="1" customWidth="1"/>
    <col min="15" max="15" width="13.88671875" bestFit="1" customWidth="1"/>
    <col min="16" max="16" width="8" bestFit="1" customWidth="1"/>
    <col min="17" max="17" width="9.109375" bestFit="1" customWidth="1"/>
    <col min="18" max="18" width="20" bestFit="1" customWidth="1"/>
    <col min="19" max="19" width="19" bestFit="1" customWidth="1"/>
    <col min="20" max="20" width="9.109375" bestFit="1" customWidth="1"/>
    <col min="21" max="21" width="25.109375" bestFit="1" customWidth="1"/>
    <col min="22" max="22" width="20.6640625" bestFit="1" customWidth="1"/>
    <col min="23" max="23" width="9.109375" bestFit="1" customWidth="1"/>
    <col min="24" max="24" width="27.109375" bestFit="1" customWidth="1"/>
    <col min="25" max="25" width="19.5546875" bestFit="1" customWidth="1"/>
    <col min="26" max="26" width="25.6640625" bestFit="1" customWidth="1"/>
    <col min="27" max="27" width="13" bestFit="1" customWidth="1"/>
    <col min="28" max="28" width="8" bestFit="1" customWidth="1"/>
    <col min="29" max="29" width="9.109375" bestFit="1" customWidth="1"/>
    <col min="30" max="30" width="19.109375" bestFit="1" customWidth="1"/>
    <col min="31" max="31" width="12.6640625" bestFit="1" customWidth="1"/>
    <col min="32" max="32" width="9.109375" bestFit="1" customWidth="1"/>
    <col min="33" max="33" width="18.88671875" bestFit="1" customWidth="1"/>
    <col min="34" max="34" width="19.109375" bestFit="1" customWidth="1"/>
    <col min="35" max="35" width="8" bestFit="1" customWidth="1"/>
    <col min="36" max="36" width="9.109375" bestFit="1" customWidth="1"/>
    <col min="37" max="37" width="25.33203125" bestFit="1" customWidth="1"/>
    <col min="38" max="38" width="19.44140625" bestFit="1" customWidth="1"/>
    <col min="39" max="39" width="25.6640625" bestFit="1" customWidth="1"/>
    <col min="40" max="40" width="15.109375" bestFit="1" customWidth="1"/>
  </cols>
  <sheetData>
    <row r="1" spans="1:6" x14ac:dyDescent="0.3">
      <c r="B1" s="5" t="s">
        <v>541</v>
      </c>
      <c r="C1" s="5" t="s">
        <v>549</v>
      </c>
    </row>
    <row r="2" spans="1:6" x14ac:dyDescent="0.3">
      <c r="A2" s="5" t="s">
        <v>515</v>
      </c>
      <c r="B2">
        <f>AVERAGE(Trainingsabschluss[Training_Bewertung])</f>
        <v>7.9342915811088295</v>
      </c>
      <c r="C2">
        <f>_xlfn.STDEV.P(Trainingsabschluss[Training_Bewertung])</f>
        <v>1.9085333772682052</v>
      </c>
    </row>
    <row r="4" spans="1:6" x14ac:dyDescent="0.3">
      <c r="B4" s="5" t="s">
        <v>546</v>
      </c>
      <c r="C4" s="5" t="s">
        <v>550</v>
      </c>
    </row>
    <row r="5" spans="1:6" x14ac:dyDescent="0.3">
      <c r="A5" s="5" t="s">
        <v>515</v>
      </c>
      <c r="B5">
        <f>MEDIAN(Trainingsabschluss[Training_Bewertung])</f>
        <v>8</v>
      </c>
      <c r="C5" s="3">
        <f>_xlfn.QUARTILE.INC(Trainingsabschluss[Training_Bewertung],3)-_xlfn.QUARTILE.INC(Trainingsabschluss[Training_Bewertung],1)</f>
        <v>2</v>
      </c>
    </row>
    <row r="7" spans="1:6" x14ac:dyDescent="0.3">
      <c r="B7" s="5" t="s">
        <v>551</v>
      </c>
    </row>
    <row r="8" spans="1:6" x14ac:dyDescent="0.3">
      <c r="B8" s="9">
        <f>((COUNTIF(Trainingsabschluss[Training_Bewertung],"&gt;=9")/Anzahl_Trainingsabschluss)- (COUNTIF(Trainingsabschluss[Training_Bewertung],"&lt;=6")/Anzahl_Trainingsabschluss))*100</f>
        <v>31.21149897330595</v>
      </c>
    </row>
    <row r="10" spans="1:6" x14ac:dyDescent="0.3">
      <c r="A10" s="15" t="s">
        <v>587</v>
      </c>
      <c r="B10" s="15" t="s">
        <v>565</v>
      </c>
    </row>
    <row r="11" spans="1:6" x14ac:dyDescent="0.3">
      <c r="A11" s="15" t="s">
        <v>562</v>
      </c>
      <c r="B11" t="s">
        <v>591</v>
      </c>
      <c r="C11" t="s">
        <v>589</v>
      </c>
      <c r="D11" t="s">
        <v>590</v>
      </c>
      <c r="E11" t="s">
        <v>592</v>
      </c>
      <c r="F11" t="s">
        <v>563</v>
      </c>
    </row>
    <row r="12" spans="1:6" x14ac:dyDescent="0.3">
      <c r="A12" s="10" t="s">
        <v>584</v>
      </c>
      <c r="B12" s="6">
        <v>0.1</v>
      </c>
      <c r="C12" s="6">
        <v>0.37777777777777777</v>
      </c>
      <c r="D12" s="6">
        <v>0.4777777777777778</v>
      </c>
      <c r="E12" s="6">
        <v>4.4444444444444446E-2</v>
      </c>
      <c r="F12" s="6">
        <v>1</v>
      </c>
    </row>
    <row r="13" spans="1:6" x14ac:dyDescent="0.3">
      <c r="A13" s="10" t="s">
        <v>585</v>
      </c>
      <c r="B13" s="6">
        <v>9.0322580645161285E-2</v>
      </c>
      <c r="C13" s="6">
        <v>0.30967741935483872</v>
      </c>
      <c r="D13" s="6">
        <v>0.50322580645161286</v>
      </c>
      <c r="E13" s="6">
        <v>9.6774193548387094E-2</v>
      </c>
      <c r="F13" s="6">
        <v>1</v>
      </c>
    </row>
    <row r="14" spans="1:6" x14ac:dyDescent="0.3">
      <c r="A14" s="10" t="s">
        <v>586</v>
      </c>
      <c r="B14" s="6">
        <v>7.0247933884297523E-2</v>
      </c>
      <c r="C14" s="6">
        <v>0.32231404958677684</v>
      </c>
      <c r="D14" s="6">
        <v>0.48347107438016529</v>
      </c>
      <c r="E14" s="6">
        <v>0.12396694214876033</v>
      </c>
      <c r="F14" s="6">
        <v>1</v>
      </c>
    </row>
    <row r="15" spans="1:6" x14ac:dyDescent="0.3">
      <c r="A15" s="10" t="s">
        <v>563</v>
      </c>
      <c r="B15" s="6">
        <v>8.2135523613963035E-2</v>
      </c>
      <c r="C15" s="6">
        <v>0.32854209445585214</v>
      </c>
      <c r="D15" s="6">
        <v>0.48870636550308011</v>
      </c>
      <c r="E15" s="6">
        <v>0.10061601642710473</v>
      </c>
      <c r="F15" s="6">
        <v>1</v>
      </c>
    </row>
    <row r="18" spans="1:2" x14ac:dyDescent="0.3">
      <c r="A18" s="15" t="s">
        <v>562</v>
      </c>
      <c r="B18" t="s">
        <v>593</v>
      </c>
    </row>
    <row r="19" spans="1:2" x14ac:dyDescent="0.3">
      <c r="A19" s="10" t="s">
        <v>584</v>
      </c>
      <c r="B19" s="8">
        <v>0.62373737373737359</v>
      </c>
    </row>
    <row r="20" spans="1:2" x14ac:dyDescent="0.3">
      <c r="A20" s="10" t="s">
        <v>585</v>
      </c>
      <c r="B20" s="8">
        <v>0.64882697947214096</v>
      </c>
    </row>
    <row r="21" spans="1:2" x14ac:dyDescent="0.3">
      <c r="A21" s="10" t="s">
        <v>586</v>
      </c>
      <c r="B21" s="8">
        <v>0.66068745304282483</v>
      </c>
    </row>
    <row r="22" spans="1:2" x14ac:dyDescent="0.3">
      <c r="A22" s="10" t="s">
        <v>563</v>
      </c>
      <c r="B22" s="8">
        <v>0.65008400224005969</v>
      </c>
    </row>
    <row r="33" spans="1:2" x14ac:dyDescent="0.3">
      <c r="A33" s="15" t="s">
        <v>562</v>
      </c>
      <c r="B33" t="s">
        <v>594</v>
      </c>
    </row>
    <row r="34" spans="1:2" x14ac:dyDescent="0.3">
      <c r="A34" s="10" t="s">
        <v>591</v>
      </c>
      <c r="B34" s="21">
        <v>7.5750000000000002</v>
      </c>
    </row>
    <row r="35" spans="1:2" x14ac:dyDescent="0.3">
      <c r="A35" s="10" t="s">
        <v>589</v>
      </c>
      <c r="B35" s="21">
        <v>7.8937499999999998</v>
      </c>
    </row>
    <row r="36" spans="1:2" x14ac:dyDescent="0.3">
      <c r="A36" s="10" t="s">
        <v>590</v>
      </c>
      <c r="B36" s="21">
        <v>7.9285714285714288</v>
      </c>
    </row>
    <row r="37" spans="1:2" x14ac:dyDescent="0.3">
      <c r="A37" s="10" t="s">
        <v>592</v>
      </c>
      <c r="B37" s="21">
        <v>8.387755102040817</v>
      </c>
    </row>
    <row r="38" spans="1:2" x14ac:dyDescent="0.3">
      <c r="A38" s="10" t="s">
        <v>563</v>
      </c>
      <c r="B38" s="21">
        <v>7.9342915811088295</v>
      </c>
    </row>
    <row r="49" spans="1:5" x14ac:dyDescent="0.3">
      <c r="A49" s="15" t="s">
        <v>566</v>
      </c>
      <c r="B49" s="15" t="s">
        <v>565</v>
      </c>
    </row>
    <row r="50" spans="1:5" x14ac:dyDescent="0.3">
      <c r="A50" s="15" t="s">
        <v>562</v>
      </c>
      <c r="B50" t="s">
        <v>584</v>
      </c>
      <c r="C50" t="s">
        <v>585</v>
      </c>
      <c r="D50" t="s">
        <v>586</v>
      </c>
      <c r="E50" t="s">
        <v>563</v>
      </c>
    </row>
    <row r="51" spans="1:5" x14ac:dyDescent="0.3">
      <c r="A51" s="10" t="s">
        <v>601</v>
      </c>
      <c r="B51" s="6">
        <v>0.17525773195876287</v>
      </c>
      <c r="C51" s="6">
        <v>0.34020618556701032</v>
      </c>
      <c r="D51" s="6">
        <v>0.4845360824742268</v>
      </c>
      <c r="E51" s="6">
        <v>1</v>
      </c>
    </row>
    <row r="52" spans="1:5" x14ac:dyDescent="0.3">
      <c r="A52" s="10" t="s">
        <v>8</v>
      </c>
      <c r="B52" s="6">
        <v>0.18595041322314049</v>
      </c>
      <c r="C52" s="6">
        <v>0.34710743801652894</v>
      </c>
      <c r="D52" s="6">
        <v>0.46694214876033058</v>
      </c>
      <c r="E52" s="6">
        <v>1</v>
      </c>
    </row>
    <row r="53" spans="1:5" x14ac:dyDescent="0.3">
      <c r="A53" s="10" t="s">
        <v>13</v>
      </c>
      <c r="B53" s="6">
        <v>0.20661157024793389</v>
      </c>
      <c r="C53" s="6">
        <v>0.28099173553719009</v>
      </c>
      <c r="D53" s="6">
        <v>0.51239669421487599</v>
      </c>
      <c r="E53" s="6">
        <v>1</v>
      </c>
    </row>
    <row r="54" spans="1:5" x14ac:dyDescent="0.3">
      <c r="A54" s="10" t="s">
        <v>16</v>
      </c>
      <c r="B54" s="6">
        <v>0.1111111111111111</v>
      </c>
      <c r="C54" s="6">
        <v>0.14814814814814814</v>
      </c>
      <c r="D54" s="6">
        <v>0.7407407407407407</v>
      </c>
      <c r="E54" s="6">
        <v>1</v>
      </c>
    </row>
    <row r="55" spans="1:5" x14ac:dyDescent="0.3">
      <c r="A55" s="10" t="s">
        <v>563</v>
      </c>
      <c r="B55" s="6">
        <v>0.18480492813141683</v>
      </c>
      <c r="C55" s="6">
        <v>0.31827515400410678</v>
      </c>
      <c r="D55" s="6">
        <v>0.49691991786447637</v>
      </c>
      <c r="E55" s="6">
        <v>1</v>
      </c>
    </row>
    <row r="65" spans="1:5" x14ac:dyDescent="0.3">
      <c r="A65" s="15" t="s">
        <v>566</v>
      </c>
      <c r="B65" s="15" t="s">
        <v>565</v>
      </c>
    </row>
    <row r="66" spans="1:5" x14ac:dyDescent="0.3">
      <c r="A66" s="15" t="s">
        <v>562</v>
      </c>
      <c r="B66" t="s">
        <v>584</v>
      </c>
      <c r="C66" t="s">
        <v>585</v>
      </c>
      <c r="D66" t="s">
        <v>586</v>
      </c>
      <c r="E66" t="s">
        <v>563</v>
      </c>
    </row>
    <row r="67" spans="1:5" x14ac:dyDescent="0.3">
      <c r="A67" s="10" t="s">
        <v>600</v>
      </c>
      <c r="B67" s="6">
        <v>0.24107142857142858</v>
      </c>
      <c r="C67" s="6">
        <v>0.3482142857142857</v>
      </c>
      <c r="D67" s="6">
        <v>0.4107142857142857</v>
      </c>
      <c r="E67" s="6">
        <v>1</v>
      </c>
    </row>
    <row r="68" spans="1:5" x14ac:dyDescent="0.3">
      <c r="A68" s="10" t="s">
        <v>597</v>
      </c>
      <c r="B68" s="6">
        <v>0.15183246073298429</v>
      </c>
      <c r="C68" s="6">
        <v>0.35602094240837695</v>
      </c>
      <c r="D68" s="6">
        <v>0.49214659685863876</v>
      </c>
      <c r="E68" s="6">
        <v>1</v>
      </c>
    </row>
    <row r="69" spans="1:5" x14ac:dyDescent="0.3">
      <c r="A69" s="10" t="s">
        <v>599</v>
      </c>
      <c r="B69" s="6">
        <v>0.18</v>
      </c>
      <c r="C69" s="6">
        <v>0.24</v>
      </c>
      <c r="D69" s="6">
        <v>0.57999999999999996</v>
      </c>
      <c r="E69" s="6">
        <v>1</v>
      </c>
    </row>
    <row r="70" spans="1:5" x14ac:dyDescent="0.3">
      <c r="A70" s="10" t="s">
        <v>598</v>
      </c>
      <c r="B70" s="6">
        <v>0.23809523809523808</v>
      </c>
      <c r="C70" s="6">
        <v>0.38095238095238093</v>
      </c>
      <c r="D70" s="6">
        <v>0.38095238095238093</v>
      </c>
      <c r="E70" s="6">
        <v>1</v>
      </c>
    </row>
    <row r="71" spans="1:5" x14ac:dyDescent="0.3">
      <c r="A71" s="10" t="s">
        <v>596</v>
      </c>
      <c r="B71" s="6">
        <v>0.17699115044247787</v>
      </c>
      <c r="C71" s="6">
        <v>0.24778761061946902</v>
      </c>
      <c r="D71" s="6">
        <v>0.5752212389380531</v>
      </c>
      <c r="E71" s="6">
        <v>1</v>
      </c>
    </row>
    <row r="72" spans="1:5" x14ac:dyDescent="0.3">
      <c r="A72" s="10" t="s">
        <v>563</v>
      </c>
      <c r="B72" s="6">
        <v>0.18480492813141683</v>
      </c>
      <c r="C72" s="6">
        <v>0.31827515400410678</v>
      </c>
      <c r="D72" s="6">
        <v>0.49691991786447637</v>
      </c>
      <c r="E72" s="6">
        <v>1</v>
      </c>
    </row>
    <row r="81" spans="1:5" x14ac:dyDescent="0.3">
      <c r="A81" s="15" t="s">
        <v>566</v>
      </c>
      <c r="B81" s="15" t="s">
        <v>565</v>
      </c>
    </row>
    <row r="82" spans="1:5" x14ac:dyDescent="0.3">
      <c r="A82" s="15" t="s">
        <v>562</v>
      </c>
      <c r="B82" t="s">
        <v>584</v>
      </c>
      <c r="C82" t="s">
        <v>585</v>
      </c>
      <c r="D82" t="s">
        <v>586</v>
      </c>
      <c r="E82" t="s">
        <v>563</v>
      </c>
    </row>
    <row r="83" spans="1:5" x14ac:dyDescent="0.3">
      <c r="A83" s="10" t="s">
        <v>140</v>
      </c>
      <c r="B83" s="6">
        <v>0</v>
      </c>
      <c r="C83" s="6">
        <v>0</v>
      </c>
      <c r="D83" s="6">
        <v>1</v>
      </c>
      <c r="E83" s="6">
        <v>1</v>
      </c>
    </row>
    <row r="84" spans="1:5" x14ac:dyDescent="0.3">
      <c r="A84" s="10" t="s">
        <v>156</v>
      </c>
      <c r="B84" s="6">
        <v>0.1388888888888889</v>
      </c>
      <c r="C84" s="6">
        <v>0.34259259259259262</v>
      </c>
      <c r="D84" s="6">
        <v>0.51851851851851849</v>
      </c>
      <c r="E84" s="6">
        <v>1</v>
      </c>
    </row>
    <row r="85" spans="1:5" x14ac:dyDescent="0.3">
      <c r="A85" s="10" t="s">
        <v>265</v>
      </c>
      <c r="B85" s="6">
        <v>0.55000000000000004</v>
      </c>
      <c r="C85" s="6">
        <v>0</v>
      </c>
      <c r="D85" s="6">
        <v>0.45</v>
      </c>
      <c r="E85" s="6">
        <v>1</v>
      </c>
    </row>
    <row r="86" spans="1:5" x14ac:dyDescent="0.3">
      <c r="A86" s="10" t="s">
        <v>12</v>
      </c>
      <c r="B86" s="6">
        <v>0.27272727272727271</v>
      </c>
      <c r="C86" s="6">
        <v>0.43181818181818182</v>
      </c>
      <c r="D86" s="6">
        <v>0.29545454545454547</v>
      </c>
      <c r="E86" s="6">
        <v>1</v>
      </c>
    </row>
    <row r="87" spans="1:5" x14ac:dyDescent="0.3">
      <c r="A87" s="10" t="s">
        <v>10</v>
      </c>
      <c r="B87" s="6">
        <v>0.41666666666666669</v>
      </c>
      <c r="C87" s="6">
        <v>0.25</v>
      </c>
      <c r="D87" s="6">
        <v>0.33333333333333331</v>
      </c>
      <c r="E87" s="6">
        <v>1</v>
      </c>
    </row>
    <row r="88" spans="1:5" x14ac:dyDescent="0.3">
      <c r="A88" s="10" t="s">
        <v>286</v>
      </c>
      <c r="B88" s="6">
        <v>0.16666666666666666</v>
      </c>
      <c r="C88" s="6">
        <v>0</v>
      </c>
      <c r="D88" s="6">
        <v>0.83333333333333337</v>
      </c>
      <c r="E88" s="6">
        <v>1</v>
      </c>
    </row>
    <row r="89" spans="1:5" x14ac:dyDescent="0.3">
      <c r="A89" s="10" t="s">
        <v>305</v>
      </c>
      <c r="B89" s="6">
        <v>0</v>
      </c>
      <c r="C89" s="6">
        <v>0.77272727272727271</v>
      </c>
      <c r="D89" s="6">
        <v>0.22727272727272727</v>
      </c>
      <c r="E89" s="6">
        <v>1</v>
      </c>
    </row>
    <row r="90" spans="1:5" x14ac:dyDescent="0.3">
      <c r="A90" s="10" t="s">
        <v>328</v>
      </c>
      <c r="B90" s="6">
        <v>0</v>
      </c>
      <c r="C90" s="6">
        <v>1</v>
      </c>
      <c r="D90" s="6">
        <v>0</v>
      </c>
      <c r="E90" s="6">
        <v>1</v>
      </c>
    </row>
    <row r="91" spans="1:5" x14ac:dyDescent="0.3">
      <c r="A91" s="10" t="s">
        <v>7</v>
      </c>
      <c r="B91" s="6">
        <v>0.34042553191489361</v>
      </c>
      <c r="C91" s="6">
        <v>0.19148936170212766</v>
      </c>
      <c r="D91" s="6">
        <v>0.46808510638297873</v>
      </c>
      <c r="E91" s="6">
        <v>1</v>
      </c>
    </row>
    <row r="92" spans="1:5" x14ac:dyDescent="0.3">
      <c r="A92" s="10" t="s">
        <v>347</v>
      </c>
      <c r="B92" s="6">
        <v>0</v>
      </c>
      <c r="C92" s="6">
        <v>0.77777777777777779</v>
      </c>
      <c r="D92" s="6">
        <v>0.22222222222222221</v>
      </c>
      <c r="E92" s="6">
        <v>1</v>
      </c>
    </row>
    <row r="93" spans="1:5" x14ac:dyDescent="0.3">
      <c r="A93" s="10" t="s">
        <v>366</v>
      </c>
      <c r="B93" s="6">
        <v>0.1487603305785124</v>
      </c>
      <c r="C93" s="6">
        <v>0.26446280991735538</v>
      </c>
      <c r="D93" s="6">
        <v>0.58677685950413228</v>
      </c>
      <c r="E93" s="6">
        <v>1</v>
      </c>
    </row>
    <row r="94" spans="1:5" x14ac:dyDescent="0.3">
      <c r="A94" s="10" t="s">
        <v>488</v>
      </c>
      <c r="B94" s="6">
        <v>0</v>
      </c>
      <c r="C94" s="6">
        <v>0</v>
      </c>
      <c r="D94" s="6">
        <v>1</v>
      </c>
      <c r="E94" s="6">
        <v>1</v>
      </c>
    </row>
    <row r="95" spans="1:5" x14ac:dyDescent="0.3">
      <c r="A95" s="10" t="s">
        <v>563</v>
      </c>
      <c r="B95" s="6">
        <v>0.18480492813141683</v>
      </c>
      <c r="C95" s="6">
        <v>0.31827515400410678</v>
      </c>
      <c r="D95" s="6">
        <v>0.49691991786447637</v>
      </c>
      <c r="E95" s="6">
        <v>1</v>
      </c>
    </row>
  </sheetData>
  <pageMargins left="0.7" right="0.7" top="0.78740157499999996" bottom="0.78740157499999996"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5CF4-3922-4F8A-A989-9496DEFD900D}">
  <dimension ref="A1:G90"/>
  <sheetViews>
    <sheetView zoomScaleNormal="100" workbookViewId="0">
      <selection activeCell="F17" sqref="F17"/>
    </sheetView>
  </sheetViews>
  <sheetFormatPr baseColWidth="10" defaultRowHeight="14.4" x14ac:dyDescent="0.3"/>
  <cols>
    <col min="1" max="1" width="32.6640625" bestFit="1" customWidth="1"/>
    <col min="2" max="2" width="16.5546875" customWidth="1"/>
    <col min="3" max="3" width="17.109375" bestFit="1" customWidth="1"/>
    <col min="4" max="4" width="7" bestFit="1" customWidth="1"/>
    <col min="5" max="5" width="10" bestFit="1" customWidth="1"/>
    <col min="6" max="7" width="15.109375" bestFit="1" customWidth="1"/>
    <col min="8" max="8" width="16.44140625" bestFit="1" customWidth="1"/>
    <col min="9" max="9" width="17.33203125" bestFit="1" customWidth="1"/>
    <col min="10" max="10" width="16.44140625" bestFit="1" customWidth="1"/>
    <col min="11" max="11" width="17.33203125" bestFit="1" customWidth="1"/>
    <col min="12" max="12" width="23.88671875" bestFit="1" customWidth="1"/>
    <col min="13" max="13" width="24.6640625" bestFit="1" customWidth="1"/>
    <col min="14" max="14" width="5.109375" bestFit="1" customWidth="1"/>
    <col min="15" max="16" width="4.109375" bestFit="1" customWidth="1"/>
    <col min="17" max="17" width="4" bestFit="1" customWidth="1"/>
    <col min="18" max="19" width="3.44140625" bestFit="1" customWidth="1"/>
    <col min="20" max="21" width="4.44140625" bestFit="1" customWidth="1"/>
    <col min="22" max="22" width="30.109375" bestFit="1" customWidth="1"/>
    <col min="23" max="23" width="34.33203125" bestFit="1" customWidth="1"/>
    <col min="24" max="24" width="4" bestFit="1" customWidth="1"/>
    <col min="25" max="25" width="5" bestFit="1" customWidth="1"/>
    <col min="26" max="26" width="4" bestFit="1" customWidth="1"/>
    <col min="27" max="27" width="3" bestFit="1" customWidth="1"/>
    <col min="28" max="28" width="14.44140625" bestFit="1" customWidth="1"/>
    <col min="29" max="42" width="4.44140625" bestFit="1" customWidth="1"/>
    <col min="43" max="43" width="15.109375" bestFit="1" customWidth="1"/>
    <col min="44" max="46" width="4.44140625" bestFit="1" customWidth="1"/>
    <col min="47" max="47" width="14.44140625" bestFit="1" customWidth="1"/>
  </cols>
  <sheetData>
    <row r="1" spans="1:7" ht="43.2" x14ac:dyDescent="0.3">
      <c r="A1" s="7" t="s">
        <v>524</v>
      </c>
      <c r="B1" s="7" t="s">
        <v>564</v>
      </c>
    </row>
    <row r="2" spans="1:7" x14ac:dyDescent="0.3">
      <c r="A2" s="12" t="s">
        <v>528</v>
      </c>
      <c r="B2" s="21">
        <f>AVERAGEIF(Lektionen[Lektionsnummer],2,Lektionen[Bearbeitungsdauer_real])</f>
        <v>17.747433264887064</v>
      </c>
    </row>
    <row r="3" spans="1:7" x14ac:dyDescent="0.3">
      <c r="A3" s="12" t="s">
        <v>603</v>
      </c>
      <c r="B3" s="21">
        <f>AVERAGEIF(Lektionen[Lektionsnummer],3,Lektionen[Bearbeitungsdauer_real])</f>
        <v>28.817248459958932</v>
      </c>
    </row>
    <row r="4" spans="1:7" x14ac:dyDescent="0.3">
      <c r="A4" s="12" t="s">
        <v>531</v>
      </c>
      <c r="B4" s="21">
        <f>AVERAGEIF(Lektionen[Lektionsnummer],4,Lektionen[Bearbeitungsdauer_real])</f>
        <v>26.078028747433265</v>
      </c>
    </row>
    <row r="5" spans="1:7" x14ac:dyDescent="0.3">
      <c r="A5" s="12" t="s">
        <v>604</v>
      </c>
      <c r="B5" s="21">
        <f>AVERAGEIF(Lektionen[Lektionsnummer],5,Lektionen[Bearbeitungsdauer_real])</f>
        <v>45.737166324435321</v>
      </c>
    </row>
    <row r="16" spans="1:7" ht="43.2" x14ac:dyDescent="0.3">
      <c r="B16" s="7" t="s">
        <v>605</v>
      </c>
      <c r="C16" s="12" t="s">
        <v>553</v>
      </c>
      <c r="D16" s="12" t="s">
        <v>554</v>
      </c>
      <c r="E16" s="12" t="s">
        <v>555</v>
      </c>
      <c r="F16" s="12" t="s">
        <v>556</v>
      </c>
      <c r="G16" s="12" t="s">
        <v>557</v>
      </c>
    </row>
    <row r="17" spans="1:7" x14ac:dyDescent="0.3">
      <c r="A17" s="12" t="s">
        <v>535</v>
      </c>
      <c r="B17" s="21">
        <f>AVERAGEIF(Lektionen[Lektionsnummer],7,Lektionen[Bewertung_Schwierigkeit])</f>
        <v>3.3490759753593431</v>
      </c>
      <c r="C17">
        <f>COUNTIFS(Lektionen[Lektionsnummer],7,Lektionen[Bewertung_Schwierigkeit],1)</f>
        <v>0</v>
      </c>
      <c r="D17">
        <f>COUNTIFS(Lektionen[Lektionsnummer],7,Lektionen[Bewertung_Schwierigkeit],2)</f>
        <v>0</v>
      </c>
      <c r="E17">
        <f>COUNTIFS(Lektionen[Lektionsnummer],7,Lektionen[Bewertung_Schwierigkeit],3)</f>
        <v>322</v>
      </c>
      <c r="F17">
        <f>COUNTIFS(Lektionen[Lektionsnummer],7,Lektionen[Bewertung_Schwierigkeit],4)</f>
        <v>160</v>
      </c>
      <c r="G17">
        <f>COUNTIFS(Lektionen[Lektionsnummer],7,Lektionen[Bewertung_Schwierigkeit],5)</f>
        <v>5</v>
      </c>
    </row>
    <row r="18" spans="1:7" x14ac:dyDescent="0.3">
      <c r="A18" s="12" t="s">
        <v>603</v>
      </c>
      <c r="B18" s="21">
        <f>AVERAGEIF(Lektionen[Lektionsnummer],3,Lektionen[Bewertung_Schwierigkeit])</f>
        <v>2.5359342915811087</v>
      </c>
      <c r="C18">
        <f>COUNTIFS(Lektionen[Lektionsnummer],3,Lektionen[Bewertung_Schwierigkeit],1)</f>
        <v>0</v>
      </c>
      <c r="D18">
        <f>COUNTIFS(Lektionen[Lektionsnummer],3,Lektionen[Bewertung_Schwierigkeit],2)</f>
        <v>240</v>
      </c>
      <c r="E18">
        <f>COUNTIFS(Lektionen[Lektionsnummer],3,Lektionen[Bewertung_Schwierigkeit],3)</f>
        <v>233</v>
      </c>
      <c r="F18">
        <f>COUNTIFS(Lektionen[Lektionsnummer],3,Lektionen[Bewertung_Schwierigkeit],4)</f>
        <v>14</v>
      </c>
      <c r="G18">
        <f>COUNTIFS(Lektionen[Lektionsnummer],3,Lektionen[Bewertung_Schwierigkeit],5)</f>
        <v>0</v>
      </c>
    </row>
    <row r="19" spans="1:7" x14ac:dyDescent="0.3">
      <c r="A19" s="12" t="s">
        <v>531</v>
      </c>
      <c r="B19" s="21">
        <f>AVERAGEIF(Lektionen[Lektionsnummer],4,Lektionen[Bewertung_Schwierigkeit])</f>
        <v>2.9835728952772076</v>
      </c>
      <c r="C19">
        <f>COUNTIFS(Lektionen[Lektionsnummer],4,Lektionen[Bewertung_Schwierigkeit],1)</f>
        <v>0</v>
      </c>
      <c r="D19">
        <f>COUNTIFS(Lektionen[Lektionsnummer],4,Lektionen[Bewertung_Schwierigkeit],2)</f>
        <v>88</v>
      </c>
      <c r="E19">
        <f>COUNTIFS(Lektionen[Lektionsnummer],4,Lektionen[Bewertung_Schwierigkeit],3)</f>
        <v>327</v>
      </c>
      <c r="F19">
        <f>COUNTIFS(Lektionen[Lektionsnummer],4,Lektionen[Bewertung_Schwierigkeit],4)</f>
        <v>64</v>
      </c>
      <c r="G19">
        <f>COUNTIFS(Lektionen[Lektionsnummer],4,Lektionen[Bewertung_Schwierigkeit],5)</f>
        <v>8</v>
      </c>
    </row>
    <row r="20" spans="1:7" x14ac:dyDescent="0.3">
      <c r="A20" s="12" t="s">
        <v>604</v>
      </c>
      <c r="B20" s="21">
        <f>AVERAGEIF(Lektionen[Lektionsnummer],5,Lektionen[Bewertung_Schwierigkeit])</f>
        <v>3.751540041067762</v>
      </c>
      <c r="C20">
        <f>COUNTIFS(Lektionen[Lektionsnummer],5,Lektionen[Bewertung_Schwierigkeit],1)</f>
        <v>0</v>
      </c>
      <c r="D20">
        <f>COUNTIFS(Lektionen[Lektionsnummer],5,Lektionen[Bewertung_Schwierigkeit],2)</f>
        <v>0</v>
      </c>
      <c r="E20">
        <f>COUNTIFS(Lektionen[Lektionsnummer],5,Lektionen[Bewertung_Schwierigkeit],3)</f>
        <v>157</v>
      </c>
      <c r="F20">
        <f>COUNTIFS(Lektionen[Lektionsnummer],5,Lektionen[Bewertung_Schwierigkeit],4)</f>
        <v>294</v>
      </c>
      <c r="G20">
        <f>COUNTIFS(Lektionen[Lektionsnummer],5,Lektionen[Bewertung_Schwierigkeit],5)</f>
        <v>36</v>
      </c>
    </row>
    <row r="25" spans="1:7" ht="43.2" x14ac:dyDescent="0.3">
      <c r="A25" s="15" t="s">
        <v>562</v>
      </c>
      <c r="B25" s="16" t="s">
        <v>541</v>
      </c>
      <c r="C25" s="16" t="s">
        <v>606</v>
      </c>
    </row>
    <row r="26" spans="1:7" x14ac:dyDescent="0.3">
      <c r="A26" s="10" t="s">
        <v>531</v>
      </c>
      <c r="B26">
        <v>26.078028747433265</v>
      </c>
      <c r="C26">
        <v>4.9167682136261739</v>
      </c>
    </row>
    <row r="27" spans="1:7" x14ac:dyDescent="0.3">
      <c r="A27" s="10" t="s">
        <v>552</v>
      </c>
      <c r="B27">
        <v>28.817248459958932</v>
      </c>
      <c r="C27">
        <v>2.4573299448333827</v>
      </c>
    </row>
    <row r="28" spans="1:7" x14ac:dyDescent="0.3">
      <c r="A28" s="10" t="s">
        <v>528</v>
      </c>
      <c r="B28">
        <v>17.747433264887064</v>
      </c>
      <c r="C28">
        <v>1.8000309668686412</v>
      </c>
    </row>
    <row r="29" spans="1:7" x14ac:dyDescent="0.3">
      <c r="A29" s="10" t="s">
        <v>532</v>
      </c>
      <c r="B29">
        <v>45.737166324435321</v>
      </c>
      <c r="C29">
        <v>5.145592258527877</v>
      </c>
    </row>
    <row r="30" spans="1:7" x14ac:dyDescent="0.3">
      <c r="A30" s="10" t="s">
        <v>563</v>
      </c>
      <c r="B30">
        <v>29.594969199178646</v>
      </c>
      <c r="C30">
        <v>10.883917800260601</v>
      </c>
    </row>
    <row r="48" spans="1:3" ht="86.4" x14ac:dyDescent="0.3">
      <c r="A48" s="15" t="s">
        <v>562</v>
      </c>
      <c r="B48" s="16" t="s">
        <v>607</v>
      </c>
      <c r="C48" s="16" t="s">
        <v>608</v>
      </c>
    </row>
    <row r="49" spans="1:7" x14ac:dyDescent="0.3">
      <c r="A49" s="10" t="s">
        <v>535</v>
      </c>
      <c r="B49">
        <v>3.3490759753593431</v>
      </c>
      <c r="C49">
        <v>0.49775076061193224</v>
      </c>
    </row>
    <row r="50" spans="1:7" x14ac:dyDescent="0.3">
      <c r="A50" s="10" t="s">
        <v>531</v>
      </c>
      <c r="B50">
        <v>2.9835728952772076</v>
      </c>
      <c r="C50">
        <v>0.61445387040416333</v>
      </c>
    </row>
    <row r="51" spans="1:7" x14ac:dyDescent="0.3">
      <c r="A51" s="10" t="s">
        <v>552</v>
      </c>
      <c r="B51">
        <v>2.5359342915811087</v>
      </c>
      <c r="C51">
        <v>0.55335666004697004</v>
      </c>
    </row>
    <row r="52" spans="1:7" x14ac:dyDescent="0.3">
      <c r="A52" s="10" t="s">
        <v>532</v>
      </c>
      <c r="B52">
        <v>3.751540041067762</v>
      </c>
      <c r="C52">
        <v>0.57842160250526786</v>
      </c>
    </row>
    <row r="53" spans="1:7" x14ac:dyDescent="0.3">
      <c r="A53" s="10" t="s">
        <v>563</v>
      </c>
      <c r="B53">
        <v>3.1550308008213555</v>
      </c>
      <c r="C53">
        <v>0.71976378531351892</v>
      </c>
    </row>
    <row r="59" spans="1:7" x14ac:dyDescent="0.3">
      <c r="A59" s="15" t="s">
        <v>566</v>
      </c>
      <c r="B59" s="15" t="s">
        <v>565</v>
      </c>
    </row>
    <row r="60" spans="1:7" x14ac:dyDescent="0.3">
      <c r="A60" s="15" t="s">
        <v>562</v>
      </c>
      <c r="B60">
        <v>1</v>
      </c>
      <c r="C60">
        <v>2</v>
      </c>
      <c r="D60">
        <v>3</v>
      </c>
      <c r="E60">
        <v>4</v>
      </c>
      <c r="F60">
        <v>5</v>
      </c>
      <c r="G60" t="s">
        <v>563</v>
      </c>
    </row>
    <row r="61" spans="1:7" x14ac:dyDescent="0.3">
      <c r="A61" s="10" t="s">
        <v>535</v>
      </c>
      <c r="D61">
        <v>322</v>
      </c>
      <c r="E61">
        <v>160</v>
      </c>
      <c r="F61">
        <v>5</v>
      </c>
      <c r="G61">
        <v>487</v>
      </c>
    </row>
    <row r="62" spans="1:7" x14ac:dyDescent="0.3">
      <c r="A62" s="10" t="s">
        <v>531</v>
      </c>
      <c r="C62">
        <v>88</v>
      </c>
      <c r="D62">
        <v>327</v>
      </c>
      <c r="E62">
        <v>64</v>
      </c>
      <c r="F62">
        <v>8</v>
      </c>
      <c r="G62">
        <v>487</v>
      </c>
    </row>
    <row r="63" spans="1:7" x14ac:dyDescent="0.3">
      <c r="A63" s="10" t="s">
        <v>552</v>
      </c>
      <c r="C63">
        <v>240</v>
      </c>
      <c r="D63">
        <v>233</v>
      </c>
      <c r="E63">
        <v>14</v>
      </c>
      <c r="G63">
        <v>487</v>
      </c>
    </row>
    <row r="64" spans="1:7" x14ac:dyDescent="0.3">
      <c r="A64" s="10" t="s">
        <v>532</v>
      </c>
      <c r="D64">
        <v>157</v>
      </c>
      <c r="E64">
        <v>294</v>
      </c>
      <c r="F64">
        <v>36</v>
      </c>
      <c r="G64">
        <v>487</v>
      </c>
    </row>
    <row r="65" spans="1:7" x14ac:dyDescent="0.3">
      <c r="A65" s="10" t="s">
        <v>563</v>
      </c>
      <c r="C65">
        <v>328</v>
      </c>
      <c r="D65">
        <v>1039</v>
      </c>
      <c r="E65">
        <v>532</v>
      </c>
      <c r="F65">
        <v>49</v>
      </c>
      <c r="G65">
        <v>1948</v>
      </c>
    </row>
    <row r="84" spans="1:6" x14ac:dyDescent="0.3">
      <c r="A84" s="15" t="s">
        <v>566</v>
      </c>
    </row>
    <row r="85" spans="1:6" x14ac:dyDescent="0.3">
      <c r="B85" t="s">
        <v>609</v>
      </c>
      <c r="C85" t="s">
        <v>610</v>
      </c>
      <c r="D85" t="s">
        <v>611</v>
      </c>
      <c r="E85" t="s">
        <v>612</v>
      </c>
      <c r="F85" t="s">
        <v>563</v>
      </c>
    </row>
    <row r="86" spans="1:6" x14ac:dyDescent="0.3">
      <c r="A86" s="10" t="s">
        <v>535</v>
      </c>
      <c r="B86" s="6">
        <v>0</v>
      </c>
      <c r="C86" s="6">
        <v>1</v>
      </c>
      <c r="D86" s="6">
        <v>0</v>
      </c>
      <c r="E86" s="6">
        <v>0</v>
      </c>
      <c r="F86" s="6">
        <v>1</v>
      </c>
    </row>
    <row r="87" spans="1:6" x14ac:dyDescent="0.3">
      <c r="A87" s="10" t="s">
        <v>531</v>
      </c>
      <c r="B87" s="6">
        <v>0.12114989733059549</v>
      </c>
      <c r="C87" s="6">
        <v>0.87063655030800824</v>
      </c>
      <c r="D87" s="6">
        <v>8.2135523613963042E-3</v>
      </c>
      <c r="E87" s="6">
        <v>0</v>
      </c>
      <c r="F87" s="6">
        <v>1</v>
      </c>
    </row>
    <row r="88" spans="1:6" x14ac:dyDescent="0.3">
      <c r="A88" s="10" t="s">
        <v>552</v>
      </c>
      <c r="B88" s="6">
        <v>0</v>
      </c>
      <c r="C88" s="6">
        <v>0.98767967145790558</v>
      </c>
      <c r="D88" s="6">
        <v>1.2320328542094456E-2</v>
      </c>
      <c r="E88" s="6">
        <v>0</v>
      </c>
      <c r="F88" s="6">
        <v>1</v>
      </c>
    </row>
    <row r="89" spans="1:6" x14ac:dyDescent="0.3">
      <c r="A89" s="10" t="s">
        <v>532</v>
      </c>
      <c r="B89" s="6">
        <v>2.0533880903490761E-3</v>
      </c>
      <c r="C89" s="6">
        <v>9.856262833675565E-2</v>
      </c>
      <c r="D89" s="6">
        <v>0.58932238193018482</v>
      </c>
      <c r="E89" s="6">
        <v>0.31006160164271046</v>
      </c>
      <c r="F89" s="6">
        <v>1</v>
      </c>
    </row>
    <row r="90" spans="1:6" x14ac:dyDescent="0.3">
      <c r="A90" s="10" t="s">
        <v>563</v>
      </c>
      <c r="B90" s="6">
        <v>3.0800821355236138E-2</v>
      </c>
      <c r="C90" s="6">
        <v>0.73921971252566732</v>
      </c>
      <c r="D90" s="6">
        <v>0.15246406570841889</v>
      </c>
      <c r="E90" s="6">
        <v>7.7515400410677615E-2</v>
      </c>
      <c r="F90" s="6">
        <v>1</v>
      </c>
    </row>
  </sheetData>
  <pageMargins left="0.7" right="0.7" top="0.78740157499999996" bottom="0.78740157499999996" header="0.3" footer="0.3"/>
  <drawing r:id="rId5"/>
  <extLst>
    <ext xmlns:x14="http://schemas.microsoft.com/office/spreadsheetml/2009/9/main" uri="{A8765BA9-456A-4dab-B4F3-ACF838C121DE}">
      <x14:slicerList>
        <x14:slicer r:id="rId6"/>
      </x14:slicerList>
    </ext>
    <ext xmlns:x15="http://schemas.microsoft.com/office/spreadsheetml/2010/11/main" uri="{3A4CF648-6AED-40f4-86FF-DC5316D8AED3}">
      <x14:slicerList xmlns:x14="http://schemas.microsoft.com/office/spreadsheetml/2009/9/main">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BE362C6EE420543B698485AC74F8397" ma:contentTypeVersion="13" ma:contentTypeDescription="Ein neues Dokument erstellen." ma:contentTypeScope="" ma:versionID="8bd8e257999783993df559cd6ae682b6">
  <xsd:schema xmlns:xsd="http://www.w3.org/2001/XMLSchema" xmlns:xs="http://www.w3.org/2001/XMLSchema" xmlns:p="http://schemas.microsoft.com/office/2006/metadata/properties" xmlns:ns2="52c83538-2338-46ef-bbce-bf2b5cdd8f3a" xmlns:ns3="3b61b577-587e-4579-bf30-e7747f8b66e7" targetNamespace="http://schemas.microsoft.com/office/2006/metadata/properties" ma:root="true" ma:fieldsID="f17525ced9f465eb7e4ba839c92060be" ns2:_="" ns3:_="">
    <xsd:import namespace="52c83538-2338-46ef-bbce-bf2b5cdd8f3a"/>
    <xsd:import namespace="3b61b577-587e-4579-bf30-e7747f8b66e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c83538-2338-46ef-bbce-bf2b5cdd8f3a"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80cc94bf-af72-47f4-a772-37b3f9bade0a"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61b577-587e-4579-bf30-e7747f8b66e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03cd6e57-88d8-416f-84a9-53af42f4b00c}" ma:internalName="TaxCatchAll" ma:showField="CatchAllData" ma:web="3b61b577-587e-4579-bf30-e7747f8b66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61b577-587e-4579-bf30-e7747f8b66e7" xsi:nil="true"/>
    <lcf76f155ced4ddcb4097134ff3c332f xmlns="52c83538-2338-46ef-bbce-bf2b5cdd8f3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80B84F-7E1A-41C5-BACD-B66379CCD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c83538-2338-46ef-bbce-bf2b5cdd8f3a"/>
    <ds:schemaRef ds:uri="3b61b577-587e-4579-bf30-e7747f8b66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2F7B3B-074A-4C02-A3A6-985FAA7E9E6C}">
  <ds:schemaRefs>
    <ds:schemaRef ds:uri="http://www.w3.org/XML/1998/namespace"/>
    <ds:schemaRef ds:uri="http://schemas.microsoft.com/office/2006/documentManagement/types"/>
    <ds:schemaRef ds:uri="http://purl.org/dc/term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3b61b577-587e-4579-bf30-e7747f8b66e7"/>
    <ds:schemaRef ds:uri="52c83538-2338-46ef-bbce-bf2b5cdd8f3a"/>
    <ds:schemaRef ds:uri="http://purl.org/dc/elements/1.1/"/>
  </ds:schemaRefs>
</ds:datastoreItem>
</file>

<file path=customXml/itemProps3.xml><?xml version="1.0" encoding="utf-8"?>
<ds:datastoreItem xmlns:ds="http://schemas.openxmlformats.org/officeDocument/2006/customXml" ds:itemID="{3A8027DF-C7A8-409F-8055-0F013F38DC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7</vt:i4>
      </vt:variant>
    </vt:vector>
  </HeadingPairs>
  <TitlesOfParts>
    <vt:vector size="14" baseType="lpstr">
      <vt:lpstr>Teilnehmende_Daten</vt:lpstr>
      <vt:lpstr>Trainingsabschluss_Daten</vt:lpstr>
      <vt:lpstr>Lektionen_Daten</vt:lpstr>
      <vt:lpstr>Quizergebnisse_Analyse</vt:lpstr>
      <vt:lpstr>Teilnehmende_Analyse</vt:lpstr>
      <vt:lpstr>Bewertung_Analyse</vt:lpstr>
      <vt:lpstr>Lektionen_Analyse</vt:lpstr>
      <vt:lpstr>Anzahl_Trainingsabschluss</vt:lpstr>
      <vt:lpstr>Max_Frage1</vt:lpstr>
      <vt:lpstr>Max_Frage2</vt:lpstr>
      <vt:lpstr>Max_Frage3</vt:lpstr>
      <vt:lpstr>Max_Frage4</vt:lpstr>
      <vt:lpstr>Max_Frage5</vt:lpstr>
      <vt:lpstr>Max_Quizergebnis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Norbert Nestler</cp:lastModifiedBy>
  <cp:revision/>
  <dcterms:created xsi:type="dcterms:W3CDTF">2024-08-26T07:59:00Z</dcterms:created>
  <dcterms:modified xsi:type="dcterms:W3CDTF">2025-08-21T10:58:45Z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0x010100DBE362C6EE420543B698485AC74F8397</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